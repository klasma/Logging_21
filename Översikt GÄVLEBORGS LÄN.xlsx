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45587</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45587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45587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45587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45587</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45587</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45587</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45587</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45587</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45587</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45587</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45587</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45587</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45587</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45587</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45587</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45587</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45004-2019</t>
        </is>
      </c>
      <c r="B19" s="1" t="n">
        <v>43713</v>
      </c>
      <c r="C19" s="1" t="n">
        <v>45587</v>
      </c>
      <c r="D19" t="inlineStr">
        <is>
          <t>GÄVLEBORGS LÄN</t>
        </is>
      </c>
      <c r="E19" t="inlineStr">
        <is>
          <t>OVANÅKER</t>
        </is>
      </c>
      <c r="F19" t="inlineStr">
        <is>
          <t>Sveaskog</t>
        </is>
      </c>
      <c r="G19" t="n">
        <v>7.5</v>
      </c>
      <c r="H19" t="n">
        <v>8</v>
      </c>
      <c r="I19" t="n">
        <v>4</v>
      </c>
      <c r="J19" t="n">
        <v>4</v>
      </c>
      <c r="K19" t="n">
        <v>1</v>
      </c>
      <c r="L19" t="n">
        <v>0</v>
      </c>
      <c r="M19" t="n">
        <v>0</v>
      </c>
      <c r="N19" t="n">
        <v>0</v>
      </c>
      <c r="O19" t="n">
        <v>5</v>
      </c>
      <c r="P19" t="n">
        <v>1</v>
      </c>
      <c r="Q19" t="n">
        <v>12</v>
      </c>
      <c r="R19" s="2" t="inlineStr">
        <is>
          <t>Knärot
Garnlav
Kolflarnlav
Lunglav
Tretåig hackspett
Korallrot
Spindelblomster
Tibast
Tvåblad
Tjäder
Fläcknycklar
Nattviol</t>
        </is>
      </c>
      <c r="S19">
        <f>HYPERLINK("https://klasma.github.io/Logging_2121/artfynd/A 45004-2019 artfynd.xlsx", "A 45004-2019")</f>
        <v/>
      </c>
      <c r="T19">
        <f>HYPERLINK("https://klasma.github.io/Logging_2121/kartor/A 45004-2019 karta.png", "A 45004-2019")</f>
        <v/>
      </c>
      <c r="U19">
        <f>HYPERLINK("https://klasma.github.io/Logging_2121/knärot/A 45004-2019 karta knärot.png", "A 45004-2019")</f>
        <v/>
      </c>
      <c r="V19">
        <f>HYPERLINK("https://klasma.github.io/Logging_2121/klagomål/A 45004-2019 FSC-klagomål.docx", "A 45004-2019")</f>
        <v/>
      </c>
      <c r="W19">
        <f>HYPERLINK("https://klasma.github.io/Logging_2121/klagomålsmail/A 45004-2019 FSC-klagomål mail.docx", "A 45004-2019")</f>
        <v/>
      </c>
      <c r="X19">
        <f>HYPERLINK("https://klasma.github.io/Logging_2121/tillsyn/A 45004-2019 tillsynsbegäran.docx", "A 45004-2019")</f>
        <v/>
      </c>
      <c r="Y19">
        <f>HYPERLINK("https://klasma.github.io/Logging_2121/tillsynsmail/A 45004-2019 tillsynsbegäran mail.docx", "A 45004-2019")</f>
        <v/>
      </c>
      <c r="Z19">
        <f>HYPERLINK("https://klasma.github.io/Logging_2121/fåglar/A 45004-2019 prioriterade fågelarter.docx", "A 45004-2019")</f>
        <v/>
      </c>
    </row>
    <row r="20" ht="15" customHeight="1">
      <c r="A20" t="inlineStr">
        <is>
          <t>A 34891-2020</t>
        </is>
      </c>
      <c r="B20" s="1" t="n">
        <v>44036</v>
      </c>
      <c r="C20" s="1" t="n">
        <v>45587</v>
      </c>
      <c r="D20" t="inlineStr">
        <is>
          <t>GÄVLEBORGS LÄN</t>
        </is>
      </c>
      <c r="E20" t="inlineStr">
        <is>
          <t>NORDANSTIG</t>
        </is>
      </c>
      <c r="G20" t="n">
        <v>334</v>
      </c>
      <c r="H20" t="n">
        <v>5</v>
      </c>
      <c r="I20" t="n">
        <v>3</v>
      </c>
      <c r="J20" t="n">
        <v>8</v>
      </c>
      <c r="K20" t="n">
        <v>1</v>
      </c>
      <c r="L20" t="n">
        <v>0</v>
      </c>
      <c r="M20" t="n">
        <v>0</v>
      </c>
      <c r="N20" t="n">
        <v>0</v>
      </c>
      <c r="O20" t="n">
        <v>9</v>
      </c>
      <c r="P20" t="n">
        <v>1</v>
      </c>
      <c r="Q20" t="n">
        <v>12</v>
      </c>
      <c r="R20" s="2" t="inlineStr">
        <is>
          <t>Svärta
Garnlav
Kustlabb
Motaggsvamp
Mörk kolflarnlav
Rörsångare
Spillkråka
Sävsparv
Tallticka
Dropptaggsvamp
Grönpyrola
Ögonpyrola</t>
        </is>
      </c>
      <c r="S20">
        <f>HYPERLINK("https://klasma.github.io/Logging_2132/artfynd/A 34891-2020 artfynd.xlsx", "A 34891-2020")</f>
        <v/>
      </c>
      <c r="T20">
        <f>HYPERLINK("https://klasma.github.io/Logging_2132/kartor/A 34891-2020 karta.png", "A 34891-2020")</f>
        <v/>
      </c>
      <c r="V20">
        <f>HYPERLINK("https://klasma.github.io/Logging_2132/klagomål/A 34891-2020 FSC-klagomål.docx", "A 34891-2020")</f>
        <v/>
      </c>
      <c r="W20">
        <f>HYPERLINK("https://klasma.github.io/Logging_2132/klagomålsmail/A 34891-2020 FSC-klagomål mail.docx", "A 34891-2020")</f>
        <v/>
      </c>
      <c r="X20">
        <f>HYPERLINK("https://klasma.github.io/Logging_2132/tillsyn/A 34891-2020 tillsynsbegäran.docx", "A 34891-2020")</f>
        <v/>
      </c>
      <c r="Y20">
        <f>HYPERLINK("https://klasma.github.io/Logging_2132/tillsynsmail/A 34891-2020 tillsynsbegäran mail.docx", "A 34891-2020")</f>
        <v/>
      </c>
      <c r="Z20">
        <f>HYPERLINK("https://klasma.github.io/Logging_2132/fåglar/A 34891-2020 prioriterade fågelarter.docx", "A 34891-2020")</f>
        <v/>
      </c>
    </row>
    <row r="21" ht="15" customHeight="1">
      <c r="A21" t="inlineStr">
        <is>
          <t>A 57608-2022</t>
        </is>
      </c>
      <c r="B21" s="1" t="n">
        <v>44897</v>
      </c>
      <c r="C21" s="1" t="n">
        <v>45587</v>
      </c>
      <c r="D21" t="inlineStr">
        <is>
          <t>GÄVLEBORGS LÄN</t>
        </is>
      </c>
      <c r="E21" t="inlineStr">
        <is>
          <t>HUDIKSVALL</t>
        </is>
      </c>
      <c r="F21" t="inlineStr">
        <is>
          <t>Naturvårdsverket</t>
        </is>
      </c>
      <c r="G21" t="n">
        <v>18.5</v>
      </c>
      <c r="H21" t="n">
        <v>2</v>
      </c>
      <c r="I21" t="n">
        <v>4</v>
      </c>
      <c r="J21" t="n">
        <v>5</v>
      </c>
      <c r="K21" t="n">
        <v>2</v>
      </c>
      <c r="L21" t="n">
        <v>0</v>
      </c>
      <c r="M21" t="n">
        <v>0</v>
      </c>
      <c r="N21" t="n">
        <v>0</v>
      </c>
      <c r="O21" t="n">
        <v>7</v>
      </c>
      <c r="P21" t="n">
        <v>2</v>
      </c>
      <c r="Q21" t="n">
        <v>12</v>
      </c>
      <c r="R21" s="2" t="inlineStr">
        <is>
          <t>Aspgelélav
Knärot
Garnlav
Lunglav
Ullticka
Violettgrå tagellav
Vitgrynig nållav
Kattfotslav
Korallblylav
Skinnlav
Stor aspticka
Blåsippa</t>
        </is>
      </c>
      <c r="S21">
        <f>HYPERLINK("https://klasma.github.io/Logging_2184/artfynd/A 57608-2022 artfynd.xlsx", "A 57608-2022")</f>
        <v/>
      </c>
      <c r="T21">
        <f>HYPERLINK("https://klasma.github.io/Logging_2184/kartor/A 57608-2022 karta.png", "A 57608-2022")</f>
        <v/>
      </c>
      <c r="U21">
        <f>HYPERLINK("https://klasma.github.io/Logging_2184/knärot/A 57608-2022 karta knärot.png", "A 57608-2022")</f>
        <v/>
      </c>
      <c r="V21">
        <f>HYPERLINK("https://klasma.github.io/Logging_2184/klagomål/A 57608-2022 FSC-klagomål.docx", "A 57608-2022")</f>
        <v/>
      </c>
      <c r="W21">
        <f>HYPERLINK("https://klasma.github.io/Logging_2184/klagomålsmail/A 57608-2022 FSC-klagomål mail.docx", "A 57608-2022")</f>
        <v/>
      </c>
      <c r="X21">
        <f>HYPERLINK("https://klasma.github.io/Logging_2184/tillsyn/A 57608-2022 tillsynsbegäran.docx", "A 57608-2022")</f>
        <v/>
      </c>
      <c r="Y21">
        <f>HYPERLINK("https://klasma.github.io/Logging_2184/tillsynsmail/A 57608-2022 tillsynsbegäran mail.docx", "A 57608-2022")</f>
        <v/>
      </c>
    </row>
    <row r="22" ht="15" customHeight="1">
      <c r="A22" t="inlineStr">
        <is>
          <t>A 13746-2023</t>
        </is>
      </c>
      <c r="B22" s="1" t="n">
        <v>45007</v>
      </c>
      <c r="C22" s="1" t="n">
        <v>45587</v>
      </c>
      <c r="D22" t="inlineStr">
        <is>
          <t>GÄVLEBORGS LÄN</t>
        </is>
      </c>
      <c r="E22" t="inlineStr">
        <is>
          <t>HOFORS</t>
        </is>
      </c>
      <c r="F22" t="inlineStr">
        <is>
          <t>Övriga statliga verk och myndigheter</t>
        </is>
      </c>
      <c r="G22" t="n">
        <v>4.1</v>
      </c>
      <c r="H22" t="n">
        <v>4</v>
      </c>
      <c r="I22" t="n">
        <v>5</v>
      </c>
      <c r="J22" t="n">
        <v>4</v>
      </c>
      <c r="K22" t="n">
        <v>1</v>
      </c>
      <c r="L22" t="n">
        <v>0</v>
      </c>
      <c r="M22" t="n">
        <v>0</v>
      </c>
      <c r="N22" t="n">
        <v>0</v>
      </c>
      <c r="O22" t="n">
        <v>5</v>
      </c>
      <c r="P22" t="n">
        <v>1</v>
      </c>
      <c r="Q22" t="n">
        <v>12</v>
      </c>
      <c r="R22" s="2" t="inlineStr">
        <is>
          <t>Knärot
Koralltaggsvamp
Orange taggsvamp
Talltita
Ullticka
Brandticka
Bronshjon
Svavelriska
Thomsons trägnagare
Vedticka
Kopparödla
Blåsippa</t>
        </is>
      </c>
      <c r="S22">
        <f>HYPERLINK("https://klasma.github.io/Logging_2104/artfynd/A 13746-2023 artfynd.xlsx", "A 13746-2023")</f>
        <v/>
      </c>
      <c r="T22">
        <f>HYPERLINK("https://klasma.github.io/Logging_2104/kartor/A 13746-2023 karta.png", "A 13746-2023")</f>
        <v/>
      </c>
      <c r="U22">
        <f>HYPERLINK("https://klasma.github.io/Logging_2104/knärot/A 13746-2023 karta knärot.png", "A 13746-2023")</f>
        <v/>
      </c>
      <c r="V22">
        <f>HYPERLINK("https://klasma.github.io/Logging_2104/klagomål/A 13746-2023 FSC-klagomål.docx", "A 13746-2023")</f>
        <v/>
      </c>
      <c r="W22">
        <f>HYPERLINK("https://klasma.github.io/Logging_2104/klagomålsmail/A 13746-2023 FSC-klagomål mail.docx", "A 13746-2023")</f>
        <v/>
      </c>
      <c r="X22">
        <f>HYPERLINK("https://klasma.github.io/Logging_2104/tillsyn/A 13746-2023 tillsynsbegäran.docx", "A 13746-2023")</f>
        <v/>
      </c>
      <c r="Y22">
        <f>HYPERLINK("https://klasma.github.io/Logging_2104/tillsynsmail/A 13746-2023 tillsynsbegäran mail.docx", "A 13746-2023")</f>
        <v/>
      </c>
      <c r="Z22">
        <f>HYPERLINK("https://klasma.github.io/Logging_2104/fåglar/A 13746-2023 prioriterade fågelarter.docx", "A 13746-2023")</f>
        <v/>
      </c>
    </row>
    <row r="23" ht="15" customHeight="1">
      <c r="A23" t="inlineStr">
        <is>
          <t>A 45009-2019</t>
        </is>
      </c>
      <c r="B23" s="1" t="n">
        <v>43713</v>
      </c>
      <c r="C23" s="1" t="n">
        <v>45587</v>
      </c>
      <c r="D23" t="inlineStr">
        <is>
          <t>GÄVLEBORGS LÄN</t>
        </is>
      </c>
      <c r="E23" t="inlineStr">
        <is>
          <t>OVANÅKER</t>
        </is>
      </c>
      <c r="F23" t="inlineStr">
        <is>
          <t>Sveaskog</t>
        </is>
      </c>
      <c r="G23" t="n">
        <v>4.7</v>
      </c>
      <c r="H23" t="n">
        <v>6</v>
      </c>
      <c r="I23" t="n">
        <v>4</v>
      </c>
      <c r="J23" t="n">
        <v>5</v>
      </c>
      <c r="K23" t="n">
        <v>1</v>
      </c>
      <c r="L23" t="n">
        <v>0</v>
      </c>
      <c r="M23" t="n">
        <v>0</v>
      </c>
      <c r="N23" t="n">
        <v>0</v>
      </c>
      <c r="O23" t="n">
        <v>6</v>
      </c>
      <c r="P23" t="n">
        <v>1</v>
      </c>
      <c r="Q23" t="n">
        <v>11</v>
      </c>
      <c r="R23" s="2" t="inlineStr">
        <is>
          <t>Knärot
Garnlav
Lunglav
Talltita
Tretåig hackspett
Ullticka
Dropptaggsvamp
Korallrot
Rödgul trumpetsvamp
Spindelblomster
Fläcknycklar</t>
        </is>
      </c>
      <c r="S23">
        <f>HYPERLINK("https://klasma.github.io/Logging_2121/artfynd/A 45009-2019 artfynd.xlsx", "A 45009-2019")</f>
        <v/>
      </c>
      <c r="T23">
        <f>HYPERLINK("https://klasma.github.io/Logging_2121/kartor/A 45009-2019 karta.png", "A 45009-2019")</f>
        <v/>
      </c>
      <c r="U23">
        <f>HYPERLINK("https://klasma.github.io/Logging_2121/knärot/A 45009-2019 karta knärot.png", "A 45009-2019")</f>
        <v/>
      </c>
      <c r="V23">
        <f>HYPERLINK("https://klasma.github.io/Logging_2121/klagomål/A 45009-2019 FSC-klagomål.docx", "A 45009-2019")</f>
        <v/>
      </c>
      <c r="W23">
        <f>HYPERLINK("https://klasma.github.io/Logging_2121/klagomålsmail/A 45009-2019 FSC-klagomål mail.docx", "A 45009-2019")</f>
        <v/>
      </c>
      <c r="X23">
        <f>HYPERLINK("https://klasma.github.io/Logging_2121/tillsyn/A 45009-2019 tillsynsbegäran.docx", "A 45009-2019")</f>
        <v/>
      </c>
      <c r="Y23">
        <f>HYPERLINK("https://klasma.github.io/Logging_2121/tillsynsmail/A 45009-2019 tillsynsbegäran mail.docx", "A 45009-2019")</f>
        <v/>
      </c>
      <c r="Z23">
        <f>HYPERLINK("https://klasma.github.io/Logging_2121/fåglar/A 45009-2019 prioriterade fågelarter.docx", "A 45009-2019")</f>
        <v/>
      </c>
    </row>
    <row r="24" ht="15" customHeight="1">
      <c r="A24" t="inlineStr">
        <is>
          <t>A 64616-2019</t>
        </is>
      </c>
      <c r="B24" s="1" t="n">
        <v>43798</v>
      </c>
      <c r="C24" s="1" t="n">
        <v>45587</v>
      </c>
      <c r="D24" t="inlineStr">
        <is>
          <t>GÄVLEBORGS LÄN</t>
        </is>
      </c>
      <c r="E24" t="inlineStr">
        <is>
          <t>LJUSDAL</t>
        </is>
      </c>
      <c r="F24" t="inlineStr">
        <is>
          <t>Holmen skog AB</t>
        </is>
      </c>
      <c r="G24" t="n">
        <v>10.5</v>
      </c>
      <c r="H24" t="n">
        <v>0</v>
      </c>
      <c r="I24" t="n">
        <v>3</v>
      </c>
      <c r="J24" t="n">
        <v>8</v>
      </c>
      <c r="K24" t="n">
        <v>0</v>
      </c>
      <c r="L24" t="n">
        <v>0</v>
      </c>
      <c r="M24" t="n">
        <v>0</v>
      </c>
      <c r="N24" t="n">
        <v>0</v>
      </c>
      <c r="O24" t="n">
        <v>8</v>
      </c>
      <c r="P24" t="n">
        <v>0</v>
      </c>
      <c r="Q24" t="n">
        <v>11</v>
      </c>
      <c r="R24" s="2" t="inlineStr">
        <is>
          <t>Doftskinn
Gammelgransskål
Garnlav
Tallticka
Ullticka
Vedskivlav
Violettgrå tagellav
Vitgrynig nållav
Barkkornlav
Skarp dropptaggsvamp
Vedticka</t>
        </is>
      </c>
      <c r="S24">
        <f>HYPERLINK("https://klasma.github.io/Logging_2161/artfynd/A 64616-2019 artfynd.xlsx", "A 64616-2019")</f>
        <v/>
      </c>
      <c r="T24">
        <f>HYPERLINK("https://klasma.github.io/Logging_2161/kartor/A 64616-2019 karta.png", "A 64616-2019")</f>
        <v/>
      </c>
      <c r="V24">
        <f>HYPERLINK("https://klasma.github.io/Logging_2161/klagomål/A 64616-2019 FSC-klagomål.docx", "A 64616-2019")</f>
        <v/>
      </c>
      <c r="W24">
        <f>HYPERLINK("https://klasma.github.io/Logging_2161/klagomålsmail/A 64616-2019 FSC-klagomål mail.docx", "A 64616-2019")</f>
        <v/>
      </c>
      <c r="X24">
        <f>HYPERLINK("https://klasma.github.io/Logging_2161/tillsyn/A 64616-2019 tillsynsbegäran.docx", "A 64616-2019")</f>
        <v/>
      </c>
      <c r="Y24">
        <f>HYPERLINK("https://klasma.github.io/Logging_2161/tillsynsmail/A 64616-2019 tillsynsbegäran mail.docx", "A 64616-2019")</f>
        <v/>
      </c>
    </row>
    <row r="25" ht="15" customHeight="1">
      <c r="A25" t="inlineStr">
        <is>
          <t>A 50174-2020</t>
        </is>
      </c>
      <c r="B25" s="1" t="n">
        <v>44109</v>
      </c>
      <c r="C25" s="1" t="n">
        <v>45587</v>
      </c>
      <c r="D25" t="inlineStr">
        <is>
          <t>GÄVLEBORGS LÄN</t>
        </is>
      </c>
      <c r="E25" t="inlineStr">
        <is>
          <t>BOLLNÄS</t>
        </is>
      </c>
      <c r="F25" t="inlineStr">
        <is>
          <t>Bergvik skog väst AB</t>
        </is>
      </c>
      <c r="G25" t="n">
        <v>21.1</v>
      </c>
      <c r="H25" t="n">
        <v>3</v>
      </c>
      <c r="I25" t="n">
        <v>2</v>
      </c>
      <c r="J25" t="n">
        <v>7</v>
      </c>
      <c r="K25" t="n">
        <v>1</v>
      </c>
      <c r="L25" t="n">
        <v>0</v>
      </c>
      <c r="M25" t="n">
        <v>0</v>
      </c>
      <c r="N25" t="n">
        <v>0</v>
      </c>
      <c r="O25" t="n">
        <v>8</v>
      </c>
      <c r="P25" t="n">
        <v>1</v>
      </c>
      <c r="Q25" t="n">
        <v>10</v>
      </c>
      <c r="R25" s="2" t="inlineStr">
        <is>
          <t>Knärot
Garnlav
Kolflarnlav
Kortskaftad ärgspik
Mörk kolflarnlav
Tretåig hackspett
Vedskivlav
Vedtrappmossa
Gulnål
Plattlummer</t>
        </is>
      </c>
      <c r="S25">
        <f>HYPERLINK("https://klasma.github.io/Logging_2183/artfynd/A 50174-2020 artfynd.xlsx", "A 50174-2020")</f>
        <v/>
      </c>
      <c r="T25">
        <f>HYPERLINK("https://klasma.github.io/Logging_2183/kartor/A 50174-2020 karta.png", "A 50174-2020")</f>
        <v/>
      </c>
      <c r="U25">
        <f>HYPERLINK("https://klasma.github.io/Logging_2183/knärot/A 50174-2020 karta knärot.png", "A 50174-2020")</f>
        <v/>
      </c>
      <c r="V25">
        <f>HYPERLINK("https://klasma.github.io/Logging_2183/klagomål/A 50174-2020 FSC-klagomål.docx", "A 50174-2020")</f>
        <v/>
      </c>
      <c r="W25">
        <f>HYPERLINK("https://klasma.github.io/Logging_2183/klagomålsmail/A 50174-2020 FSC-klagomål mail.docx", "A 50174-2020")</f>
        <v/>
      </c>
      <c r="X25">
        <f>HYPERLINK("https://klasma.github.io/Logging_2183/tillsyn/A 50174-2020 tillsynsbegäran.docx", "A 50174-2020")</f>
        <v/>
      </c>
      <c r="Y25">
        <f>HYPERLINK("https://klasma.github.io/Logging_2183/tillsynsmail/A 50174-2020 tillsynsbegäran mail.docx", "A 50174-2020")</f>
        <v/>
      </c>
      <c r="Z25">
        <f>HYPERLINK("https://klasma.github.io/Logging_2183/fåglar/A 50174-2020 prioriterade fågelarter.docx", "A 50174-2020")</f>
        <v/>
      </c>
    </row>
    <row r="26" ht="15" customHeight="1">
      <c r="A26" t="inlineStr">
        <is>
          <t>A 27326-2021</t>
        </is>
      </c>
      <c r="B26" s="1" t="n">
        <v>44351</v>
      </c>
      <c r="C26" s="1" t="n">
        <v>45587</v>
      </c>
      <c r="D26" t="inlineStr">
        <is>
          <t>GÄVLEBORGS LÄN</t>
        </is>
      </c>
      <c r="E26" t="inlineStr">
        <is>
          <t>LJUSDAL</t>
        </is>
      </c>
      <c r="F26" t="inlineStr">
        <is>
          <t>Sveaskog</t>
        </is>
      </c>
      <c r="G26" t="n">
        <v>11</v>
      </c>
      <c r="H26" t="n">
        <v>3</v>
      </c>
      <c r="I26" t="n">
        <v>1</v>
      </c>
      <c r="J26" t="n">
        <v>6</v>
      </c>
      <c r="K26" t="n">
        <v>1</v>
      </c>
      <c r="L26" t="n">
        <v>0</v>
      </c>
      <c r="M26" t="n">
        <v>0</v>
      </c>
      <c r="N26" t="n">
        <v>0</v>
      </c>
      <c r="O26" t="n">
        <v>7</v>
      </c>
      <c r="P26" t="n">
        <v>1</v>
      </c>
      <c r="Q26" t="n">
        <v>10</v>
      </c>
      <c r="R26" s="2" t="inlineStr">
        <is>
          <t>Knärot
Garnlav
Kortskaftad ärgspik
Mörk kolflarnlav
Vedskivlav
Violettgrå tagellav
Vitgrynig nållav
Skarp dropptaggsvamp
Fläcknycklar
Revlummer</t>
        </is>
      </c>
      <c r="S26">
        <f>HYPERLINK("https://klasma.github.io/Logging_2161/artfynd/A 27326-2021 artfynd.xlsx", "A 27326-2021")</f>
        <v/>
      </c>
      <c r="T26">
        <f>HYPERLINK("https://klasma.github.io/Logging_2161/kartor/A 27326-2021 karta.png", "A 27326-2021")</f>
        <v/>
      </c>
      <c r="U26">
        <f>HYPERLINK("https://klasma.github.io/Logging_2161/knärot/A 27326-2021 karta knärot.png", "A 27326-2021")</f>
        <v/>
      </c>
      <c r="V26">
        <f>HYPERLINK("https://klasma.github.io/Logging_2161/klagomål/A 27326-2021 FSC-klagomål.docx", "A 27326-2021")</f>
        <v/>
      </c>
      <c r="W26">
        <f>HYPERLINK("https://klasma.github.io/Logging_2161/klagomålsmail/A 27326-2021 FSC-klagomål mail.docx", "A 27326-2021")</f>
        <v/>
      </c>
      <c r="X26">
        <f>HYPERLINK("https://klasma.github.io/Logging_2161/tillsyn/A 27326-2021 tillsynsbegäran.docx", "A 27326-2021")</f>
        <v/>
      </c>
      <c r="Y26">
        <f>HYPERLINK("https://klasma.github.io/Logging_2161/tillsynsmail/A 27326-2021 tillsynsbegäran mail.docx", "A 27326-2021")</f>
        <v/>
      </c>
    </row>
    <row r="27" ht="15" customHeight="1">
      <c r="A27" t="inlineStr">
        <is>
          <t>A 60212-2022</t>
        </is>
      </c>
      <c r="B27" s="1" t="n">
        <v>44910</v>
      </c>
      <c r="C27" s="1" t="n">
        <v>45587</v>
      </c>
      <c r="D27" t="inlineStr">
        <is>
          <t>GÄVLEBORGS LÄN</t>
        </is>
      </c>
      <c r="E27" t="inlineStr">
        <is>
          <t>HUDIKSVALL</t>
        </is>
      </c>
      <c r="G27" t="n">
        <v>10.6</v>
      </c>
      <c r="H27" t="n">
        <v>10</v>
      </c>
      <c r="I27" t="n">
        <v>0</v>
      </c>
      <c r="J27" t="n">
        <v>7</v>
      </c>
      <c r="K27" t="n">
        <v>2</v>
      </c>
      <c r="L27" t="n">
        <v>1</v>
      </c>
      <c r="M27" t="n">
        <v>0</v>
      </c>
      <c r="N27" t="n">
        <v>0</v>
      </c>
      <c r="O27" t="n">
        <v>10</v>
      </c>
      <c r="P27" t="n">
        <v>3</v>
      </c>
      <c r="Q27" t="n">
        <v>10</v>
      </c>
      <c r="R27" s="2" t="inlineStr">
        <is>
          <t>Grönfink
Hussvala
Stare
Björktrast
Grönsångare
Gulsparv
Kråka
Mindre hackspett
Rödvingetrast
Svartvit flugsnappare</t>
        </is>
      </c>
      <c r="S27">
        <f>HYPERLINK("https://klasma.github.io/Logging_2184/artfynd/A 60212-2022 artfynd.xlsx", "A 60212-2022")</f>
        <v/>
      </c>
      <c r="T27">
        <f>HYPERLINK("https://klasma.github.io/Logging_2184/kartor/A 60212-2022 karta.png", "A 60212-2022")</f>
        <v/>
      </c>
      <c r="V27">
        <f>HYPERLINK("https://klasma.github.io/Logging_2184/klagomål/A 60212-2022 FSC-klagomål.docx", "A 60212-2022")</f>
        <v/>
      </c>
      <c r="W27">
        <f>HYPERLINK("https://klasma.github.io/Logging_2184/klagomålsmail/A 60212-2022 FSC-klagomål mail.docx", "A 60212-2022")</f>
        <v/>
      </c>
      <c r="X27">
        <f>HYPERLINK("https://klasma.github.io/Logging_2184/tillsyn/A 60212-2022 tillsynsbegäran.docx", "A 60212-2022")</f>
        <v/>
      </c>
      <c r="Y27">
        <f>HYPERLINK("https://klasma.github.io/Logging_2184/tillsynsmail/A 60212-2022 tillsynsbegäran mail.docx", "A 60212-2022")</f>
        <v/>
      </c>
      <c r="Z27">
        <f>HYPERLINK("https://klasma.github.io/Logging_2184/fåglar/A 60212-2022 prioriterade fågelarter.docx", "A 60212-2022")</f>
        <v/>
      </c>
    </row>
    <row r="28" ht="15" customHeight="1">
      <c r="A28" t="inlineStr">
        <is>
          <t>A 35250-2019</t>
        </is>
      </c>
      <c r="B28" s="1" t="n">
        <v>43650</v>
      </c>
      <c r="C28" s="1" t="n">
        <v>45587</v>
      </c>
      <c r="D28" t="inlineStr">
        <is>
          <t>GÄVLEBORGS LÄN</t>
        </is>
      </c>
      <c r="E28" t="inlineStr">
        <is>
          <t>HUDIKSVALL</t>
        </is>
      </c>
      <c r="F28" t="inlineStr">
        <is>
          <t>Holmen skog AB</t>
        </is>
      </c>
      <c r="G28" t="n">
        <v>1.6</v>
      </c>
      <c r="H28" t="n">
        <v>1</v>
      </c>
      <c r="I28" t="n">
        <v>3</v>
      </c>
      <c r="J28" t="n">
        <v>5</v>
      </c>
      <c r="K28" t="n">
        <v>1</v>
      </c>
      <c r="L28" t="n">
        <v>0</v>
      </c>
      <c r="M28" t="n">
        <v>0</v>
      </c>
      <c r="N28" t="n">
        <v>0</v>
      </c>
      <c r="O28" t="n">
        <v>6</v>
      </c>
      <c r="P28" t="n">
        <v>1</v>
      </c>
      <c r="Q28" t="n">
        <v>9</v>
      </c>
      <c r="R28" s="2" t="inlineStr">
        <is>
          <t>Rynkskinn
Gammelgransskål
Garnlav
Tretåig hackspett
Ullticka
Vitgrynig nållav
Bollvitmossa
Granbarkgnagare
Kattfotslav</t>
        </is>
      </c>
      <c r="S28">
        <f>HYPERLINK("https://klasma.github.io/Logging_2184/artfynd/A 35250-2019 artfynd.xlsx", "A 35250-2019")</f>
        <v/>
      </c>
      <c r="T28">
        <f>HYPERLINK("https://klasma.github.io/Logging_2184/kartor/A 35250-2019 karta.png", "A 35250-2019")</f>
        <v/>
      </c>
      <c r="V28">
        <f>HYPERLINK("https://klasma.github.io/Logging_2184/klagomål/A 35250-2019 FSC-klagomål.docx", "A 35250-2019")</f>
        <v/>
      </c>
      <c r="W28">
        <f>HYPERLINK("https://klasma.github.io/Logging_2184/klagomålsmail/A 35250-2019 FSC-klagomål mail.docx", "A 35250-2019")</f>
        <v/>
      </c>
      <c r="X28">
        <f>HYPERLINK("https://klasma.github.io/Logging_2184/tillsyn/A 35250-2019 tillsynsbegäran.docx", "A 35250-2019")</f>
        <v/>
      </c>
      <c r="Y28">
        <f>HYPERLINK("https://klasma.github.io/Logging_2184/tillsynsmail/A 35250-2019 tillsynsbegäran mail.docx", "A 35250-2019")</f>
        <v/>
      </c>
      <c r="Z28">
        <f>HYPERLINK("https://klasma.github.io/Logging_2184/fåglar/A 35250-2019 prioriterade fågelarter.docx", "A 35250-2019")</f>
        <v/>
      </c>
    </row>
    <row r="29" ht="15" customHeight="1">
      <c r="A29" t="inlineStr">
        <is>
          <t>A 7565-2020</t>
        </is>
      </c>
      <c r="B29" s="1" t="n">
        <v>43872</v>
      </c>
      <c r="C29" s="1" t="n">
        <v>45587</v>
      </c>
      <c r="D29" t="inlineStr">
        <is>
          <t>GÄVLEBORGS LÄN</t>
        </is>
      </c>
      <c r="E29" t="inlineStr">
        <is>
          <t>LJUSDAL</t>
        </is>
      </c>
      <c r="G29" t="n">
        <v>4.4</v>
      </c>
      <c r="H29" t="n">
        <v>0</v>
      </c>
      <c r="I29" t="n">
        <v>1</v>
      </c>
      <c r="J29" t="n">
        <v>8</v>
      </c>
      <c r="K29" t="n">
        <v>0</v>
      </c>
      <c r="L29" t="n">
        <v>0</v>
      </c>
      <c r="M29" t="n">
        <v>0</v>
      </c>
      <c r="N29" t="n">
        <v>0</v>
      </c>
      <c r="O29" t="n">
        <v>8</v>
      </c>
      <c r="P29" t="n">
        <v>0</v>
      </c>
      <c r="Q29" t="n">
        <v>9</v>
      </c>
      <c r="R29" s="2" t="inlineStr">
        <is>
          <t>Blanksvart spiklav
Dvärgbägarlav
Garnlav
Kolflarnlav
Mörk kolflarnlav
Tallticka
Vedflamlav
Vedskivlav
Dropptaggsvamp</t>
        </is>
      </c>
      <c r="S29">
        <f>HYPERLINK("https://klasma.github.io/Logging_2161/artfynd/A 7565-2020 artfynd.xlsx", "A 7565-2020")</f>
        <v/>
      </c>
      <c r="T29">
        <f>HYPERLINK("https://klasma.github.io/Logging_2161/kartor/A 7565-2020 karta.png", "A 7565-2020")</f>
        <v/>
      </c>
      <c r="V29">
        <f>HYPERLINK("https://klasma.github.io/Logging_2161/klagomål/A 7565-2020 FSC-klagomål.docx", "A 7565-2020")</f>
        <v/>
      </c>
      <c r="W29">
        <f>HYPERLINK("https://klasma.github.io/Logging_2161/klagomålsmail/A 7565-2020 FSC-klagomål mail.docx", "A 7565-2020")</f>
        <v/>
      </c>
      <c r="X29">
        <f>HYPERLINK("https://klasma.github.io/Logging_2161/tillsyn/A 7565-2020 tillsynsbegäran.docx", "A 7565-2020")</f>
        <v/>
      </c>
      <c r="Y29">
        <f>HYPERLINK("https://klasma.github.io/Logging_2161/tillsynsmail/A 7565-2020 tillsynsbegäran mail.docx", "A 7565-2020")</f>
        <v/>
      </c>
    </row>
    <row r="30" ht="15" customHeight="1">
      <c r="A30" t="inlineStr">
        <is>
          <t>A 18337-2020</t>
        </is>
      </c>
      <c r="B30" s="1" t="n">
        <v>43928</v>
      </c>
      <c r="C30" s="1" t="n">
        <v>45587</v>
      </c>
      <c r="D30" t="inlineStr">
        <is>
          <t>GÄVLEBORGS LÄN</t>
        </is>
      </c>
      <c r="E30" t="inlineStr">
        <is>
          <t>GÄVLE</t>
        </is>
      </c>
      <c r="F30" t="inlineStr">
        <is>
          <t>Kommuner</t>
        </is>
      </c>
      <c r="G30" t="n">
        <v>7.6</v>
      </c>
      <c r="H30" t="n">
        <v>3</v>
      </c>
      <c r="I30" t="n">
        <v>7</v>
      </c>
      <c r="J30" t="n">
        <v>0</v>
      </c>
      <c r="K30" t="n">
        <v>1</v>
      </c>
      <c r="L30" t="n">
        <v>0</v>
      </c>
      <c r="M30" t="n">
        <v>0</v>
      </c>
      <c r="N30" t="n">
        <v>0</v>
      </c>
      <c r="O30" t="n">
        <v>1</v>
      </c>
      <c r="P30" t="n">
        <v>1</v>
      </c>
      <c r="Q30" t="n">
        <v>9</v>
      </c>
      <c r="R30" s="2" t="inlineStr">
        <is>
          <t>Knärot
Grön sköldmossa
Mörk husmossa
Purpurmylia
Skogshakmossa
Stubbspretmossa
Tibast
Vanlig rörsvepemossa
Blåsippa</t>
        </is>
      </c>
      <c r="S30">
        <f>HYPERLINK("https://klasma.github.io/Logging_2180/artfynd/A 18337-2020 artfynd.xlsx", "A 18337-2020")</f>
        <v/>
      </c>
      <c r="T30">
        <f>HYPERLINK("https://klasma.github.io/Logging_2180/kartor/A 18337-2020 karta.png", "A 18337-2020")</f>
        <v/>
      </c>
      <c r="U30">
        <f>HYPERLINK("https://klasma.github.io/Logging_2180/knärot/A 18337-2020 karta knärot.png", "A 18337-2020")</f>
        <v/>
      </c>
      <c r="V30">
        <f>HYPERLINK("https://klasma.github.io/Logging_2180/klagomål/A 18337-2020 FSC-klagomål.docx", "A 18337-2020")</f>
        <v/>
      </c>
      <c r="W30">
        <f>HYPERLINK("https://klasma.github.io/Logging_2180/klagomålsmail/A 18337-2020 FSC-klagomål mail.docx", "A 18337-2020")</f>
        <v/>
      </c>
      <c r="X30">
        <f>HYPERLINK("https://klasma.github.io/Logging_2180/tillsyn/A 18337-2020 tillsynsbegäran.docx", "A 18337-2020")</f>
        <v/>
      </c>
      <c r="Y30">
        <f>HYPERLINK("https://klasma.github.io/Logging_2180/tillsynsmail/A 18337-2020 tillsynsbegäran mail.docx", "A 18337-2020")</f>
        <v/>
      </c>
    </row>
    <row r="31" ht="15" customHeight="1">
      <c r="A31" t="inlineStr">
        <is>
          <t>A 48935-2020</t>
        </is>
      </c>
      <c r="B31" s="1" t="n">
        <v>44104</v>
      </c>
      <c r="C31" s="1" t="n">
        <v>45587</v>
      </c>
      <c r="D31" t="inlineStr">
        <is>
          <t>GÄVLEBORGS LÄN</t>
        </is>
      </c>
      <c r="E31" t="inlineStr">
        <is>
          <t>HUDIKSVALL</t>
        </is>
      </c>
      <c r="F31" t="inlineStr">
        <is>
          <t>Holmen skog AB</t>
        </is>
      </c>
      <c r="G31" t="n">
        <v>12.2</v>
      </c>
      <c r="H31" t="n">
        <v>2</v>
      </c>
      <c r="I31" t="n">
        <v>3</v>
      </c>
      <c r="J31" t="n">
        <v>5</v>
      </c>
      <c r="K31" t="n">
        <v>0</v>
      </c>
      <c r="L31" t="n">
        <v>0</v>
      </c>
      <c r="M31" t="n">
        <v>0</v>
      </c>
      <c r="N31" t="n">
        <v>0</v>
      </c>
      <c r="O31" t="n">
        <v>5</v>
      </c>
      <c r="P31" t="n">
        <v>0</v>
      </c>
      <c r="Q31" t="n">
        <v>9</v>
      </c>
      <c r="R31" s="2" t="inlineStr">
        <is>
          <t>Granticka
Lunglav
Orange taggsvamp
Spillkråka
Ullticka
Skinnlav
Stuplav
Vedticka
Revlummer</t>
        </is>
      </c>
      <c r="S31">
        <f>HYPERLINK("https://klasma.github.io/Logging_2184/artfynd/A 48935-2020 artfynd.xlsx", "A 48935-2020")</f>
        <v/>
      </c>
      <c r="T31">
        <f>HYPERLINK("https://klasma.github.io/Logging_2184/kartor/A 48935-2020 karta.png", "A 48935-2020")</f>
        <v/>
      </c>
      <c r="V31">
        <f>HYPERLINK("https://klasma.github.io/Logging_2184/klagomål/A 48935-2020 FSC-klagomål.docx", "A 48935-2020")</f>
        <v/>
      </c>
      <c r="W31">
        <f>HYPERLINK("https://klasma.github.io/Logging_2184/klagomålsmail/A 48935-2020 FSC-klagomål mail.docx", "A 48935-2020")</f>
        <v/>
      </c>
      <c r="X31">
        <f>HYPERLINK("https://klasma.github.io/Logging_2184/tillsyn/A 48935-2020 tillsynsbegäran.docx", "A 48935-2020")</f>
        <v/>
      </c>
      <c r="Y31">
        <f>HYPERLINK("https://klasma.github.io/Logging_2184/tillsynsmail/A 48935-2020 tillsynsbegäran mail.docx", "A 48935-2020")</f>
        <v/>
      </c>
      <c r="Z31">
        <f>HYPERLINK("https://klasma.github.io/Logging_2184/fåglar/A 48935-2020 prioriterade fågelarter.docx", "A 48935-2020")</f>
        <v/>
      </c>
    </row>
    <row r="32" ht="15" customHeight="1">
      <c r="A32" t="inlineStr">
        <is>
          <t>A 96-2021</t>
        </is>
      </c>
      <c r="B32" s="1" t="n">
        <v>44200</v>
      </c>
      <c r="C32" s="1" t="n">
        <v>45587</v>
      </c>
      <c r="D32" t="inlineStr">
        <is>
          <t>GÄVLEBORGS LÄN</t>
        </is>
      </c>
      <c r="E32" t="inlineStr">
        <is>
          <t>HUDIKSVALL</t>
        </is>
      </c>
      <c r="F32" t="inlineStr">
        <is>
          <t>Holmen skog AB</t>
        </is>
      </c>
      <c r="G32" t="n">
        <v>20.9</v>
      </c>
      <c r="H32" t="n">
        <v>2</v>
      </c>
      <c r="I32" t="n">
        <v>4</v>
      </c>
      <c r="J32" t="n">
        <v>5</v>
      </c>
      <c r="K32" t="n">
        <v>0</v>
      </c>
      <c r="L32" t="n">
        <v>0</v>
      </c>
      <c r="M32" t="n">
        <v>0</v>
      </c>
      <c r="N32" t="n">
        <v>0</v>
      </c>
      <c r="O32" t="n">
        <v>5</v>
      </c>
      <c r="P32" t="n">
        <v>0</v>
      </c>
      <c r="Q32" t="n">
        <v>9</v>
      </c>
      <c r="R32" s="2" t="inlineStr">
        <is>
          <t>Garnlav
Lunglav
Talltita
Tretåig hackspett
Violettgrå tagellav
Dropptaggsvamp
Robust tickgnagare
Stekelbock
Stuplav</t>
        </is>
      </c>
      <c r="S32">
        <f>HYPERLINK("https://klasma.github.io/Logging_2184/artfynd/A 96-2021 artfynd.xlsx", "A 96-2021")</f>
        <v/>
      </c>
      <c r="T32">
        <f>HYPERLINK("https://klasma.github.io/Logging_2184/kartor/A 96-2021 karta.png", "A 96-2021")</f>
        <v/>
      </c>
      <c r="V32">
        <f>HYPERLINK("https://klasma.github.io/Logging_2184/klagomål/A 96-2021 FSC-klagomål.docx", "A 96-2021")</f>
        <v/>
      </c>
      <c r="W32">
        <f>HYPERLINK("https://klasma.github.io/Logging_2184/klagomålsmail/A 96-2021 FSC-klagomål mail.docx", "A 96-2021")</f>
        <v/>
      </c>
      <c r="X32">
        <f>HYPERLINK("https://klasma.github.io/Logging_2184/tillsyn/A 96-2021 tillsynsbegäran.docx", "A 96-2021")</f>
        <v/>
      </c>
      <c r="Y32">
        <f>HYPERLINK("https://klasma.github.io/Logging_2184/tillsynsmail/A 96-2021 tillsynsbegäran mail.docx", "A 96-2021")</f>
        <v/>
      </c>
      <c r="Z32">
        <f>HYPERLINK("https://klasma.github.io/Logging_2184/fåglar/A 96-2021 prioriterade fågelarter.docx", "A 96-2021")</f>
        <v/>
      </c>
    </row>
    <row r="33" ht="15" customHeight="1">
      <c r="A33" t="inlineStr">
        <is>
          <t>A 65026-2021</t>
        </is>
      </c>
      <c r="B33" s="1" t="n">
        <v>44512</v>
      </c>
      <c r="C33" s="1" t="n">
        <v>45587</v>
      </c>
      <c r="D33" t="inlineStr">
        <is>
          <t>GÄVLEBORGS LÄN</t>
        </is>
      </c>
      <c r="E33" t="inlineStr">
        <is>
          <t>HOFORS</t>
        </is>
      </c>
      <c r="G33" t="n">
        <v>14.7</v>
      </c>
      <c r="H33" t="n">
        <v>1</v>
      </c>
      <c r="I33" t="n">
        <v>4</v>
      </c>
      <c r="J33" t="n">
        <v>1</v>
      </c>
      <c r="K33" t="n">
        <v>4</v>
      </c>
      <c r="L33" t="n">
        <v>0</v>
      </c>
      <c r="M33" t="n">
        <v>0</v>
      </c>
      <c r="N33" t="n">
        <v>0</v>
      </c>
      <c r="O33" t="n">
        <v>5</v>
      </c>
      <c r="P33" t="n">
        <v>4</v>
      </c>
      <c r="Q33" t="n">
        <v>9</v>
      </c>
      <c r="R33" s="2" t="inlineStr">
        <is>
          <t>Brödtaggsvamp
Knärot
Taggfingersvamp
Vågticka
Gul taggsvamp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27800-2022</t>
        </is>
      </c>
      <c r="B34" s="1" t="n">
        <v>44743</v>
      </c>
      <c r="C34" s="1" t="n">
        <v>45587</v>
      </c>
      <c r="D34" t="inlineStr">
        <is>
          <t>GÄVLEBORGS LÄN</t>
        </is>
      </c>
      <c r="E34" t="inlineStr">
        <is>
          <t>LJUSDAL</t>
        </is>
      </c>
      <c r="F34" t="inlineStr">
        <is>
          <t>Sveaskog</t>
        </is>
      </c>
      <c r="G34" t="n">
        <v>8.9</v>
      </c>
      <c r="H34" t="n">
        <v>6</v>
      </c>
      <c r="I34" t="n">
        <v>5</v>
      </c>
      <c r="J34" t="n">
        <v>0</v>
      </c>
      <c r="K34" t="n">
        <v>0</v>
      </c>
      <c r="L34" t="n">
        <v>0</v>
      </c>
      <c r="M34" t="n">
        <v>0</v>
      </c>
      <c r="N34" t="n">
        <v>0</v>
      </c>
      <c r="O34" t="n">
        <v>0</v>
      </c>
      <c r="P34" t="n">
        <v>0</v>
      </c>
      <c r="Q34" t="n">
        <v>9</v>
      </c>
      <c r="R34" s="2" t="inlineStr">
        <is>
          <t>Grönkulla
Spindelblomster
Svart trolldruva
Ängsvaxskivling
Ögonpyrola
Fläcknycklar
Nattviol
Blåsippa
Revlummer</t>
        </is>
      </c>
      <c r="S34">
        <f>HYPERLINK("https://klasma.github.io/Logging_2161/artfynd/A 27800-2022 artfynd.xlsx", "A 27800-2022")</f>
        <v/>
      </c>
      <c r="T34">
        <f>HYPERLINK("https://klasma.github.io/Logging_2161/kartor/A 27800-2022 karta.png", "A 27800-2022")</f>
        <v/>
      </c>
      <c r="V34">
        <f>HYPERLINK("https://klasma.github.io/Logging_2161/klagomål/A 27800-2022 FSC-klagomål.docx", "A 27800-2022")</f>
        <v/>
      </c>
      <c r="W34">
        <f>HYPERLINK("https://klasma.github.io/Logging_2161/klagomålsmail/A 27800-2022 FSC-klagomål mail.docx", "A 27800-2022")</f>
        <v/>
      </c>
      <c r="X34">
        <f>HYPERLINK("https://klasma.github.io/Logging_2161/tillsyn/A 27800-2022 tillsynsbegäran.docx", "A 27800-2022")</f>
        <v/>
      </c>
      <c r="Y34">
        <f>HYPERLINK("https://klasma.github.io/Logging_2161/tillsynsmail/A 27800-2022 tillsynsbegäran mail.docx", "A 27800-2022")</f>
        <v/>
      </c>
    </row>
    <row r="35" ht="15" customHeight="1">
      <c r="A35" t="inlineStr">
        <is>
          <t>A 39905-2022</t>
        </is>
      </c>
      <c r="B35" s="1" t="n">
        <v>44819</v>
      </c>
      <c r="C35" s="1" t="n">
        <v>45587</v>
      </c>
      <c r="D35" t="inlineStr">
        <is>
          <t>GÄVLEBORGS LÄN</t>
        </is>
      </c>
      <c r="E35" t="inlineStr">
        <is>
          <t>OVANÅKER</t>
        </is>
      </c>
      <c r="G35" t="n">
        <v>3.5</v>
      </c>
      <c r="H35" t="n">
        <v>6</v>
      </c>
      <c r="I35" t="n">
        <v>4</v>
      </c>
      <c r="J35" t="n">
        <v>1</v>
      </c>
      <c r="K35" t="n">
        <v>1</v>
      </c>
      <c r="L35" t="n">
        <v>0</v>
      </c>
      <c r="M35" t="n">
        <v>0</v>
      </c>
      <c r="N35" t="n">
        <v>0</v>
      </c>
      <c r="O35" t="n">
        <v>2</v>
      </c>
      <c r="P35" t="n">
        <v>1</v>
      </c>
      <c r="Q35" t="n">
        <v>9</v>
      </c>
      <c r="R35" s="2" t="inlineStr">
        <is>
          <t>Turkos blåvinge
Månlåsbräken
Grönkulla
Plattlummer
Spindelblomster
Ögonpyrola
Fläcknycklar
Nattviol
Revlummer</t>
        </is>
      </c>
      <c r="S35">
        <f>HYPERLINK("https://klasma.github.io/Logging_2121/artfynd/A 39905-2022 artfynd.xlsx", "A 39905-2022")</f>
        <v/>
      </c>
      <c r="T35">
        <f>HYPERLINK("https://klasma.github.io/Logging_2121/kartor/A 39905-2022 karta.png", "A 39905-2022")</f>
        <v/>
      </c>
      <c r="V35">
        <f>HYPERLINK("https://klasma.github.io/Logging_2121/klagomål/A 39905-2022 FSC-klagomål.docx", "A 39905-2022")</f>
        <v/>
      </c>
      <c r="W35">
        <f>HYPERLINK("https://klasma.github.io/Logging_2121/klagomålsmail/A 39905-2022 FSC-klagomål mail.docx", "A 39905-2022")</f>
        <v/>
      </c>
      <c r="X35">
        <f>HYPERLINK("https://klasma.github.io/Logging_2121/tillsyn/A 39905-2022 tillsynsbegäran.docx", "A 39905-2022")</f>
        <v/>
      </c>
      <c r="Y35">
        <f>HYPERLINK("https://klasma.github.io/Logging_2121/tillsynsmail/A 39905-2022 tillsynsbegäran mail.docx", "A 39905-2022")</f>
        <v/>
      </c>
    </row>
    <row r="36" ht="15" customHeight="1">
      <c r="A36" t="inlineStr">
        <is>
          <t>A 528-2024</t>
        </is>
      </c>
      <c r="B36" s="1" t="n">
        <v>45299</v>
      </c>
      <c r="C36" s="1" t="n">
        <v>45587</v>
      </c>
      <c r="D36" t="inlineStr">
        <is>
          <t>GÄVLEBORGS LÄN</t>
        </is>
      </c>
      <c r="E36" t="inlineStr">
        <is>
          <t>HOFORS</t>
        </is>
      </c>
      <c r="G36" t="n">
        <v>1.1</v>
      </c>
      <c r="H36" t="n">
        <v>1</v>
      </c>
      <c r="I36" t="n">
        <v>3</v>
      </c>
      <c r="J36" t="n">
        <v>4</v>
      </c>
      <c r="K36" t="n">
        <v>1</v>
      </c>
      <c r="L36" t="n">
        <v>0</v>
      </c>
      <c r="M36" t="n">
        <v>0</v>
      </c>
      <c r="N36" t="n">
        <v>0</v>
      </c>
      <c r="O36" t="n">
        <v>5</v>
      </c>
      <c r="P36" t="n">
        <v>1</v>
      </c>
      <c r="Q36" t="n">
        <v>9</v>
      </c>
      <c r="R36" s="2" t="inlineStr">
        <is>
          <t>Koppartaggsvamp
Flattoppad klubbsvamp
Gultoppig fingersvamp
Svart taggsvamp
Ullticka
Dropptaggsvamp
Fjällig taggsvamp s.str.
Svavelriska
Blåsippa</t>
        </is>
      </c>
      <c r="S36">
        <f>HYPERLINK("https://klasma.github.io/Logging_2104/artfynd/A 528-2024 artfynd.xlsx", "A 528-2024")</f>
        <v/>
      </c>
      <c r="T36">
        <f>HYPERLINK("https://klasma.github.io/Logging_2104/kartor/A 528-2024 karta.png", "A 528-2024")</f>
        <v/>
      </c>
      <c r="V36">
        <f>HYPERLINK("https://klasma.github.io/Logging_2104/klagomål/A 528-2024 FSC-klagomål.docx", "A 528-2024")</f>
        <v/>
      </c>
      <c r="W36">
        <f>HYPERLINK("https://klasma.github.io/Logging_2104/klagomålsmail/A 528-2024 FSC-klagomål mail.docx", "A 528-2024")</f>
        <v/>
      </c>
      <c r="X36">
        <f>HYPERLINK("https://klasma.github.io/Logging_2104/tillsyn/A 528-2024 tillsynsbegäran.docx", "A 528-2024")</f>
        <v/>
      </c>
      <c r="Y36">
        <f>HYPERLINK("https://klasma.github.io/Logging_2104/tillsynsmail/A 528-2024 tillsynsbegäran mail.docx", "A 528-2024")</f>
        <v/>
      </c>
    </row>
    <row r="37" ht="15" customHeight="1">
      <c r="A37" t="inlineStr">
        <is>
          <t>A 33353-2024</t>
        </is>
      </c>
      <c r="B37" s="1" t="n">
        <v>45519</v>
      </c>
      <c r="C37" s="1" t="n">
        <v>45587</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35045-2024</t>
        </is>
      </c>
      <c r="B38" s="1" t="n">
        <v>45527</v>
      </c>
      <c r="C38" s="1" t="n">
        <v>45587</v>
      </c>
      <c r="D38" t="inlineStr">
        <is>
          <t>GÄVLEBORGS LÄN</t>
        </is>
      </c>
      <c r="E38" t="inlineStr">
        <is>
          <t>LJUSDAL</t>
        </is>
      </c>
      <c r="F38" t="inlineStr">
        <is>
          <t>Bergvik skog väst AB</t>
        </is>
      </c>
      <c r="G38" t="n">
        <v>17.4</v>
      </c>
      <c r="H38" t="n">
        <v>1</v>
      </c>
      <c r="I38" t="n">
        <v>1</v>
      </c>
      <c r="J38" t="n">
        <v>7</v>
      </c>
      <c r="K38" t="n">
        <v>1</v>
      </c>
      <c r="L38" t="n">
        <v>0</v>
      </c>
      <c r="M38" t="n">
        <v>0</v>
      </c>
      <c r="N38" t="n">
        <v>0</v>
      </c>
      <c r="O38" t="n">
        <v>8</v>
      </c>
      <c r="P38" t="n">
        <v>1</v>
      </c>
      <c r="Q38" t="n">
        <v>9</v>
      </c>
      <c r="R38" s="2" t="inlineStr">
        <is>
          <t>Knärot
Blå taggsvamp
Dvärgbägarlav
Garnlav
Kolflarnlav
Svart taggsvamp
Vedflamlav
Vedskivlav
Dropptaggsvamp</t>
        </is>
      </c>
      <c r="S38">
        <f>HYPERLINK("https://klasma.github.io/Logging_2161/artfynd/A 35045-2024 artfynd.xlsx", "A 35045-2024")</f>
        <v/>
      </c>
      <c r="T38">
        <f>HYPERLINK("https://klasma.github.io/Logging_2161/kartor/A 35045-2024 karta.png", "A 35045-2024")</f>
        <v/>
      </c>
      <c r="U38">
        <f>HYPERLINK("https://klasma.github.io/Logging_2161/knärot/A 35045-2024 karta knärot.png", "A 35045-2024")</f>
        <v/>
      </c>
      <c r="V38">
        <f>HYPERLINK("https://klasma.github.io/Logging_2161/klagomål/A 35045-2024 FSC-klagomål.docx", "A 35045-2024")</f>
        <v/>
      </c>
      <c r="W38">
        <f>HYPERLINK("https://klasma.github.io/Logging_2161/klagomålsmail/A 35045-2024 FSC-klagomål mail.docx", "A 35045-2024")</f>
        <v/>
      </c>
      <c r="X38">
        <f>HYPERLINK("https://klasma.github.io/Logging_2161/tillsyn/A 35045-2024 tillsynsbegäran.docx", "A 35045-2024")</f>
        <v/>
      </c>
      <c r="Y38">
        <f>HYPERLINK("https://klasma.github.io/Logging_2161/tillsynsmail/A 35045-2024 tillsynsbegäran mail.docx", "A 35045-2024")</f>
        <v/>
      </c>
    </row>
    <row r="39" ht="15" customHeight="1">
      <c r="A39" t="inlineStr">
        <is>
          <t>A 54447-2019</t>
        </is>
      </c>
      <c r="B39" s="1" t="n">
        <v>43747</v>
      </c>
      <c r="C39" s="1" t="n">
        <v>45587</v>
      </c>
      <c r="D39" t="inlineStr">
        <is>
          <t>GÄVLEBORGS LÄN</t>
        </is>
      </c>
      <c r="E39" t="inlineStr">
        <is>
          <t>HUDIKSVALL</t>
        </is>
      </c>
      <c r="G39" t="n">
        <v>9.300000000000001</v>
      </c>
      <c r="H39" t="n">
        <v>0</v>
      </c>
      <c r="I39" t="n">
        <v>2</v>
      </c>
      <c r="J39" t="n">
        <v>6</v>
      </c>
      <c r="K39" t="n">
        <v>0</v>
      </c>
      <c r="L39" t="n">
        <v>0</v>
      </c>
      <c r="M39" t="n">
        <v>0</v>
      </c>
      <c r="N39" t="n">
        <v>0</v>
      </c>
      <c r="O39" t="n">
        <v>6</v>
      </c>
      <c r="P39" t="n">
        <v>0</v>
      </c>
      <c r="Q39" t="n">
        <v>8</v>
      </c>
      <c r="R39" s="2" t="inlineStr">
        <is>
          <t>Blanksvart spiklav
Doftskinn
Lunglav
Rosenticka
Ullticka
Vitgrynig nållav
Skinnlav
Vedticka</t>
        </is>
      </c>
      <c r="S39">
        <f>HYPERLINK("https://klasma.github.io/Logging_2184/artfynd/A 54447-2019 artfynd.xlsx", "A 54447-2019")</f>
        <v/>
      </c>
      <c r="T39">
        <f>HYPERLINK("https://klasma.github.io/Logging_2184/kartor/A 54447-2019 karta.png", "A 54447-2019")</f>
        <v/>
      </c>
      <c r="V39">
        <f>HYPERLINK("https://klasma.github.io/Logging_2184/klagomål/A 54447-2019 FSC-klagomål.docx", "A 54447-2019")</f>
        <v/>
      </c>
      <c r="W39">
        <f>HYPERLINK("https://klasma.github.io/Logging_2184/klagomålsmail/A 54447-2019 FSC-klagomål mail.docx", "A 54447-2019")</f>
        <v/>
      </c>
      <c r="X39">
        <f>HYPERLINK("https://klasma.github.io/Logging_2184/tillsyn/A 54447-2019 tillsynsbegäran.docx", "A 54447-2019")</f>
        <v/>
      </c>
      <c r="Y39">
        <f>HYPERLINK("https://klasma.github.io/Logging_2184/tillsynsmail/A 54447-2019 tillsynsbegäran mail.docx", "A 54447-2019")</f>
        <v/>
      </c>
    </row>
    <row r="40" ht="15" customHeight="1">
      <c r="A40" t="inlineStr">
        <is>
          <t>A 32433-2020</t>
        </is>
      </c>
      <c r="B40" s="1" t="n">
        <v>44018</v>
      </c>
      <c r="C40" s="1" t="n">
        <v>45587</v>
      </c>
      <c r="D40" t="inlineStr">
        <is>
          <t>GÄVLEBORGS LÄN</t>
        </is>
      </c>
      <c r="E40" t="inlineStr">
        <is>
          <t>HUDIKSVALL</t>
        </is>
      </c>
      <c r="G40" t="n">
        <v>2.7</v>
      </c>
      <c r="H40" t="n">
        <v>2</v>
      </c>
      <c r="I40" t="n">
        <v>1</v>
      </c>
      <c r="J40" t="n">
        <v>5</v>
      </c>
      <c r="K40" t="n">
        <v>0</v>
      </c>
      <c r="L40" t="n">
        <v>0</v>
      </c>
      <c r="M40" t="n">
        <v>0</v>
      </c>
      <c r="N40" t="n">
        <v>0</v>
      </c>
      <c r="O40" t="n">
        <v>5</v>
      </c>
      <c r="P40" t="n">
        <v>0</v>
      </c>
      <c r="Q40" t="n">
        <v>8</v>
      </c>
      <c r="R40" s="2" t="inlineStr">
        <is>
          <t>Garnlav
Kolflarnlav
Lunglav
Vedskivlav
Vedtrappmossa
Vedticka
Kungsfågel
Revlummer</t>
        </is>
      </c>
      <c r="S40">
        <f>HYPERLINK("https://klasma.github.io/Logging_2184/artfynd/A 32433-2020 artfynd.xlsx", "A 32433-2020")</f>
        <v/>
      </c>
      <c r="T40">
        <f>HYPERLINK("https://klasma.github.io/Logging_2184/kartor/A 32433-2020 karta.png", "A 32433-2020")</f>
        <v/>
      </c>
      <c r="V40">
        <f>HYPERLINK("https://klasma.github.io/Logging_2184/klagomål/A 32433-2020 FSC-klagomål.docx", "A 32433-2020")</f>
        <v/>
      </c>
      <c r="W40">
        <f>HYPERLINK("https://klasma.github.io/Logging_2184/klagomålsmail/A 32433-2020 FSC-klagomål mail.docx", "A 32433-2020")</f>
        <v/>
      </c>
      <c r="X40">
        <f>HYPERLINK("https://klasma.github.io/Logging_2184/tillsyn/A 32433-2020 tillsynsbegäran.docx", "A 32433-2020")</f>
        <v/>
      </c>
      <c r="Y40">
        <f>HYPERLINK("https://klasma.github.io/Logging_2184/tillsynsmail/A 32433-2020 tillsynsbegäran mail.docx", "A 32433-2020")</f>
        <v/>
      </c>
      <c r="Z40">
        <f>HYPERLINK("https://klasma.github.io/Logging_2184/fåglar/A 32433-2020 prioriterade fågelarter.docx", "A 32433-2020")</f>
        <v/>
      </c>
    </row>
    <row r="41" ht="15" customHeight="1">
      <c r="A41" t="inlineStr">
        <is>
          <t>A 46692-2020</t>
        </is>
      </c>
      <c r="B41" s="1" t="n">
        <v>44095</v>
      </c>
      <c r="C41" s="1" t="n">
        <v>45587</v>
      </c>
      <c r="D41" t="inlineStr">
        <is>
          <t>GÄVLEBORGS LÄN</t>
        </is>
      </c>
      <c r="E41" t="inlineStr">
        <is>
          <t>BOLLNÄS</t>
        </is>
      </c>
      <c r="F41" t="inlineStr">
        <is>
          <t>Sveaskog</t>
        </is>
      </c>
      <c r="G41" t="n">
        <v>5.8</v>
      </c>
      <c r="H41" t="n">
        <v>2</v>
      </c>
      <c r="I41" t="n">
        <v>0</v>
      </c>
      <c r="J41" t="n">
        <v>6</v>
      </c>
      <c r="K41" t="n">
        <v>2</v>
      </c>
      <c r="L41" t="n">
        <v>0</v>
      </c>
      <c r="M41" t="n">
        <v>0</v>
      </c>
      <c r="N41" t="n">
        <v>0</v>
      </c>
      <c r="O41" t="n">
        <v>8</v>
      </c>
      <c r="P41" t="n">
        <v>2</v>
      </c>
      <c r="Q41" t="n">
        <v>8</v>
      </c>
      <c r="R41" s="2" t="inlineStr">
        <is>
          <t>Knärot
Rynkskinn
Garnlav
Gropig brunbagge
Gränsticka
Rosenticka
Tretåig hackspett
Ullticka</t>
        </is>
      </c>
      <c r="S41">
        <f>HYPERLINK("https://klasma.github.io/Logging_2183/artfynd/A 46692-2020 artfynd.xlsx", "A 46692-2020")</f>
        <v/>
      </c>
      <c r="T41">
        <f>HYPERLINK("https://klasma.github.io/Logging_2183/kartor/A 46692-2020 karta.png", "A 46692-2020")</f>
        <v/>
      </c>
      <c r="U41">
        <f>HYPERLINK("https://klasma.github.io/Logging_2183/knärot/A 46692-2020 karta knärot.png", "A 46692-2020")</f>
        <v/>
      </c>
      <c r="V41">
        <f>HYPERLINK("https://klasma.github.io/Logging_2183/klagomål/A 46692-2020 FSC-klagomål.docx", "A 46692-2020")</f>
        <v/>
      </c>
      <c r="W41">
        <f>HYPERLINK("https://klasma.github.io/Logging_2183/klagomålsmail/A 46692-2020 FSC-klagomål mail.docx", "A 46692-2020")</f>
        <v/>
      </c>
      <c r="X41">
        <f>HYPERLINK("https://klasma.github.io/Logging_2183/tillsyn/A 46692-2020 tillsynsbegäran.docx", "A 46692-2020")</f>
        <v/>
      </c>
      <c r="Y41">
        <f>HYPERLINK("https://klasma.github.io/Logging_2183/tillsynsmail/A 46692-2020 tillsynsbegäran mail.docx", "A 46692-2020")</f>
        <v/>
      </c>
      <c r="Z41">
        <f>HYPERLINK("https://klasma.github.io/Logging_2183/fåglar/A 46692-2020 prioriterade fågelarter.docx", "A 46692-2020")</f>
        <v/>
      </c>
    </row>
    <row r="42" ht="15" customHeight="1">
      <c r="A42" t="inlineStr">
        <is>
          <t>A 69572-2020</t>
        </is>
      </c>
      <c r="B42" s="1" t="n">
        <v>44194</v>
      </c>
      <c r="C42" s="1" t="n">
        <v>45587</v>
      </c>
      <c r="D42" t="inlineStr">
        <is>
          <t>GÄVLEBORGS LÄN</t>
        </is>
      </c>
      <c r="E42" t="inlineStr">
        <is>
          <t>LJUSDAL</t>
        </is>
      </c>
      <c r="G42" t="n">
        <v>16.1</v>
      </c>
      <c r="H42" t="n">
        <v>2</v>
      </c>
      <c r="I42" t="n">
        <v>3</v>
      </c>
      <c r="J42" t="n">
        <v>2</v>
      </c>
      <c r="K42" t="n">
        <v>2</v>
      </c>
      <c r="L42" t="n">
        <v>0</v>
      </c>
      <c r="M42" t="n">
        <v>0</v>
      </c>
      <c r="N42" t="n">
        <v>0</v>
      </c>
      <c r="O42" t="n">
        <v>4</v>
      </c>
      <c r="P42" t="n">
        <v>2</v>
      </c>
      <c r="Q42" t="n">
        <v>8</v>
      </c>
      <c r="R42" s="2" t="inlineStr">
        <is>
          <t>Knärot
Rynkskinn
Garnlav
Rosenticka
Stuplav
Vedticka
Vårärt
Nattviol</t>
        </is>
      </c>
      <c r="S42">
        <f>HYPERLINK("https://klasma.github.io/Logging_2161/artfynd/A 69572-2020 artfynd.xlsx", "A 69572-2020")</f>
        <v/>
      </c>
      <c r="T42">
        <f>HYPERLINK("https://klasma.github.io/Logging_2161/kartor/A 69572-2020 karta.png", "A 69572-2020")</f>
        <v/>
      </c>
      <c r="U42">
        <f>HYPERLINK("https://klasma.github.io/Logging_2161/knärot/A 69572-2020 karta knärot.png", "A 69572-2020")</f>
        <v/>
      </c>
      <c r="V42">
        <f>HYPERLINK("https://klasma.github.io/Logging_2161/klagomål/A 69572-2020 FSC-klagomål.docx", "A 69572-2020")</f>
        <v/>
      </c>
      <c r="W42">
        <f>HYPERLINK("https://klasma.github.io/Logging_2161/klagomålsmail/A 69572-2020 FSC-klagomål mail.docx", "A 69572-2020")</f>
        <v/>
      </c>
      <c r="X42">
        <f>HYPERLINK("https://klasma.github.io/Logging_2161/tillsyn/A 69572-2020 tillsynsbegäran.docx", "A 69572-2020")</f>
        <v/>
      </c>
      <c r="Y42">
        <f>HYPERLINK("https://klasma.github.io/Logging_2161/tillsynsmail/A 69572-2020 tillsynsbegäran mail.docx", "A 69572-2020")</f>
        <v/>
      </c>
    </row>
    <row r="43" ht="15" customHeight="1">
      <c r="A43" t="inlineStr">
        <is>
          <t>A 414-2023</t>
        </is>
      </c>
      <c r="B43" s="1" t="n">
        <v>44929</v>
      </c>
      <c r="C43" s="1" t="n">
        <v>45587</v>
      </c>
      <c r="D43" t="inlineStr">
        <is>
          <t>GÄVLEBORGS LÄN</t>
        </is>
      </c>
      <c r="E43" t="inlineStr">
        <is>
          <t>HUDIKSVALL</t>
        </is>
      </c>
      <c r="F43" t="inlineStr">
        <is>
          <t>Holmen skog AB</t>
        </is>
      </c>
      <c r="G43" t="n">
        <v>0.8</v>
      </c>
      <c r="H43" t="n">
        <v>0</v>
      </c>
      <c r="I43" t="n">
        <v>1</v>
      </c>
      <c r="J43" t="n">
        <v>6</v>
      </c>
      <c r="K43" t="n">
        <v>1</v>
      </c>
      <c r="L43" t="n">
        <v>0</v>
      </c>
      <c r="M43" t="n">
        <v>0</v>
      </c>
      <c r="N43" t="n">
        <v>0</v>
      </c>
      <c r="O43" t="n">
        <v>7</v>
      </c>
      <c r="P43" t="n">
        <v>1</v>
      </c>
      <c r="Q43" t="n">
        <v>8</v>
      </c>
      <c r="R43" s="2" t="inlineStr">
        <is>
          <t>Rynkskinn
Gammelgransskål
Garnlav
Granticka
Rosenticka
Tallticka
Violettgrå tagellav
Trådticka</t>
        </is>
      </c>
      <c r="S43">
        <f>HYPERLINK("https://klasma.github.io/Logging_2184/artfynd/A 414-2023 artfynd.xlsx", "A 414-2023")</f>
        <v/>
      </c>
      <c r="T43">
        <f>HYPERLINK("https://klasma.github.io/Logging_2184/kartor/A 414-2023 karta.png", "A 414-2023")</f>
        <v/>
      </c>
      <c r="V43">
        <f>HYPERLINK("https://klasma.github.io/Logging_2184/klagomål/A 414-2023 FSC-klagomål.docx", "A 414-2023")</f>
        <v/>
      </c>
      <c r="W43">
        <f>HYPERLINK("https://klasma.github.io/Logging_2184/klagomålsmail/A 414-2023 FSC-klagomål mail.docx", "A 414-2023")</f>
        <v/>
      </c>
      <c r="X43">
        <f>HYPERLINK("https://klasma.github.io/Logging_2184/tillsyn/A 414-2023 tillsynsbegäran.docx", "A 414-2023")</f>
        <v/>
      </c>
      <c r="Y43">
        <f>HYPERLINK("https://klasma.github.io/Logging_2184/tillsynsmail/A 414-2023 tillsynsbegäran mail.docx", "A 414-2023")</f>
        <v/>
      </c>
    </row>
    <row r="44" ht="15" customHeight="1">
      <c r="A44" t="inlineStr">
        <is>
          <t>A 27315-2023</t>
        </is>
      </c>
      <c r="B44" s="1" t="n">
        <v>45096</v>
      </c>
      <c r="C44" s="1" t="n">
        <v>45587</v>
      </c>
      <c r="D44" t="inlineStr">
        <is>
          <t>GÄVLEBORGS LÄN</t>
        </is>
      </c>
      <c r="E44" t="inlineStr">
        <is>
          <t>LJUSDAL</t>
        </is>
      </c>
      <c r="G44" t="n">
        <v>10.5</v>
      </c>
      <c r="H44" t="n">
        <v>1</v>
      </c>
      <c r="I44" t="n">
        <v>4</v>
      </c>
      <c r="J44" t="n">
        <v>4</v>
      </c>
      <c r="K44" t="n">
        <v>0</v>
      </c>
      <c r="L44" t="n">
        <v>0</v>
      </c>
      <c r="M44" t="n">
        <v>0</v>
      </c>
      <c r="N44" t="n">
        <v>0</v>
      </c>
      <c r="O44" t="n">
        <v>4</v>
      </c>
      <c r="P44" t="n">
        <v>0</v>
      </c>
      <c r="Q44" t="n">
        <v>8</v>
      </c>
      <c r="R44" s="2" t="inlineStr">
        <is>
          <t>Garnlav
Granticka
Lunglav
Skrovellav
Korallblylav
Mörk husmossa
Spindelblomster
Stuplav</t>
        </is>
      </c>
      <c r="S44">
        <f>HYPERLINK("https://klasma.github.io/Logging_2161/artfynd/A 27315-2023 artfynd.xlsx", "A 27315-2023")</f>
        <v/>
      </c>
      <c r="T44">
        <f>HYPERLINK("https://klasma.github.io/Logging_2161/kartor/A 27315-2023 karta.png", "A 27315-2023")</f>
        <v/>
      </c>
      <c r="V44">
        <f>HYPERLINK("https://klasma.github.io/Logging_2161/klagomål/A 27315-2023 FSC-klagomål.docx", "A 27315-2023")</f>
        <v/>
      </c>
      <c r="W44">
        <f>HYPERLINK("https://klasma.github.io/Logging_2161/klagomålsmail/A 27315-2023 FSC-klagomål mail.docx", "A 27315-2023")</f>
        <v/>
      </c>
      <c r="X44">
        <f>HYPERLINK("https://klasma.github.io/Logging_2161/tillsyn/A 27315-2023 tillsynsbegäran.docx", "A 27315-2023")</f>
        <v/>
      </c>
      <c r="Y44">
        <f>HYPERLINK("https://klasma.github.io/Logging_2161/tillsynsmail/A 27315-2023 tillsynsbegäran mail.docx", "A 27315-2023")</f>
        <v/>
      </c>
    </row>
    <row r="45" ht="15" customHeight="1">
      <c r="A45" t="inlineStr">
        <is>
          <t>A 35138-2023</t>
        </is>
      </c>
      <c r="B45" s="1" t="n">
        <v>45145</v>
      </c>
      <c r="C45" s="1" t="n">
        <v>45587</v>
      </c>
      <c r="D45" t="inlineStr">
        <is>
          <t>GÄVLEBORGS LÄN</t>
        </is>
      </c>
      <c r="E45" t="inlineStr">
        <is>
          <t>HOFORS</t>
        </is>
      </c>
      <c r="G45" t="n">
        <v>6.5</v>
      </c>
      <c r="H45" t="n">
        <v>1</v>
      </c>
      <c r="I45" t="n">
        <v>1</v>
      </c>
      <c r="J45" t="n">
        <v>5</v>
      </c>
      <c r="K45" t="n">
        <v>2</v>
      </c>
      <c r="L45" t="n">
        <v>0</v>
      </c>
      <c r="M45" t="n">
        <v>0</v>
      </c>
      <c r="N45" t="n">
        <v>0</v>
      </c>
      <c r="O45" t="n">
        <v>7</v>
      </c>
      <c r="P45" t="n">
        <v>2</v>
      </c>
      <c r="Q45" t="n">
        <v>8</v>
      </c>
      <c r="R45" s="2" t="inlineStr">
        <is>
          <t>Flikbålmossa
Knärot
Garnlav
Kortskaftad ärgspik
Nordlig nållav
Vedtrappmossa
Violettgrå tagellav
Rostfläck</t>
        </is>
      </c>
      <c r="S45">
        <f>HYPERLINK("https://klasma.github.io/Logging_2104/artfynd/A 35138-2023 artfynd.xlsx", "A 35138-2023")</f>
        <v/>
      </c>
      <c r="T45">
        <f>HYPERLINK("https://klasma.github.io/Logging_2104/kartor/A 35138-2023 karta.png", "A 35138-2023")</f>
        <v/>
      </c>
      <c r="U45">
        <f>HYPERLINK("https://klasma.github.io/Logging_2104/knärot/A 35138-2023 karta knärot.png", "A 35138-2023")</f>
        <v/>
      </c>
      <c r="V45">
        <f>HYPERLINK("https://klasma.github.io/Logging_2104/klagomål/A 35138-2023 FSC-klagomål.docx", "A 35138-2023")</f>
        <v/>
      </c>
      <c r="W45">
        <f>HYPERLINK("https://klasma.github.io/Logging_2104/klagomålsmail/A 35138-2023 FSC-klagomål mail.docx", "A 35138-2023")</f>
        <v/>
      </c>
      <c r="X45">
        <f>HYPERLINK("https://klasma.github.io/Logging_2104/tillsyn/A 35138-2023 tillsynsbegäran.docx", "A 35138-2023")</f>
        <v/>
      </c>
      <c r="Y45">
        <f>HYPERLINK("https://klasma.github.io/Logging_2104/tillsynsmail/A 35138-2023 tillsynsbegäran mail.docx", "A 35138-2023")</f>
        <v/>
      </c>
    </row>
    <row r="46" ht="15" customHeight="1">
      <c r="A46" t="inlineStr">
        <is>
          <t>A 45604-2023</t>
        </is>
      </c>
      <c r="B46" s="1" t="n">
        <v>45194</v>
      </c>
      <c r="C46" s="1" t="n">
        <v>45587</v>
      </c>
      <c r="D46" t="inlineStr">
        <is>
          <t>GÄVLEBORGS LÄN</t>
        </is>
      </c>
      <c r="E46" t="inlineStr">
        <is>
          <t>BOLLNÄS</t>
        </is>
      </c>
      <c r="G46" t="n">
        <v>42.9</v>
      </c>
      <c r="H46" t="n">
        <v>7</v>
      </c>
      <c r="I46" t="n">
        <v>3</v>
      </c>
      <c r="J46" t="n">
        <v>2</v>
      </c>
      <c r="K46" t="n">
        <v>1</v>
      </c>
      <c r="L46" t="n">
        <v>0</v>
      </c>
      <c r="M46" t="n">
        <v>0</v>
      </c>
      <c r="N46" t="n">
        <v>0</v>
      </c>
      <c r="O46" t="n">
        <v>3</v>
      </c>
      <c r="P46" t="n">
        <v>1</v>
      </c>
      <c r="Q46" t="n">
        <v>8</v>
      </c>
      <c r="R46" s="2" t="inlineStr">
        <is>
          <t>Knärot
Tallticka
Tretåig hackspett
Plattlummer
Spindelblomster
Tvåblad
Lavskrika
Fläcknycklar</t>
        </is>
      </c>
      <c r="S46">
        <f>HYPERLINK("https://klasma.github.io/Logging_2183/artfynd/A 45604-2023 artfynd.xlsx", "A 45604-2023")</f>
        <v/>
      </c>
      <c r="T46">
        <f>HYPERLINK("https://klasma.github.io/Logging_2183/kartor/A 45604-2023 karta.png", "A 45604-2023")</f>
        <v/>
      </c>
      <c r="U46">
        <f>HYPERLINK("https://klasma.github.io/Logging_2183/knärot/A 45604-2023 karta knärot.png", "A 45604-2023")</f>
        <v/>
      </c>
      <c r="V46">
        <f>HYPERLINK("https://klasma.github.io/Logging_2183/klagomål/A 45604-2023 FSC-klagomål.docx", "A 45604-2023")</f>
        <v/>
      </c>
      <c r="W46">
        <f>HYPERLINK("https://klasma.github.io/Logging_2183/klagomålsmail/A 45604-2023 FSC-klagomål mail.docx", "A 45604-2023")</f>
        <v/>
      </c>
      <c r="X46">
        <f>HYPERLINK("https://klasma.github.io/Logging_2183/tillsyn/A 45604-2023 tillsynsbegäran.docx", "A 45604-2023")</f>
        <v/>
      </c>
      <c r="Y46">
        <f>HYPERLINK("https://klasma.github.io/Logging_2183/tillsynsmail/A 45604-2023 tillsynsbegäran mail.docx", "A 45604-2023")</f>
        <v/>
      </c>
      <c r="Z46">
        <f>HYPERLINK("https://klasma.github.io/Logging_2183/fåglar/A 45604-2023 prioriterade fågelarter.docx", "A 45604-2023")</f>
        <v/>
      </c>
    </row>
    <row r="47" ht="15" customHeight="1">
      <c r="A47" t="inlineStr">
        <is>
          <t>A 20659-2024</t>
        </is>
      </c>
      <c r="B47" s="1" t="n">
        <v>45436</v>
      </c>
      <c r="C47" s="1" t="n">
        <v>45587</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19211-2020</t>
        </is>
      </c>
      <c r="B48" s="1" t="n">
        <v>43937</v>
      </c>
      <c r="C48" s="1" t="n">
        <v>45587</v>
      </c>
      <c r="D48" t="inlineStr">
        <is>
          <t>GÄVLEBORGS LÄN</t>
        </is>
      </c>
      <c r="E48" t="inlineStr">
        <is>
          <t>HUDIKSVALL</t>
        </is>
      </c>
      <c r="G48" t="n">
        <v>2.4</v>
      </c>
      <c r="H48" t="n">
        <v>0</v>
      </c>
      <c r="I48" t="n">
        <v>2</v>
      </c>
      <c r="J48" t="n">
        <v>5</v>
      </c>
      <c r="K48" t="n">
        <v>0</v>
      </c>
      <c r="L48" t="n">
        <v>0</v>
      </c>
      <c r="M48" t="n">
        <v>0</v>
      </c>
      <c r="N48" t="n">
        <v>0</v>
      </c>
      <c r="O48" t="n">
        <v>5</v>
      </c>
      <c r="P48" t="n">
        <v>0</v>
      </c>
      <c r="Q48" t="n">
        <v>7</v>
      </c>
      <c r="R48" s="2" t="inlineStr">
        <is>
          <t>Garnlav
Mörk kolflarnlav
Orange taggsvamp
Tallticka
Vedskivlav
Dropptaggsvamp
Vedticka</t>
        </is>
      </c>
      <c r="S48">
        <f>HYPERLINK("https://klasma.github.io/Logging_2184/artfynd/A 19211-2020 artfynd.xlsx", "A 19211-2020")</f>
        <v/>
      </c>
      <c r="T48">
        <f>HYPERLINK("https://klasma.github.io/Logging_2184/kartor/A 19211-2020 karta.png", "A 19211-2020")</f>
        <v/>
      </c>
      <c r="V48">
        <f>HYPERLINK("https://klasma.github.io/Logging_2184/klagomål/A 19211-2020 FSC-klagomål.docx", "A 19211-2020")</f>
        <v/>
      </c>
      <c r="W48">
        <f>HYPERLINK("https://klasma.github.io/Logging_2184/klagomålsmail/A 19211-2020 FSC-klagomål mail.docx", "A 19211-2020")</f>
        <v/>
      </c>
      <c r="X48">
        <f>HYPERLINK("https://klasma.github.io/Logging_2184/tillsyn/A 19211-2020 tillsynsbegäran.docx", "A 19211-2020")</f>
        <v/>
      </c>
      <c r="Y48">
        <f>HYPERLINK("https://klasma.github.io/Logging_2184/tillsynsmail/A 19211-2020 tillsynsbegäran mail.docx", "A 19211-2020")</f>
        <v/>
      </c>
    </row>
    <row r="49" ht="15" customHeight="1">
      <c r="A49" t="inlineStr">
        <is>
          <t>A 29705-2021</t>
        </is>
      </c>
      <c r="B49" s="1" t="n">
        <v>44362</v>
      </c>
      <c r="C49" s="1" t="n">
        <v>45587</v>
      </c>
      <c r="D49" t="inlineStr">
        <is>
          <t>GÄVLEBORGS LÄN</t>
        </is>
      </c>
      <c r="E49" t="inlineStr">
        <is>
          <t>HUDIKSVALL</t>
        </is>
      </c>
      <c r="F49" t="inlineStr">
        <is>
          <t>Holmen skog AB</t>
        </is>
      </c>
      <c r="G49" t="n">
        <v>45</v>
      </c>
      <c r="H49" t="n">
        <v>5</v>
      </c>
      <c r="I49" t="n">
        <v>4</v>
      </c>
      <c r="J49" t="n">
        <v>1</v>
      </c>
      <c r="K49" t="n">
        <v>0</v>
      </c>
      <c r="L49" t="n">
        <v>0</v>
      </c>
      <c r="M49" t="n">
        <v>0</v>
      </c>
      <c r="N49" t="n">
        <v>0</v>
      </c>
      <c r="O49" t="n">
        <v>1</v>
      </c>
      <c r="P49" t="n">
        <v>0</v>
      </c>
      <c r="Q49" t="n">
        <v>7</v>
      </c>
      <c r="R49" s="2" t="inlineStr">
        <is>
          <t>Storgröe
Korallrot
Spindelblomster
Tvåblad
Ögonpyrola
Fläcknycklar
Revlummer</t>
        </is>
      </c>
      <c r="S49">
        <f>HYPERLINK("https://klasma.github.io/Logging_2184/artfynd/A 29705-2021 artfynd.xlsx", "A 29705-2021")</f>
        <v/>
      </c>
      <c r="T49">
        <f>HYPERLINK("https://klasma.github.io/Logging_2184/kartor/A 29705-2021 karta.png", "A 29705-2021")</f>
        <v/>
      </c>
      <c r="V49">
        <f>HYPERLINK("https://klasma.github.io/Logging_2184/klagomål/A 29705-2021 FSC-klagomål.docx", "A 29705-2021")</f>
        <v/>
      </c>
      <c r="W49">
        <f>HYPERLINK("https://klasma.github.io/Logging_2184/klagomålsmail/A 29705-2021 FSC-klagomål mail.docx", "A 29705-2021")</f>
        <v/>
      </c>
      <c r="X49">
        <f>HYPERLINK("https://klasma.github.io/Logging_2184/tillsyn/A 29705-2021 tillsynsbegäran.docx", "A 29705-2021")</f>
        <v/>
      </c>
      <c r="Y49">
        <f>HYPERLINK("https://klasma.github.io/Logging_2184/tillsynsmail/A 29705-2021 tillsynsbegäran mail.docx", "A 29705-2021")</f>
        <v/>
      </c>
    </row>
    <row r="50" ht="15" customHeight="1">
      <c r="A50" t="inlineStr">
        <is>
          <t>A 49148-2021</t>
        </is>
      </c>
      <c r="B50" s="1" t="n">
        <v>44453</v>
      </c>
      <c r="C50" s="1" t="n">
        <v>45587</v>
      </c>
      <c r="D50" t="inlineStr">
        <is>
          <t>GÄVLEBORGS LÄN</t>
        </is>
      </c>
      <c r="E50" t="inlineStr">
        <is>
          <t>HUDIKSVALL</t>
        </is>
      </c>
      <c r="G50" t="n">
        <v>6.2</v>
      </c>
      <c r="H50" t="n">
        <v>4</v>
      </c>
      <c r="I50" t="n">
        <v>2</v>
      </c>
      <c r="J50" t="n">
        <v>1</v>
      </c>
      <c r="K50" t="n">
        <v>0</v>
      </c>
      <c r="L50" t="n">
        <v>0</v>
      </c>
      <c r="M50" t="n">
        <v>0</v>
      </c>
      <c r="N50" t="n">
        <v>0</v>
      </c>
      <c r="O50" t="n">
        <v>1</v>
      </c>
      <c r="P50" t="n">
        <v>0</v>
      </c>
      <c r="Q50" t="n">
        <v>7</v>
      </c>
      <c r="R50" s="2" t="inlineStr">
        <is>
          <t>Backruta
Tibast
Ögonpyrola
Brudsporre
Nattviol
Blåsippa
Revlummer</t>
        </is>
      </c>
      <c r="S50">
        <f>HYPERLINK("https://klasma.github.io/Logging_2184/artfynd/A 49148-2021 artfynd.xlsx", "A 49148-2021")</f>
        <v/>
      </c>
      <c r="T50">
        <f>HYPERLINK("https://klasma.github.io/Logging_2184/kartor/A 49148-2021 karta.png", "A 49148-2021")</f>
        <v/>
      </c>
      <c r="V50">
        <f>HYPERLINK("https://klasma.github.io/Logging_2184/klagomål/A 49148-2021 FSC-klagomål.docx", "A 49148-2021")</f>
        <v/>
      </c>
      <c r="W50">
        <f>HYPERLINK("https://klasma.github.io/Logging_2184/klagomålsmail/A 49148-2021 FSC-klagomål mail.docx", "A 49148-2021")</f>
        <v/>
      </c>
      <c r="X50">
        <f>HYPERLINK("https://klasma.github.io/Logging_2184/tillsyn/A 49148-2021 tillsynsbegäran.docx", "A 49148-2021")</f>
        <v/>
      </c>
      <c r="Y50">
        <f>HYPERLINK("https://klasma.github.io/Logging_2184/tillsynsmail/A 49148-2021 tillsynsbegäran mail.docx", "A 49148-2021")</f>
        <v/>
      </c>
    </row>
    <row r="51" ht="15" customHeight="1">
      <c r="A51" t="inlineStr">
        <is>
          <t>A 8671-2022</t>
        </is>
      </c>
      <c r="B51" s="1" t="n">
        <v>44613</v>
      </c>
      <c r="C51" s="1" t="n">
        <v>45587</v>
      </c>
      <c r="D51" t="inlineStr">
        <is>
          <t>GÄVLEBORGS LÄN</t>
        </is>
      </c>
      <c r="E51" t="inlineStr">
        <is>
          <t>HUDIKSVALL</t>
        </is>
      </c>
      <c r="G51" t="n">
        <v>13.7</v>
      </c>
      <c r="H51" t="n">
        <v>0</v>
      </c>
      <c r="I51" t="n">
        <v>2</v>
      </c>
      <c r="J51" t="n">
        <v>3</v>
      </c>
      <c r="K51" t="n">
        <v>2</v>
      </c>
      <c r="L51" t="n">
        <v>0</v>
      </c>
      <c r="M51" t="n">
        <v>0</v>
      </c>
      <c r="N51" t="n">
        <v>0</v>
      </c>
      <c r="O51" t="n">
        <v>5</v>
      </c>
      <c r="P51" t="n">
        <v>2</v>
      </c>
      <c r="Q51" t="n">
        <v>7</v>
      </c>
      <c r="R51" s="2" t="inlineStr">
        <is>
          <t>Aspgelélav
Rynkskinn
Garnlav
Rosenticka
Ullticka
Barkticka
Korallblylav</t>
        </is>
      </c>
      <c r="S51">
        <f>HYPERLINK("https://klasma.github.io/Logging_2184/artfynd/A 8671-2022 artfynd.xlsx", "A 8671-2022")</f>
        <v/>
      </c>
      <c r="T51">
        <f>HYPERLINK("https://klasma.github.io/Logging_2184/kartor/A 8671-2022 karta.png", "A 8671-2022")</f>
        <v/>
      </c>
      <c r="V51">
        <f>HYPERLINK("https://klasma.github.io/Logging_2184/klagomål/A 8671-2022 FSC-klagomål.docx", "A 8671-2022")</f>
        <v/>
      </c>
      <c r="W51">
        <f>HYPERLINK("https://klasma.github.io/Logging_2184/klagomålsmail/A 8671-2022 FSC-klagomål mail.docx", "A 8671-2022")</f>
        <v/>
      </c>
      <c r="X51">
        <f>HYPERLINK("https://klasma.github.io/Logging_2184/tillsyn/A 8671-2022 tillsynsbegäran.docx", "A 8671-2022")</f>
        <v/>
      </c>
      <c r="Y51">
        <f>HYPERLINK("https://klasma.github.io/Logging_2184/tillsynsmail/A 8671-2022 tillsynsbegäran mail.docx", "A 8671-2022")</f>
        <v/>
      </c>
    </row>
    <row r="52" ht="15" customHeight="1">
      <c r="A52" t="inlineStr">
        <is>
          <t>A 31224-2022</t>
        </is>
      </c>
      <c r="B52" s="1" t="n">
        <v>44771</v>
      </c>
      <c r="C52" s="1" t="n">
        <v>45587</v>
      </c>
      <c r="D52" t="inlineStr">
        <is>
          <t>GÄVLEBORGS LÄN</t>
        </is>
      </c>
      <c r="E52" t="inlineStr">
        <is>
          <t>NORDANSTIG</t>
        </is>
      </c>
      <c r="G52" t="n">
        <v>1.2</v>
      </c>
      <c r="H52" t="n">
        <v>1</v>
      </c>
      <c r="I52" t="n">
        <v>1</v>
      </c>
      <c r="J52" t="n">
        <v>3</v>
      </c>
      <c r="K52" t="n">
        <v>3</v>
      </c>
      <c r="L52" t="n">
        <v>0</v>
      </c>
      <c r="M52" t="n">
        <v>0</v>
      </c>
      <c r="N52" t="n">
        <v>0</v>
      </c>
      <c r="O52" t="n">
        <v>6</v>
      </c>
      <c r="P52" t="n">
        <v>3</v>
      </c>
      <c r="Q52" t="n">
        <v>7</v>
      </c>
      <c r="R52" s="2" t="inlineStr">
        <is>
          <t>Bitter taggsvamp
Knärot
Lammticka
Orange taggsvamp
Svart taggsvamp
Talltaggsvamp
Tallfingersvamp</t>
        </is>
      </c>
      <c r="S52">
        <f>HYPERLINK("https://klasma.github.io/Logging_2132/artfynd/A 31224-2022 artfynd.xlsx", "A 31224-2022")</f>
        <v/>
      </c>
      <c r="T52">
        <f>HYPERLINK("https://klasma.github.io/Logging_2132/kartor/A 31224-2022 karta.png", "A 31224-2022")</f>
        <v/>
      </c>
      <c r="U52">
        <f>HYPERLINK("https://klasma.github.io/Logging_2132/knärot/A 31224-2022 karta knärot.png", "A 31224-2022")</f>
        <v/>
      </c>
      <c r="V52">
        <f>HYPERLINK("https://klasma.github.io/Logging_2132/klagomål/A 31224-2022 FSC-klagomål.docx", "A 31224-2022")</f>
        <v/>
      </c>
      <c r="W52">
        <f>HYPERLINK("https://klasma.github.io/Logging_2132/klagomålsmail/A 31224-2022 FSC-klagomål mail.docx", "A 31224-2022")</f>
        <v/>
      </c>
      <c r="X52">
        <f>HYPERLINK("https://klasma.github.io/Logging_2132/tillsyn/A 31224-2022 tillsynsbegäran.docx", "A 31224-2022")</f>
        <v/>
      </c>
      <c r="Y52">
        <f>HYPERLINK("https://klasma.github.io/Logging_2132/tillsynsmail/A 31224-2022 tillsynsbegäran mail.docx", "A 31224-2022")</f>
        <v/>
      </c>
    </row>
    <row r="53" ht="15" customHeight="1">
      <c r="A53" t="inlineStr">
        <is>
          <t>A 51557-2022</t>
        </is>
      </c>
      <c r="B53" s="1" t="n">
        <v>44869</v>
      </c>
      <c r="C53" s="1" t="n">
        <v>45587</v>
      </c>
      <c r="D53" t="inlineStr">
        <is>
          <t>GÄVLEBORGS LÄN</t>
        </is>
      </c>
      <c r="E53" t="inlineStr">
        <is>
          <t>LJUSDAL</t>
        </is>
      </c>
      <c r="F53" t="inlineStr">
        <is>
          <t>SCA</t>
        </is>
      </c>
      <c r="G53" t="n">
        <v>8.300000000000001</v>
      </c>
      <c r="H53" t="n">
        <v>3</v>
      </c>
      <c r="I53" t="n">
        <v>2</v>
      </c>
      <c r="J53" t="n">
        <v>4</v>
      </c>
      <c r="K53" t="n">
        <v>0</v>
      </c>
      <c r="L53" t="n">
        <v>0</v>
      </c>
      <c r="M53" t="n">
        <v>0</v>
      </c>
      <c r="N53" t="n">
        <v>0</v>
      </c>
      <c r="O53" t="n">
        <v>4</v>
      </c>
      <c r="P53" t="n">
        <v>0</v>
      </c>
      <c r="Q53" t="n">
        <v>7</v>
      </c>
      <c r="R53" s="2" t="inlineStr">
        <is>
          <t>Blanksvart spiklav
Garnlav
Kolflarnlav
Mörk kolflarnlav
Korallrot
Plattlummer
Revlummer</t>
        </is>
      </c>
      <c r="S53">
        <f>HYPERLINK("https://klasma.github.io/Logging_2161/artfynd/A 51557-2022 artfynd.xlsx", "A 51557-2022")</f>
        <v/>
      </c>
      <c r="T53">
        <f>HYPERLINK("https://klasma.github.io/Logging_2161/kartor/A 51557-2022 karta.png", "A 51557-2022")</f>
        <v/>
      </c>
      <c r="V53">
        <f>HYPERLINK("https://klasma.github.io/Logging_2161/klagomål/A 51557-2022 FSC-klagomål.docx", "A 51557-2022")</f>
        <v/>
      </c>
      <c r="W53">
        <f>HYPERLINK("https://klasma.github.io/Logging_2161/klagomålsmail/A 51557-2022 FSC-klagomål mail.docx", "A 51557-2022")</f>
        <v/>
      </c>
      <c r="X53">
        <f>HYPERLINK("https://klasma.github.io/Logging_2161/tillsyn/A 51557-2022 tillsynsbegäran.docx", "A 51557-2022")</f>
        <v/>
      </c>
      <c r="Y53">
        <f>HYPERLINK("https://klasma.github.io/Logging_2161/tillsynsmail/A 51557-2022 tillsynsbegäran mail.docx", "A 51557-2022")</f>
        <v/>
      </c>
    </row>
    <row r="54" ht="15" customHeight="1">
      <c r="A54" t="inlineStr">
        <is>
          <t>A 641-2023</t>
        </is>
      </c>
      <c r="B54" s="1" t="n">
        <v>44930</v>
      </c>
      <c r="C54" s="1" t="n">
        <v>45587</v>
      </c>
      <c r="D54" t="inlineStr">
        <is>
          <t>GÄVLEBORGS LÄN</t>
        </is>
      </c>
      <c r="E54" t="inlineStr">
        <is>
          <t>HUDIKSVALL</t>
        </is>
      </c>
      <c r="G54" t="n">
        <v>0.9</v>
      </c>
      <c r="H54" t="n">
        <v>7</v>
      </c>
      <c r="I54" t="n">
        <v>0</v>
      </c>
      <c r="J54" t="n">
        <v>6</v>
      </c>
      <c r="K54" t="n">
        <v>0</v>
      </c>
      <c r="L54" t="n">
        <v>1</v>
      </c>
      <c r="M54" t="n">
        <v>0</v>
      </c>
      <c r="N54" t="n">
        <v>0</v>
      </c>
      <c r="O54" t="n">
        <v>7</v>
      </c>
      <c r="P54" t="n">
        <v>1</v>
      </c>
      <c r="Q54" t="n">
        <v>7</v>
      </c>
      <c r="R54" s="2" t="inlineStr">
        <is>
          <t>Grönfink
Gulsparv
Mindre hackspett
Rödvingetrast
Spillkråka
Svartvit flugsnappare
Talltita</t>
        </is>
      </c>
      <c r="S54">
        <f>HYPERLINK("https://klasma.github.io/Logging_2184/artfynd/A 641-2023 artfynd.xlsx", "A 641-2023")</f>
        <v/>
      </c>
      <c r="T54">
        <f>HYPERLINK("https://klasma.github.io/Logging_2184/kartor/A 641-2023 karta.png", "A 641-2023")</f>
        <v/>
      </c>
      <c r="V54">
        <f>HYPERLINK("https://klasma.github.io/Logging_2184/klagomål/A 641-2023 FSC-klagomål.docx", "A 641-2023")</f>
        <v/>
      </c>
      <c r="W54">
        <f>HYPERLINK("https://klasma.github.io/Logging_2184/klagomålsmail/A 641-2023 FSC-klagomål mail.docx", "A 641-2023")</f>
        <v/>
      </c>
      <c r="X54">
        <f>HYPERLINK("https://klasma.github.io/Logging_2184/tillsyn/A 641-2023 tillsynsbegäran.docx", "A 641-2023")</f>
        <v/>
      </c>
      <c r="Y54">
        <f>HYPERLINK("https://klasma.github.io/Logging_2184/tillsynsmail/A 641-2023 tillsynsbegäran mail.docx", "A 641-2023")</f>
        <v/>
      </c>
      <c r="Z54">
        <f>HYPERLINK("https://klasma.github.io/Logging_2184/fåglar/A 641-2023 prioriterade fågelarter.docx", "A 641-2023")</f>
        <v/>
      </c>
    </row>
    <row r="55" ht="15" customHeight="1">
      <c r="A55" t="inlineStr">
        <is>
          <t>A 35610-2023</t>
        </is>
      </c>
      <c r="B55" s="1" t="n">
        <v>45147</v>
      </c>
      <c r="C55" s="1" t="n">
        <v>45587</v>
      </c>
      <c r="D55" t="inlineStr">
        <is>
          <t>GÄVLEBORGS LÄN</t>
        </is>
      </c>
      <c r="E55" t="inlineStr">
        <is>
          <t>HOFORS</t>
        </is>
      </c>
      <c r="G55" t="n">
        <v>2.8</v>
      </c>
      <c r="H55" t="n">
        <v>2</v>
      </c>
      <c r="I55" t="n">
        <v>3</v>
      </c>
      <c r="J55" t="n">
        <v>2</v>
      </c>
      <c r="K55" t="n">
        <v>1</v>
      </c>
      <c r="L55" t="n">
        <v>0</v>
      </c>
      <c r="M55" t="n">
        <v>0</v>
      </c>
      <c r="N55" t="n">
        <v>0</v>
      </c>
      <c r="O55" t="n">
        <v>3</v>
      </c>
      <c r="P55" t="n">
        <v>1</v>
      </c>
      <c r="Q55" t="n">
        <v>7</v>
      </c>
      <c r="R55" s="2" t="inlineStr">
        <is>
          <t>Knärot
Dofttaggsvamp
Ullticka
Fjällig taggsvamp s.str.
Olivspindling
Skarp dropptaggsvamp
Blåsippa</t>
        </is>
      </c>
      <c r="S55">
        <f>HYPERLINK("https://klasma.github.io/Logging_2104/artfynd/A 35610-2023 artfynd.xlsx", "A 35610-2023")</f>
        <v/>
      </c>
      <c r="T55">
        <f>HYPERLINK("https://klasma.github.io/Logging_2104/kartor/A 35610-2023 karta.png", "A 35610-2023")</f>
        <v/>
      </c>
      <c r="U55">
        <f>HYPERLINK("https://klasma.github.io/Logging_2104/knärot/A 35610-2023 karta knärot.png", "A 35610-2023")</f>
        <v/>
      </c>
      <c r="V55">
        <f>HYPERLINK("https://klasma.github.io/Logging_2104/klagomål/A 35610-2023 FSC-klagomål.docx", "A 35610-2023")</f>
        <v/>
      </c>
      <c r="W55">
        <f>HYPERLINK("https://klasma.github.io/Logging_2104/klagomålsmail/A 35610-2023 FSC-klagomål mail.docx", "A 35610-2023")</f>
        <v/>
      </c>
      <c r="X55">
        <f>HYPERLINK("https://klasma.github.io/Logging_2104/tillsyn/A 35610-2023 tillsynsbegäran.docx", "A 35610-2023")</f>
        <v/>
      </c>
      <c r="Y55">
        <f>HYPERLINK("https://klasma.github.io/Logging_2104/tillsynsmail/A 35610-2023 tillsynsbegäran mail.docx", "A 35610-2023")</f>
        <v/>
      </c>
    </row>
    <row r="56" ht="15" customHeight="1">
      <c r="A56" t="inlineStr">
        <is>
          <t>A 54276-2023</t>
        </is>
      </c>
      <c r="B56" s="1" t="n">
        <v>45232</v>
      </c>
      <c r="C56" s="1" t="n">
        <v>45587</v>
      </c>
      <c r="D56" t="inlineStr">
        <is>
          <t>GÄVLEBORGS LÄN</t>
        </is>
      </c>
      <c r="E56" t="inlineStr">
        <is>
          <t>LJUSDAL</t>
        </is>
      </c>
      <c r="F56" t="inlineStr">
        <is>
          <t>Sveaskog</t>
        </is>
      </c>
      <c r="G56" t="n">
        <v>7.2</v>
      </c>
      <c r="H56" t="n">
        <v>1</v>
      </c>
      <c r="I56" t="n">
        <v>0</v>
      </c>
      <c r="J56" t="n">
        <v>6</v>
      </c>
      <c r="K56" t="n">
        <v>1</v>
      </c>
      <c r="L56" t="n">
        <v>0</v>
      </c>
      <c r="M56" t="n">
        <v>0</v>
      </c>
      <c r="N56" t="n">
        <v>0</v>
      </c>
      <c r="O56" t="n">
        <v>7</v>
      </c>
      <c r="P56" t="n">
        <v>1</v>
      </c>
      <c r="Q56" t="n">
        <v>7</v>
      </c>
      <c r="R56" s="2" t="inlineStr">
        <is>
          <t>Knärot
Alflugsvamp
Garnlav
Kolflarnlav
Lunglav
Skrovellav
Vedflamlav</t>
        </is>
      </c>
      <c r="S56">
        <f>HYPERLINK("https://klasma.github.io/Logging_2161/artfynd/A 54276-2023 artfynd.xlsx", "A 54276-2023")</f>
        <v/>
      </c>
      <c r="T56">
        <f>HYPERLINK("https://klasma.github.io/Logging_2161/kartor/A 54276-2023 karta.png", "A 54276-2023")</f>
        <v/>
      </c>
      <c r="U56">
        <f>HYPERLINK("https://klasma.github.io/Logging_2161/knärot/A 54276-2023 karta knärot.png", "A 54276-2023")</f>
        <v/>
      </c>
      <c r="V56">
        <f>HYPERLINK("https://klasma.github.io/Logging_2161/klagomål/A 54276-2023 FSC-klagomål.docx", "A 54276-2023")</f>
        <v/>
      </c>
      <c r="W56">
        <f>HYPERLINK("https://klasma.github.io/Logging_2161/klagomålsmail/A 54276-2023 FSC-klagomål mail.docx", "A 54276-2023")</f>
        <v/>
      </c>
      <c r="X56">
        <f>HYPERLINK("https://klasma.github.io/Logging_2161/tillsyn/A 54276-2023 tillsynsbegäran.docx", "A 54276-2023")</f>
        <v/>
      </c>
      <c r="Y56">
        <f>HYPERLINK("https://klasma.github.io/Logging_2161/tillsynsmail/A 54276-2023 tillsynsbegäran mail.docx", "A 54276-2023")</f>
        <v/>
      </c>
    </row>
    <row r="57" ht="15" customHeight="1">
      <c r="A57" t="inlineStr">
        <is>
          <t>A 24085-2024</t>
        </is>
      </c>
      <c r="B57" s="1" t="n">
        <v>45456</v>
      </c>
      <c r="C57" s="1" t="n">
        <v>45587</v>
      </c>
      <c r="D57" t="inlineStr">
        <is>
          <t>GÄVLEBORGS LÄN</t>
        </is>
      </c>
      <c r="E57" t="inlineStr">
        <is>
          <t>OVANÅKER</t>
        </is>
      </c>
      <c r="G57" t="n">
        <v>6.6</v>
      </c>
      <c r="H57" t="n">
        <v>6</v>
      </c>
      <c r="I57" t="n">
        <v>4</v>
      </c>
      <c r="J57" t="n">
        <v>0</v>
      </c>
      <c r="K57" t="n">
        <v>0</v>
      </c>
      <c r="L57" t="n">
        <v>0</v>
      </c>
      <c r="M57" t="n">
        <v>0</v>
      </c>
      <c r="N57" t="n">
        <v>0</v>
      </c>
      <c r="O57" t="n">
        <v>0</v>
      </c>
      <c r="P57" t="n">
        <v>0</v>
      </c>
      <c r="Q57" t="n">
        <v>7</v>
      </c>
      <c r="R57" s="2" t="inlineStr">
        <is>
          <t>Gräsull
Korallrot
Spindelblomster
Tvåblad
Fläcknycklar
Lopplummer
Revlummer</t>
        </is>
      </c>
      <c r="S57">
        <f>HYPERLINK("https://klasma.github.io/Logging_2121/artfynd/A 24085-2024 artfynd.xlsx", "A 24085-2024")</f>
        <v/>
      </c>
      <c r="T57">
        <f>HYPERLINK("https://klasma.github.io/Logging_2121/kartor/A 24085-2024 karta.png", "A 24085-2024")</f>
        <v/>
      </c>
      <c r="V57">
        <f>HYPERLINK("https://klasma.github.io/Logging_2121/klagomål/A 24085-2024 FSC-klagomål.docx", "A 24085-2024")</f>
        <v/>
      </c>
      <c r="W57">
        <f>HYPERLINK("https://klasma.github.io/Logging_2121/klagomålsmail/A 24085-2024 FSC-klagomål mail.docx", "A 24085-2024")</f>
        <v/>
      </c>
      <c r="X57">
        <f>HYPERLINK("https://klasma.github.io/Logging_2121/tillsyn/A 24085-2024 tillsynsbegäran.docx", "A 24085-2024")</f>
        <v/>
      </c>
      <c r="Y57">
        <f>HYPERLINK("https://klasma.github.io/Logging_2121/tillsynsmail/A 24085-2024 tillsynsbegäran mail.docx", "A 24085-2024")</f>
        <v/>
      </c>
    </row>
    <row r="58" ht="15" customHeight="1">
      <c r="A58" t="inlineStr">
        <is>
          <t>A 30593-2019</t>
        </is>
      </c>
      <c r="B58" s="1" t="n">
        <v>43635</v>
      </c>
      <c r="C58" s="1" t="n">
        <v>45587</v>
      </c>
      <c r="D58" t="inlineStr">
        <is>
          <t>GÄVLEBORGS LÄN</t>
        </is>
      </c>
      <c r="E58" t="inlineStr">
        <is>
          <t>HOFORS</t>
        </is>
      </c>
      <c r="F58" t="inlineStr">
        <is>
          <t>Sveaskog</t>
        </is>
      </c>
      <c r="G58" t="n">
        <v>4.5</v>
      </c>
      <c r="H58" t="n">
        <v>3</v>
      </c>
      <c r="I58" t="n">
        <v>3</v>
      </c>
      <c r="J58" t="n">
        <v>0</v>
      </c>
      <c r="K58" t="n">
        <v>2</v>
      </c>
      <c r="L58" t="n">
        <v>0</v>
      </c>
      <c r="M58" t="n">
        <v>0</v>
      </c>
      <c r="N58" t="n">
        <v>0</v>
      </c>
      <c r="O58" t="n">
        <v>2</v>
      </c>
      <c r="P58" t="n">
        <v>2</v>
      </c>
      <c r="Q58" t="n">
        <v>6</v>
      </c>
      <c r="R58" s="2" t="inlineStr">
        <is>
          <t>Knärot
Rynkskinn
Nästrot
Svart trolldruva
Tibast
Blåsippa</t>
        </is>
      </c>
      <c r="S58">
        <f>HYPERLINK("https://klasma.github.io/Logging_2104/artfynd/A 30593-2019 artfynd.xlsx", "A 30593-2019")</f>
        <v/>
      </c>
      <c r="T58">
        <f>HYPERLINK("https://klasma.github.io/Logging_2104/kartor/A 30593-2019 karta.png", "A 30593-2019")</f>
        <v/>
      </c>
      <c r="U58">
        <f>HYPERLINK("https://klasma.github.io/Logging_2104/knärot/A 30593-2019 karta knärot.png", "A 30593-2019")</f>
        <v/>
      </c>
      <c r="V58">
        <f>HYPERLINK("https://klasma.github.io/Logging_2104/klagomål/A 30593-2019 FSC-klagomål.docx", "A 30593-2019")</f>
        <v/>
      </c>
      <c r="W58">
        <f>HYPERLINK("https://klasma.github.io/Logging_2104/klagomålsmail/A 30593-2019 FSC-klagomål mail.docx", "A 30593-2019")</f>
        <v/>
      </c>
      <c r="X58">
        <f>HYPERLINK("https://klasma.github.io/Logging_2104/tillsyn/A 30593-2019 tillsynsbegäran.docx", "A 30593-2019")</f>
        <v/>
      </c>
      <c r="Y58">
        <f>HYPERLINK("https://klasma.github.io/Logging_2104/tillsynsmail/A 30593-2019 tillsynsbegäran mail.docx", "A 30593-2019")</f>
        <v/>
      </c>
    </row>
    <row r="59" ht="15" customHeight="1">
      <c r="A59" t="inlineStr">
        <is>
          <t>A 157-2020</t>
        </is>
      </c>
      <c r="B59" s="1" t="n">
        <v>43833</v>
      </c>
      <c r="C59" s="1" t="n">
        <v>45587</v>
      </c>
      <c r="D59" t="inlineStr">
        <is>
          <t>GÄVLEBORGS LÄN</t>
        </is>
      </c>
      <c r="E59" t="inlineStr">
        <is>
          <t>HUDIKSVALL</t>
        </is>
      </c>
      <c r="G59" t="n">
        <v>1.3</v>
      </c>
      <c r="H59" t="n">
        <v>0</v>
      </c>
      <c r="I59" t="n">
        <v>4</v>
      </c>
      <c r="J59" t="n">
        <v>2</v>
      </c>
      <c r="K59" t="n">
        <v>0</v>
      </c>
      <c r="L59" t="n">
        <v>0</v>
      </c>
      <c r="M59" t="n">
        <v>0</v>
      </c>
      <c r="N59" t="n">
        <v>0</v>
      </c>
      <c r="O59" t="n">
        <v>2</v>
      </c>
      <c r="P59" t="n">
        <v>0</v>
      </c>
      <c r="Q59" t="n">
        <v>6</v>
      </c>
      <c r="R59" s="2" t="inlineStr">
        <is>
          <t>Rosenticka
Ullticka
Bronshjon
Kattfotslav
Stor aspticka
Vedticka</t>
        </is>
      </c>
      <c r="S59">
        <f>HYPERLINK("https://klasma.github.io/Logging_2184/artfynd/A 157-2020 artfynd.xlsx", "A 157-2020")</f>
        <v/>
      </c>
      <c r="T59">
        <f>HYPERLINK("https://klasma.github.io/Logging_2184/kartor/A 157-2020 karta.png", "A 157-2020")</f>
        <v/>
      </c>
      <c r="V59">
        <f>HYPERLINK("https://klasma.github.io/Logging_2184/klagomål/A 157-2020 FSC-klagomål.docx", "A 157-2020")</f>
        <v/>
      </c>
      <c r="W59">
        <f>HYPERLINK("https://klasma.github.io/Logging_2184/klagomålsmail/A 157-2020 FSC-klagomål mail.docx", "A 157-2020")</f>
        <v/>
      </c>
      <c r="X59">
        <f>HYPERLINK("https://klasma.github.io/Logging_2184/tillsyn/A 157-2020 tillsynsbegäran.docx", "A 157-2020")</f>
        <v/>
      </c>
      <c r="Y59">
        <f>HYPERLINK("https://klasma.github.io/Logging_2184/tillsynsmail/A 157-2020 tillsynsbegäran mail.docx", "A 157-2020")</f>
        <v/>
      </c>
    </row>
    <row r="60" ht="15" customHeight="1">
      <c r="A60" t="inlineStr">
        <is>
          <t>A 8176-2020</t>
        </is>
      </c>
      <c r="B60" s="1" t="n">
        <v>43874</v>
      </c>
      <c r="C60" s="1" t="n">
        <v>45587</v>
      </c>
      <c r="D60" t="inlineStr">
        <is>
          <t>GÄVLEBORGS LÄN</t>
        </is>
      </c>
      <c r="E60" t="inlineStr">
        <is>
          <t>SÖDERHAMN</t>
        </is>
      </c>
      <c r="G60" t="n">
        <v>1.8</v>
      </c>
      <c r="H60" t="n">
        <v>0</v>
      </c>
      <c r="I60" t="n">
        <v>2</v>
      </c>
      <c r="J60" t="n">
        <v>1</v>
      </c>
      <c r="K60" t="n">
        <v>2</v>
      </c>
      <c r="L60" t="n">
        <v>1</v>
      </c>
      <c r="M60" t="n">
        <v>0</v>
      </c>
      <c r="N60" t="n">
        <v>0</v>
      </c>
      <c r="O60" t="n">
        <v>4</v>
      </c>
      <c r="P60" t="n">
        <v>3</v>
      </c>
      <c r="Q60" t="n">
        <v>6</v>
      </c>
      <c r="R60" s="2" t="inlineStr">
        <is>
          <t>Raggtaggsvamp
Kopparspindling
Tvillingspindling
Motaggsvamp
Kryddspindling
Skarp dropptaggsvamp</t>
        </is>
      </c>
      <c r="S60">
        <f>HYPERLINK("https://klasma.github.io/Logging_2182/artfynd/A 8176-2020 artfynd.xlsx", "A 8176-2020")</f>
        <v/>
      </c>
      <c r="T60">
        <f>HYPERLINK("https://klasma.github.io/Logging_2182/kartor/A 8176-2020 karta.png", "A 8176-2020")</f>
        <v/>
      </c>
      <c r="V60">
        <f>HYPERLINK("https://klasma.github.io/Logging_2182/klagomål/A 8176-2020 FSC-klagomål.docx", "A 8176-2020")</f>
        <v/>
      </c>
      <c r="W60">
        <f>HYPERLINK("https://klasma.github.io/Logging_2182/klagomålsmail/A 8176-2020 FSC-klagomål mail.docx", "A 8176-2020")</f>
        <v/>
      </c>
      <c r="X60">
        <f>HYPERLINK("https://klasma.github.io/Logging_2182/tillsyn/A 8176-2020 tillsynsbegäran.docx", "A 8176-2020")</f>
        <v/>
      </c>
      <c r="Y60">
        <f>HYPERLINK("https://klasma.github.io/Logging_2182/tillsynsmail/A 8176-2020 tillsynsbegäran mail.docx", "A 8176-2020")</f>
        <v/>
      </c>
    </row>
    <row r="61" ht="15" customHeight="1">
      <c r="A61" t="inlineStr">
        <is>
          <t>A 19852-2020</t>
        </is>
      </c>
      <c r="B61" s="1" t="n">
        <v>43942</v>
      </c>
      <c r="C61" s="1" t="n">
        <v>45587</v>
      </c>
      <c r="D61" t="inlineStr">
        <is>
          <t>GÄVLEBORGS LÄN</t>
        </is>
      </c>
      <c r="E61" t="inlineStr">
        <is>
          <t>HUDIKSVALL</t>
        </is>
      </c>
      <c r="F61" t="inlineStr">
        <is>
          <t>Holmen skog AB</t>
        </is>
      </c>
      <c r="G61" t="n">
        <v>6.2</v>
      </c>
      <c r="H61" t="n">
        <v>0</v>
      </c>
      <c r="I61" t="n">
        <v>1</v>
      </c>
      <c r="J61" t="n">
        <v>4</v>
      </c>
      <c r="K61" t="n">
        <v>1</v>
      </c>
      <c r="L61" t="n">
        <v>0</v>
      </c>
      <c r="M61" t="n">
        <v>0</v>
      </c>
      <c r="N61" t="n">
        <v>0</v>
      </c>
      <c r="O61" t="n">
        <v>5</v>
      </c>
      <c r="P61" t="n">
        <v>1</v>
      </c>
      <c r="Q61" t="n">
        <v>6</v>
      </c>
      <c r="R61" s="2" t="inlineStr">
        <is>
          <t>Goliatmusseron
Kolflarnlav
Skrovlig taggsvamp
Vedflamlav
Vedskivlav
Skarp dropptaggsvamp</t>
        </is>
      </c>
      <c r="S61">
        <f>HYPERLINK("https://klasma.github.io/Logging_2184/artfynd/A 19852-2020 artfynd.xlsx", "A 19852-2020")</f>
        <v/>
      </c>
      <c r="T61">
        <f>HYPERLINK("https://klasma.github.io/Logging_2184/kartor/A 19852-2020 karta.png", "A 19852-2020")</f>
        <v/>
      </c>
      <c r="V61">
        <f>HYPERLINK("https://klasma.github.io/Logging_2184/klagomål/A 19852-2020 FSC-klagomål.docx", "A 19852-2020")</f>
        <v/>
      </c>
      <c r="W61">
        <f>HYPERLINK("https://klasma.github.io/Logging_2184/klagomålsmail/A 19852-2020 FSC-klagomål mail.docx", "A 19852-2020")</f>
        <v/>
      </c>
      <c r="X61">
        <f>HYPERLINK("https://klasma.github.io/Logging_2184/tillsyn/A 19852-2020 tillsynsbegäran.docx", "A 19852-2020")</f>
        <v/>
      </c>
      <c r="Y61">
        <f>HYPERLINK("https://klasma.github.io/Logging_2184/tillsynsmail/A 19852-2020 tillsynsbegäran mail.docx", "A 19852-2020")</f>
        <v/>
      </c>
    </row>
    <row r="62" ht="15" customHeight="1">
      <c r="A62" t="inlineStr">
        <is>
          <t>A 55869-2020</t>
        </is>
      </c>
      <c r="B62" s="1" t="n">
        <v>44132</v>
      </c>
      <c r="C62" s="1" t="n">
        <v>45587</v>
      </c>
      <c r="D62" t="inlineStr">
        <is>
          <t>GÄVLEBORGS LÄN</t>
        </is>
      </c>
      <c r="E62" t="inlineStr">
        <is>
          <t>HUDIKSVALL</t>
        </is>
      </c>
      <c r="G62" t="n">
        <v>9.4</v>
      </c>
      <c r="H62" t="n">
        <v>1</v>
      </c>
      <c r="I62" t="n">
        <v>1</v>
      </c>
      <c r="J62" t="n">
        <v>3</v>
      </c>
      <c r="K62" t="n">
        <v>1</v>
      </c>
      <c r="L62" t="n">
        <v>0</v>
      </c>
      <c r="M62" t="n">
        <v>0</v>
      </c>
      <c r="N62" t="n">
        <v>0</v>
      </c>
      <c r="O62" t="n">
        <v>4</v>
      </c>
      <c r="P62" t="n">
        <v>1</v>
      </c>
      <c r="Q62" t="n">
        <v>6</v>
      </c>
      <c r="R62" s="2" t="inlineStr">
        <is>
          <t>Rynkskinn
Garnlav
Granticka
Violettgrå tagellav
Skinnlav
Revlummer</t>
        </is>
      </c>
      <c r="S62">
        <f>HYPERLINK("https://klasma.github.io/Logging_2184/artfynd/A 55869-2020 artfynd.xlsx", "A 55869-2020")</f>
        <v/>
      </c>
      <c r="T62">
        <f>HYPERLINK("https://klasma.github.io/Logging_2184/kartor/A 55869-2020 karta.png", "A 55869-2020")</f>
        <v/>
      </c>
      <c r="V62">
        <f>HYPERLINK("https://klasma.github.io/Logging_2184/klagomål/A 55869-2020 FSC-klagomål.docx", "A 55869-2020")</f>
        <v/>
      </c>
      <c r="W62">
        <f>HYPERLINK("https://klasma.github.io/Logging_2184/klagomålsmail/A 55869-2020 FSC-klagomål mail.docx", "A 55869-2020")</f>
        <v/>
      </c>
      <c r="X62">
        <f>HYPERLINK("https://klasma.github.io/Logging_2184/tillsyn/A 55869-2020 tillsynsbegäran.docx", "A 55869-2020")</f>
        <v/>
      </c>
      <c r="Y62">
        <f>HYPERLINK("https://klasma.github.io/Logging_2184/tillsynsmail/A 55869-2020 tillsynsbegäran mail.docx", "A 55869-2020")</f>
        <v/>
      </c>
    </row>
    <row r="63" ht="15" customHeight="1">
      <c r="A63" t="inlineStr">
        <is>
          <t>A 13800-2021</t>
        </is>
      </c>
      <c r="B63" s="1" t="n">
        <v>44275</v>
      </c>
      <c r="C63" s="1" t="n">
        <v>45587</v>
      </c>
      <c r="D63" t="inlineStr">
        <is>
          <t>GÄVLEBORGS LÄN</t>
        </is>
      </c>
      <c r="E63" t="inlineStr">
        <is>
          <t>SÖDERHAMN</t>
        </is>
      </c>
      <c r="G63" t="n">
        <v>2.1</v>
      </c>
      <c r="H63" t="n">
        <v>0</v>
      </c>
      <c r="I63" t="n">
        <v>4</v>
      </c>
      <c r="J63" t="n">
        <v>1</v>
      </c>
      <c r="K63" t="n">
        <v>1</v>
      </c>
      <c r="L63" t="n">
        <v>0</v>
      </c>
      <c r="M63" t="n">
        <v>0</v>
      </c>
      <c r="N63" t="n">
        <v>0</v>
      </c>
      <c r="O63" t="n">
        <v>2</v>
      </c>
      <c r="P63" t="n">
        <v>1</v>
      </c>
      <c r="Q63" t="n">
        <v>6</v>
      </c>
      <c r="R63" s="2" t="inlineStr">
        <is>
          <t>Aspgelélav
Stiftgelélav
Barkkornlav
Dvärgtufs
Jättesvampmal
Korallblylav</t>
        </is>
      </c>
      <c r="S63">
        <f>HYPERLINK("https://klasma.github.io/Logging_2182/artfynd/A 13800-2021 artfynd.xlsx", "A 13800-2021")</f>
        <v/>
      </c>
      <c r="T63">
        <f>HYPERLINK("https://klasma.github.io/Logging_2182/kartor/A 13800-2021 karta.png", "A 13800-2021")</f>
        <v/>
      </c>
      <c r="V63">
        <f>HYPERLINK("https://klasma.github.io/Logging_2182/klagomål/A 13800-2021 FSC-klagomål.docx", "A 13800-2021")</f>
        <v/>
      </c>
      <c r="W63">
        <f>HYPERLINK("https://klasma.github.io/Logging_2182/klagomålsmail/A 13800-2021 FSC-klagomål mail.docx", "A 13800-2021")</f>
        <v/>
      </c>
      <c r="X63">
        <f>HYPERLINK("https://klasma.github.io/Logging_2182/tillsyn/A 13800-2021 tillsynsbegäran.docx", "A 13800-2021")</f>
        <v/>
      </c>
      <c r="Y63">
        <f>HYPERLINK("https://klasma.github.io/Logging_2182/tillsynsmail/A 13800-2021 tillsynsbegäran mail.docx", "A 13800-2021")</f>
        <v/>
      </c>
    </row>
    <row r="64" ht="15" customHeight="1">
      <c r="A64" t="inlineStr">
        <is>
          <t>A 39526-2021</t>
        </is>
      </c>
      <c r="B64" s="1" t="n">
        <v>44415</v>
      </c>
      <c r="C64" s="1" t="n">
        <v>45587</v>
      </c>
      <c r="D64" t="inlineStr">
        <is>
          <t>GÄVLEBORGS LÄN</t>
        </is>
      </c>
      <c r="E64" t="inlineStr">
        <is>
          <t>HUDIKSVALL</t>
        </is>
      </c>
      <c r="G64" t="n">
        <v>5.5</v>
      </c>
      <c r="H64" t="n">
        <v>4</v>
      </c>
      <c r="I64" t="n">
        <v>1</v>
      </c>
      <c r="J64" t="n">
        <v>1</v>
      </c>
      <c r="K64" t="n">
        <v>2</v>
      </c>
      <c r="L64" t="n">
        <v>0</v>
      </c>
      <c r="M64" t="n">
        <v>0</v>
      </c>
      <c r="N64" t="n">
        <v>0</v>
      </c>
      <c r="O64" t="n">
        <v>3</v>
      </c>
      <c r="P64" t="n">
        <v>2</v>
      </c>
      <c r="Q64" t="n">
        <v>6</v>
      </c>
      <c r="R64" s="2" t="inlineStr">
        <is>
          <t>Knärot
Läderlappslav
Garnlav
Spindelblomster
Nattviol
Revlummer</t>
        </is>
      </c>
      <c r="S64">
        <f>HYPERLINK("https://klasma.github.io/Logging_2184/artfynd/A 39526-2021 artfynd.xlsx", "A 39526-2021")</f>
        <v/>
      </c>
      <c r="T64">
        <f>HYPERLINK("https://klasma.github.io/Logging_2184/kartor/A 39526-2021 karta.png", "A 39526-2021")</f>
        <v/>
      </c>
      <c r="U64">
        <f>HYPERLINK("https://klasma.github.io/Logging_2184/knärot/A 39526-2021 karta knärot.png", "A 39526-2021")</f>
        <v/>
      </c>
      <c r="V64">
        <f>HYPERLINK("https://klasma.github.io/Logging_2184/klagomål/A 39526-2021 FSC-klagomål.docx", "A 39526-2021")</f>
        <v/>
      </c>
      <c r="W64">
        <f>HYPERLINK("https://klasma.github.io/Logging_2184/klagomålsmail/A 39526-2021 FSC-klagomål mail.docx", "A 39526-2021")</f>
        <v/>
      </c>
      <c r="X64">
        <f>HYPERLINK("https://klasma.github.io/Logging_2184/tillsyn/A 39526-2021 tillsynsbegäran.docx", "A 39526-2021")</f>
        <v/>
      </c>
      <c r="Y64">
        <f>HYPERLINK("https://klasma.github.io/Logging_2184/tillsynsmail/A 39526-2021 tillsynsbegäran mail.docx", "A 39526-2021")</f>
        <v/>
      </c>
    </row>
    <row r="65" ht="15" customHeight="1">
      <c r="A65" t="inlineStr">
        <is>
          <t>A 43108-2021</t>
        </is>
      </c>
      <c r="B65" s="1" t="n">
        <v>44431</v>
      </c>
      <c r="C65" s="1" t="n">
        <v>45587</v>
      </c>
      <c r="D65" t="inlineStr">
        <is>
          <t>GÄVLEBORGS LÄN</t>
        </is>
      </c>
      <c r="E65" t="inlineStr">
        <is>
          <t>LJUSDAL</t>
        </is>
      </c>
      <c r="F65" t="inlineStr">
        <is>
          <t>Sveaskog</t>
        </is>
      </c>
      <c r="G65" t="n">
        <v>3.2</v>
      </c>
      <c r="H65" t="n">
        <v>1</v>
      </c>
      <c r="I65" t="n">
        <v>0</v>
      </c>
      <c r="J65" t="n">
        <v>4</v>
      </c>
      <c r="K65" t="n">
        <v>2</v>
      </c>
      <c r="L65" t="n">
        <v>0</v>
      </c>
      <c r="M65" t="n">
        <v>0</v>
      </c>
      <c r="N65" t="n">
        <v>0</v>
      </c>
      <c r="O65" t="n">
        <v>6</v>
      </c>
      <c r="P65" t="n">
        <v>2</v>
      </c>
      <c r="Q65" t="n">
        <v>6</v>
      </c>
      <c r="R65" s="2" t="inlineStr">
        <is>
          <t>Knärot
Rynkskinn
Gammelgransskål
Garnlav
Lunglav
Ullticka</t>
        </is>
      </c>
      <c r="S65">
        <f>HYPERLINK("https://klasma.github.io/Logging_2161/artfynd/A 43108-2021 artfynd.xlsx", "A 43108-2021")</f>
        <v/>
      </c>
      <c r="T65">
        <f>HYPERLINK("https://klasma.github.io/Logging_2161/kartor/A 43108-2021 karta.png", "A 43108-2021")</f>
        <v/>
      </c>
      <c r="U65">
        <f>HYPERLINK("https://klasma.github.io/Logging_2161/knärot/A 43108-2021 karta knärot.png", "A 43108-2021")</f>
        <v/>
      </c>
      <c r="V65">
        <f>HYPERLINK("https://klasma.github.io/Logging_2161/klagomål/A 43108-2021 FSC-klagomål.docx", "A 43108-2021")</f>
        <v/>
      </c>
      <c r="W65">
        <f>HYPERLINK("https://klasma.github.io/Logging_2161/klagomålsmail/A 43108-2021 FSC-klagomål mail.docx", "A 43108-2021")</f>
        <v/>
      </c>
      <c r="X65">
        <f>HYPERLINK("https://klasma.github.io/Logging_2161/tillsyn/A 43108-2021 tillsynsbegäran.docx", "A 43108-2021")</f>
        <v/>
      </c>
      <c r="Y65">
        <f>HYPERLINK("https://klasma.github.io/Logging_2161/tillsynsmail/A 43108-2021 tillsynsbegäran mail.docx", "A 43108-2021")</f>
        <v/>
      </c>
    </row>
    <row r="66" ht="15" customHeight="1">
      <c r="A66" t="inlineStr">
        <is>
          <t>A 59885-2021</t>
        </is>
      </c>
      <c r="B66" s="1" t="n">
        <v>44494</v>
      </c>
      <c r="C66" s="1" t="n">
        <v>45587</v>
      </c>
      <c r="D66" t="inlineStr">
        <is>
          <t>GÄVLEBORGS LÄN</t>
        </is>
      </c>
      <c r="E66" t="inlineStr">
        <is>
          <t>GÄVLE</t>
        </is>
      </c>
      <c r="F66" t="inlineStr">
        <is>
          <t>Bergvik skog väst AB</t>
        </is>
      </c>
      <c r="G66" t="n">
        <v>7.6</v>
      </c>
      <c r="H66" t="n">
        <v>1</v>
      </c>
      <c r="I66" t="n">
        <v>2</v>
      </c>
      <c r="J66" t="n">
        <v>3</v>
      </c>
      <c r="K66" t="n">
        <v>1</v>
      </c>
      <c r="L66" t="n">
        <v>0</v>
      </c>
      <c r="M66" t="n">
        <v>0</v>
      </c>
      <c r="N66" t="n">
        <v>0</v>
      </c>
      <c r="O66" t="n">
        <v>4</v>
      </c>
      <c r="P66" t="n">
        <v>1</v>
      </c>
      <c r="Q66" t="n">
        <v>6</v>
      </c>
      <c r="R66" s="2" t="inlineStr">
        <is>
          <t>Blackticka
Mindre hackspett
Scharlakansvaxskivling
Ullticka
Stor aspticka
Strimspindling</t>
        </is>
      </c>
      <c r="S66">
        <f>HYPERLINK("https://klasma.github.io/Logging_2180/artfynd/A 59885-2021 artfynd.xlsx", "A 59885-2021")</f>
        <v/>
      </c>
      <c r="T66">
        <f>HYPERLINK("https://klasma.github.io/Logging_2180/kartor/A 59885-2021 karta.png", "A 59885-2021")</f>
        <v/>
      </c>
      <c r="V66">
        <f>HYPERLINK("https://klasma.github.io/Logging_2180/klagomål/A 59885-2021 FSC-klagomål.docx", "A 59885-2021")</f>
        <v/>
      </c>
      <c r="W66">
        <f>HYPERLINK("https://klasma.github.io/Logging_2180/klagomålsmail/A 59885-2021 FSC-klagomål mail.docx", "A 59885-2021")</f>
        <v/>
      </c>
      <c r="X66">
        <f>HYPERLINK("https://klasma.github.io/Logging_2180/tillsyn/A 59885-2021 tillsynsbegäran.docx", "A 59885-2021")</f>
        <v/>
      </c>
      <c r="Y66">
        <f>HYPERLINK("https://klasma.github.io/Logging_2180/tillsynsmail/A 59885-2021 tillsynsbegäran mail.docx", "A 59885-2021")</f>
        <v/>
      </c>
      <c r="Z66">
        <f>HYPERLINK("https://klasma.github.io/Logging_2180/fåglar/A 59885-2021 prioriterade fågelarter.docx", "A 59885-2021")</f>
        <v/>
      </c>
    </row>
    <row r="67" ht="15" customHeight="1">
      <c r="A67" t="inlineStr">
        <is>
          <t>A 8966-2022</t>
        </is>
      </c>
      <c r="B67" s="1" t="n">
        <v>44614</v>
      </c>
      <c r="C67" s="1" t="n">
        <v>45587</v>
      </c>
      <c r="D67" t="inlineStr">
        <is>
          <t>GÄVLEBORGS LÄN</t>
        </is>
      </c>
      <c r="E67" t="inlineStr">
        <is>
          <t>HUDIKSVALL</t>
        </is>
      </c>
      <c r="G67" t="n">
        <v>1.4</v>
      </c>
      <c r="H67" t="n">
        <v>0</v>
      </c>
      <c r="I67" t="n">
        <v>3</v>
      </c>
      <c r="J67" t="n">
        <v>3</v>
      </c>
      <c r="K67" t="n">
        <v>0</v>
      </c>
      <c r="L67" t="n">
        <v>0</v>
      </c>
      <c r="M67" t="n">
        <v>0</v>
      </c>
      <c r="N67" t="n">
        <v>0</v>
      </c>
      <c r="O67" t="n">
        <v>3</v>
      </c>
      <c r="P67" t="n">
        <v>0</v>
      </c>
      <c r="Q67" t="n">
        <v>6</v>
      </c>
      <c r="R67" s="2" t="inlineStr">
        <is>
          <t>Garnlav
Ullticka
Violettgrå tagellav
Barkkornlav
Kattfotslav
Mörk husmossa</t>
        </is>
      </c>
      <c r="S67">
        <f>HYPERLINK("https://klasma.github.io/Logging_2184/artfynd/A 8966-2022 artfynd.xlsx", "A 8966-2022")</f>
        <v/>
      </c>
      <c r="T67">
        <f>HYPERLINK("https://klasma.github.io/Logging_2184/kartor/A 8966-2022 karta.png", "A 8966-2022")</f>
        <v/>
      </c>
      <c r="V67">
        <f>HYPERLINK("https://klasma.github.io/Logging_2184/klagomål/A 8966-2022 FSC-klagomål.docx", "A 8966-2022")</f>
        <v/>
      </c>
      <c r="W67">
        <f>HYPERLINK("https://klasma.github.io/Logging_2184/klagomålsmail/A 8966-2022 FSC-klagomål mail.docx", "A 8966-2022")</f>
        <v/>
      </c>
      <c r="X67">
        <f>HYPERLINK("https://klasma.github.io/Logging_2184/tillsyn/A 8966-2022 tillsynsbegäran.docx", "A 8966-2022")</f>
        <v/>
      </c>
      <c r="Y67">
        <f>HYPERLINK("https://klasma.github.io/Logging_2184/tillsynsmail/A 8966-2022 tillsynsbegäran mail.docx", "A 8966-2022")</f>
        <v/>
      </c>
    </row>
    <row r="68" ht="15" customHeight="1">
      <c r="A68" t="inlineStr">
        <is>
          <t>A 18631-2022</t>
        </is>
      </c>
      <c r="B68" s="1" t="n">
        <v>44687</v>
      </c>
      <c r="C68" s="1" t="n">
        <v>45587</v>
      </c>
      <c r="D68" t="inlineStr">
        <is>
          <t>GÄVLEBORGS LÄN</t>
        </is>
      </c>
      <c r="E68" t="inlineStr">
        <is>
          <t>LJUSDAL</t>
        </is>
      </c>
      <c r="F68" t="inlineStr">
        <is>
          <t>Bergvik skog väst AB</t>
        </is>
      </c>
      <c r="G68" t="n">
        <v>10.8</v>
      </c>
      <c r="H68" t="n">
        <v>2</v>
      </c>
      <c r="I68" t="n">
        <v>1</v>
      </c>
      <c r="J68" t="n">
        <v>5</v>
      </c>
      <c r="K68" t="n">
        <v>0</v>
      </c>
      <c r="L68" t="n">
        <v>0</v>
      </c>
      <c r="M68" t="n">
        <v>0</v>
      </c>
      <c r="N68" t="n">
        <v>0</v>
      </c>
      <c r="O68" t="n">
        <v>5</v>
      </c>
      <c r="P68" t="n">
        <v>0</v>
      </c>
      <c r="Q68" t="n">
        <v>6</v>
      </c>
      <c r="R68" s="2" t="inlineStr">
        <is>
          <t>Blanksvart spiklav
Lunglav
Mörk kolflarnlav
Spillkråka
Tretåig hackspett
Rävticka</t>
        </is>
      </c>
      <c r="S68">
        <f>HYPERLINK("https://klasma.github.io/Logging_2161/artfynd/A 18631-2022 artfynd.xlsx", "A 18631-2022")</f>
        <v/>
      </c>
      <c r="T68">
        <f>HYPERLINK("https://klasma.github.io/Logging_2161/kartor/A 18631-2022 karta.png", "A 18631-2022")</f>
        <v/>
      </c>
      <c r="U68">
        <f>HYPERLINK("https://klasma.github.io/Logging_2161/knärot/A 18631-2022 karta knärot.png", "A 18631-2022")</f>
        <v/>
      </c>
      <c r="V68">
        <f>HYPERLINK("https://klasma.github.io/Logging_2161/klagomål/A 18631-2022 FSC-klagomål.docx", "A 18631-2022")</f>
        <v/>
      </c>
      <c r="W68">
        <f>HYPERLINK("https://klasma.github.io/Logging_2161/klagomålsmail/A 18631-2022 FSC-klagomål mail.docx", "A 18631-2022")</f>
        <v/>
      </c>
      <c r="X68">
        <f>HYPERLINK("https://klasma.github.io/Logging_2161/tillsyn/A 18631-2022 tillsynsbegäran.docx", "A 18631-2022")</f>
        <v/>
      </c>
      <c r="Y68">
        <f>HYPERLINK("https://klasma.github.io/Logging_2161/tillsynsmail/A 18631-2022 tillsynsbegäran mail.docx", "A 18631-2022")</f>
        <v/>
      </c>
      <c r="Z68">
        <f>HYPERLINK("https://klasma.github.io/Logging_2161/fåglar/A 18631-2022 prioriterade fågelarter.docx", "A 18631-2022")</f>
        <v/>
      </c>
    </row>
    <row r="69" ht="15" customHeight="1">
      <c r="A69" t="inlineStr">
        <is>
          <t>A 18705-2022</t>
        </is>
      </c>
      <c r="B69" s="1" t="n">
        <v>44687</v>
      </c>
      <c r="C69" s="1" t="n">
        <v>45587</v>
      </c>
      <c r="D69" t="inlineStr">
        <is>
          <t>GÄVLEBORGS LÄN</t>
        </is>
      </c>
      <c r="E69" t="inlineStr">
        <is>
          <t>LJUSDAL</t>
        </is>
      </c>
      <c r="F69" t="inlineStr">
        <is>
          <t>Bergvik skog väst AB</t>
        </is>
      </c>
      <c r="G69" t="n">
        <v>3.3</v>
      </c>
      <c r="H69" t="n">
        <v>2</v>
      </c>
      <c r="I69" t="n">
        <v>2</v>
      </c>
      <c r="J69" t="n">
        <v>3</v>
      </c>
      <c r="K69" t="n">
        <v>1</v>
      </c>
      <c r="L69" t="n">
        <v>0</v>
      </c>
      <c r="M69" t="n">
        <v>0</v>
      </c>
      <c r="N69" t="n">
        <v>0</v>
      </c>
      <c r="O69" t="n">
        <v>4</v>
      </c>
      <c r="P69" t="n">
        <v>1</v>
      </c>
      <c r="Q69" t="n">
        <v>6</v>
      </c>
      <c r="R69" s="2" t="inlineStr">
        <is>
          <t>Doftticka
Garnlav
Lunglav
Tretåig hackspett
Skinnlav
Stuplav</t>
        </is>
      </c>
      <c r="S69">
        <f>HYPERLINK("https://klasma.github.io/Logging_2161/artfynd/A 18705-2022 artfynd.xlsx", "A 18705-2022")</f>
        <v/>
      </c>
      <c r="T69">
        <f>HYPERLINK("https://klasma.github.io/Logging_2161/kartor/A 18705-2022 karta.png", "A 18705-2022")</f>
        <v/>
      </c>
      <c r="U69">
        <f>HYPERLINK("https://klasma.github.io/Logging_2161/knärot/A 18705-2022 karta knärot.png", "A 18705-2022")</f>
        <v/>
      </c>
      <c r="V69">
        <f>HYPERLINK("https://klasma.github.io/Logging_2161/klagomål/A 18705-2022 FSC-klagomål.docx", "A 18705-2022")</f>
        <v/>
      </c>
      <c r="W69">
        <f>HYPERLINK("https://klasma.github.io/Logging_2161/klagomålsmail/A 18705-2022 FSC-klagomål mail.docx", "A 18705-2022")</f>
        <v/>
      </c>
      <c r="X69">
        <f>HYPERLINK("https://klasma.github.io/Logging_2161/tillsyn/A 18705-2022 tillsynsbegäran.docx", "A 18705-2022")</f>
        <v/>
      </c>
      <c r="Y69">
        <f>HYPERLINK("https://klasma.github.io/Logging_2161/tillsynsmail/A 18705-2022 tillsynsbegäran mail.docx", "A 18705-2022")</f>
        <v/>
      </c>
      <c r="Z69">
        <f>HYPERLINK("https://klasma.github.io/Logging_2161/fåglar/A 18705-2022 prioriterade fågelarter.docx", "A 18705-2022")</f>
        <v/>
      </c>
    </row>
    <row r="70" ht="15" customHeight="1">
      <c r="A70" t="inlineStr">
        <is>
          <t>A 20628-2022</t>
        </is>
      </c>
      <c r="B70" s="1" t="n">
        <v>44700</v>
      </c>
      <c r="C70" s="1" t="n">
        <v>45587</v>
      </c>
      <c r="D70" t="inlineStr">
        <is>
          <t>GÄVLEBORGS LÄN</t>
        </is>
      </c>
      <c r="E70" t="inlineStr">
        <is>
          <t>LJUSDAL</t>
        </is>
      </c>
      <c r="F70" t="inlineStr">
        <is>
          <t>Holmen skog AB</t>
        </is>
      </c>
      <c r="G70" t="n">
        <v>6.9</v>
      </c>
      <c r="H70" t="n">
        <v>4</v>
      </c>
      <c r="I70" t="n">
        <v>0</v>
      </c>
      <c r="J70" t="n">
        <v>4</v>
      </c>
      <c r="K70" t="n">
        <v>0</v>
      </c>
      <c r="L70" t="n">
        <v>0</v>
      </c>
      <c r="M70" t="n">
        <v>0</v>
      </c>
      <c r="N70" t="n">
        <v>0</v>
      </c>
      <c r="O70" t="n">
        <v>4</v>
      </c>
      <c r="P70" t="n">
        <v>0</v>
      </c>
      <c r="Q70" t="n">
        <v>6</v>
      </c>
      <c r="R70" s="2" t="inlineStr">
        <is>
          <t>Garnlav
Granticka
Talltita
Tretåig hackspett
Fläcknycklar
Revlummer</t>
        </is>
      </c>
      <c r="S70">
        <f>HYPERLINK("https://klasma.github.io/Logging_2161/artfynd/A 20628-2022 artfynd.xlsx", "A 20628-2022")</f>
        <v/>
      </c>
      <c r="T70">
        <f>HYPERLINK("https://klasma.github.io/Logging_2161/kartor/A 20628-2022 karta.png", "A 20628-2022")</f>
        <v/>
      </c>
      <c r="V70">
        <f>HYPERLINK("https://klasma.github.io/Logging_2161/klagomål/A 20628-2022 FSC-klagomål.docx", "A 20628-2022")</f>
        <v/>
      </c>
      <c r="W70">
        <f>HYPERLINK("https://klasma.github.io/Logging_2161/klagomålsmail/A 20628-2022 FSC-klagomål mail.docx", "A 20628-2022")</f>
        <v/>
      </c>
      <c r="X70">
        <f>HYPERLINK("https://klasma.github.io/Logging_2161/tillsyn/A 20628-2022 tillsynsbegäran.docx", "A 20628-2022")</f>
        <v/>
      </c>
      <c r="Y70">
        <f>HYPERLINK("https://klasma.github.io/Logging_2161/tillsynsmail/A 20628-2022 tillsynsbegäran mail.docx", "A 20628-2022")</f>
        <v/>
      </c>
      <c r="Z70">
        <f>HYPERLINK("https://klasma.github.io/Logging_2161/fåglar/A 20628-2022 prioriterade fågelarter.docx", "A 20628-2022")</f>
        <v/>
      </c>
    </row>
    <row r="71" ht="15" customHeight="1">
      <c r="A71" t="inlineStr">
        <is>
          <t>A 35985-2022</t>
        </is>
      </c>
      <c r="B71" s="1" t="n">
        <v>44802</v>
      </c>
      <c r="C71" s="1" t="n">
        <v>45587</v>
      </c>
      <c r="D71" t="inlineStr">
        <is>
          <t>GÄVLEBORGS LÄN</t>
        </is>
      </c>
      <c r="E71" t="inlineStr">
        <is>
          <t>HUDIKSVALL</t>
        </is>
      </c>
      <c r="F71" t="inlineStr">
        <is>
          <t>Holmen skog AB</t>
        </is>
      </c>
      <c r="G71" t="n">
        <v>9.1</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35985-2022 artfynd.xlsx", "A 35985-2022")</f>
        <v/>
      </c>
      <c r="T71">
        <f>HYPERLINK("https://klasma.github.io/Logging_2184/kartor/A 35985-2022 karta.png", "A 35985-2022")</f>
        <v/>
      </c>
      <c r="V71">
        <f>HYPERLINK("https://klasma.github.io/Logging_2184/klagomål/A 35985-2022 FSC-klagomål.docx", "A 35985-2022")</f>
        <v/>
      </c>
      <c r="W71">
        <f>HYPERLINK("https://klasma.github.io/Logging_2184/klagomålsmail/A 35985-2022 FSC-klagomål mail.docx", "A 35985-2022")</f>
        <v/>
      </c>
      <c r="X71">
        <f>HYPERLINK("https://klasma.github.io/Logging_2184/tillsyn/A 35985-2022 tillsynsbegäran.docx", "A 35985-2022")</f>
        <v/>
      </c>
      <c r="Y71">
        <f>HYPERLINK("https://klasma.github.io/Logging_2184/tillsynsmail/A 35985-2022 tillsynsbegäran mail.docx", "A 35985-2022")</f>
        <v/>
      </c>
    </row>
    <row r="72" ht="15" customHeight="1">
      <c r="A72" t="inlineStr">
        <is>
          <t>A 13749-2023</t>
        </is>
      </c>
      <c r="B72" s="1" t="n">
        <v>45007</v>
      </c>
      <c r="C72" s="1" t="n">
        <v>45587</v>
      </c>
      <c r="D72" t="inlineStr">
        <is>
          <t>GÄVLEBORGS LÄN</t>
        </is>
      </c>
      <c r="E72" t="inlineStr">
        <is>
          <t>HOFORS</t>
        </is>
      </c>
      <c r="F72" t="inlineStr">
        <is>
          <t>Övriga statliga verk och myndigheter</t>
        </is>
      </c>
      <c r="G72" t="n">
        <v>1.5</v>
      </c>
      <c r="H72" t="n">
        <v>1</v>
      </c>
      <c r="I72" t="n">
        <v>3</v>
      </c>
      <c r="J72" t="n">
        <v>2</v>
      </c>
      <c r="K72" t="n">
        <v>0</v>
      </c>
      <c r="L72" t="n">
        <v>0</v>
      </c>
      <c r="M72" t="n">
        <v>0</v>
      </c>
      <c r="N72" t="n">
        <v>0</v>
      </c>
      <c r="O72" t="n">
        <v>2</v>
      </c>
      <c r="P72" t="n">
        <v>0</v>
      </c>
      <c r="Q72" t="n">
        <v>6</v>
      </c>
      <c r="R72" s="2" t="inlineStr">
        <is>
          <t>Flattoppad klubbsvamp
Gultoppig fingersvamp
Fjällig taggsvamp s.str.
Rödgul trumpetsvamp
Svavelriska
Blåsippa</t>
        </is>
      </c>
      <c r="S72">
        <f>HYPERLINK("https://klasma.github.io/Logging_2104/artfynd/A 13749-2023 artfynd.xlsx", "A 13749-2023")</f>
        <v/>
      </c>
      <c r="T72">
        <f>HYPERLINK("https://klasma.github.io/Logging_2104/kartor/A 13749-2023 karta.png", "A 13749-2023")</f>
        <v/>
      </c>
      <c r="V72">
        <f>HYPERLINK("https://klasma.github.io/Logging_2104/klagomål/A 13749-2023 FSC-klagomål.docx", "A 13749-2023")</f>
        <v/>
      </c>
      <c r="W72">
        <f>HYPERLINK("https://klasma.github.io/Logging_2104/klagomålsmail/A 13749-2023 FSC-klagomål mail.docx", "A 13749-2023")</f>
        <v/>
      </c>
      <c r="X72">
        <f>HYPERLINK("https://klasma.github.io/Logging_2104/tillsyn/A 13749-2023 tillsynsbegäran.docx", "A 13749-2023")</f>
        <v/>
      </c>
      <c r="Y72">
        <f>HYPERLINK("https://klasma.github.io/Logging_2104/tillsynsmail/A 13749-2023 tillsynsbegäran mail.docx", "A 13749-2023")</f>
        <v/>
      </c>
    </row>
    <row r="73" ht="15" customHeight="1">
      <c r="A73" t="inlineStr">
        <is>
          <t>A 13740-2023</t>
        </is>
      </c>
      <c r="B73" s="1" t="n">
        <v>45007</v>
      </c>
      <c r="C73" s="1" t="n">
        <v>45587</v>
      </c>
      <c r="D73" t="inlineStr">
        <is>
          <t>GÄVLEBORGS LÄN</t>
        </is>
      </c>
      <c r="E73" t="inlineStr">
        <is>
          <t>HOFORS</t>
        </is>
      </c>
      <c r="F73" t="inlineStr">
        <is>
          <t>Övriga statliga verk och myndigheter</t>
        </is>
      </c>
      <c r="G73" t="n">
        <v>2.7</v>
      </c>
      <c r="H73" t="n">
        <v>3</v>
      </c>
      <c r="I73" t="n">
        <v>1</v>
      </c>
      <c r="J73" t="n">
        <v>4</v>
      </c>
      <c r="K73" t="n">
        <v>1</v>
      </c>
      <c r="L73" t="n">
        <v>0</v>
      </c>
      <c r="M73" t="n">
        <v>0</v>
      </c>
      <c r="N73" t="n">
        <v>0</v>
      </c>
      <c r="O73" t="n">
        <v>5</v>
      </c>
      <c r="P73" t="n">
        <v>1</v>
      </c>
      <c r="Q73" t="n">
        <v>6</v>
      </c>
      <c r="R73" s="2" t="inlineStr">
        <is>
          <t>Knärot
Garnlav
Grönsångare
Spillkråka
Ullticka
Vedticka</t>
        </is>
      </c>
      <c r="S73">
        <f>HYPERLINK("https://klasma.github.io/Logging_2104/artfynd/A 13740-2023 artfynd.xlsx", "A 13740-2023")</f>
        <v/>
      </c>
      <c r="T73">
        <f>HYPERLINK("https://klasma.github.io/Logging_2104/kartor/A 13740-2023 karta.png", "A 13740-2023")</f>
        <v/>
      </c>
      <c r="U73">
        <f>HYPERLINK("https://klasma.github.io/Logging_2104/knärot/A 13740-2023 karta knärot.png", "A 13740-2023")</f>
        <v/>
      </c>
      <c r="V73">
        <f>HYPERLINK("https://klasma.github.io/Logging_2104/klagomål/A 13740-2023 FSC-klagomål.docx", "A 13740-2023")</f>
        <v/>
      </c>
      <c r="W73">
        <f>HYPERLINK("https://klasma.github.io/Logging_2104/klagomålsmail/A 13740-2023 FSC-klagomål mail.docx", "A 13740-2023")</f>
        <v/>
      </c>
      <c r="X73">
        <f>HYPERLINK("https://klasma.github.io/Logging_2104/tillsyn/A 13740-2023 tillsynsbegäran.docx", "A 13740-2023")</f>
        <v/>
      </c>
      <c r="Y73">
        <f>HYPERLINK("https://klasma.github.io/Logging_2104/tillsynsmail/A 13740-2023 tillsynsbegäran mail.docx", "A 13740-2023")</f>
        <v/>
      </c>
      <c r="Z73">
        <f>HYPERLINK("https://klasma.github.io/Logging_2104/fåglar/A 13740-2023 prioriterade fågelarter.docx", "A 13740-2023")</f>
        <v/>
      </c>
    </row>
    <row r="74" ht="15" customHeight="1">
      <c r="A74" t="inlineStr">
        <is>
          <t>A 14601-2023</t>
        </is>
      </c>
      <c r="B74" s="1" t="n">
        <v>45013</v>
      </c>
      <c r="C74" s="1" t="n">
        <v>45587</v>
      </c>
      <c r="D74" t="inlineStr">
        <is>
          <t>GÄVLEBORGS LÄN</t>
        </is>
      </c>
      <c r="E74" t="inlineStr">
        <is>
          <t>GÄVLE</t>
        </is>
      </c>
      <c r="F74" t="inlineStr">
        <is>
          <t>Bergvik skog öst AB</t>
        </is>
      </c>
      <c r="G74" t="n">
        <v>8.199999999999999</v>
      </c>
      <c r="H74" t="n">
        <v>4</v>
      </c>
      <c r="I74" t="n">
        <v>3</v>
      </c>
      <c r="J74" t="n">
        <v>0</v>
      </c>
      <c r="K74" t="n">
        <v>0</v>
      </c>
      <c r="L74" t="n">
        <v>0</v>
      </c>
      <c r="M74" t="n">
        <v>0</v>
      </c>
      <c r="N74" t="n">
        <v>0</v>
      </c>
      <c r="O74" t="n">
        <v>0</v>
      </c>
      <c r="P74" t="n">
        <v>0</v>
      </c>
      <c r="Q74" t="n">
        <v>6</v>
      </c>
      <c r="R74" s="2" t="inlineStr">
        <is>
          <t>Tibast
Tvåblad
Vårärt
Fläcknycklar
Blåsippa
Revlummer</t>
        </is>
      </c>
      <c r="S74">
        <f>HYPERLINK("https://klasma.github.io/Logging_2180/artfynd/A 14601-2023 artfynd.xlsx", "A 14601-2023")</f>
        <v/>
      </c>
      <c r="T74">
        <f>HYPERLINK("https://klasma.github.io/Logging_2180/kartor/A 14601-2023 karta.png", "A 14601-2023")</f>
        <v/>
      </c>
      <c r="V74">
        <f>HYPERLINK("https://klasma.github.io/Logging_2180/klagomål/A 14601-2023 FSC-klagomål.docx", "A 14601-2023")</f>
        <v/>
      </c>
      <c r="W74">
        <f>HYPERLINK("https://klasma.github.io/Logging_2180/klagomålsmail/A 14601-2023 FSC-klagomål mail.docx", "A 14601-2023")</f>
        <v/>
      </c>
      <c r="X74">
        <f>HYPERLINK("https://klasma.github.io/Logging_2180/tillsyn/A 14601-2023 tillsynsbegäran.docx", "A 14601-2023")</f>
        <v/>
      </c>
      <c r="Y74">
        <f>HYPERLINK("https://klasma.github.io/Logging_2180/tillsynsmail/A 14601-2023 tillsynsbegäran mail.docx", "A 14601-2023")</f>
        <v/>
      </c>
    </row>
    <row r="75" ht="15" customHeight="1">
      <c r="A75" t="inlineStr">
        <is>
          <t>A 18274-2023</t>
        </is>
      </c>
      <c r="B75" s="1" t="n">
        <v>45041</v>
      </c>
      <c r="C75" s="1" t="n">
        <v>45587</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50403-2023</t>
        </is>
      </c>
      <c r="B76" s="1" t="n">
        <v>45216</v>
      </c>
      <c r="C76" s="1" t="n">
        <v>45587</v>
      </c>
      <c r="D76" t="inlineStr">
        <is>
          <t>GÄVLEBORGS LÄN</t>
        </is>
      </c>
      <c r="E76" t="inlineStr">
        <is>
          <t>HUDIKSVALL</t>
        </is>
      </c>
      <c r="G76" t="n">
        <v>5.1</v>
      </c>
      <c r="H76" t="n">
        <v>3</v>
      </c>
      <c r="I76" t="n">
        <v>4</v>
      </c>
      <c r="J76" t="n">
        <v>0</v>
      </c>
      <c r="K76" t="n">
        <v>0</v>
      </c>
      <c r="L76" t="n">
        <v>0</v>
      </c>
      <c r="M76" t="n">
        <v>0</v>
      </c>
      <c r="N76" t="n">
        <v>0</v>
      </c>
      <c r="O76" t="n">
        <v>0</v>
      </c>
      <c r="P76" t="n">
        <v>0</v>
      </c>
      <c r="Q76" t="n">
        <v>6</v>
      </c>
      <c r="R76" s="2" t="inlineStr">
        <is>
          <t>Korallrot
Kransrams
Spädstarr
Tibast
Fläcknycklar
Revlummer</t>
        </is>
      </c>
      <c r="S76">
        <f>HYPERLINK("https://klasma.github.io/Logging_2184/artfynd/A 50403-2023 artfynd.xlsx", "A 50403-2023")</f>
        <v/>
      </c>
      <c r="T76">
        <f>HYPERLINK("https://klasma.github.io/Logging_2184/kartor/A 50403-2023 karta.png", "A 50403-2023")</f>
        <v/>
      </c>
      <c r="V76">
        <f>HYPERLINK("https://klasma.github.io/Logging_2184/klagomål/A 50403-2023 FSC-klagomål.docx", "A 50403-2023")</f>
        <v/>
      </c>
      <c r="W76">
        <f>HYPERLINK("https://klasma.github.io/Logging_2184/klagomålsmail/A 50403-2023 FSC-klagomål mail.docx", "A 50403-2023")</f>
        <v/>
      </c>
      <c r="X76">
        <f>HYPERLINK("https://klasma.github.io/Logging_2184/tillsyn/A 50403-2023 tillsynsbegäran.docx", "A 50403-2023")</f>
        <v/>
      </c>
      <c r="Y76">
        <f>HYPERLINK("https://klasma.github.io/Logging_2184/tillsynsmail/A 50403-2023 tillsynsbegäran mail.docx", "A 50403-2023")</f>
        <v/>
      </c>
    </row>
    <row r="77" ht="15" customHeight="1">
      <c r="A77" t="inlineStr">
        <is>
          <t>A 63252-2023</t>
        </is>
      </c>
      <c r="B77" s="1" t="n">
        <v>45273</v>
      </c>
      <c r="C77" s="1" t="n">
        <v>45587</v>
      </c>
      <c r="D77" t="inlineStr">
        <is>
          <t>GÄVLEBORGS LÄN</t>
        </is>
      </c>
      <c r="E77" t="inlineStr">
        <is>
          <t>LJUSDAL</t>
        </is>
      </c>
      <c r="G77" t="n">
        <v>17.1</v>
      </c>
      <c r="H77" t="n">
        <v>0</v>
      </c>
      <c r="I77" t="n">
        <v>2</v>
      </c>
      <c r="J77" t="n">
        <v>4</v>
      </c>
      <c r="K77" t="n">
        <v>0</v>
      </c>
      <c r="L77" t="n">
        <v>0</v>
      </c>
      <c r="M77" t="n">
        <v>0</v>
      </c>
      <c r="N77" t="n">
        <v>0</v>
      </c>
      <c r="O77" t="n">
        <v>4</v>
      </c>
      <c r="P77" t="n">
        <v>0</v>
      </c>
      <c r="Q77" t="n">
        <v>6</v>
      </c>
      <c r="R77" s="2" t="inlineStr">
        <is>
          <t>Garnlav
Lunglav
Motaggsvamp
Tallticka
Dropptaggsvamp
Skarp dropptaggsvamp</t>
        </is>
      </c>
      <c r="S77">
        <f>HYPERLINK("https://klasma.github.io/Logging_2161/artfynd/A 63252-2023 artfynd.xlsx", "A 63252-2023")</f>
        <v/>
      </c>
      <c r="T77">
        <f>HYPERLINK("https://klasma.github.io/Logging_2161/kartor/A 63252-2023 karta.png", "A 63252-2023")</f>
        <v/>
      </c>
      <c r="V77">
        <f>HYPERLINK("https://klasma.github.io/Logging_2161/klagomål/A 63252-2023 FSC-klagomål.docx", "A 63252-2023")</f>
        <v/>
      </c>
      <c r="W77">
        <f>HYPERLINK("https://klasma.github.io/Logging_2161/klagomålsmail/A 63252-2023 FSC-klagomål mail.docx", "A 63252-2023")</f>
        <v/>
      </c>
      <c r="X77">
        <f>HYPERLINK("https://klasma.github.io/Logging_2161/tillsyn/A 63252-2023 tillsynsbegäran.docx", "A 63252-2023")</f>
        <v/>
      </c>
      <c r="Y77">
        <f>HYPERLINK("https://klasma.github.io/Logging_2161/tillsynsmail/A 63252-2023 tillsynsbegäran mail.docx", "A 63252-2023")</f>
        <v/>
      </c>
    </row>
    <row r="78" ht="15" customHeight="1">
      <c r="A78" t="inlineStr">
        <is>
          <t>A 8504-2024</t>
        </is>
      </c>
      <c r="B78" s="1" t="n">
        <v>45355</v>
      </c>
      <c r="C78" s="1" t="n">
        <v>45587</v>
      </c>
      <c r="D78" t="inlineStr">
        <is>
          <t>GÄVLEBORGS LÄN</t>
        </is>
      </c>
      <c r="E78" t="inlineStr">
        <is>
          <t>HUDIKSVALL</t>
        </is>
      </c>
      <c r="G78" t="n">
        <v>13.3</v>
      </c>
      <c r="H78" t="n">
        <v>0</v>
      </c>
      <c r="I78" t="n">
        <v>1</v>
      </c>
      <c r="J78" t="n">
        <v>5</v>
      </c>
      <c r="K78" t="n">
        <v>0</v>
      </c>
      <c r="L78" t="n">
        <v>0</v>
      </c>
      <c r="M78" t="n">
        <v>0</v>
      </c>
      <c r="N78" t="n">
        <v>0</v>
      </c>
      <c r="O78" t="n">
        <v>5</v>
      </c>
      <c r="P78" t="n">
        <v>0</v>
      </c>
      <c r="Q78" t="n">
        <v>6</v>
      </c>
      <c r="R78" s="2" t="inlineStr">
        <is>
          <t>Garnlav
Mörk kolflarnlav
Reliktbock
Vedflamlav
Vedskivlav
Mindre märgborre</t>
        </is>
      </c>
      <c r="S78">
        <f>HYPERLINK("https://klasma.github.io/Logging_2184/artfynd/A 8504-2024 artfynd.xlsx", "A 8504-2024")</f>
        <v/>
      </c>
      <c r="T78">
        <f>HYPERLINK("https://klasma.github.io/Logging_2184/kartor/A 8504-2024 karta.png", "A 8504-2024")</f>
        <v/>
      </c>
      <c r="V78">
        <f>HYPERLINK("https://klasma.github.io/Logging_2184/klagomål/A 8504-2024 FSC-klagomål.docx", "A 8504-2024")</f>
        <v/>
      </c>
      <c r="W78">
        <f>HYPERLINK("https://klasma.github.io/Logging_2184/klagomålsmail/A 8504-2024 FSC-klagomål mail.docx", "A 8504-2024")</f>
        <v/>
      </c>
      <c r="X78">
        <f>HYPERLINK("https://klasma.github.io/Logging_2184/tillsyn/A 8504-2024 tillsynsbegäran.docx", "A 8504-2024")</f>
        <v/>
      </c>
      <c r="Y78">
        <f>HYPERLINK("https://klasma.github.io/Logging_2184/tillsynsmail/A 8504-2024 tillsynsbegäran mail.docx", "A 8504-2024")</f>
        <v/>
      </c>
    </row>
    <row r="79" ht="15" customHeight="1">
      <c r="A79" t="inlineStr">
        <is>
          <t>A 25147-2024</t>
        </is>
      </c>
      <c r="B79" s="1" t="n">
        <v>45462</v>
      </c>
      <c r="C79" s="1" t="n">
        <v>45587</v>
      </c>
      <c r="D79" t="inlineStr">
        <is>
          <t>GÄVLEBORGS LÄN</t>
        </is>
      </c>
      <c r="E79" t="inlineStr">
        <is>
          <t>NORDANSTIG</t>
        </is>
      </c>
      <c r="F79" t="inlineStr">
        <is>
          <t>Holmen skog AB</t>
        </is>
      </c>
      <c r="G79" t="n">
        <v>24.2</v>
      </c>
      <c r="H79" t="n">
        <v>3</v>
      </c>
      <c r="I79" t="n">
        <v>3</v>
      </c>
      <c r="J79" t="n">
        <v>1</v>
      </c>
      <c r="K79" t="n">
        <v>0</v>
      </c>
      <c r="L79" t="n">
        <v>0</v>
      </c>
      <c r="M79" t="n">
        <v>0</v>
      </c>
      <c r="N79" t="n">
        <v>0</v>
      </c>
      <c r="O79" t="n">
        <v>1</v>
      </c>
      <c r="P79" t="n">
        <v>0</v>
      </c>
      <c r="Q79" t="n">
        <v>6</v>
      </c>
      <c r="R79" s="2" t="inlineStr">
        <is>
          <t>Lunglav
Korallrot
Stuplav
Ögonpyrola
Fläcknycklar
Revlummer</t>
        </is>
      </c>
      <c r="S79">
        <f>HYPERLINK("https://klasma.github.io/Logging_2132/artfynd/A 25147-2024 artfynd.xlsx", "A 25147-2024")</f>
        <v/>
      </c>
      <c r="T79">
        <f>HYPERLINK("https://klasma.github.io/Logging_2132/kartor/A 25147-2024 karta.png", "A 25147-2024")</f>
        <v/>
      </c>
      <c r="V79">
        <f>HYPERLINK("https://klasma.github.io/Logging_2132/klagomål/A 25147-2024 FSC-klagomål.docx", "A 25147-2024")</f>
        <v/>
      </c>
      <c r="W79">
        <f>HYPERLINK("https://klasma.github.io/Logging_2132/klagomålsmail/A 25147-2024 FSC-klagomål mail.docx", "A 25147-2024")</f>
        <v/>
      </c>
      <c r="X79">
        <f>HYPERLINK("https://klasma.github.io/Logging_2132/tillsyn/A 25147-2024 tillsynsbegäran.docx", "A 25147-2024")</f>
        <v/>
      </c>
      <c r="Y79">
        <f>HYPERLINK("https://klasma.github.io/Logging_2132/tillsynsmail/A 25147-2024 tillsynsbegäran mail.docx", "A 25147-2024")</f>
        <v/>
      </c>
    </row>
    <row r="80" ht="15" customHeight="1">
      <c r="A80" t="inlineStr">
        <is>
          <t>A 28217-2024</t>
        </is>
      </c>
      <c r="B80" s="1" t="n">
        <v>45477</v>
      </c>
      <c r="C80" s="1" t="n">
        <v>45587</v>
      </c>
      <c r="D80" t="inlineStr">
        <is>
          <t>GÄVLEBORGS LÄN</t>
        </is>
      </c>
      <c r="E80" t="inlineStr">
        <is>
          <t>LJUSDAL</t>
        </is>
      </c>
      <c r="F80" t="inlineStr">
        <is>
          <t>Allmännings- och besparingsskogar</t>
        </is>
      </c>
      <c r="G80" t="n">
        <v>10.2</v>
      </c>
      <c r="H80" t="n">
        <v>0</v>
      </c>
      <c r="I80" t="n">
        <v>2</v>
      </c>
      <c r="J80" t="n">
        <v>4</v>
      </c>
      <c r="K80" t="n">
        <v>0</v>
      </c>
      <c r="L80" t="n">
        <v>0</v>
      </c>
      <c r="M80" t="n">
        <v>0</v>
      </c>
      <c r="N80" t="n">
        <v>0</v>
      </c>
      <c r="O80" t="n">
        <v>4</v>
      </c>
      <c r="P80" t="n">
        <v>0</v>
      </c>
      <c r="Q80" t="n">
        <v>6</v>
      </c>
      <c r="R80" s="2" t="inlineStr">
        <is>
          <t>Garnlav
Kolflarnlav
Lunglav
Mörk kolflarnlav
Korallblylav
Mindre märgborre</t>
        </is>
      </c>
      <c r="S80">
        <f>HYPERLINK("https://klasma.github.io/Logging_2161/artfynd/A 28217-2024 artfynd.xlsx", "A 28217-2024")</f>
        <v/>
      </c>
      <c r="T80">
        <f>HYPERLINK("https://klasma.github.io/Logging_2161/kartor/A 28217-2024 karta.png", "A 28217-2024")</f>
        <v/>
      </c>
      <c r="V80">
        <f>HYPERLINK("https://klasma.github.io/Logging_2161/klagomål/A 28217-2024 FSC-klagomål.docx", "A 28217-2024")</f>
        <v/>
      </c>
      <c r="W80">
        <f>HYPERLINK("https://klasma.github.io/Logging_2161/klagomålsmail/A 28217-2024 FSC-klagomål mail.docx", "A 28217-2024")</f>
        <v/>
      </c>
      <c r="X80">
        <f>HYPERLINK("https://klasma.github.io/Logging_2161/tillsyn/A 28217-2024 tillsynsbegäran.docx", "A 28217-2024")</f>
        <v/>
      </c>
      <c r="Y80">
        <f>HYPERLINK("https://klasma.github.io/Logging_2161/tillsynsmail/A 28217-2024 tillsynsbegäran mail.docx", "A 28217-2024")</f>
        <v/>
      </c>
    </row>
    <row r="81" ht="15" customHeight="1">
      <c r="A81" t="inlineStr">
        <is>
          <t>A 38086-2024</t>
        </is>
      </c>
      <c r="B81" s="1" t="n">
        <v>45545</v>
      </c>
      <c r="C81" s="1" t="n">
        <v>45587</v>
      </c>
      <c r="D81" t="inlineStr">
        <is>
          <t>GÄVLEBORGS LÄN</t>
        </is>
      </c>
      <c r="E81" t="inlineStr">
        <is>
          <t>OCKELBO</t>
        </is>
      </c>
      <c r="F81" t="inlineStr">
        <is>
          <t>Bergvik skog väst AB</t>
        </is>
      </c>
      <c r="G81" t="n">
        <v>17.2</v>
      </c>
      <c r="H81" t="n">
        <v>1</v>
      </c>
      <c r="I81" t="n">
        <v>1</v>
      </c>
      <c r="J81" t="n">
        <v>4</v>
      </c>
      <c r="K81" t="n">
        <v>0</v>
      </c>
      <c r="L81" t="n">
        <v>0</v>
      </c>
      <c r="M81" t="n">
        <v>0</v>
      </c>
      <c r="N81" t="n">
        <v>0</v>
      </c>
      <c r="O81" t="n">
        <v>4</v>
      </c>
      <c r="P81" t="n">
        <v>0</v>
      </c>
      <c r="Q81" t="n">
        <v>6</v>
      </c>
      <c r="R81" s="2" t="inlineStr">
        <is>
          <t>Blå taggsvamp
Skrovlig taggsvamp
Svartvit taggsvamp
Tallriska
Dropptaggsvamp
Revlummer</t>
        </is>
      </c>
      <c r="S81">
        <f>HYPERLINK("https://klasma.github.io/Logging_2101/artfynd/A 38086-2024 artfynd.xlsx", "A 38086-2024")</f>
        <v/>
      </c>
      <c r="T81">
        <f>HYPERLINK("https://klasma.github.io/Logging_2101/kartor/A 38086-2024 karta.png", "A 38086-2024")</f>
        <v/>
      </c>
      <c r="V81">
        <f>HYPERLINK("https://klasma.github.io/Logging_2101/klagomål/A 38086-2024 FSC-klagomål.docx", "A 38086-2024")</f>
        <v/>
      </c>
      <c r="W81">
        <f>HYPERLINK("https://klasma.github.io/Logging_2101/klagomålsmail/A 38086-2024 FSC-klagomål mail.docx", "A 38086-2024")</f>
        <v/>
      </c>
      <c r="X81">
        <f>HYPERLINK("https://klasma.github.io/Logging_2101/tillsyn/A 38086-2024 tillsynsbegäran.docx", "A 38086-2024")</f>
        <v/>
      </c>
      <c r="Y81">
        <f>HYPERLINK("https://klasma.github.io/Logging_2101/tillsynsmail/A 38086-2024 tillsynsbegäran mail.docx", "A 38086-2024")</f>
        <v/>
      </c>
    </row>
    <row r="82" ht="15" customHeight="1">
      <c r="A82" t="inlineStr">
        <is>
          <t>A 22996-2019</t>
        </is>
      </c>
      <c r="B82" s="1" t="n">
        <v>43591</v>
      </c>
      <c r="C82" s="1" t="n">
        <v>45587</v>
      </c>
      <c r="D82" t="inlineStr">
        <is>
          <t>GÄVLEBORGS LÄN</t>
        </is>
      </c>
      <c r="E82" t="inlineStr">
        <is>
          <t>NORDANSTIG</t>
        </is>
      </c>
      <c r="G82" t="n">
        <v>11.1</v>
      </c>
      <c r="H82" t="n">
        <v>0</v>
      </c>
      <c r="I82" t="n">
        <v>3</v>
      </c>
      <c r="J82" t="n">
        <v>2</v>
      </c>
      <c r="K82" t="n">
        <v>0</v>
      </c>
      <c r="L82" t="n">
        <v>0</v>
      </c>
      <c r="M82" t="n">
        <v>0</v>
      </c>
      <c r="N82" t="n">
        <v>0</v>
      </c>
      <c r="O82" t="n">
        <v>2</v>
      </c>
      <c r="P82" t="n">
        <v>0</v>
      </c>
      <c r="Q82" t="n">
        <v>5</v>
      </c>
      <c r="R82" s="2" t="inlineStr">
        <is>
          <t>Lunglav
Violettgrå tagellav
Korallblylav
Sotriska
Stuplav</t>
        </is>
      </c>
      <c r="S82">
        <f>HYPERLINK("https://klasma.github.io/Logging_2132/artfynd/A 22996-2019 artfynd.xlsx", "A 22996-2019")</f>
        <v/>
      </c>
      <c r="T82">
        <f>HYPERLINK("https://klasma.github.io/Logging_2132/kartor/A 22996-2019 karta.png", "A 22996-2019")</f>
        <v/>
      </c>
      <c r="V82">
        <f>HYPERLINK("https://klasma.github.io/Logging_2132/klagomål/A 22996-2019 FSC-klagomål.docx", "A 22996-2019")</f>
        <v/>
      </c>
      <c r="W82">
        <f>HYPERLINK("https://klasma.github.io/Logging_2132/klagomålsmail/A 22996-2019 FSC-klagomål mail.docx", "A 22996-2019")</f>
        <v/>
      </c>
      <c r="X82">
        <f>HYPERLINK("https://klasma.github.io/Logging_2132/tillsyn/A 22996-2019 tillsynsbegäran.docx", "A 22996-2019")</f>
        <v/>
      </c>
      <c r="Y82">
        <f>HYPERLINK("https://klasma.github.io/Logging_2132/tillsynsmail/A 22996-2019 tillsynsbegäran mail.docx", "A 22996-2019")</f>
        <v/>
      </c>
    </row>
    <row r="83" ht="15" customHeight="1">
      <c r="A83" t="inlineStr">
        <is>
          <t>A 44518-2019</t>
        </is>
      </c>
      <c r="B83" s="1" t="n">
        <v>43711</v>
      </c>
      <c r="C83" s="1" t="n">
        <v>45587</v>
      </c>
      <c r="D83" t="inlineStr">
        <is>
          <t>GÄVLEBORGS LÄN</t>
        </is>
      </c>
      <c r="E83" t="inlineStr">
        <is>
          <t>LJUSDAL</t>
        </is>
      </c>
      <c r="F83" t="inlineStr">
        <is>
          <t>Sveaskog</t>
        </is>
      </c>
      <c r="G83" t="n">
        <v>10.4</v>
      </c>
      <c r="H83" t="n">
        <v>2</v>
      </c>
      <c r="I83" t="n">
        <v>0</v>
      </c>
      <c r="J83" t="n">
        <v>3</v>
      </c>
      <c r="K83" t="n">
        <v>0</v>
      </c>
      <c r="L83" t="n">
        <v>0</v>
      </c>
      <c r="M83" t="n">
        <v>0</v>
      </c>
      <c r="N83" t="n">
        <v>0</v>
      </c>
      <c r="O83" t="n">
        <v>3</v>
      </c>
      <c r="P83" t="n">
        <v>0</v>
      </c>
      <c r="Q83" t="n">
        <v>5</v>
      </c>
      <c r="R83" s="2" t="inlineStr">
        <is>
          <t>Garnlav
Kolflarnlav
Mörk kolflarnlav
Fläcknycklar
Revlummer</t>
        </is>
      </c>
      <c r="S83">
        <f>HYPERLINK("https://klasma.github.io/Logging_2161/artfynd/A 44518-2019 artfynd.xlsx", "A 44518-2019")</f>
        <v/>
      </c>
      <c r="T83">
        <f>HYPERLINK("https://klasma.github.io/Logging_2161/kartor/A 44518-2019 karta.png", "A 44518-2019")</f>
        <v/>
      </c>
      <c r="V83">
        <f>HYPERLINK("https://klasma.github.io/Logging_2161/klagomål/A 44518-2019 FSC-klagomål.docx", "A 44518-2019")</f>
        <v/>
      </c>
      <c r="W83">
        <f>HYPERLINK("https://klasma.github.io/Logging_2161/klagomålsmail/A 44518-2019 FSC-klagomål mail.docx", "A 44518-2019")</f>
        <v/>
      </c>
      <c r="X83">
        <f>HYPERLINK("https://klasma.github.io/Logging_2161/tillsyn/A 44518-2019 tillsynsbegäran.docx", "A 44518-2019")</f>
        <v/>
      </c>
      <c r="Y83">
        <f>HYPERLINK("https://klasma.github.io/Logging_2161/tillsynsmail/A 44518-2019 tillsynsbegäran mail.docx", "A 44518-2019")</f>
        <v/>
      </c>
    </row>
    <row r="84" ht="15" customHeight="1">
      <c r="A84" t="inlineStr">
        <is>
          <t>A 65976-2019</t>
        </is>
      </c>
      <c r="B84" s="1" t="n">
        <v>43805</v>
      </c>
      <c r="C84" s="1" t="n">
        <v>45587</v>
      </c>
      <c r="D84" t="inlineStr">
        <is>
          <t>GÄVLEBORGS LÄN</t>
        </is>
      </c>
      <c r="E84" t="inlineStr">
        <is>
          <t>SÖDERHAMN</t>
        </is>
      </c>
      <c r="G84" t="n">
        <v>1.8</v>
      </c>
      <c r="H84" t="n">
        <v>0</v>
      </c>
      <c r="I84" t="n">
        <v>1</v>
      </c>
      <c r="J84" t="n">
        <v>3</v>
      </c>
      <c r="K84" t="n">
        <v>1</v>
      </c>
      <c r="L84" t="n">
        <v>0</v>
      </c>
      <c r="M84" t="n">
        <v>0</v>
      </c>
      <c r="N84" t="n">
        <v>0</v>
      </c>
      <c r="O84" t="n">
        <v>4</v>
      </c>
      <c r="P84" t="n">
        <v>1</v>
      </c>
      <c r="Q84" t="n">
        <v>5</v>
      </c>
      <c r="R84" s="2" t="inlineStr">
        <is>
          <t>Violgubbe
Gul taggsvamp
Kandelabersvamp
Koralltaggsvamp
Skarp dropptaggsvamp</t>
        </is>
      </c>
      <c r="S84">
        <f>HYPERLINK("https://klasma.github.io/Logging_2182/artfynd/A 65976-2019 artfynd.xlsx", "A 65976-2019")</f>
        <v/>
      </c>
      <c r="T84">
        <f>HYPERLINK("https://klasma.github.io/Logging_2182/kartor/A 65976-2019 karta.png", "A 65976-2019")</f>
        <v/>
      </c>
      <c r="V84">
        <f>HYPERLINK("https://klasma.github.io/Logging_2182/klagomål/A 65976-2019 FSC-klagomål.docx", "A 65976-2019")</f>
        <v/>
      </c>
      <c r="W84">
        <f>HYPERLINK("https://klasma.github.io/Logging_2182/klagomålsmail/A 65976-2019 FSC-klagomål mail.docx", "A 65976-2019")</f>
        <v/>
      </c>
      <c r="X84">
        <f>HYPERLINK("https://klasma.github.io/Logging_2182/tillsyn/A 65976-2019 tillsynsbegäran.docx", "A 65976-2019")</f>
        <v/>
      </c>
      <c r="Y84">
        <f>HYPERLINK("https://klasma.github.io/Logging_2182/tillsynsmail/A 65976-2019 tillsynsbegäran mail.docx", "A 65976-2019")</f>
        <v/>
      </c>
    </row>
    <row r="85" ht="15" customHeight="1">
      <c r="A85" t="inlineStr">
        <is>
          <t>A 67329-2019</t>
        </is>
      </c>
      <c r="B85" s="1" t="n">
        <v>43812</v>
      </c>
      <c r="C85" s="1" t="n">
        <v>45587</v>
      </c>
      <c r="D85" t="inlineStr">
        <is>
          <t>GÄVLEBORGS LÄN</t>
        </is>
      </c>
      <c r="E85" t="inlineStr">
        <is>
          <t>GÄVLE</t>
        </is>
      </c>
      <c r="F85" t="inlineStr">
        <is>
          <t>Kommuner</t>
        </is>
      </c>
      <c r="G85" t="n">
        <v>16.5</v>
      </c>
      <c r="H85" t="n">
        <v>2</v>
      </c>
      <c r="I85" t="n">
        <v>3</v>
      </c>
      <c r="J85" t="n">
        <v>0</v>
      </c>
      <c r="K85" t="n">
        <v>1</v>
      </c>
      <c r="L85" t="n">
        <v>0</v>
      </c>
      <c r="M85" t="n">
        <v>0</v>
      </c>
      <c r="N85" t="n">
        <v>0</v>
      </c>
      <c r="O85" t="n">
        <v>1</v>
      </c>
      <c r="P85" t="n">
        <v>1</v>
      </c>
      <c r="Q85" t="n">
        <v>5</v>
      </c>
      <c r="R85" s="2" t="inlineStr">
        <is>
          <t>Knärot
Blodticka
Brandticka
Rödgul trumpetsvamp
Blåsippa</t>
        </is>
      </c>
      <c r="S85">
        <f>HYPERLINK("https://klasma.github.io/Logging_2180/artfynd/A 67329-2019 artfynd.xlsx", "A 67329-2019")</f>
        <v/>
      </c>
      <c r="T85">
        <f>HYPERLINK("https://klasma.github.io/Logging_2180/kartor/A 67329-2019 karta.png", "A 67329-2019")</f>
        <v/>
      </c>
      <c r="U85">
        <f>HYPERLINK("https://klasma.github.io/Logging_2180/knärot/A 67329-2019 karta knärot.png", "A 67329-2019")</f>
        <v/>
      </c>
      <c r="V85">
        <f>HYPERLINK("https://klasma.github.io/Logging_2180/klagomål/A 67329-2019 FSC-klagomål.docx", "A 67329-2019")</f>
        <v/>
      </c>
      <c r="W85">
        <f>HYPERLINK("https://klasma.github.io/Logging_2180/klagomålsmail/A 67329-2019 FSC-klagomål mail.docx", "A 67329-2019")</f>
        <v/>
      </c>
      <c r="X85">
        <f>HYPERLINK("https://klasma.github.io/Logging_2180/tillsyn/A 67329-2019 tillsynsbegäran.docx", "A 67329-2019")</f>
        <v/>
      </c>
      <c r="Y85">
        <f>HYPERLINK("https://klasma.github.io/Logging_2180/tillsynsmail/A 67329-2019 tillsynsbegäran mail.docx", "A 67329-2019")</f>
        <v/>
      </c>
    </row>
    <row r="86" ht="15" customHeight="1">
      <c r="A86" t="inlineStr">
        <is>
          <t>A 27617-2020</t>
        </is>
      </c>
      <c r="B86" s="1" t="n">
        <v>43993</v>
      </c>
      <c r="C86" s="1" t="n">
        <v>45587</v>
      </c>
      <c r="D86" t="inlineStr">
        <is>
          <t>GÄVLEBORGS LÄN</t>
        </is>
      </c>
      <c r="E86" t="inlineStr">
        <is>
          <t>BOLLNÄS</t>
        </is>
      </c>
      <c r="G86" t="n">
        <v>3.6</v>
      </c>
      <c r="H86" t="n">
        <v>1</v>
      </c>
      <c r="I86" t="n">
        <v>2</v>
      </c>
      <c r="J86" t="n">
        <v>1</v>
      </c>
      <c r="K86" t="n">
        <v>0</v>
      </c>
      <c r="L86" t="n">
        <v>2</v>
      </c>
      <c r="M86" t="n">
        <v>0</v>
      </c>
      <c r="N86" t="n">
        <v>0</v>
      </c>
      <c r="O86" t="n">
        <v>3</v>
      </c>
      <c r="P86" t="n">
        <v>2</v>
      </c>
      <c r="Q86" t="n">
        <v>5</v>
      </c>
      <c r="R86" s="2" t="inlineStr">
        <is>
          <t>Bredgentiana
Fältgentiana
Scharlakansvaxskivling
Blodvaxskivling
Ängsvaxskivling</t>
        </is>
      </c>
      <c r="S86">
        <f>HYPERLINK("https://klasma.github.io/Logging_2183/artfynd/A 27617-2020 artfynd.xlsx", "A 27617-2020")</f>
        <v/>
      </c>
      <c r="T86">
        <f>HYPERLINK("https://klasma.github.io/Logging_2183/kartor/A 27617-2020 karta.png", "A 27617-2020")</f>
        <v/>
      </c>
      <c r="V86">
        <f>HYPERLINK("https://klasma.github.io/Logging_2183/klagomål/A 27617-2020 FSC-klagomål.docx", "A 27617-2020")</f>
        <v/>
      </c>
      <c r="W86">
        <f>HYPERLINK("https://klasma.github.io/Logging_2183/klagomålsmail/A 27617-2020 FSC-klagomål mail.docx", "A 27617-2020")</f>
        <v/>
      </c>
      <c r="X86">
        <f>HYPERLINK("https://klasma.github.io/Logging_2183/tillsyn/A 27617-2020 tillsynsbegäran.docx", "A 27617-2020")</f>
        <v/>
      </c>
      <c r="Y86">
        <f>HYPERLINK("https://klasma.github.io/Logging_2183/tillsynsmail/A 27617-2020 tillsynsbegäran mail.docx", "A 27617-2020")</f>
        <v/>
      </c>
    </row>
    <row r="87" ht="15" customHeight="1">
      <c r="A87" t="inlineStr">
        <is>
          <t>A 59346-2020</t>
        </is>
      </c>
      <c r="B87" s="1" t="n">
        <v>44148</v>
      </c>
      <c r="C87" s="1" t="n">
        <v>45587</v>
      </c>
      <c r="D87" t="inlineStr">
        <is>
          <t>GÄVLEBORGS LÄN</t>
        </is>
      </c>
      <c r="E87" t="inlineStr">
        <is>
          <t>LJUSDAL</t>
        </is>
      </c>
      <c r="F87" t="inlineStr">
        <is>
          <t>Sveaskog</t>
        </is>
      </c>
      <c r="G87" t="n">
        <v>10.8</v>
      </c>
      <c r="H87" t="n">
        <v>1</v>
      </c>
      <c r="I87" t="n">
        <v>2</v>
      </c>
      <c r="J87" t="n">
        <v>2</v>
      </c>
      <c r="K87" t="n">
        <v>1</v>
      </c>
      <c r="L87" t="n">
        <v>0</v>
      </c>
      <c r="M87" t="n">
        <v>0</v>
      </c>
      <c r="N87" t="n">
        <v>0</v>
      </c>
      <c r="O87" t="n">
        <v>3</v>
      </c>
      <c r="P87" t="n">
        <v>1</v>
      </c>
      <c r="Q87" t="n">
        <v>5</v>
      </c>
      <c r="R87" s="2" t="inlineStr">
        <is>
          <t>Knärot
Blå taggsvamp
Lunglav
Dropptaggsvamp
Zontaggsvamp</t>
        </is>
      </c>
      <c r="S87">
        <f>HYPERLINK("https://klasma.github.io/Logging_2161/artfynd/A 59346-2020 artfynd.xlsx", "A 59346-2020")</f>
        <v/>
      </c>
      <c r="T87">
        <f>HYPERLINK("https://klasma.github.io/Logging_2161/kartor/A 59346-2020 karta.png", "A 59346-2020")</f>
        <v/>
      </c>
      <c r="U87">
        <f>HYPERLINK("https://klasma.github.io/Logging_2161/knärot/A 59346-2020 karta knärot.png", "A 59346-2020")</f>
        <v/>
      </c>
      <c r="V87">
        <f>HYPERLINK("https://klasma.github.io/Logging_2161/klagomål/A 59346-2020 FSC-klagomål.docx", "A 59346-2020")</f>
        <v/>
      </c>
      <c r="W87">
        <f>HYPERLINK("https://klasma.github.io/Logging_2161/klagomålsmail/A 59346-2020 FSC-klagomål mail.docx", "A 59346-2020")</f>
        <v/>
      </c>
      <c r="X87">
        <f>HYPERLINK("https://klasma.github.io/Logging_2161/tillsyn/A 59346-2020 tillsynsbegäran.docx", "A 59346-2020")</f>
        <v/>
      </c>
      <c r="Y87">
        <f>HYPERLINK("https://klasma.github.io/Logging_2161/tillsynsmail/A 59346-2020 tillsynsbegäran mail.docx", "A 59346-2020")</f>
        <v/>
      </c>
    </row>
    <row r="88" ht="15" customHeight="1">
      <c r="A88" t="inlineStr">
        <is>
          <t>A 68600-2020</t>
        </is>
      </c>
      <c r="B88" s="1" t="n">
        <v>44186</v>
      </c>
      <c r="C88" s="1" t="n">
        <v>45587</v>
      </c>
      <c r="D88" t="inlineStr">
        <is>
          <t>GÄVLEBORGS LÄN</t>
        </is>
      </c>
      <c r="E88" t="inlineStr">
        <is>
          <t>HUDIKSVALL</t>
        </is>
      </c>
      <c r="F88" t="inlineStr">
        <is>
          <t>Kommuner</t>
        </is>
      </c>
      <c r="G88" t="n">
        <v>4.6</v>
      </c>
      <c r="H88" t="n">
        <v>1</v>
      </c>
      <c r="I88" t="n">
        <v>0</v>
      </c>
      <c r="J88" t="n">
        <v>4</v>
      </c>
      <c r="K88" t="n">
        <v>1</v>
      </c>
      <c r="L88" t="n">
        <v>0</v>
      </c>
      <c r="M88" t="n">
        <v>0</v>
      </c>
      <c r="N88" t="n">
        <v>0</v>
      </c>
      <c r="O88" t="n">
        <v>5</v>
      </c>
      <c r="P88" t="n">
        <v>1</v>
      </c>
      <c r="Q88" t="n">
        <v>5</v>
      </c>
      <c r="R88" s="2" t="inlineStr">
        <is>
          <t>Sprickporing
Garnlav
Grönsångare
Rosenticka
Ullticka</t>
        </is>
      </c>
      <c r="S88">
        <f>HYPERLINK("https://klasma.github.io/Logging_2184/artfynd/A 68600-2020 artfynd.xlsx", "A 68600-2020")</f>
        <v/>
      </c>
      <c r="T88">
        <f>HYPERLINK("https://klasma.github.io/Logging_2184/kartor/A 68600-2020 karta.png", "A 68600-2020")</f>
        <v/>
      </c>
      <c r="V88">
        <f>HYPERLINK("https://klasma.github.io/Logging_2184/klagomål/A 68600-2020 FSC-klagomål.docx", "A 68600-2020")</f>
        <v/>
      </c>
      <c r="W88">
        <f>HYPERLINK("https://klasma.github.io/Logging_2184/klagomålsmail/A 68600-2020 FSC-klagomål mail.docx", "A 68600-2020")</f>
        <v/>
      </c>
      <c r="X88">
        <f>HYPERLINK("https://klasma.github.io/Logging_2184/tillsyn/A 68600-2020 tillsynsbegäran.docx", "A 68600-2020")</f>
        <v/>
      </c>
      <c r="Y88">
        <f>HYPERLINK("https://klasma.github.io/Logging_2184/tillsynsmail/A 68600-2020 tillsynsbegäran mail.docx", "A 68600-2020")</f>
        <v/>
      </c>
      <c r="Z88">
        <f>HYPERLINK("https://klasma.github.io/Logging_2184/fåglar/A 68600-2020 prioriterade fågelarter.docx", "A 68600-2020")</f>
        <v/>
      </c>
    </row>
    <row r="89" ht="15" customHeight="1">
      <c r="A89" t="inlineStr">
        <is>
          <t>A 49036-2021</t>
        </is>
      </c>
      <c r="B89" s="1" t="n">
        <v>44453</v>
      </c>
      <c r="C89" s="1" t="n">
        <v>45587</v>
      </c>
      <c r="D89" t="inlineStr">
        <is>
          <t>GÄVLEBORGS LÄN</t>
        </is>
      </c>
      <c r="E89" t="inlineStr">
        <is>
          <t>HUDIKSVALL</t>
        </is>
      </c>
      <c r="G89" t="n">
        <v>11.7</v>
      </c>
      <c r="H89" t="n">
        <v>0</v>
      </c>
      <c r="I89" t="n">
        <v>2</v>
      </c>
      <c r="J89" t="n">
        <v>3</v>
      </c>
      <c r="K89" t="n">
        <v>0</v>
      </c>
      <c r="L89" t="n">
        <v>0</v>
      </c>
      <c r="M89" t="n">
        <v>0</v>
      </c>
      <c r="N89" t="n">
        <v>0</v>
      </c>
      <c r="O89" t="n">
        <v>3</v>
      </c>
      <c r="P89" t="n">
        <v>0</v>
      </c>
      <c r="Q89" t="n">
        <v>5</v>
      </c>
      <c r="R89" s="2" t="inlineStr">
        <is>
          <t>Granticka
Ullticka
Violettgrå tagellav
Kattfotslav
Vedticka</t>
        </is>
      </c>
      <c r="S89">
        <f>HYPERLINK("https://klasma.github.io/Logging_2184/artfynd/A 49036-2021 artfynd.xlsx", "A 49036-2021")</f>
        <v/>
      </c>
      <c r="T89">
        <f>HYPERLINK("https://klasma.github.io/Logging_2184/kartor/A 49036-2021 karta.png", "A 49036-2021")</f>
        <v/>
      </c>
      <c r="V89">
        <f>HYPERLINK("https://klasma.github.io/Logging_2184/klagomål/A 49036-2021 FSC-klagomål.docx", "A 49036-2021")</f>
        <v/>
      </c>
      <c r="W89">
        <f>HYPERLINK("https://klasma.github.io/Logging_2184/klagomålsmail/A 49036-2021 FSC-klagomål mail.docx", "A 49036-2021")</f>
        <v/>
      </c>
      <c r="X89">
        <f>HYPERLINK("https://klasma.github.io/Logging_2184/tillsyn/A 49036-2021 tillsynsbegäran.docx", "A 49036-2021")</f>
        <v/>
      </c>
      <c r="Y89">
        <f>HYPERLINK("https://klasma.github.io/Logging_2184/tillsynsmail/A 49036-2021 tillsynsbegäran mail.docx", "A 49036-2021")</f>
        <v/>
      </c>
    </row>
    <row r="90" ht="15" customHeight="1">
      <c r="A90" t="inlineStr">
        <is>
          <t>A 69018-2021</t>
        </is>
      </c>
      <c r="B90" s="1" t="n">
        <v>44530</v>
      </c>
      <c r="C90" s="1" t="n">
        <v>45587</v>
      </c>
      <c r="D90" t="inlineStr">
        <is>
          <t>GÄVLEBORGS LÄN</t>
        </is>
      </c>
      <c r="E90" t="inlineStr">
        <is>
          <t>LJUSDAL</t>
        </is>
      </c>
      <c r="G90" t="n">
        <v>3.3</v>
      </c>
      <c r="H90" t="n">
        <v>2</v>
      </c>
      <c r="I90" t="n">
        <v>1</v>
      </c>
      <c r="J90" t="n">
        <v>2</v>
      </c>
      <c r="K90" t="n">
        <v>1</v>
      </c>
      <c r="L90" t="n">
        <v>0</v>
      </c>
      <c r="M90" t="n">
        <v>0</v>
      </c>
      <c r="N90" t="n">
        <v>0</v>
      </c>
      <c r="O90" t="n">
        <v>3</v>
      </c>
      <c r="P90" t="n">
        <v>1</v>
      </c>
      <c r="Q90" t="n">
        <v>5</v>
      </c>
      <c r="R90" s="2" t="inlineStr">
        <is>
          <t>Knärot
Gammelgransskål
Garnlav
Bårdlav
Revlummer</t>
        </is>
      </c>
      <c r="S90">
        <f>HYPERLINK("https://klasma.github.io/Logging_2161/artfynd/A 69018-2021 artfynd.xlsx", "A 69018-2021")</f>
        <v/>
      </c>
      <c r="T90">
        <f>HYPERLINK("https://klasma.github.io/Logging_2161/kartor/A 69018-2021 karta.png", "A 69018-2021")</f>
        <v/>
      </c>
      <c r="U90">
        <f>HYPERLINK("https://klasma.github.io/Logging_2161/knärot/A 69018-2021 karta knärot.png", "A 69018-2021")</f>
        <v/>
      </c>
      <c r="V90">
        <f>HYPERLINK("https://klasma.github.io/Logging_2161/klagomål/A 69018-2021 FSC-klagomål.docx", "A 69018-2021")</f>
        <v/>
      </c>
      <c r="W90">
        <f>HYPERLINK("https://klasma.github.io/Logging_2161/klagomålsmail/A 69018-2021 FSC-klagomål mail.docx", "A 69018-2021")</f>
        <v/>
      </c>
      <c r="X90">
        <f>HYPERLINK("https://klasma.github.io/Logging_2161/tillsyn/A 69018-2021 tillsynsbegäran.docx", "A 69018-2021")</f>
        <v/>
      </c>
      <c r="Y90">
        <f>HYPERLINK("https://klasma.github.io/Logging_2161/tillsynsmail/A 69018-2021 tillsynsbegäran mail.docx", "A 69018-2021")</f>
        <v/>
      </c>
    </row>
    <row r="91" ht="15" customHeight="1">
      <c r="A91" t="inlineStr">
        <is>
          <t>A 7229-2022</t>
        </is>
      </c>
      <c r="B91" s="1" t="n">
        <v>44606</v>
      </c>
      <c r="C91" s="1" t="n">
        <v>45587</v>
      </c>
      <c r="D91" t="inlineStr">
        <is>
          <t>GÄVLEBORGS LÄN</t>
        </is>
      </c>
      <c r="E91" t="inlineStr">
        <is>
          <t>HUDIKSVALL</t>
        </is>
      </c>
      <c r="F91" t="inlineStr">
        <is>
          <t>Holmen skog AB</t>
        </is>
      </c>
      <c r="G91" t="n">
        <v>1.4</v>
      </c>
      <c r="H91" t="n">
        <v>1</v>
      </c>
      <c r="I91" t="n">
        <v>2</v>
      </c>
      <c r="J91" t="n">
        <v>2</v>
      </c>
      <c r="K91" t="n">
        <v>0</v>
      </c>
      <c r="L91" t="n">
        <v>0</v>
      </c>
      <c r="M91" t="n">
        <v>0</v>
      </c>
      <c r="N91" t="n">
        <v>0</v>
      </c>
      <c r="O91" t="n">
        <v>2</v>
      </c>
      <c r="P91" t="n">
        <v>0</v>
      </c>
      <c r="Q91" t="n">
        <v>5</v>
      </c>
      <c r="R91" s="2" t="inlineStr">
        <is>
          <t>Ullticka
Violettgrå tagellav
Bronshjon
Vedticka
Revlummer</t>
        </is>
      </c>
      <c r="S91">
        <f>HYPERLINK("https://klasma.github.io/Logging_2184/artfynd/A 7229-2022 artfynd.xlsx", "A 7229-2022")</f>
        <v/>
      </c>
      <c r="T91">
        <f>HYPERLINK("https://klasma.github.io/Logging_2184/kartor/A 7229-2022 karta.png", "A 7229-2022")</f>
        <v/>
      </c>
      <c r="V91">
        <f>HYPERLINK("https://klasma.github.io/Logging_2184/klagomål/A 7229-2022 FSC-klagomål.docx", "A 7229-2022")</f>
        <v/>
      </c>
      <c r="W91">
        <f>HYPERLINK("https://klasma.github.io/Logging_2184/klagomålsmail/A 7229-2022 FSC-klagomål mail.docx", "A 7229-2022")</f>
        <v/>
      </c>
      <c r="X91">
        <f>HYPERLINK("https://klasma.github.io/Logging_2184/tillsyn/A 7229-2022 tillsynsbegäran.docx", "A 7229-2022")</f>
        <v/>
      </c>
      <c r="Y91">
        <f>HYPERLINK("https://klasma.github.io/Logging_2184/tillsynsmail/A 7229-2022 tillsynsbegäran mail.docx", "A 7229-2022")</f>
        <v/>
      </c>
    </row>
    <row r="92" ht="15" customHeight="1">
      <c r="A92" t="inlineStr">
        <is>
          <t>A 20560-2022</t>
        </is>
      </c>
      <c r="B92" s="1" t="n">
        <v>44700</v>
      </c>
      <c r="C92" s="1" t="n">
        <v>45587</v>
      </c>
      <c r="D92" t="inlineStr">
        <is>
          <t>GÄVLEBORGS LÄN</t>
        </is>
      </c>
      <c r="E92" t="inlineStr">
        <is>
          <t>HUDIKSVALL</t>
        </is>
      </c>
      <c r="F92" t="inlineStr">
        <is>
          <t>Holmen skog AB</t>
        </is>
      </c>
      <c r="G92" t="n">
        <v>4.1</v>
      </c>
      <c r="H92" t="n">
        <v>2</v>
      </c>
      <c r="I92" t="n">
        <v>3</v>
      </c>
      <c r="J92" t="n">
        <v>0</v>
      </c>
      <c r="K92" t="n">
        <v>0</v>
      </c>
      <c r="L92" t="n">
        <v>0</v>
      </c>
      <c r="M92" t="n">
        <v>0</v>
      </c>
      <c r="N92" t="n">
        <v>0</v>
      </c>
      <c r="O92" t="n">
        <v>0</v>
      </c>
      <c r="P92" t="n">
        <v>0</v>
      </c>
      <c r="Q92" t="n">
        <v>5</v>
      </c>
      <c r="R92" s="2" t="inlineStr">
        <is>
          <t>Svart trolldruva
Tibast
Ögonpyrola
Lopplummer
Revlummer</t>
        </is>
      </c>
      <c r="S92">
        <f>HYPERLINK("https://klasma.github.io/Logging_2184/artfynd/A 20560-2022 artfynd.xlsx", "A 20560-2022")</f>
        <v/>
      </c>
      <c r="T92">
        <f>HYPERLINK("https://klasma.github.io/Logging_2184/kartor/A 20560-2022 karta.png", "A 20560-2022")</f>
        <v/>
      </c>
      <c r="V92">
        <f>HYPERLINK("https://klasma.github.io/Logging_2184/klagomål/A 20560-2022 FSC-klagomål.docx", "A 20560-2022")</f>
        <v/>
      </c>
      <c r="W92">
        <f>HYPERLINK("https://klasma.github.io/Logging_2184/klagomålsmail/A 20560-2022 FSC-klagomål mail.docx", "A 20560-2022")</f>
        <v/>
      </c>
      <c r="X92">
        <f>HYPERLINK("https://klasma.github.io/Logging_2184/tillsyn/A 20560-2022 tillsynsbegäran.docx", "A 20560-2022")</f>
        <v/>
      </c>
      <c r="Y92">
        <f>HYPERLINK("https://klasma.github.io/Logging_2184/tillsynsmail/A 20560-2022 tillsynsbegäran mail.docx", "A 20560-2022")</f>
        <v/>
      </c>
    </row>
    <row r="93" ht="15" customHeight="1">
      <c r="A93" t="inlineStr">
        <is>
          <t>A 21488-2022</t>
        </is>
      </c>
      <c r="B93" s="1" t="n">
        <v>44706</v>
      </c>
      <c r="C93" s="1" t="n">
        <v>45587</v>
      </c>
      <c r="D93" t="inlineStr">
        <is>
          <t>GÄVLEBORGS LÄN</t>
        </is>
      </c>
      <c r="E93" t="inlineStr">
        <is>
          <t>SÖDERHAMN</t>
        </is>
      </c>
      <c r="F93" t="inlineStr">
        <is>
          <t>Bergvik skog väst AB</t>
        </is>
      </c>
      <c r="G93" t="n">
        <v>6</v>
      </c>
      <c r="H93" t="n">
        <v>5</v>
      </c>
      <c r="I93" t="n">
        <v>0</v>
      </c>
      <c r="J93" t="n">
        <v>1</v>
      </c>
      <c r="K93" t="n">
        <v>0</v>
      </c>
      <c r="L93" t="n">
        <v>0</v>
      </c>
      <c r="M93" t="n">
        <v>0</v>
      </c>
      <c r="N93" t="n">
        <v>0</v>
      </c>
      <c r="O93" t="n">
        <v>1</v>
      </c>
      <c r="P93" t="n">
        <v>0</v>
      </c>
      <c r="Q93" t="n">
        <v>5</v>
      </c>
      <c r="R93" s="2" t="inlineStr">
        <is>
          <t>Talltita
Grönsiska
Järnsparv
Kungsfågel
Fläcknycklar</t>
        </is>
      </c>
      <c r="S93">
        <f>HYPERLINK("https://klasma.github.io/Logging_2182/artfynd/A 21488-2022 artfynd.xlsx", "A 21488-2022")</f>
        <v/>
      </c>
      <c r="T93">
        <f>HYPERLINK("https://klasma.github.io/Logging_2182/kartor/A 21488-2022 karta.png", "A 21488-2022")</f>
        <v/>
      </c>
      <c r="V93">
        <f>HYPERLINK("https://klasma.github.io/Logging_2182/klagomål/A 21488-2022 FSC-klagomål.docx", "A 21488-2022")</f>
        <v/>
      </c>
      <c r="W93">
        <f>HYPERLINK("https://klasma.github.io/Logging_2182/klagomålsmail/A 21488-2022 FSC-klagomål mail.docx", "A 21488-2022")</f>
        <v/>
      </c>
      <c r="X93">
        <f>HYPERLINK("https://klasma.github.io/Logging_2182/tillsyn/A 21488-2022 tillsynsbegäran.docx", "A 21488-2022")</f>
        <v/>
      </c>
      <c r="Y93">
        <f>HYPERLINK("https://klasma.github.io/Logging_2182/tillsynsmail/A 21488-2022 tillsynsbegäran mail.docx", "A 21488-2022")</f>
        <v/>
      </c>
      <c r="Z93">
        <f>HYPERLINK("https://klasma.github.io/Logging_2182/fåglar/A 21488-2022 prioriterade fågelarter.docx", "A 21488-2022")</f>
        <v/>
      </c>
    </row>
    <row r="94" ht="15" customHeight="1">
      <c r="A94" t="inlineStr">
        <is>
          <t>A 29834-2022</t>
        </is>
      </c>
      <c r="B94" s="1" t="n">
        <v>44755</v>
      </c>
      <c r="C94" s="1" t="n">
        <v>45587</v>
      </c>
      <c r="D94" t="inlineStr">
        <is>
          <t>GÄVLEBORGS LÄN</t>
        </is>
      </c>
      <c r="E94" t="inlineStr">
        <is>
          <t>LJUSDAL</t>
        </is>
      </c>
      <c r="F94" t="inlineStr">
        <is>
          <t>SCA</t>
        </is>
      </c>
      <c r="G94" t="n">
        <v>21.9</v>
      </c>
      <c r="H94" t="n">
        <v>2</v>
      </c>
      <c r="I94" t="n">
        <v>0</v>
      </c>
      <c r="J94" t="n">
        <v>4</v>
      </c>
      <c r="K94" t="n">
        <v>1</v>
      </c>
      <c r="L94" t="n">
        <v>0</v>
      </c>
      <c r="M94" t="n">
        <v>0</v>
      </c>
      <c r="N94" t="n">
        <v>0</v>
      </c>
      <c r="O94" t="n">
        <v>5</v>
      </c>
      <c r="P94" t="n">
        <v>1</v>
      </c>
      <c r="Q94" t="n">
        <v>5</v>
      </c>
      <c r="R94" s="2" t="inlineStr">
        <is>
          <t>Knärot
Garnlav
Mörk kolflarnlav
Tretåig hackspett
Vedskivlav</t>
        </is>
      </c>
      <c r="S94">
        <f>HYPERLINK("https://klasma.github.io/Logging_2161/artfynd/A 29834-2022 artfynd.xlsx", "A 29834-2022")</f>
        <v/>
      </c>
      <c r="T94">
        <f>HYPERLINK("https://klasma.github.io/Logging_2161/kartor/A 29834-2022 karta.png", "A 29834-2022")</f>
        <v/>
      </c>
      <c r="U94">
        <f>HYPERLINK("https://klasma.github.io/Logging_2161/knärot/A 29834-2022 karta knärot.png", "A 29834-2022")</f>
        <v/>
      </c>
      <c r="V94">
        <f>HYPERLINK("https://klasma.github.io/Logging_2161/klagomål/A 29834-2022 FSC-klagomål.docx", "A 29834-2022")</f>
        <v/>
      </c>
      <c r="W94">
        <f>HYPERLINK("https://klasma.github.io/Logging_2161/klagomålsmail/A 29834-2022 FSC-klagomål mail.docx", "A 29834-2022")</f>
        <v/>
      </c>
      <c r="X94">
        <f>HYPERLINK("https://klasma.github.io/Logging_2161/tillsyn/A 29834-2022 tillsynsbegäran.docx", "A 29834-2022")</f>
        <v/>
      </c>
      <c r="Y94">
        <f>HYPERLINK("https://klasma.github.io/Logging_2161/tillsynsmail/A 29834-2022 tillsynsbegäran mail.docx", "A 29834-2022")</f>
        <v/>
      </c>
      <c r="Z94">
        <f>HYPERLINK("https://klasma.github.io/Logging_2161/fåglar/A 29834-2022 prioriterade fågelarter.docx", "A 29834-2022")</f>
        <v/>
      </c>
    </row>
    <row r="95" ht="15" customHeight="1">
      <c r="A95" t="inlineStr">
        <is>
          <t>A 31463-2022</t>
        </is>
      </c>
      <c r="B95" s="1" t="n">
        <v>44774</v>
      </c>
      <c r="C95" s="1" t="n">
        <v>45587</v>
      </c>
      <c r="D95" t="inlineStr">
        <is>
          <t>GÄVLEBORGS LÄN</t>
        </is>
      </c>
      <c r="E95" t="inlineStr">
        <is>
          <t>LJUSDAL</t>
        </is>
      </c>
      <c r="F95" t="inlineStr">
        <is>
          <t>SCA</t>
        </is>
      </c>
      <c r="G95" t="n">
        <v>4.3</v>
      </c>
      <c r="H95" t="n">
        <v>2</v>
      </c>
      <c r="I95" t="n">
        <v>0</v>
      </c>
      <c r="J95" t="n">
        <v>4</v>
      </c>
      <c r="K95" t="n">
        <v>1</v>
      </c>
      <c r="L95" t="n">
        <v>0</v>
      </c>
      <c r="M95" t="n">
        <v>0</v>
      </c>
      <c r="N95" t="n">
        <v>0</v>
      </c>
      <c r="O95" t="n">
        <v>5</v>
      </c>
      <c r="P95" t="n">
        <v>1</v>
      </c>
      <c r="Q95" t="n">
        <v>5</v>
      </c>
      <c r="R95" s="2" t="inlineStr">
        <is>
          <t>Knärot
Garnlav
Kolflarnlav
Lunglav
Tretåig hackspett</t>
        </is>
      </c>
      <c r="S95">
        <f>HYPERLINK("https://klasma.github.io/Logging_2161/artfynd/A 31463-2022 artfynd.xlsx", "A 31463-2022")</f>
        <v/>
      </c>
      <c r="T95">
        <f>HYPERLINK("https://klasma.github.io/Logging_2161/kartor/A 31463-2022 karta.png", "A 31463-2022")</f>
        <v/>
      </c>
      <c r="U95">
        <f>HYPERLINK("https://klasma.github.io/Logging_2161/knärot/A 31463-2022 karta knärot.png", "A 31463-2022")</f>
        <v/>
      </c>
      <c r="V95">
        <f>HYPERLINK("https://klasma.github.io/Logging_2161/klagomål/A 31463-2022 FSC-klagomål.docx", "A 31463-2022")</f>
        <v/>
      </c>
      <c r="W95">
        <f>HYPERLINK("https://klasma.github.io/Logging_2161/klagomålsmail/A 31463-2022 FSC-klagomål mail.docx", "A 31463-2022")</f>
        <v/>
      </c>
      <c r="X95">
        <f>HYPERLINK("https://klasma.github.io/Logging_2161/tillsyn/A 31463-2022 tillsynsbegäran.docx", "A 31463-2022")</f>
        <v/>
      </c>
      <c r="Y95">
        <f>HYPERLINK("https://klasma.github.io/Logging_2161/tillsynsmail/A 31463-2022 tillsynsbegäran mail.docx", "A 31463-2022")</f>
        <v/>
      </c>
      <c r="Z95">
        <f>HYPERLINK("https://klasma.github.io/Logging_2161/fåglar/A 31463-2022 prioriterade fågelarter.docx", "A 31463-2022")</f>
        <v/>
      </c>
    </row>
    <row r="96" ht="15" customHeight="1">
      <c r="A96" t="inlineStr">
        <is>
          <t>A 31524-2022</t>
        </is>
      </c>
      <c r="B96" s="1" t="n">
        <v>44775</v>
      </c>
      <c r="C96" s="1" t="n">
        <v>45587</v>
      </c>
      <c r="D96" t="inlineStr">
        <is>
          <t>GÄVLEBORGS LÄN</t>
        </is>
      </c>
      <c r="E96" t="inlineStr">
        <is>
          <t>LJUSDAL</t>
        </is>
      </c>
      <c r="F96" t="inlineStr">
        <is>
          <t>Sveaskog</t>
        </is>
      </c>
      <c r="G96" t="n">
        <v>38.6</v>
      </c>
      <c r="H96" t="n">
        <v>2</v>
      </c>
      <c r="I96" t="n">
        <v>2</v>
      </c>
      <c r="J96" t="n">
        <v>2</v>
      </c>
      <c r="K96" t="n">
        <v>0</v>
      </c>
      <c r="L96" t="n">
        <v>0</v>
      </c>
      <c r="M96" t="n">
        <v>0</v>
      </c>
      <c r="N96" t="n">
        <v>0</v>
      </c>
      <c r="O96" t="n">
        <v>2</v>
      </c>
      <c r="P96" t="n">
        <v>0</v>
      </c>
      <c r="Q96" t="n">
        <v>5</v>
      </c>
      <c r="R96" s="2" t="inlineStr">
        <is>
          <t>Garnlav
Gränsticka
Korallrot
Källmossa
Fläcknycklar</t>
        </is>
      </c>
      <c r="S96">
        <f>HYPERLINK("https://klasma.github.io/Logging_2161/artfynd/A 31524-2022 artfynd.xlsx", "A 31524-2022")</f>
        <v/>
      </c>
      <c r="T96">
        <f>HYPERLINK("https://klasma.github.io/Logging_2161/kartor/A 31524-2022 karta.png", "A 31524-2022")</f>
        <v/>
      </c>
      <c r="V96">
        <f>HYPERLINK("https://klasma.github.io/Logging_2161/klagomål/A 31524-2022 FSC-klagomål.docx", "A 31524-2022")</f>
        <v/>
      </c>
      <c r="W96">
        <f>HYPERLINK("https://klasma.github.io/Logging_2161/klagomålsmail/A 31524-2022 FSC-klagomål mail.docx", "A 31524-2022")</f>
        <v/>
      </c>
      <c r="X96">
        <f>HYPERLINK("https://klasma.github.io/Logging_2161/tillsyn/A 31524-2022 tillsynsbegäran.docx", "A 31524-2022")</f>
        <v/>
      </c>
      <c r="Y96">
        <f>HYPERLINK("https://klasma.github.io/Logging_2161/tillsynsmail/A 31524-2022 tillsynsbegäran mail.docx", "A 31524-2022")</f>
        <v/>
      </c>
    </row>
    <row r="97" ht="15" customHeight="1">
      <c r="A97" t="inlineStr">
        <is>
          <t>A 45278-2022</t>
        </is>
      </c>
      <c r="B97" s="1" t="n">
        <v>44840</v>
      </c>
      <c r="C97" s="1" t="n">
        <v>45587</v>
      </c>
      <c r="D97" t="inlineStr">
        <is>
          <t>GÄVLEBORGS LÄN</t>
        </is>
      </c>
      <c r="E97" t="inlineStr">
        <is>
          <t>GÄVLE</t>
        </is>
      </c>
      <c r="F97" t="inlineStr">
        <is>
          <t>Bergvik skog väst AB</t>
        </is>
      </c>
      <c r="G97" t="n">
        <v>8.5</v>
      </c>
      <c r="H97" t="n">
        <v>1</v>
      </c>
      <c r="I97" t="n">
        <v>4</v>
      </c>
      <c r="J97" t="n">
        <v>0</v>
      </c>
      <c r="K97" t="n">
        <v>0</v>
      </c>
      <c r="L97" t="n">
        <v>0</v>
      </c>
      <c r="M97" t="n">
        <v>0</v>
      </c>
      <c r="N97" t="n">
        <v>0</v>
      </c>
      <c r="O97" t="n">
        <v>0</v>
      </c>
      <c r="P97" t="n">
        <v>0</v>
      </c>
      <c r="Q97" t="n">
        <v>5</v>
      </c>
      <c r="R97" s="2" t="inlineStr">
        <is>
          <t>Grönpyrola
Svart trolldruva
Underviol
Vårärt
Blåsippa</t>
        </is>
      </c>
      <c r="S97">
        <f>HYPERLINK("https://klasma.github.io/Logging_2180/artfynd/A 45278-2022 artfynd.xlsx", "A 45278-2022")</f>
        <v/>
      </c>
      <c r="T97">
        <f>HYPERLINK("https://klasma.github.io/Logging_2180/kartor/A 45278-2022 karta.png", "A 45278-2022")</f>
        <v/>
      </c>
      <c r="V97">
        <f>HYPERLINK("https://klasma.github.io/Logging_2180/klagomål/A 45278-2022 FSC-klagomål.docx", "A 45278-2022")</f>
        <v/>
      </c>
      <c r="W97">
        <f>HYPERLINK("https://klasma.github.io/Logging_2180/klagomålsmail/A 45278-2022 FSC-klagomål mail.docx", "A 45278-2022")</f>
        <v/>
      </c>
      <c r="X97">
        <f>HYPERLINK("https://klasma.github.io/Logging_2180/tillsyn/A 45278-2022 tillsynsbegäran.docx", "A 45278-2022")</f>
        <v/>
      </c>
      <c r="Y97">
        <f>HYPERLINK("https://klasma.github.io/Logging_2180/tillsynsmail/A 45278-2022 tillsynsbegäran mail.docx", "A 45278-2022")</f>
        <v/>
      </c>
    </row>
    <row r="98" ht="15" customHeight="1">
      <c r="A98" t="inlineStr">
        <is>
          <t>A 55280-2022</t>
        </is>
      </c>
      <c r="B98" s="1" t="n">
        <v>44887</v>
      </c>
      <c r="C98" s="1" t="n">
        <v>45587</v>
      </c>
      <c r="D98" t="inlineStr">
        <is>
          <t>GÄVLEBORGS LÄN</t>
        </is>
      </c>
      <c r="E98" t="inlineStr">
        <is>
          <t>HUDIKSVALL</t>
        </is>
      </c>
      <c r="F98" t="inlineStr">
        <is>
          <t>Holmen skog AB</t>
        </is>
      </c>
      <c r="G98" t="n">
        <v>3.3</v>
      </c>
      <c r="H98" t="n">
        <v>0</v>
      </c>
      <c r="I98" t="n">
        <v>1</v>
      </c>
      <c r="J98" t="n">
        <v>4</v>
      </c>
      <c r="K98" t="n">
        <v>0</v>
      </c>
      <c r="L98" t="n">
        <v>0</v>
      </c>
      <c r="M98" t="n">
        <v>0</v>
      </c>
      <c r="N98" t="n">
        <v>0</v>
      </c>
      <c r="O98" t="n">
        <v>4</v>
      </c>
      <c r="P98" t="n">
        <v>0</v>
      </c>
      <c r="Q98" t="n">
        <v>5</v>
      </c>
      <c r="R98" s="2" t="inlineStr">
        <is>
          <t>Granticka
Ullticka
Veckticka
Vedtrappmossa
Korallblylav</t>
        </is>
      </c>
      <c r="S98">
        <f>HYPERLINK("https://klasma.github.io/Logging_2184/artfynd/A 55280-2022 artfynd.xlsx", "A 55280-2022")</f>
        <v/>
      </c>
      <c r="T98">
        <f>HYPERLINK("https://klasma.github.io/Logging_2184/kartor/A 55280-2022 karta.png", "A 55280-2022")</f>
        <v/>
      </c>
      <c r="V98">
        <f>HYPERLINK("https://klasma.github.io/Logging_2184/klagomål/A 55280-2022 FSC-klagomål.docx", "A 55280-2022")</f>
        <v/>
      </c>
      <c r="W98">
        <f>HYPERLINK("https://klasma.github.io/Logging_2184/klagomålsmail/A 55280-2022 FSC-klagomål mail.docx", "A 55280-2022")</f>
        <v/>
      </c>
      <c r="X98">
        <f>HYPERLINK("https://klasma.github.io/Logging_2184/tillsyn/A 55280-2022 tillsynsbegäran.docx", "A 55280-2022")</f>
        <v/>
      </c>
      <c r="Y98">
        <f>HYPERLINK("https://klasma.github.io/Logging_2184/tillsynsmail/A 55280-2022 tillsynsbegäran mail.docx", "A 55280-2022")</f>
        <v/>
      </c>
    </row>
    <row r="99" ht="15" customHeight="1">
      <c r="A99" t="inlineStr">
        <is>
          <t>A 58628-2022</t>
        </is>
      </c>
      <c r="B99" s="1" t="n">
        <v>44902</v>
      </c>
      <c r="C99" s="1" t="n">
        <v>45587</v>
      </c>
      <c r="D99" t="inlineStr">
        <is>
          <t>GÄVLEBORGS LÄN</t>
        </is>
      </c>
      <c r="E99" t="inlineStr">
        <is>
          <t>LJUSDAL</t>
        </is>
      </c>
      <c r="G99" t="n">
        <v>2.6</v>
      </c>
      <c r="H99" t="n">
        <v>2</v>
      </c>
      <c r="I99" t="n">
        <v>2</v>
      </c>
      <c r="J99" t="n">
        <v>2</v>
      </c>
      <c r="K99" t="n">
        <v>1</v>
      </c>
      <c r="L99" t="n">
        <v>0</v>
      </c>
      <c r="M99" t="n">
        <v>0</v>
      </c>
      <c r="N99" t="n">
        <v>0</v>
      </c>
      <c r="O99" t="n">
        <v>3</v>
      </c>
      <c r="P99" t="n">
        <v>1</v>
      </c>
      <c r="Q99" t="n">
        <v>5</v>
      </c>
      <c r="R99" s="2" t="inlineStr">
        <is>
          <t>Knärot
Tretåig hackspett
Ullticka
Skinnlav
Stuplav</t>
        </is>
      </c>
      <c r="S99">
        <f>HYPERLINK("https://klasma.github.io/Logging_2161/artfynd/A 58628-2022 artfynd.xlsx", "A 58628-2022")</f>
        <v/>
      </c>
      <c r="T99">
        <f>HYPERLINK("https://klasma.github.io/Logging_2161/kartor/A 58628-2022 karta.png", "A 58628-2022")</f>
        <v/>
      </c>
      <c r="U99">
        <f>HYPERLINK("https://klasma.github.io/Logging_2161/knärot/A 58628-2022 karta knärot.png", "A 58628-2022")</f>
        <v/>
      </c>
      <c r="V99">
        <f>HYPERLINK("https://klasma.github.io/Logging_2161/klagomål/A 58628-2022 FSC-klagomål.docx", "A 58628-2022")</f>
        <v/>
      </c>
      <c r="W99">
        <f>HYPERLINK("https://klasma.github.io/Logging_2161/klagomålsmail/A 58628-2022 FSC-klagomål mail.docx", "A 58628-2022")</f>
        <v/>
      </c>
      <c r="X99">
        <f>HYPERLINK("https://klasma.github.io/Logging_2161/tillsyn/A 58628-2022 tillsynsbegäran.docx", "A 58628-2022")</f>
        <v/>
      </c>
      <c r="Y99">
        <f>HYPERLINK("https://klasma.github.io/Logging_2161/tillsynsmail/A 58628-2022 tillsynsbegäran mail.docx", "A 58628-2022")</f>
        <v/>
      </c>
      <c r="Z99">
        <f>HYPERLINK("https://klasma.github.io/Logging_2161/fåglar/A 58628-2022 prioriterade fågelarter.docx", "A 58628-2022")</f>
        <v/>
      </c>
    </row>
    <row r="100" ht="15" customHeight="1">
      <c r="A100" t="inlineStr">
        <is>
          <t>A 11990-2023</t>
        </is>
      </c>
      <c r="B100" s="1" t="n">
        <v>44995</v>
      </c>
      <c r="C100" s="1" t="n">
        <v>45587</v>
      </c>
      <c r="D100" t="inlineStr">
        <is>
          <t>GÄVLEBORGS LÄN</t>
        </is>
      </c>
      <c r="E100" t="inlineStr">
        <is>
          <t>SANDVIKEN</t>
        </is>
      </c>
      <c r="G100" t="n">
        <v>1.3</v>
      </c>
      <c r="H100" t="n">
        <v>0</v>
      </c>
      <c r="I100" t="n">
        <v>5</v>
      </c>
      <c r="J100" t="n">
        <v>0</v>
      </c>
      <c r="K100" t="n">
        <v>0</v>
      </c>
      <c r="L100" t="n">
        <v>0</v>
      </c>
      <c r="M100" t="n">
        <v>0</v>
      </c>
      <c r="N100" t="n">
        <v>0</v>
      </c>
      <c r="O100" t="n">
        <v>0</v>
      </c>
      <c r="P100" t="n">
        <v>0</v>
      </c>
      <c r="Q100" t="n">
        <v>5</v>
      </c>
      <c r="R100" s="2" t="inlineStr">
        <is>
          <t>Aspvedgnagare
Bronshjon
Thomsons trägnagare
Vedticka
Vågbandad barkbock</t>
        </is>
      </c>
      <c r="S100">
        <f>HYPERLINK("https://klasma.github.io/Logging_2181/artfynd/A 11990-2023 artfynd.xlsx", "A 11990-2023")</f>
        <v/>
      </c>
      <c r="T100">
        <f>HYPERLINK("https://klasma.github.io/Logging_2181/kartor/A 11990-2023 karta.png", "A 11990-2023")</f>
        <v/>
      </c>
      <c r="V100">
        <f>HYPERLINK("https://klasma.github.io/Logging_2181/klagomål/A 11990-2023 FSC-klagomål.docx", "A 11990-2023")</f>
        <v/>
      </c>
      <c r="W100">
        <f>HYPERLINK("https://klasma.github.io/Logging_2181/klagomålsmail/A 11990-2023 FSC-klagomål mail.docx", "A 11990-2023")</f>
        <v/>
      </c>
      <c r="X100">
        <f>HYPERLINK("https://klasma.github.io/Logging_2181/tillsyn/A 11990-2023 tillsynsbegäran.docx", "A 11990-2023")</f>
        <v/>
      </c>
      <c r="Y100">
        <f>HYPERLINK("https://klasma.github.io/Logging_2181/tillsynsmail/A 11990-2023 tillsynsbegäran mail.docx", "A 11990-2023")</f>
        <v/>
      </c>
    </row>
    <row r="101" ht="15" customHeight="1">
      <c r="A101" t="inlineStr">
        <is>
          <t>A 13750-2023</t>
        </is>
      </c>
      <c r="B101" s="1" t="n">
        <v>45007</v>
      </c>
      <c r="C101" s="1" t="n">
        <v>45587</v>
      </c>
      <c r="D101" t="inlineStr">
        <is>
          <t>GÄVLEBORGS LÄN</t>
        </is>
      </c>
      <c r="E101" t="inlineStr">
        <is>
          <t>HOFORS</t>
        </is>
      </c>
      <c r="F101" t="inlineStr">
        <is>
          <t>Övriga statliga verk och myndigheter</t>
        </is>
      </c>
      <c r="G101" t="n">
        <v>1.1</v>
      </c>
      <c r="H101" t="n">
        <v>1</v>
      </c>
      <c r="I101" t="n">
        <v>2</v>
      </c>
      <c r="J101" t="n">
        <v>3</v>
      </c>
      <c r="K101" t="n">
        <v>0</v>
      </c>
      <c r="L101" t="n">
        <v>0</v>
      </c>
      <c r="M101" t="n">
        <v>0</v>
      </c>
      <c r="N101" t="n">
        <v>0</v>
      </c>
      <c r="O101" t="n">
        <v>3</v>
      </c>
      <c r="P101" t="n">
        <v>0</v>
      </c>
      <c r="Q101" t="n">
        <v>5</v>
      </c>
      <c r="R101" s="2" t="inlineStr">
        <is>
          <t>Gultoppig fingersvamp
Leptoporus mollis
Talltita
Fjällig taggsvamp s.str.
Vedticka</t>
        </is>
      </c>
      <c r="S101">
        <f>HYPERLINK("https://klasma.github.io/Logging_2104/artfynd/A 13750-2023 artfynd.xlsx", "A 13750-2023")</f>
        <v/>
      </c>
      <c r="T101">
        <f>HYPERLINK("https://klasma.github.io/Logging_2104/kartor/A 13750-2023 karta.png", "A 13750-2023")</f>
        <v/>
      </c>
      <c r="V101">
        <f>HYPERLINK("https://klasma.github.io/Logging_2104/klagomål/A 13750-2023 FSC-klagomål.docx", "A 13750-2023")</f>
        <v/>
      </c>
      <c r="W101">
        <f>HYPERLINK("https://klasma.github.io/Logging_2104/klagomålsmail/A 13750-2023 FSC-klagomål mail.docx", "A 13750-2023")</f>
        <v/>
      </c>
      <c r="X101">
        <f>HYPERLINK("https://klasma.github.io/Logging_2104/tillsyn/A 13750-2023 tillsynsbegäran.docx", "A 13750-2023")</f>
        <v/>
      </c>
      <c r="Y101">
        <f>HYPERLINK("https://klasma.github.io/Logging_2104/tillsynsmail/A 13750-2023 tillsynsbegäran mail.docx", "A 13750-2023")</f>
        <v/>
      </c>
      <c r="Z101">
        <f>HYPERLINK("https://klasma.github.io/Logging_2104/fåglar/A 13750-2023 prioriterade fågelarter.docx", "A 13750-2023")</f>
        <v/>
      </c>
    </row>
    <row r="102" ht="15" customHeight="1">
      <c r="A102" t="inlineStr">
        <is>
          <t>A 19521-2023</t>
        </is>
      </c>
      <c r="B102" s="1" t="n">
        <v>45050</v>
      </c>
      <c r="C102" s="1" t="n">
        <v>45587</v>
      </c>
      <c r="D102" t="inlineStr">
        <is>
          <t>GÄVLEBORGS LÄN</t>
        </is>
      </c>
      <c r="E102" t="inlineStr">
        <is>
          <t>HUDIKSVALL</t>
        </is>
      </c>
      <c r="F102" t="inlineStr">
        <is>
          <t>Holmen skog AB</t>
        </is>
      </c>
      <c r="G102" t="n">
        <v>9.300000000000001</v>
      </c>
      <c r="H102" t="n">
        <v>2</v>
      </c>
      <c r="I102" t="n">
        <v>1</v>
      </c>
      <c r="J102" t="n">
        <v>2</v>
      </c>
      <c r="K102" t="n">
        <v>0</v>
      </c>
      <c r="L102" t="n">
        <v>0</v>
      </c>
      <c r="M102" t="n">
        <v>0</v>
      </c>
      <c r="N102" t="n">
        <v>0</v>
      </c>
      <c r="O102" t="n">
        <v>2</v>
      </c>
      <c r="P102" t="n">
        <v>0</v>
      </c>
      <c r="Q102" t="n">
        <v>5</v>
      </c>
      <c r="R102" s="2" t="inlineStr">
        <is>
          <t>Kolflarnlav
Lunglav
Bollvitmossa
Tjäder
Vanlig groda</t>
        </is>
      </c>
      <c r="S102">
        <f>HYPERLINK("https://klasma.github.io/Logging_2184/artfynd/A 19521-2023 artfynd.xlsx", "A 19521-2023")</f>
        <v/>
      </c>
      <c r="T102">
        <f>HYPERLINK("https://klasma.github.io/Logging_2184/kartor/A 19521-2023 karta.png", "A 19521-2023")</f>
        <v/>
      </c>
      <c r="V102">
        <f>HYPERLINK("https://klasma.github.io/Logging_2184/klagomål/A 19521-2023 FSC-klagomål.docx", "A 19521-2023")</f>
        <v/>
      </c>
      <c r="W102">
        <f>HYPERLINK("https://klasma.github.io/Logging_2184/klagomålsmail/A 19521-2023 FSC-klagomål mail.docx", "A 19521-2023")</f>
        <v/>
      </c>
      <c r="X102">
        <f>HYPERLINK("https://klasma.github.io/Logging_2184/tillsyn/A 19521-2023 tillsynsbegäran.docx", "A 19521-2023")</f>
        <v/>
      </c>
      <c r="Y102">
        <f>HYPERLINK("https://klasma.github.io/Logging_2184/tillsynsmail/A 19521-2023 tillsynsbegäran mail.docx", "A 19521-2023")</f>
        <v/>
      </c>
      <c r="Z102">
        <f>HYPERLINK("https://klasma.github.io/Logging_2184/fåglar/A 19521-2023 prioriterade fågelarter.docx", "A 19521-2023")</f>
        <v/>
      </c>
    </row>
    <row r="103" ht="15" customHeight="1">
      <c r="A103" t="inlineStr">
        <is>
          <t>A 22767-2023</t>
        </is>
      </c>
      <c r="B103" s="1" t="n">
        <v>45072</v>
      </c>
      <c r="C103" s="1" t="n">
        <v>45587</v>
      </c>
      <c r="D103" t="inlineStr">
        <is>
          <t>GÄVLEBORGS LÄN</t>
        </is>
      </c>
      <c r="E103" t="inlineStr">
        <is>
          <t>SÖDERHAMN</t>
        </is>
      </c>
      <c r="F103" t="inlineStr">
        <is>
          <t>Bergvik skog väst AB</t>
        </is>
      </c>
      <c r="G103" t="n">
        <v>3.2</v>
      </c>
      <c r="H103" t="n">
        <v>1</v>
      </c>
      <c r="I103" t="n">
        <v>3</v>
      </c>
      <c r="J103" t="n">
        <v>1</v>
      </c>
      <c r="K103" t="n">
        <v>0</v>
      </c>
      <c r="L103" t="n">
        <v>0</v>
      </c>
      <c r="M103" t="n">
        <v>0</v>
      </c>
      <c r="N103" t="n">
        <v>0</v>
      </c>
      <c r="O103" t="n">
        <v>1</v>
      </c>
      <c r="P103" t="n">
        <v>0</v>
      </c>
      <c r="Q103" t="n">
        <v>5</v>
      </c>
      <c r="R103" s="2" t="inlineStr">
        <is>
          <t>Ullticka
Bronshjon
Vedticka
Vågbandad barkbock
Revlummer</t>
        </is>
      </c>
      <c r="S103">
        <f>HYPERLINK("https://klasma.github.io/Logging_2182/artfynd/A 22767-2023 artfynd.xlsx", "A 22767-2023")</f>
        <v/>
      </c>
      <c r="T103">
        <f>HYPERLINK("https://klasma.github.io/Logging_2182/kartor/A 22767-2023 karta.png", "A 22767-2023")</f>
        <v/>
      </c>
      <c r="V103">
        <f>HYPERLINK("https://klasma.github.io/Logging_2182/klagomål/A 22767-2023 FSC-klagomål.docx", "A 22767-2023")</f>
        <v/>
      </c>
      <c r="W103">
        <f>HYPERLINK("https://klasma.github.io/Logging_2182/klagomålsmail/A 22767-2023 FSC-klagomål mail.docx", "A 22767-2023")</f>
        <v/>
      </c>
      <c r="X103">
        <f>HYPERLINK("https://klasma.github.io/Logging_2182/tillsyn/A 22767-2023 tillsynsbegäran.docx", "A 22767-2023")</f>
        <v/>
      </c>
      <c r="Y103">
        <f>HYPERLINK("https://klasma.github.io/Logging_2182/tillsynsmail/A 22767-2023 tillsynsbegäran mail.docx", "A 22767-2023")</f>
        <v/>
      </c>
    </row>
    <row r="104" ht="15" customHeight="1">
      <c r="A104" t="inlineStr">
        <is>
          <t>A 25585-2023</t>
        </is>
      </c>
      <c r="B104" s="1" t="n">
        <v>45089</v>
      </c>
      <c r="C104" s="1" t="n">
        <v>45587</v>
      </c>
      <c r="D104" t="inlineStr">
        <is>
          <t>GÄVLEBORGS LÄN</t>
        </is>
      </c>
      <c r="E104" t="inlineStr">
        <is>
          <t>LJUSDAL</t>
        </is>
      </c>
      <c r="G104" t="n">
        <v>6</v>
      </c>
      <c r="H104" t="n">
        <v>3</v>
      </c>
      <c r="I104" t="n">
        <v>0</v>
      </c>
      <c r="J104" t="n">
        <v>4</v>
      </c>
      <c r="K104" t="n">
        <v>1</v>
      </c>
      <c r="L104" t="n">
        <v>0</v>
      </c>
      <c r="M104" t="n">
        <v>0</v>
      </c>
      <c r="N104" t="n">
        <v>0</v>
      </c>
      <c r="O104" t="n">
        <v>5</v>
      </c>
      <c r="P104" t="n">
        <v>1</v>
      </c>
      <c r="Q104" t="n">
        <v>5</v>
      </c>
      <c r="R104" s="2" t="inlineStr">
        <is>
          <t>Knärot
Granticka
Skogshare
Spillkråka
Tretåig hackspett</t>
        </is>
      </c>
      <c r="S104">
        <f>HYPERLINK("https://klasma.github.io/Logging_2161/artfynd/A 25585-2023 artfynd.xlsx", "A 25585-2023")</f>
        <v/>
      </c>
      <c r="T104">
        <f>HYPERLINK("https://klasma.github.io/Logging_2161/kartor/A 25585-2023 karta.png", "A 25585-2023")</f>
        <v/>
      </c>
      <c r="U104">
        <f>HYPERLINK("https://klasma.github.io/Logging_2161/knärot/A 25585-2023 karta knärot.png", "A 25585-2023")</f>
        <v/>
      </c>
      <c r="V104">
        <f>HYPERLINK("https://klasma.github.io/Logging_2161/klagomål/A 25585-2023 FSC-klagomål.docx", "A 25585-2023")</f>
        <v/>
      </c>
      <c r="W104">
        <f>HYPERLINK("https://klasma.github.io/Logging_2161/klagomålsmail/A 25585-2023 FSC-klagomål mail.docx", "A 25585-2023")</f>
        <v/>
      </c>
      <c r="X104">
        <f>HYPERLINK("https://klasma.github.io/Logging_2161/tillsyn/A 25585-2023 tillsynsbegäran.docx", "A 25585-2023")</f>
        <v/>
      </c>
      <c r="Y104">
        <f>HYPERLINK("https://klasma.github.io/Logging_2161/tillsynsmail/A 25585-2023 tillsynsbegäran mail.docx", "A 25585-2023")</f>
        <v/>
      </c>
      <c r="Z104">
        <f>HYPERLINK("https://klasma.github.io/Logging_2161/fåglar/A 25585-2023 prioriterade fågelarter.docx", "A 25585-2023")</f>
        <v/>
      </c>
    </row>
    <row r="105" ht="15" customHeight="1">
      <c r="A105" t="inlineStr">
        <is>
          <t>A 25953-2023</t>
        </is>
      </c>
      <c r="B105" s="1" t="n">
        <v>45090</v>
      </c>
      <c r="C105" s="1" t="n">
        <v>45587</v>
      </c>
      <c r="D105" t="inlineStr">
        <is>
          <t>GÄVLEBORGS LÄN</t>
        </is>
      </c>
      <c r="E105" t="inlineStr">
        <is>
          <t>LJUSDAL</t>
        </is>
      </c>
      <c r="G105" t="n">
        <v>1.9</v>
      </c>
      <c r="H105" t="n">
        <v>3</v>
      </c>
      <c r="I105" t="n">
        <v>0</v>
      </c>
      <c r="J105" t="n">
        <v>4</v>
      </c>
      <c r="K105" t="n">
        <v>1</v>
      </c>
      <c r="L105" t="n">
        <v>0</v>
      </c>
      <c r="M105" t="n">
        <v>0</v>
      </c>
      <c r="N105" t="n">
        <v>0</v>
      </c>
      <c r="O105" t="n">
        <v>5</v>
      </c>
      <c r="P105" t="n">
        <v>1</v>
      </c>
      <c r="Q105" t="n">
        <v>5</v>
      </c>
      <c r="R105" s="2" t="inlineStr">
        <is>
          <t>Knärot
Rosenticka
Talltita
Tretåig hackspett
Ullticka</t>
        </is>
      </c>
      <c r="S105">
        <f>HYPERLINK("https://klasma.github.io/Logging_2161/artfynd/A 25953-2023 artfynd.xlsx", "A 25953-2023")</f>
        <v/>
      </c>
      <c r="T105">
        <f>HYPERLINK("https://klasma.github.io/Logging_2161/kartor/A 25953-2023 karta.png", "A 25953-2023")</f>
        <v/>
      </c>
      <c r="U105">
        <f>HYPERLINK("https://klasma.github.io/Logging_2161/knärot/A 25953-2023 karta knärot.png", "A 25953-2023")</f>
        <v/>
      </c>
      <c r="V105">
        <f>HYPERLINK("https://klasma.github.io/Logging_2161/klagomål/A 25953-2023 FSC-klagomål.docx", "A 25953-2023")</f>
        <v/>
      </c>
      <c r="W105">
        <f>HYPERLINK("https://klasma.github.io/Logging_2161/klagomålsmail/A 25953-2023 FSC-klagomål mail.docx", "A 25953-2023")</f>
        <v/>
      </c>
      <c r="X105">
        <f>HYPERLINK("https://klasma.github.io/Logging_2161/tillsyn/A 25953-2023 tillsynsbegäran.docx", "A 25953-2023")</f>
        <v/>
      </c>
      <c r="Y105">
        <f>HYPERLINK("https://klasma.github.io/Logging_2161/tillsynsmail/A 25953-2023 tillsynsbegäran mail.docx", "A 25953-2023")</f>
        <v/>
      </c>
      <c r="Z105">
        <f>HYPERLINK("https://klasma.github.io/Logging_2161/fåglar/A 25953-2023 prioriterade fågelarter.docx", "A 25953-2023")</f>
        <v/>
      </c>
    </row>
    <row r="106" ht="15" customHeight="1">
      <c r="A106" t="inlineStr">
        <is>
          <t>A 47142-2023</t>
        </is>
      </c>
      <c r="B106" s="1" t="n">
        <v>45201</v>
      </c>
      <c r="C106" s="1" t="n">
        <v>45587</v>
      </c>
      <c r="D106" t="inlineStr">
        <is>
          <t>GÄVLEBORGS LÄN</t>
        </is>
      </c>
      <c r="E106" t="inlineStr">
        <is>
          <t>LJUSDAL</t>
        </is>
      </c>
      <c r="F106" t="inlineStr">
        <is>
          <t>Sveaskog</t>
        </is>
      </c>
      <c r="G106" t="n">
        <v>2.8</v>
      </c>
      <c r="H106" t="n">
        <v>1</v>
      </c>
      <c r="I106" t="n">
        <v>2</v>
      </c>
      <c r="J106" t="n">
        <v>3</v>
      </c>
      <c r="K106" t="n">
        <v>0</v>
      </c>
      <c r="L106" t="n">
        <v>0</v>
      </c>
      <c r="M106" t="n">
        <v>0</v>
      </c>
      <c r="N106" t="n">
        <v>0</v>
      </c>
      <c r="O106" t="n">
        <v>3</v>
      </c>
      <c r="P106" t="n">
        <v>0</v>
      </c>
      <c r="Q106" t="n">
        <v>5</v>
      </c>
      <c r="R106" s="2" t="inlineStr">
        <is>
          <t>Garnlav
Kolflarnlav
Lunglav
Gullgröppa
Plattlummer</t>
        </is>
      </c>
      <c r="S106">
        <f>HYPERLINK("https://klasma.github.io/Logging_2161/artfynd/A 47142-2023 artfynd.xlsx", "A 47142-2023")</f>
        <v/>
      </c>
      <c r="T106">
        <f>HYPERLINK("https://klasma.github.io/Logging_2161/kartor/A 47142-2023 karta.png", "A 47142-2023")</f>
        <v/>
      </c>
      <c r="V106">
        <f>HYPERLINK("https://klasma.github.io/Logging_2161/klagomål/A 47142-2023 FSC-klagomål.docx", "A 47142-2023")</f>
        <v/>
      </c>
      <c r="W106">
        <f>HYPERLINK("https://klasma.github.io/Logging_2161/klagomålsmail/A 47142-2023 FSC-klagomål mail.docx", "A 47142-2023")</f>
        <v/>
      </c>
      <c r="X106">
        <f>HYPERLINK("https://klasma.github.io/Logging_2161/tillsyn/A 47142-2023 tillsynsbegäran.docx", "A 47142-2023")</f>
        <v/>
      </c>
      <c r="Y106">
        <f>HYPERLINK("https://klasma.github.io/Logging_2161/tillsynsmail/A 47142-2023 tillsynsbegäran mail.docx", "A 47142-2023")</f>
        <v/>
      </c>
    </row>
    <row r="107" ht="15" customHeight="1">
      <c r="A107" t="inlineStr">
        <is>
          <t>A 49799-2023</t>
        </is>
      </c>
      <c r="B107" s="1" t="n">
        <v>45212</v>
      </c>
      <c r="C107" s="1" t="n">
        <v>45587</v>
      </c>
      <c r="D107" t="inlineStr">
        <is>
          <t>GÄVLEBORGS LÄN</t>
        </is>
      </c>
      <c r="E107" t="inlineStr">
        <is>
          <t>HUDIKSVALL</t>
        </is>
      </c>
      <c r="G107" t="n">
        <v>4</v>
      </c>
      <c r="H107" t="n">
        <v>0</v>
      </c>
      <c r="I107" t="n">
        <v>1</v>
      </c>
      <c r="J107" t="n">
        <v>4</v>
      </c>
      <c r="K107" t="n">
        <v>0</v>
      </c>
      <c r="L107" t="n">
        <v>0</v>
      </c>
      <c r="M107" t="n">
        <v>0</v>
      </c>
      <c r="N107" t="n">
        <v>0</v>
      </c>
      <c r="O107" t="n">
        <v>4</v>
      </c>
      <c r="P107" t="n">
        <v>0</v>
      </c>
      <c r="Q107" t="n">
        <v>5</v>
      </c>
      <c r="R107" s="2" t="inlineStr">
        <is>
          <t>Rosenticka
Ullticka
Violettgrå tagellav
Vitgrynig nållav
Vedticka</t>
        </is>
      </c>
      <c r="S107">
        <f>HYPERLINK("https://klasma.github.io/Logging_2184/artfynd/A 49799-2023 artfynd.xlsx", "A 49799-2023")</f>
        <v/>
      </c>
      <c r="T107">
        <f>HYPERLINK("https://klasma.github.io/Logging_2184/kartor/A 49799-2023 karta.png", "A 49799-2023")</f>
        <v/>
      </c>
      <c r="V107">
        <f>HYPERLINK("https://klasma.github.io/Logging_2184/klagomål/A 49799-2023 FSC-klagomål.docx", "A 49799-2023")</f>
        <v/>
      </c>
      <c r="W107">
        <f>HYPERLINK("https://klasma.github.io/Logging_2184/klagomålsmail/A 49799-2023 FSC-klagomål mail.docx", "A 49799-2023")</f>
        <v/>
      </c>
      <c r="X107">
        <f>HYPERLINK("https://klasma.github.io/Logging_2184/tillsyn/A 49799-2023 tillsynsbegäran.docx", "A 49799-2023")</f>
        <v/>
      </c>
      <c r="Y107">
        <f>HYPERLINK("https://klasma.github.io/Logging_2184/tillsynsmail/A 49799-2023 tillsynsbegäran mail.docx", "A 49799-2023")</f>
        <v/>
      </c>
    </row>
    <row r="108" ht="15" customHeight="1">
      <c r="A108" t="inlineStr">
        <is>
          <t>A 51955-2023</t>
        </is>
      </c>
      <c r="B108" s="1" t="n">
        <v>45223</v>
      </c>
      <c r="C108" s="1" t="n">
        <v>45587</v>
      </c>
      <c r="D108" t="inlineStr">
        <is>
          <t>GÄVLEBORGS LÄN</t>
        </is>
      </c>
      <c r="E108" t="inlineStr">
        <is>
          <t>LJUSDAL</t>
        </is>
      </c>
      <c r="F108" t="inlineStr">
        <is>
          <t>Sveaskog</t>
        </is>
      </c>
      <c r="G108" t="n">
        <v>33.5</v>
      </c>
      <c r="H108" t="n">
        <v>0</v>
      </c>
      <c r="I108" t="n">
        <v>1</v>
      </c>
      <c r="J108" t="n">
        <v>3</v>
      </c>
      <c r="K108" t="n">
        <v>1</v>
      </c>
      <c r="L108" t="n">
        <v>0</v>
      </c>
      <c r="M108" t="n">
        <v>0</v>
      </c>
      <c r="N108" t="n">
        <v>0</v>
      </c>
      <c r="O108" t="n">
        <v>4</v>
      </c>
      <c r="P108" t="n">
        <v>1</v>
      </c>
      <c r="Q108" t="n">
        <v>5</v>
      </c>
      <c r="R108" s="2" t="inlineStr">
        <is>
          <t>Gräddporing
Kolflarnlav
Mörk kolflarnlav
Vedflamlav
Dropptaggsvamp</t>
        </is>
      </c>
      <c r="S108">
        <f>HYPERLINK("https://klasma.github.io/Logging_2161/artfynd/A 51955-2023 artfynd.xlsx", "A 51955-2023")</f>
        <v/>
      </c>
      <c r="T108">
        <f>HYPERLINK("https://klasma.github.io/Logging_2161/kartor/A 51955-2023 karta.png", "A 51955-2023")</f>
        <v/>
      </c>
      <c r="V108">
        <f>HYPERLINK("https://klasma.github.io/Logging_2161/klagomål/A 51955-2023 FSC-klagomål.docx", "A 51955-2023")</f>
        <v/>
      </c>
      <c r="W108">
        <f>HYPERLINK("https://klasma.github.io/Logging_2161/klagomålsmail/A 51955-2023 FSC-klagomål mail.docx", "A 51955-2023")</f>
        <v/>
      </c>
      <c r="X108">
        <f>HYPERLINK("https://klasma.github.io/Logging_2161/tillsyn/A 51955-2023 tillsynsbegäran.docx", "A 51955-2023")</f>
        <v/>
      </c>
      <c r="Y108">
        <f>HYPERLINK("https://klasma.github.io/Logging_2161/tillsynsmail/A 51955-2023 tillsynsbegäran mail.docx", "A 51955-2023")</f>
        <v/>
      </c>
    </row>
    <row r="109" ht="15" customHeight="1">
      <c r="A109" t="inlineStr">
        <is>
          <t>A 1101-2024</t>
        </is>
      </c>
      <c r="B109" s="1" t="n">
        <v>45302</v>
      </c>
      <c r="C109" s="1" t="n">
        <v>45587</v>
      </c>
      <c r="D109" t="inlineStr">
        <is>
          <t>GÄVLEBORGS LÄN</t>
        </is>
      </c>
      <c r="E109" t="inlineStr">
        <is>
          <t>GÄVLE</t>
        </is>
      </c>
      <c r="F109" t="inlineStr">
        <is>
          <t>Bergvik skog väst AB</t>
        </is>
      </c>
      <c r="G109" t="n">
        <v>6.5</v>
      </c>
      <c r="H109" t="n">
        <v>0</v>
      </c>
      <c r="I109" t="n">
        <v>1</v>
      </c>
      <c r="J109" t="n">
        <v>4</v>
      </c>
      <c r="K109" t="n">
        <v>0</v>
      </c>
      <c r="L109" t="n">
        <v>0</v>
      </c>
      <c r="M109" t="n">
        <v>0</v>
      </c>
      <c r="N109" t="n">
        <v>0</v>
      </c>
      <c r="O109" t="n">
        <v>4</v>
      </c>
      <c r="P109" t="n">
        <v>0</v>
      </c>
      <c r="Q109" t="n">
        <v>5</v>
      </c>
      <c r="R109" s="2" t="inlineStr">
        <is>
          <t>Blanksvart spiklav
Svartvit taggsvamp
Vedskivlav
Vedtrappmossa
Dropptaggsvamp</t>
        </is>
      </c>
      <c r="S109">
        <f>HYPERLINK("https://klasma.github.io/Logging_2180/artfynd/A 1101-2024 artfynd.xlsx", "A 1101-2024")</f>
        <v/>
      </c>
      <c r="T109">
        <f>HYPERLINK("https://klasma.github.io/Logging_2180/kartor/A 1101-2024 karta.png", "A 1101-2024")</f>
        <v/>
      </c>
      <c r="V109">
        <f>HYPERLINK("https://klasma.github.io/Logging_2180/klagomål/A 1101-2024 FSC-klagomål.docx", "A 1101-2024")</f>
        <v/>
      </c>
      <c r="W109">
        <f>HYPERLINK("https://klasma.github.io/Logging_2180/klagomålsmail/A 1101-2024 FSC-klagomål mail.docx", "A 1101-2024")</f>
        <v/>
      </c>
      <c r="X109">
        <f>HYPERLINK("https://klasma.github.io/Logging_2180/tillsyn/A 1101-2024 tillsynsbegäran.docx", "A 1101-2024")</f>
        <v/>
      </c>
      <c r="Y109">
        <f>HYPERLINK("https://klasma.github.io/Logging_2180/tillsynsmail/A 1101-2024 tillsynsbegäran mail.docx", "A 1101-2024")</f>
        <v/>
      </c>
    </row>
    <row r="110" ht="15" customHeight="1">
      <c r="A110" t="inlineStr">
        <is>
          <t>A 6077-2024</t>
        </is>
      </c>
      <c r="B110" s="1" t="n">
        <v>45336</v>
      </c>
      <c r="C110" s="1" t="n">
        <v>45587</v>
      </c>
      <c r="D110" t="inlineStr">
        <is>
          <t>GÄVLEBORGS LÄN</t>
        </is>
      </c>
      <c r="E110" t="inlineStr">
        <is>
          <t>LJUSDAL</t>
        </is>
      </c>
      <c r="G110" t="n">
        <v>11.6</v>
      </c>
      <c r="H110" t="n">
        <v>0</v>
      </c>
      <c r="I110" t="n">
        <v>2</v>
      </c>
      <c r="J110" t="n">
        <v>3</v>
      </c>
      <c r="K110" t="n">
        <v>0</v>
      </c>
      <c r="L110" t="n">
        <v>0</v>
      </c>
      <c r="M110" t="n">
        <v>0</v>
      </c>
      <c r="N110" t="n">
        <v>0</v>
      </c>
      <c r="O110" t="n">
        <v>3</v>
      </c>
      <c r="P110" t="n">
        <v>0</v>
      </c>
      <c r="Q110" t="n">
        <v>5</v>
      </c>
      <c r="R110" s="2" t="inlineStr">
        <is>
          <t>Gränsticka
Rosenticka
Ullticka
Skinnlav
Stuplav</t>
        </is>
      </c>
      <c r="S110">
        <f>HYPERLINK("https://klasma.github.io/Logging_2161/artfynd/A 6077-2024 artfynd.xlsx", "A 6077-2024")</f>
        <v/>
      </c>
      <c r="T110">
        <f>HYPERLINK("https://klasma.github.io/Logging_2161/kartor/A 6077-2024 karta.png", "A 6077-2024")</f>
        <v/>
      </c>
      <c r="V110">
        <f>HYPERLINK("https://klasma.github.io/Logging_2161/klagomål/A 6077-2024 FSC-klagomål.docx", "A 6077-2024")</f>
        <v/>
      </c>
      <c r="W110">
        <f>HYPERLINK("https://klasma.github.io/Logging_2161/klagomålsmail/A 6077-2024 FSC-klagomål mail.docx", "A 6077-2024")</f>
        <v/>
      </c>
      <c r="X110">
        <f>HYPERLINK("https://klasma.github.io/Logging_2161/tillsyn/A 6077-2024 tillsynsbegäran.docx", "A 6077-2024")</f>
        <v/>
      </c>
      <c r="Y110">
        <f>HYPERLINK("https://klasma.github.io/Logging_2161/tillsynsmail/A 6077-2024 tillsynsbegäran mail.docx", "A 6077-2024")</f>
        <v/>
      </c>
    </row>
    <row r="111" ht="15" customHeight="1">
      <c r="A111" t="inlineStr">
        <is>
          <t>A 22635-2024</t>
        </is>
      </c>
      <c r="B111" s="1" t="n">
        <v>45447</v>
      </c>
      <c r="C111" s="1" t="n">
        <v>45587</v>
      </c>
      <c r="D111" t="inlineStr">
        <is>
          <t>GÄVLEBORGS LÄN</t>
        </is>
      </c>
      <c r="E111" t="inlineStr">
        <is>
          <t>LJUSDAL</t>
        </is>
      </c>
      <c r="F111" t="inlineStr">
        <is>
          <t>Bergvik skog väst AB</t>
        </is>
      </c>
      <c r="G111" t="n">
        <v>5.1</v>
      </c>
      <c r="H111" t="n">
        <v>0</v>
      </c>
      <c r="I111" t="n">
        <v>2</v>
      </c>
      <c r="J111" t="n">
        <v>2</v>
      </c>
      <c r="K111" t="n">
        <v>1</v>
      </c>
      <c r="L111" t="n">
        <v>0</v>
      </c>
      <c r="M111" t="n">
        <v>0</v>
      </c>
      <c r="N111" t="n">
        <v>0</v>
      </c>
      <c r="O111" t="n">
        <v>3</v>
      </c>
      <c r="P111" t="n">
        <v>1</v>
      </c>
      <c r="Q111" t="n">
        <v>5</v>
      </c>
      <c r="R111" s="2" t="inlineStr">
        <is>
          <t>Rynkskinn
Rosenticka
Ullticka
Skör kvastmossa
Stor aspticka</t>
        </is>
      </c>
      <c r="S111">
        <f>HYPERLINK("https://klasma.github.io/Logging_2161/artfynd/A 22635-2024 artfynd.xlsx", "A 22635-2024")</f>
        <v/>
      </c>
      <c r="T111">
        <f>HYPERLINK("https://klasma.github.io/Logging_2161/kartor/A 22635-2024 karta.png", "A 22635-2024")</f>
        <v/>
      </c>
      <c r="V111">
        <f>HYPERLINK("https://klasma.github.io/Logging_2161/klagomål/A 22635-2024 FSC-klagomål.docx", "A 22635-2024")</f>
        <v/>
      </c>
      <c r="W111">
        <f>HYPERLINK("https://klasma.github.io/Logging_2161/klagomålsmail/A 22635-2024 FSC-klagomål mail.docx", "A 22635-2024")</f>
        <v/>
      </c>
      <c r="X111">
        <f>HYPERLINK("https://klasma.github.io/Logging_2161/tillsyn/A 22635-2024 tillsynsbegäran.docx", "A 22635-2024")</f>
        <v/>
      </c>
      <c r="Y111">
        <f>HYPERLINK("https://klasma.github.io/Logging_2161/tillsynsmail/A 22635-2024 tillsynsbegäran mail.docx", "A 22635-2024")</f>
        <v/>
      </c>
    </row>
    <row r="112" ht="15" customHeight="1">
      <c r="A112" t="inlineStr">
        <is>
          <t>A 23581-2024</t>
        </is>
      </c>
      <c r="B112" s="1" t="n">
        <v>45454</v>
      </c>
      <c r="C112" s="1" t="n">
        <v>45587</v>
      </c>
      <c r="D112" t="inlineStr">
        <is>
          <t>GÄVLEBORGS LÄN</t>
        </is>
      </c>
      <c r="E112" t="inlineStr">
        <is>
          <t>OVANÅKER</t>
        </is>
      </c>
      <c r="F112" t="inlineStr">
        <is>
          <t>Sveaskog</t>
        </is>
      </c>
      <c r="G112" t="n">
        <v>9.199999999999999</v>
      </c>
      <c r="H112" t="n">
        <v>3</v>
      </c>
      <c r="I112" t="n">
        <v>2</v>
      </c>
      <c r="J112" t="n">
        <v>2</v>
      </c>
      <c r="K112" t="n">
        <v>1</v>
      </c>
      <c r="L112" t="n">
        <v>0</v>
      </c>
      <c r="M112" t="n">
        <v>0</v>
      </c>
      <c r="N112" t="n">
        <v>0</v>
      </c>
      <c r="O112" t="n">
        <v>3</v>
      </c>
      <c r="P112" t="n">
        <v>1</v>
      </c>
      <c r="Q112" t="n">
        <v>5</v>
      </c>
      <c r="R112" s="2" t="inlineStr">
        <is>
          <t>Knärot
Mörk kolflarnlav
Spillkråka
Korallrot
Stuplav</t>
        </is>
      </c>
      <c r="S112">
        <f>HYPERLINK("https://klasma.github.io/Logging_2121/artfynd/A 23581-2024 artfynd.xlsx", "A 23581-2024")</f>
        <v/>
      </c>
      <c r="T112">
        <f>HYPERLINK("https://klasma.github.io/Logging_2121/kartor/A 23581-2024 karta.png", "A 23581-2024")</f>
        <v/>
      </c>
      <c r="U112">
        <f>HYPERLINK("https://klasma.github.io/Logging_2121/knärot/A 23581-2024 karta knärot.png", "A 23581-2024")</f>
        <v/>
      </c>
      <c r="V112">
        <f>HYPERLINK("https://klasma.github.io/Logging_2121/klagomål/A 23581-2024 FSC-klagomål.docx", "A 23581-2024")</f>
        <v/>
      </c>
      <c r="W112">
        <f>HYPERLINK("https://klasma.github.io/Logging_2121/klagomålsmail/A 23581-2024 FSC-klagomål mail.docx", "A 23581-2024")</f>
        <v/>
      </c>
      <c r="X112">
        <f>HYPERLINK("https://klasma.github.io/Logging_2121/tillsyn/A 23581-2024 tillsynsbegäran.docx", "A 23581-2024")</f>
        <v/>
      </c>
      <c r="Y112">
        <f>HYPERLINK("https://klasma.github.io/Logging_2121/tillsynsmail/A 23581-2024 tillsynsbegäran mail.docx", "A 23581-2024")</f>
        <v/>
      </c>
      <c r="Z112">
        <f>HYPERLINK("https://klasma.github.io/Logging_2121/fåglar/A 23581-2024 prioriterade fågelarter.docx", "A 23581-2024")</f>
        <v/>
      </c>
    </row>
    <row r="113" ht="15" customHeight="1">
      <c r="A113" t="inlineStr">
        <is>
          <t>A 34839-2024</t>
        </is>
      </c>
      <c r="B113" s="1" t="n">
        <v>45526</v>
      </c>
      <c r="C113" s="1" t="n">
        <v>45587</v>
      </c>
      <c r="D113" t="inlineStr">
        <is>
          <t>GÄVLEBORGS LÄN</t>
        </is>
      </c>
      <c r="E113" t="inlineStr">
        <is>
          <t>LJUSDAL</t>
        </is>
      </c>
      <c r="F113" t="inlineStr">
        <is>
          <t>Sveaskog</t>
        </is>
      </c>
      <c r="G113" t="n">
        <v>24.8</v>
      </c>
      <c r="H113" t="n">
        <v>1</v>
      </c>
      <c r="I113" t="n">
        <v>2</v>
      </c>
      <c r="J113" t="n">
        <v>3</v>
      </c>
      <c r="K113" t="n">
        <v>0</v>
      </c>
      <c r="L113" t="n">
        <v>0</v>
      </c>
      <c r="M113" t="n">
        <v>0</v>
      </c>
      <c r="N113" t="n">
        <v>0</v>
      </c>
      <c r="O113" t="n">
        <v>3</v>
      </c>
      <c r="P113" t="n">
        <v>0</v>
      </c>
      <c r="Q113" t="n">
        <v>5</v>
      </c>
      <c r="R113" s="2" t="inlineStr">
        <is>
          <t>Garnlav
Kolflarnlav
Vedflamlav
Plattlummer
Sotlav</t>
        </is>
      </c>
      <c r="S113">
        <f>HYPERLINK("https://klasma.github.io/Logging_2161/artfynd/A 34839-2024 artfynd.xlsx", "A 34839-2024")</f>
        <v/>
      </c>
      <c r="T113">
        <f>HYPERLINK("https://klasma.github.io/Logging_2161/kartor/A 34839-2024 karta.png", "A 34839-2024")</f>
        <v/>
      </c>
      <c r="V113">
        <f>HYPERLINK("https://klasma.github.io/Logging_2161/klagomål/A 34839-2024 FSC-klagomål.docx", "A 34839-2024")</f>
        <v/>
      </c>
      <c r="W113">
        <f>HYPERLINK("https://klasma.github.io/Logging_2161/klagomålsmail/A 34839-2024 FSC-klagomål mail.docx", "A 34839-2024")</f>
        <v/>
      </c>
      <c r="X113">
        <f>HYPERLINK("https://klasma.github.io/Logging_2161/tillsyn/A 34839-2024 tillsynsbegäran.docx", "A 34839-2024")</f>
        <v/>
      </c>
      <c r="Y113">
        <f>HYPERLINK("https://klasma.github.io/Logging_2161/tillsynsmail/A 34839-2024 tillsynsbegäran mail.docx", "A 34839-2024")</f>
        <v/>
      </c>
    </row>
    <row r="114" ht="15" customHeight="1">
      <c r="A114" t="inlineStr">
        <is>
          <t>A 47377-2019</t>
        </is>
      </c>
      <c r="B114" s="1" t="n">
        <v>43721</v>
      </c>
      <c r="C114" s="1" t="n">
        <v>45587</v>
      </c>
      <c r="D114" t="inlineStr">
        <is>
          <t>GÄVLEBORGS LÄN</t>
        </is>
      </c>
      <c r="E114" t="inlineStr">
        <is>
          <t>GÄVLE</t>
        </is>
      </c>
      <c r="F114" t="inlineStr">
        <is>
          <t>Bergvik skog öst AB</t>
        </is>
      </c>
      <c r="G114" t="n">
        <v>21.7</v>
      </c>
      <c r="H114" t="n">
        <v>0</v>
      </c>
      <c r="I114" t="n">
        <v>0</v>
      </c>
      <c r="J114" t="n">
        <v>4</v>
      </c>
      <c r="K114" t="n">
        <v>0</v>
      </c>
      <c r="L114" t="n">
        <v>0</v>
      </c>
      <c r="M114" t="n">
        <v>0</v>
      </c>
      <c r="N114" t="n">
        <v>0</v>
      </c>
      <c r="O114" t="n">
        <v>4</v>
      </c>
      <c r="P114" t="n">
        <v>0</v>
      </c>
      <c r="Q114" t="n">
        <v>4</v>
      </c>
      <c r="R114" s="2" t="inlineStr">
        <is>
          <t>Brunklöver
Kolflarnlav
Svävflugedagsvärmare
Violettkantad guldvinge</t>
        </is>
      </c>
      <c r="S114">
        <f>HYPERLINK("https://klasma.github.io/Logging_2180/artfynd/A 47377-2019 artfynd.xlsx", "A 47377-2019")</f>
        <v/>
      </c>
      <c r="T114">
        <f>HYPERLINK("https://klasma.github.io/Logging_2180/kartor/A 47377-2019 karta.png", "A 47377-2019")</f>
        <v/>
      </c>
      <c r="V114">
        <f>HYPERLINK("https://klasma.github.io/Logging_2180/klagomål/A 47377-2019 FSC-klagomål.docx", "A 47377-2019")</f>
        <v/>
      </c>
      <c r="W114">
        <f>HYPERLINK("https://klasma.github.io/Logging_2180/klagomålsmail/A 47377-2019 FSC-klagomål mail.docx", "A 47377-2019")</f>
        <v/>
      </c>
      <c r="X114">
        <f>HYPERLINK("https://klasma.github.io/Logging_2180/tillsyn/A 47377-2019 tillsynsbegäran.docx", "A 47377-2019")</f>
        <v/>
      </c>
      <c r="Y114">
        <f>HYPERLINK("https://klasma.github.io/Logging_2180/tillsynsmail/A 47377-2019 tillsynsbegäran mail.docx", "A 47377-2019")</f>
        <v/>
      </c>
    </row>
    <row r="115" ht="15" customHeight="1">
      <c r="A115" t="inlineStr">
        <is>
          <t>A 55426-2019</t>
        </is>
      </c>
      <c r="B115" s="1" t="n">
        <v>43756</v>
      </c>
      <c r="C115" s="1" t="n">
        <v>45587</v>
      </c>
      <c r="D115" t="inlineStr">
        <is>
          <t>GÄVLEBORGS LÄN</t>
        </is>
      </c>
      <c r="E115" t="inlineStr">
        <is>
          <t>SÖDERHAMN</t>
        </is>
      </c>
      <c r="G115" t="n">
        <v>2</v>
      </c>
      <c r="H115" t="n">
        <v>4</v>
      </c>
      <c r="I115" t="n">
        <v>0</v>
      </c>
      <c r="J115" t="n">
        <v>3</v>
      </c>
      <c r="K115" t="n">
        <v>0</v>
      </c>
      <c r="L115" t="n">
        <v>1</v>
      </c>
      <c r="M115" t="n">
        <v>0</v>
      </c>
      <c r="N115" t="n">
        <v>0</v>
      </c>
      <c r="O115" t="n">
        <v>4</v>
      </c>
      <c r="P115" t="n">
        <v>1</v>
      </c>
      <c r="Q115" t="n">
        <v>4</v>
      </c>
      <c r="R115" s="2" t="inlineStr">
        <is>
          <t>Tornseglare
Busksångare
Rödvingetrast
Skrattmås</t>
        </is>
      </c>
      <c r="S115">
        <f>HYPERLINK("https://klasma.github.io/Logging_2182/artfynd/A 55426-2019 artfynd.xlsx", "A 55426-2019")</f>
        <v/>
      </c>
      <c r="T115">
        <f>HYPERLINK("https://klasma.github.io/Logging_2182/kartor/A 55426-2019 karta.png", "A 55426-2019")</f>
        <v/>
      </c>
      <c r="V115">
        <f>HYPERLINK("https://klasma.github.io/Logging_2182/klagomål/A 55426-2019 FSC-klagomål.docx", "A 55426-2019")</f>
        <v/>
      </c>
      <c r="W115">
        <f>HYPERLINK("https://klasma.github.io/Logging_2182/klagomålsmail/A 55426-2019 FSC-klagomål mail.docx", "A 55426-2019")</f>
        <v/>
      </c>
      <c r="X115">
        <f>HYPERLINK("https://klasma.github.io/Logging_2182/tillsyn/A 55426-2019 tillsynsbegäran.docx", "A 55426-2019")</f>
        <v/>
      </c>
      <c r="Y115">
        <f>HYPERLINK("https://klasma.github.io/Logging_2182/tillsynsmail/A 55426-2019 tillsynsbegäran mail.docx", "A 55426-2019")</f>
        <v/>
      </c>
      <c r="Z115">
        <f>HYPERLINK("https://klasma.github.io/Logging_2182/fåglar/A 55426-2019 prioriterade fågelarter.docx", "A 55426-2019")</f>
        <v/>
      </c>
    </row>
    <row r="116" ht="15" customHeight="1">
      <c r="A116" t="inlineStr">
        <is>
          <t>A 7569-2020</t>
        </is>
      </c>
      <c r="B116" s="1" t="n">
        <v>43872</v>
      </c>
      <c r="C116" s="1" t="n">
        <v>45587</v>
      </c>
      <c r="D116" t="inlineStr">
        <is>
          <t>GÄVLEBORGS LÄN</t>
        </is>
      </c>
      <c r="E116" t="inlineStr">
        <is>
          <t>LJUSDAL</t>
        </is>
      </c>
      <c r="G116" t="n">
        <v>5.5</v>
      </c>
      <c r="H116" t="n">
        <v>0</v>
      </c>
      <c r="I116" t="n">
        <v>0</v>
      </c>
      <c r="J116" t="n">
        <v>4</v>
      </c>
      <c r="K116" t="n">
        <v>0</v>
      </c>
      <c r="L116" t="n">
        <v>0</v>
      </c>
      <c r="M116" t="n">
        <v>0</v>
      </c>
      <c r="N116" t="n">
        <v>0</v>
      </c>
      <c r="O116" t="n">
        <v>4</v>
      </c>
      <c r="P116" t="n">
        <v>0</v>
      </c>
      <c r="Q116" t="n">
        <v>4</v>
      </c>
      <c r="R116" s="2" t="inlineStr">
        <is>
          <t>Blanksvart spiklav
Garnlav
Mörk kolflarnlav
Skrovellav</t>
        </is>
      </c>
      <c r="S116">
        <f>HYPERLINK("https://klasma.github.io/Logging_2161/artfynd/A 7569-2020 artfynd.xlsx", "A 7569-2020")</f>
        <v/>
      </c>
      <c r="T116">
        <f>HYPERLINK("https://klasma.github.io/Logging_2161/kartor/A 7569-2020 karta.png", "A 7569-2020")</f>
        <v/>
      </c>
      <c r="V116">
        <f>HYPERLINK("https://klasma.github.io/Logging_2161/klagomål/A 7569-2020 FSC-klagomål.docx", "A 7569-2020")</f>
        <v/>
      </c>
      <c r="W116">
        <f>HYPERLINK("https://klasma.github.io/Logging_2161/klagomålsmail/A 7569-2020 FSC-klagomål mail.docx", "A 7569-2020")</f>
        <v/>
      </c>
      <c r="X116">
        <f>HYPERLINK("https://klasma.github.io/Logging_2161/tillsyn/A 7569-2020 tillsynsbegäran.docx", "A 7569-2020")</f>
        <v/>
      </c>
      <c r="Y116">
        <f>HYPERLINK("https://klasma.github.io/Logging_2161/tillsynsmail/A 7569-2020 tillsynsbegäran mail.docx", "A 7569-2020")</f>
        <v/>
      </c>
    </row>
    <row r="117" ht="15" customHeight="1">
      <c r="A117" t="inlineStr">
        <is>
          <t>A 33767-2020</t>
        </is>
      </c>
      <c r="B117" s="1" t="n">
        <v>44026</v>
      </c>
      <c r="C117" s="1" t="n">
        <v>45587</v>
      </c>
      <c r="D117" t="inlineStr">
        <is>
          <t>GÄVLEBORGS LÄN</t>
        </is>
      </c>
      <c r="E117" t="inlineStr">
        <is>
          <t>SÖDERHAMN</t>
        </is>
      </c>
      <c r="G117" t="n">
        <v>5.3</v>
      </c>
      <c r="H117" t="n">
        <v>3</v>
      </c>
      <c r="I117" t="n">
        <v>1</v>
      </c>
      <c r="J117" t="n">
        <v>1</v>
      </c>
      <c r="K117" t="n">
        <v>1</v>
      </c>
      <c r="L117" t="n">
        <v>0</v>
      </c>
      <c r="M117" t="n">
        <v>0</v>
      </c>
      <c r="N117" t="n">
        <v>0</v>
      </c>
      <c r="O117" t="n">
        <v>2</v>
      </c>
      <c r="P117" t="n">
        <v>1</v>
      </c>
      <c r="Q117" t="n">
        <v>4</v>
      </c>
      <c r="R117" s="2" t="inlineStr">
        <is>
          <t>Knärot
Spillkråka
Bollvitmossa
Revlummer</t>
        </is>
      </c>
      <c r="S117">
        <f>HYPERLINK("https://klasma.github.io/Logging_2182/artfynd/A 33767-2020 artfynd.xlsx", "A 33767-2020")</f>
        <v/>
      </c>
      <c r="T117">
        <f>HYPERLINK("https://klasma.github.io/Logging_2182/kartor/A 33767-2020 karta.png", "A 33767-2020")</f>
        <v/>
      </c>
      <c r="U117">
        <f>HYPERLINK("https://klasma.github.io/Logging_2182/knärot/A 33767-2020 karta knärot.png", "A 33767-2020")</f>
        <v/>
      </c>
      <c r="V117">
        <f>HYPERLINK("https://klasma.github.io/Logging_2182/klagomål/A 33767-2020 FSC-klagomål.docx", "A 33767-2020")</f>
        <v/>
      </c>
      <c r="W117">
        <f>HYPERLINK("https://klasma.github.io/Logging_2182/klagomålsmail/A 33767-2020 FSC-klagomål mail.docx", "A 33767-2020")</f>
        <v/>
      </c>
      <c r="X117">
        <f>HYPERLINK("https://klasma.github.io/Logging_2182/tillsyn/A 33767-2020 tillsynsbegäran.docx", "A 33767-2020")</f>
        <v/>
      </c>
      <c r="Y117">
        <f>HYPERLINK("https://klasma.github.io/Logging_2182/tillsynsmail/A 33767-2020 tillsynsbegäran mail.docx", "A 33767-2020")</f>
        <v/>
      </c>
      <c r="Z117">
        <f>HYPERLINK("https://klasma.github.io/Logging_2182/fåglar/A 33767-2020 prioriterade fågelarter.docx", "A 33767-2020")</f>
        <v/>
      </c>
    </row>
    <row r="118" ht="15" customHeight="1">
      <c r="A118" t="inlineStr">
        <is>
          <t>A 45074-2020</t>
        </is>
      </c>
      <c r="B118" s="1" t="n">
        <v>44088</v>
      </c>
      <c r="C118" s="1" t="n">
        <v>45587</v>
      </c>
      <c r="D118" t="inlineStr">
        <is>
          <t>GÄVLEBORGS LÄN</t>
        </is>
      </c>
      <c r="E118" t="inlineStr">
        <is>
          <t>OCKELBO</t>
        </is>
      </c>
      <c r="G118" t="n">
        <v>3.8</v>
      </c>
      <c r="H118" t="n">
        <v>0</v>
      </c>
      <c r="I118" t="n">
        <v>0</v>
      </c>
      <c r="J118" t="n">
        <v>3</v>
      </c>
      <c r="K118" t="n">
        <v>1</v>
      </c>
      <c r="L118" t="n">
        <v>0</v>
      </c>
      <c r="M118" t="n">
        <v>0</v>
      </c>
      <c r="N118" t="n">
        <v>0</v>
      </c>
      <c r="O118" t="n">
        <v>4</v>
      </c>
      <c r="P118" t="n">
        <v>1</v>
      </c>
      <c r="Q118" t="n">
        <v>4</v>
      </c>
      <c r="R118" s="2" t="inlineStr">
        <is>
          <t>Ostticka
Tallticka
Ullticka
Vedskivlav</t>
        </is>
      </c>
      <c r="S118">
        <f>HYPERLINK("https://klasma.github.io/Logging_2101/artfynd/A 45074-2020 artfynd.xlsx", "A 45074-2020")</f>
        <v/>
      </c>
      <c r="T118">
        <f>HYPERLINK("https://klasma.github.io/Logging_2101/kartor/A 45074-2020 karta.png", "A 45074-2020")</f>
        <v/>
      </c>
      <c r="V118">
        <f>HYPERLINK("https://klasma.github.io/Logging_2101/klagomål/A 45074-2020 FSC-klagomål.docx", "A 45074-2020")</f>
        <v/>
      </c>
      <c r="W118">
        <f>HYPERLINK("https://klasma.github.io/Logging_2101/klagomålsmail/A 45074-2020 FSC-klagomål mail.docx", "A 45074-2020")</f>
        <v/>
      </c>
      <c r="X118">
        <f>HYPERLINK("https://klasma.github.io/Logging_2101/tillsyn/A 45074-2020 tillsynsbegäran.docx", "A 45074-2020")</f>
        <v/>
      </c>
      <c r="Y118">
        <f>HYPERLINK("https://klasma.github.io/Logging_2101/tillsynsmail/A 45074-2020 tillsynsbegäran mail.docx", "A 45074-2020")</f>
        <v/>
      </c>
    </row>
    <row r="119" ht="15" customHeight="1">
      <c r="A119" t="inlineStr">
        <is>
          <t>A 50160-2020</t>
        </is>
      </c>
      <c r="B119" s="1" t="n">
        <v>44109</v>
      </c>
      <c r="C119" s="1" t="n">
        <v>45587</v>
      </c>
      <c r="D119" t="inlineStr">
        <is>
          <t>GÄVLEBORGS LÄN</t>
        </is>
      </c>
      <c r="E119" t="inlineStr">
        <is>
          <t>HUDIKSVALL</t>
        </is>
      </c>
      <c r="G119" t="n">
        <v>1.8</v>
      </c>
      <c r="H119" t="n">
        <v>1</v>
      </c>
      <c r="I119" t="n">
        <v>1</v>
      </c>
      <c r="J119" t="n">
        <v>2</v>
      </c>
      <c r="K119" t="n">
        <v>0</v>
      </c>
      <c r="L119" t="n">
        <v>0</v>
      </c>
      <c r="M119" t="n">
        <v>0</v>
      </c>
      <c r="N119" t="n">
        <v>0</v>
      </c>
      <c r="O119" t="n">
        <v>2</v>
      </c>
      <c r="P119" t="n">
        <v>0</v>
      </c>
      <c r="Q119" t="n">
        <v>4</v>
      </c>
      <c r="R119" s="2" t="inlineStr">
        <is>
          <t>Gammelgransskål
Garnlav
Bollvitmossa
Revlummer</t>
        </is>
      </c>
      <c r="S119">
        <f>HYPERLINK("https://klasma.github.io/Logging_2184/artfynd/A 50160-2020 artfynd.xlsx", "A 50160-2020")</f>
        <v/>
      </c>
      <c r="T119">
        <f>HYPERLINK("https://klasma.github.io/Logging_2184/kartor/A 50160-2020 karta.png", "A 50160-2020")</f>
        <v/>
      </c>
      <c r="V119">
        <f>HYPERLINK("https://klasma.github.io/Logging_2184/klagomål/A 50160-2020 FSC-klagomål.docx", "A 50160-2020")</f>
        <v/>
      </c>
      <c r="W119">
        <f>HYPERLINK("https://klasma.github.io/Logging_2184/klagomålsmail/A 50160-2020 FSC-klagomål mail.docx", "A 50160-2020")</f>
        <v/>
      </c>
      <c r="X119">
        <f>HYPERLINK("https://klasma.github.io/Logging_2184/tillsyn/A 50160-2020 tillsynsbegäran.docx", "A 50160-2020")</f>
        <v/>
      </c>
      <c r="Y119">
        <f>HYPERLINK("https://klasma.github.io/Logging_2184/tillsynsmail/A 50160-2020 tillsynsbegäran mail.docx", "A 50160-2020")</f>
        <v/>
      </c>
    </row>
    <row r="120" ht="15" customHeight="1">
      <c r="A120" t="inlineStr">
        <is>
          <t>A 48181-2021</t>
        </is>
      </c>
      <c r="B120" s="1" t="n">
        <v>44449</v>
      </c>
      <c r="C120" s="1" t="n">
        <v>45587</v>
      </c>
      <c r="D120" t="inlineStr">
        <is>
          <t>GÄVLEBORGS LÄN</t>
        </is>
      </c>
      <c r="E120" t="inlineStr">
        <is>
          <t>LJUSDAL</t>
        </is>
      </c>
      <c r="F120" t="inlineStr">
        <is>
          <t>Sveaskog</t>
        </is>
      </c>
      <c r="G120" t="n">
        <v>3.9</v>
      </c>
      <c r="H120" t="n">
        <v>0</v>
      </c>
      <c r="I120" t="n">
        <v>1</v>
      </c>
      <c r="J120" t="n">
        <v>3</v>
      </c>
      <c r="K120" t="n">
        <v>0</v>
      </c>
      <c r="L120" t="n">
        <v>0</v>
      </c>
      <c r="M120" t="n">
        <v>0</v>
      </c>
      <c r="N120" t="n">
        <v>0</v>
      </c>
      <c r="O120" t="n">
        <v>3</v>
      </c>
      <c r="P120" t="n">
        <v>0</v>
      </c>
      <c r="Q120" t="n">
        <v>4</v>
      </c>
      <c r="R120" s="2" t="inlineStr">
        <is>
          <t>Garnlav
Kolflarnlav
Lunglav
Dropptaggsvamp</t>
        </is>
      </c>
      <c r="S120">
        <f>HYPERLINK("https://klasma.github.io/Logging_2161/artfynd/A 48181-2021 artfynd.xlsx", "A 48181-2021")</f>
        <v/>
      </c>
      <c r="T120">
        <f>HYPERLINK("https://klasma.github.io/Logging_2161/kartor/A 48181-2021 karta.png", "A 48181-2021")</f>
        <v/>
      </c>
      <c r="V120">
        <f>HYPERLINK("https://klasma.github.io/Logging_2161/klagomål/A 48181-2021 FSC-klagomål.docx", "A 48181-2021")</f>
        <v/>
      </c>
      <c r="W120">
        <f>HYPERLINK("https://klasma.github.io/Logging_2161/klagomålsmail/A 48181-2021 FSC-klagomål mail.docx", "A 48181-2021")</f>
        <v/>
      </c>
      <c r="X120">
        <f>HYPERLINK("https://klasma.github.io/Logging_2161/tillsyn/A 48181-2021 tillsynsbegäran.docx", "A 48181-2021")</f>
        <v/>
      </c>
      <c r="Y120">
        <f>HYPERLINK("https://klasma.github.io/Logging_2161/tillsynsmail/A 48181-2021 tillsynsbegäran mail.docx", "A 48181-2021")</f>
        <v/>
      </c>
    </row>
    <row r="121" ht="15" customHeight="1">
      <c r="A121" t="inlineStr">
        <is>
          <t>A 10969-2022</t>
        </is>
      </c>
      <c r="B121" s="1" t="n">
        <v>44628</v>
      </c>
      <c r="C121" s="1" t="n">
        <v>45587</v>
      </c>
      <c r="D121" t="inlineStr">
        <is>
          <t>GÄVLEBORGS LÄN</t>
        </is>
      </c>
      <c r="E121" t="inlineStr">
        <is>
          <t>HUDIKSVALL</t>
        </is>
      </c>
      <c r="F121" t="inlineStr">
        <is>
          <t>Holmen skog AB</t>
        </is>
      </c>
      <c r="G121" t="n">
        <v>5.7</v>
      </c>
      <c r="H121" t="n">
        <v>1</v>
      </c>
      <c r="I121" t="n">
        <v>1</v>
      </c>
      <c r="J121" t="n">
        <v>2</v>
      </c>
      <c r="K121" t="n">
        <v>0</v>
      </c>
      <c r="L121" t="n">
        <v>0</v>
      </c>
      <c r="M121" t="n">
        <v>0</v>
      </c>
      <c r="N121" t="n">
        <v>0</v>
      </c>
      <c r="O121" t="n">
        <v>2</v>
      </c>
      <c r="P121" t="n">
        <v>0</v>
      </c>
      <c r="Q121" t="n">
        <v>4</v>
      </c>
      <c r="R121" s="2" t="inlineStr">
        <is>
          <t>Garnlav
Lunglav
Bollvitmossa
Revlummer</t>
        </is>
      </c>
      <c r="S121">
        <f>HYPERLINK("https://klasma.github.io/Logging_2184/artfynd/A 10969-2022 artfynd.xlsx", "A 10969-2022")</f>
        <v/>
      </c>
      <c r="T121">
        <f>HYPERLINK("https://klasma.github.io/Logging_2184/kartor/A 10969-2022 karta.png", "A 10969-2022")</f>
        <v/>
      </c>
      <c r="V121">
        <f>HYPERLINK("https://klasma.github.io/Logging_2184/klagomål/A 10969-2022 FSC-klagomål.docx", "A 10969-2022")</f>
        <v/>
      </c>
      <c r="W121">
        <f>HYPERLINK("https://klasma.github.io/Logging_2184/klagomålsmail/A 10969-2022 FSC-klagomål mail.docx", "A 10969-2022")</f>
        <v/>
      </c>
      <c r="X121">
        <f>HYPERLINK("https://klasma.github.io/Logging_2184/tillsyn/A 10969-2022 tillsynsbegäran.docx", "A 10969-2022")</f>
        <v/>
      </c>
      <c r="Y121">
        <f>HYPERLINK("https://klasma.github.io/Logging_2184/tillsynsmail/A 10969-2022 tillsynsbegäran mail.docx", "A 10969-2022")</f>
        <v/>
      </c>
    </row>
    <row r="122" ht="15" customHeight="1">
      <c r="A122" t="inlineStr">
        <is>
          <t>A 18543-2022</t>
        </is>
      </c>
      <c r="B122" s="1" t="n">
        <v>44686</v>
      </c>
      <c r="C122" s="1" t="n">
        <v>45587</v>
      </c>
      <c r="D122" t="inlineStr">
        <is>
          <t>GÄVLEBORGS LÄN</t>
        </is>
      </c>
      <c r="E122" t="inlineStr">
        <is>
          <t>LJUSDAL</t>
        </is>
      </c>
      <c r="G122" t="n">
        <v>3.6</v>
      </c>
      <c r="H122" t="n">
        <v>1</v>
      </c>
      <c r="I122" t="n">
        <v>2</v>
      </c>
      <c r="J122" t="n">
        <v>1</v>
      </c>
      <c r="K122" t="n">
        <v>1</v>
      </c>
      <c r="L122" t="n">
        <v>0</v>
      </c>
      <c r="M122" t="n">
        <v>0</v>
      </c>
      <c r="N122" t="n">
        <v>0</v>
      </c>
      <c r="O122" t="n">
        <v>2</v>
      </c>
      <c r="P122" t="n">
        <v>1</v>
      </c>
      <c r="Q122" t="n">
        <v>4</v>
      </c>
      <c r="R122" s="2" t="inlineStr">
        <is>
          <t>Knärot
Vedtrappmossa
Bårdlav
Stuplav</t>
        </is>
      </c>
      <c r="S122">
        <f>HYPERLINK("https://klasma.github.io/Logging_2161/artfynd/A 18543-2022 artfynd.xlsx", "A 18543-2022")</f>
        <v/>
      </c>
      <c r="T122">
        <f>HYPERLINK("https://klasma.github.io/Logging_2161/kartor/A 18543-2022 karta.png", "A 18543-2022")</f>
        <v/>
      </c>
      <c r="U122">
        <f>HYPERLINK("https://klasma.github.io/Logging_2161/knärot/A 18543-2022 karta knärot.png", "A 18543-2022")</f>
        <v/>
      </c>
      <c r="V122">
        <f>HYPERLINK("https://klasma.github.io/Logging_2161/klagomål/A 18543-2022 FSC-klagomål.docx", "A 18543-2022")</f>
        <v/>
      </c>
      <c r="W122">
        <f>HYPERLINK("https://klasma.github.io/Logging_2161/klagomålsmail/A 18543-2022 FSC-klagomål mail.docx", "A 18543-2022")</f>
        <v/>
      </c>
      <c r="X122">
        <f>HYPERLINK("https://klasma.github.io/Logging_2161/tillsyn/A 18543-2022 tillsynsbegäran.docx", "A 18543-2022")</f>
        <v/>
      </c>
      <c r="Y122">
        <f>HYPERLINK("https://klasma.github.io/Logging_2161/tillsynsmail/A 18543-2022 tillsynsbegäran mail.docx", "A 18543-2022")</f>
        <v/>
      </c>
    </row>
    <row r="123" ht="15" customHeight="1">
      <c r="A123" t="inlineStr">
        <is>
          <t>A 18883-2022</t>
        </is>
      </c>
      <c r="B123" s="1" t="n">
        <v>44690</v>
      </c>
      <c r="C123" s="1" t="n">
        <v>45587</v>
      </c>
      <c r="D123" t="inlineStr">
        <is>
          <t>GÄVLEBORGS LÄN</t>
        </is>
      </c>
      <c r="E123" t="inlineStr">
        <is>
          <t>HUDIKSVALL</t>
        </is>
      </c>
      <c r="F123" t="inlineStr">
        <is>
          <t>Holmen skog AB</t>
        </is>
      </c>
      <c r="G123" t="n">
        <v>10.4</v>
      </c>
      <c r="H123" t="n">
        <v>2</v>
      </c>
      <c r="I123" t="n">
        <v>1</v>
      </c>
      <c r="J123" t="n">
        <v>1</v>
      </c>
      <c r="K123" t="n">
        <v>0</v>
      </c>
      <c r="L123" t="n">
        <v>0</v>
      </c>
      <c r="M123" t="n">
        <v>0</v>
      </c>
      <c r="N123" t="n">
        <v>0</v>
      </c>
      <c r="O123" t="n">
        <v>1</v>
      </c>
      <c r="P123" t="n">
        <v>0</v>
      </c>
      <c r="Q123" t="n">
        <v>4</v>
      </c>
      <c r="R123" s="2" t="inlineStr">
        <is>
          <t>Backruta
Ögonpyrola
Fläcknycklar
Gullviva</t>
        </is>
      </c>
      <c r="S123">
        <f>HYPERLINK("https://klasma.github.io/Logging_2184/artfynd/A 18883-2022 artfynd.xlsx", "A 18883-2022")</f>
        <v/>
      </c>
      <c r="T123">
        <f>HYPERLINK("https://klasma.github.io/Logging_2184/kartor/A 18883-2022 karta.png", "A 18883-2022")</f>
        <v/>
      </c>
      <c r="V123">
        <f>HYPERLINK("https://klasma.github.io/Logging_2184/klagomål/A 18883-2022 FSC-klagomål.docx", "A 18883-2022")</f>
        <v/>
      </c>
      <c r="W123">
        <f>HYPERLINK("https://klasma.github.io/Logging_2184/klagomålsmail/A 18883-2022 FSC-klagomål mail.docx", "A 18883-2022")</f>
        <v/>
      </c>
      <c r="X123">
        <f>HYPERLINK("https://klasma.github.io/Logging_2184/tillsyn/A 18883-2022 tillsynsbegäran.docx", "A 18883-2022")</f>
        <v/>
      </c>
      <c r="Y123">
        <f>HYPERLINK("https://klasma.github.io/Logging_2184/tillsynsmail/A 18883-2022 tillsynsbegäran mail.docx", "A 18883-2022")</f>
        <v/>
      </c>
    </row>
    <row r="124" ht="15" customHeight="1">
      <c r="A124" t="inlineStr">
        <is>
          <t>A 30311-2022</t>
        </is>
      </c>
      <c r="B124" s="1" t="n">
        <v>44760</v>
      </c>
      <c r="C124" s="1" t="n">
        <v>45587</v>
      </c>
      <c r="D124" t="inlineStr">
        <is>
          <t>GÄVLEBORGS LÄN</t>
        </is>
      </c>
      <c r="E124" t="inlineStr">
        <is>
          <t>LJUSDAL</t>
        </is>
      </c>
      <c r="F124" t="inlineStr">
        <is>
          <t>Bergvik skog väst AB</t>
        </is>
      </c>
      <c r="G124" t="n">
        <v>18.3</v>
      </c>
      <c r="H124" t="n">
        <v>0</v>
      </c>
      <c r="I124" t="n">
        <v>0</v>
      </c>
      <c r="J124" t="n">
        <v>4</v>
      </c>
      <c r="K124" t="n">
        <v>0</v>
      </c>
      <c r="L124" t="n">
        <v>0</v>
      </c>
      <c r="M124" t="n">
        <v>0</v>
      </c>
      <c r="N124" t="n">
        <v>0</v>
      </c>
      <c r="O124" t="n">
        <v>4</v>
      </c>
      <c r="P124" t="n">
        <v>0</v>
      </c>
      <c r="Q124" t="n">
        <v>4</v>
      </c>
      <c r="R124" s="2" t="inlineStr">
        <is>
          <t>Dvärgbägarlav
Mörk kolflarnlav
Vedflamlav
Vedskivlav</t>
        </is>
      </c>
      <c r="S124">
        <f>HYPERLINK("https://klasma.github.io/Logging_2161/artfynd/A 30311-2022 artfynd.xlsx", "A 30311-2022")</f>
        <v/>
      </c>
      <c r="T124">
        <f>HYPERLINK("https://klasma.github.io/Logging_2161/kartor/A 30311-2022 karta.png", "A 30311-2022")</f>
        <v/>
      </c>
      <c r="V124">
        <f>HYPERLINK("https://klasma.github.io/Logging_2161/klagomål/A 30311-2022 FSC-klagomål.docx", "A 30311-2022")</f>
        <v/>
      </c>
      <c r="W124">
        <f>HYPERLINK("https://klasma.github.io/Logging_2161/klagomålsmail/A 30311-2022 FSC-klagomål mail.docx", "A 30311-2022")</f>
        <v/>
      </c>
      <c r="X124">
        <f>HYPERLINK("https://klasma.github.io/Logging_2161/tillsyn/A 30311-2022 tillsynsbegäran.docx", "A 30311-2022")</f>
        <v/>
      </c>
      <c r="Y124">
        <f>HYPERLINK("https://klasma.github.io/Logging_2161/tillsynsmail/A 30311-2022 tillsynsbegäran mail.docx", "A 30311-2022")</f>
        <v/>
      </c>
    </row>
    <row r="125" ht="15" customHeight="1">
      <c r="A125" t="inlineStr">
        <is>
          <t>A 36301-2022</t>
        </is>
      </c>
      <c r="B125" s="1" t="n">
        <v>44803</v>
      </c>
      <c r="C125" s="1" t="n">
        <v>45587</v>
      </c>
      <c r="D125" t="inlineStr">
        <is>
          <t>GÄVLEBORGS LÄN</t>
        </is>
      </c>
      <c r="E125" t="inlineStr">
        <is>
          <t>LJUSDAL</t>
        </is>
      </c>
      <c r="F125" t="inlineStr">
        <is>
          <t>Sveaskog</t>
        </is>
      </c>
      <c r="G125" t="n">
        <v>7.1</v>
      </c>
      <c r="H125" t="n">
        <v>2</v>
      </c>
      <c r="I125" t="n">
        <v>1</v>
      </c>
      <c r="J125" t="n">
        <v>2</v>
      </c>
      <c r="K125" t="n">
        <v>1</v>
      </c>
      <c r="L125" t="n">
        <v>0</v>
      </c>
      <c r="M125" t="n">
        <v>0</v>
      </c>
      <c r="N125" t="n">
        <v>0</v>
      </c>
      <c r="O125" t="n">
        <v>3</v>
      </c>
      <c r="P125" t="n">
        <v>1</v>
      </c>
      <c r="Q125" t="n">
        <v>4</v>
      </c>
      <c r="R125" s="2" t="inlineStr">
        <is>
          <t>Knärot
Garnlav
Lunglav
Spindelblomster</t>
        </is>
      </c>
      <c r="S125">
        <f>HYPERLINK("https://klasma.github.io/Logging_2161/artfynd/A 36301-2022 artfynd.xlsx", "A 36301-2022")</f>
        <v/>
      </c>
      <c r="T125">
        <f>HYPERLINK("https://klasma.github.io/Logging_2161/kartor/A 36301-2022 karta.png", "A 36301-2022")</f>
        <v/>
      </c>
      <c r="U125">
        <f>HYPERLINK("https://klasma.github.io/Logging_2161/knärot/A 36301-2022 karta knärot.png", "A 36301-2022")</f>
        <v/>
      </c>
      <c r="V125">
        <f>HYPERLINK("https://klasma.github.io/Logging_2161/klagomål/A 36301-2022 FSC-klagomål.docx", "A 36301-2022")</f>
        <v/>
      </c>
      <c r="W125">
        <f>HYPERLINK("https://klasma.github.io/Logging_2161/klagomålsmail/A 36301-2022 FSC-klagomål mail.docx", "A 36301-2022")</f>
        <v/>
      </c>
      <c r="X125">
        <f>HYPERLINK("https://klasma.github.io/Logging_2161/tillsyn/A 36301-2022 tillsynsbegäran.docx", "A 36301-2022")</f>
        <v/>
      </c>
      <c r="Y125">
        <f>HYPERLINK("https://klasma.github.io/Logging_2161/tillsynsmail/A 36301-2022 tillsynsbegäran mail.docx", "A 36301-2022")</f>
        <v/>
      </c>
    </row>
    <row r="126" ht="15" customHeight="1">
      <c r="A126" t="inlineStr">
        <is>
          <t>A 44589-2022</t>
        </is>
      </c>
      <c r="B126" s="1" t="n">
        <v>44840</v>
      </c>
      <c r="C126" s="1" t="n">
        <v>45587</v>
      </c>
      <c r="D126" t="inlineStr">
        <is>
          <t>GÄVLEBORGS LÄN</t>
        </is>
      </c>
      <c r="E126" t="inlineStr">
        <is>
          <t>NORDANSTIG</t>
        </is>
      </c>
      <c r="F126" t="inlineStr">
        <is>
          <t>Holmen skog AB</t>
        </is>
      </c>
      <c r="G126" t="n">
        <v>8.199999999999999</v>
      </c>
      <c r="H126" t="n">
        <v>0</v>
      </c>
      <c r="I126" t="n">
        <v>1</v>
      </c>
      <c r="J126" t="n">
        <v>3</v>
      </c>
      <c r="K126" t="n">
        <v>0</v>
      </c>
      <c r="L126" t="n">
        <v>0</v>
      </c>
      <c r="M126" t="n">
        <v>0</v>
      </c>
      <c r="N126" t="n">
        <v>0</v>
      </c>
      <c r="O126" t="n">
        <v>3</v>
      </c>
      <c r="P126" t="n">
        <v>0</v>
      </c>
      <c r="Q126" t="n">
        <v>4</v>
      </c>
      <c r="R126" s="2" t="inlineStr">
        <is>
          <t>Gammelgransskål
Vedtrappmossa
Vitgrynig nållav
Bollvitmossa</t>
        </is>
      </c>
      <c r="S126">
        <f>HYPERLINK("https://klasma.github.io/Logging_2132/artfynd/A 44589-2022 artfynd.xlsx", "A 44589-2022")</f>
        <v/>
      </c>
      <c r="T126">
        <f>HYPERLINK("https://klasma.github.io/Logging_2132/kartor/A 44589-2022 karta.png", "A 44589-2022")</f>
        <v/>
      </c>
      <c r="V126">
        <f>HYPERLINK("https://klasma.github.io/Logging_2132/klagomål/A 44589-2022 FSC-klagomål.docx", "A 44589-2022")</f>
        <v/>
      </c>
      <c r="W126">
        <f>HYPERLINK("https://klasma.github.io/Logging_2132/klagomålsmail/A 44589-2022 FSC-klagomål mail.docx", "A 44589-2022")</f>
        <v/>
      </c>
      <c r="X126">
        <f>HYPERLINK("https://klasma.github.io/Logging_2132/tillsyn/A 44589-2022 tillsynsbegäran.docx", "A 44589-2022")</f>
        <v/>
      </c>
      <c r="Y126">
        <f>HYPERLINK("https://klasma.github.io/Logging_2132/tillsynsmail/A 44589-2022 tillsynsbegäran mail.docx", "A 44589-2022")</f>
        <v/>
      </c>
    </row>
    <row r="127" ht="15" customHeight="1">
      <c r="A127" t="inlineStr">
        <is>
          <t>A 55473-2022</t>
        </is>
      </c>
      <c r="B127" s="1" t="n">
        <v>44887</v>
      </c>
      <c r="C127" s="1" t="n">
        <v>45587</v>
      </c>
      <c r="D127" t="inlineStr">
        <is>
          <t>GÄVLEBORGS LÄN</t>
        </is>
      </c>
      <c r="E127" t="inlineStr">
        <is>
          <t>OVANÅKER</t>
        </is>
      </c>
      <c r="G127" t="n">
        <v>7.9</v>
      </c>
      <c r="H127" t="n">
        <v>0</v>
      </c>
      <c r="I127" t="n">
        <v>1</v>
      </c>
      <c r="J127" t="n">
        <v>3</v>
      </c>
      <c r="K127" t="n">
        <v>0</v>
      </c>
      <c r="L127" t="n">
        <v>0</v>
      </c>
      <c r="M127" t="n">
        <v>0</v>
      </c>
      <c r="N127" t="n">
        <v>0</v>
      </c>
      <c r="O127" t="n">
        <v>3</v>
      </c>
      <c r="P127" t="n">
        <v>0</v>
      </c>
      <c r="Q127" t="n">
        <v>4</v>
      </c>
      <c r="R127" s="2" t="inlineStr">
        <is>
          <t>Dvärgbägarlav
Kolflarnlav
Mörk kolflarnlav
Dropptaggsvamp</t>
        </is>
      </c>
      <c r="S127">
        <f>HYPERLINK("https://klasma.github.io/Logging_2121/artfynd/A 55473-2022 artfynd.xlsx", "A 55473-2022")</f>
        <v/>
      </c>
      <c r="T127">
        <f>HYPERLINK("https://klasma.github.io/Logging_2121/kartor/A 55473-2022 karta.png", "A 55473-2022")</f>
        <v/>
      </c>
      <c r="V127">
        <f>HYPERLINK("https://klasma.github.io/Logging_2121/klagomål/A 55473-2022 FSC-klagomål.docx", "A 55473-2022")</f>
        <v/>
      </c>
      <c r="W127">
        <f>HYPERLINK("https://klasma.github.io/Logging_2121/klagomålsmail/A 55473-2022 FSC-klagomål mail.docx", "A 55473-2022")</f>
        <v/>
      </c>
      <c r="X127">
        <f>HYPERLINK("https://klasma.github.io/Logging_2121/tillsyn/A 55473-2022 tillsynsbegäran.docx", "A 55473-2022")</f>
        <v/>
      </c>
      <c r="Y127">
        <f>HYPERLINK("https://klasma.github.io/Logging_2121/tillsynsmail/A 55473-2022 tillsynsbegäran mail.docx", "A 55473-2022")</f>
        <v/>
      </c>
    </row>
    <row r="128" ht="15" customHeight="1">
      <c r="A128" t="inlineStr">
        <is>
          <t>A 22978-2023</t>
        </is>
      </c>
      <c r="B128" s="1" t="n">
        <v>45072</v>
      </c>
      <c r="C128" s="1" t="n">
        <v>45587</v>
      </c>
      <c r="D128" t="inlineStr">
        <is>
          <t>GÄVLEBORGS LÄN</t>
        </is>
      </c>
      <c r="E128" t="inlineStr">
        <is>
          <t>LJUSDAL</t>
        </is>
      </c>
      <c r="G128" t="n">
        <v>1.8</v>
      </c>
      <c r="H128" t="n">
        <v>2</v>
      </c>
      <c r="I128" t="n">
        <v>0</v>
      </c>
      <c r="J128" t="n">
        <v>2</v>
      </c>
      <c r="K128" t="n">
        <v>1</v>
      </c>
      <c r="L128" t="n">
        <v>0</v>
      </c>
      <c r="M128" t="n">
        <v>0</v>
      </c>
      <c r="N128" t="n">
        <v>0</v>
      </c>
      <c r="O128" t="n">
        <v>3</v>
      </c>
      <c r="P128" t="n">
        <v>1</v>
      </c>
      <c r="Q128" t="n">
        <v>4</v>
      </c>
      <c r="R128" s="2" t="inlineStr">
        <is>
          <t>Knärot
Rosenticka
Ullticka
Revlummer</t>
        </is>
      </c>
      <c r="S128">
        <f>HYPERLINK("https://klasma.github.io/Logging_2161/artfynd/A 22978-2023 artfynd.xlsx", "A 22978-2023")</f>
        <v/>
      </c>
      <c r="T128">
        <f>HYPERLINK("https://klasma.github.io/Logging_2161/kartor/A 22978-2023 karta.png", "A 22978-2023")</f>
        <v/>
      </c>
      <c r="U128">
        <f>HYPERLINK("https://klasma.github.io/Logging_2161/knärot/A 22978-2023 karta knärot.png", "A 22978-2023")</f>
        <v/>
      </c>
      <c r="V128">
        <f>HYPERLINK("https://klasma.github.io/Logging_2161/klagomål/A 22978-2023 FSC-klagomål.docx", "A 22978-2023")</f>
        <v/>
      </c>
      <c r="W128">
        <f>HYPERLINK("https://klasma.github.io/Logging_2161/klagomålsmail/A 22978-2023 FSC-klagomål mail.docx", "A 22978-2023")</f>
        <v/>
      </c>
      <c r="X128">
        <f>HYPERLINK("https://klasma.github.io/Logging_2161/tillsyn/A 22978-2023 tillsynsbegäran.docx", "A 22978-2023")</f>
        <v/>
      </c>
      <c r="Y128">
        <f>HYPERLINK("https://klasma.github.io/Logging_2161/tillsynsmail/A 22978-2023 tillsynsbegäran mail.docx", "A 22978-2023")</f>
        <v/>
      </c>
    </row>
    <row r="129" ht="15" customHeight="1">
      <c r="A129" t="inlineStr">
        <is>
          <t>A 26675-2023</t>
        </is>
      </c>
      <c r="B129" s="1" t="n">
        <v>45093</v>
      </c>
      <c r="C129" s="1" t="n">
        <v>45587</v>
      </c>
      <c r="D129" t="inlineStr">
        <is>
          <t>GÄVLEBORGS LÄN</t>
        </is>
      </c>
      <c r="E129" t="inlineStr">
        <is>
          <t>LJUSDAL</t>
        </is>
      </c>
      <c r="F129" t="inlineStr">
        <is>
          <t>Sveaskog</t>
        </is>
      </c>
      <c r="G129" t="n">
        <v>8.300000000000001</v>
      </c>
      <c r="H129" t="n">
        <v>1</v>
      </c>
      <c r="I129" t="n">
        <v>0</v>
      </c>
      <c r="J129" t="n">
        <v>4</v>
      </c>
      <c r="K129" t="n">
        <v>0</v>
      </c>
      <c r="L129" t="n">
        <v>0</v>
      </c>
      <c r="M129" t="n">
        <v>0</v>
      </c>
      <c r="N129" t="n">
        <v>0</v>
      </c>
      <c r="O129" t="n">
        <v>4</v>
      </c>
      <c r="P129" t="n">
        <v>0</v>
      </c>
      <c r="Q129" t="n">
        <v>4</v>
      </c>
      <c r="R129" s="2" t="inlineStr">
        <is>
          <t>Garnlav
Kolflarnlav
Mörk kolflarnlav
Talltita</t>
        </is>
      </c>
      <c r="S129">
        <f>HYPERLINK("https://klasma.github.io/Logging_2161/artfynd/A 26675-2023 artfynd.xlsx", "A 26675-2023")</f>
        <v/>
      </c>
      <c r="T129">
        <f>HYPERLINK("https://klasma.github.io/Logging_2161/kartor/A 26675-2023 karta.png", "A 26675-2023")</f>
        <v/>
      </c>
      <c r="V129">
        <f>HYPERLINK("https://klasma.github.io/Logging_2161/klagomål/A 26675-2023 FSC-klagomål.docx", "A 26675-2023")</f>
        <v/>
      </c>
      <c r="W129">
        <f>HYPERLINK("https://klasma.github.io/Logging_2161/klagomålsmail/A 26675-2023 FSC-klagomål mail.docx", "A 26675-2023")</f>
        <v/>
      </c>
      <c r="X129">
        <f>HYPERLINK("https://klasma.github.io/Logging_2161/tillsyn/A 26675-2023 tillsynsbegäran.docx", "A 26675-2023")</f>
        <v/>
      </c>
      <c r="Y129">
        <f>HYPERLINK("https://klasma.github.io/Logging_2161/tillsynsmail/A 26675-2023 tillsynsbegäran mail.docx", "A 26675-2023")</f>
        <v/>
      </c>
      <c r="Z129">
        <f>HYPERLINK("https://klasma.github.io/Logging_2161/fåglar/A 26675-2023 prioriterade fågelarter.docx", "A 26675-2023")</f>
        <v/>
      </c>
    </row>
    <row r="130" ht="15" customHeight="1">
      <c r="A130" t="inlineStr">
        <is>
          <t>A 29544-2023</t>
        </is>
      </c>
      <c r="B130" s="1" t="n">
        <v>45106</v>
      </c>
      <c r="C130" s="1" t="n">
        <v>45587</v>
      </c>
      <c r="D130" t="inlineStr">
        <is>
          <t>GÄVLEBORGS LÄN</t>
        </is>
      </c>
      <c r="E130" t="inlineStr">
        <is>
          <t>OCKELBO</t>
        </is>
      </c>
      <c r="F130" t="inlineStr">
        <is>
          <t>Bergvik skog väst AB</t>
        </is>
      </c>
      <c r="G130" t="n">
        <v>6.5</v>
      </c>
      <c r="H130" t="n">
        <v>3</v>
      </c>
      <c r="I130" t="n">
        <v>2</v>
      </c>
      <c r="J130" t="n">
        <v>0</v>
      </c>
      <c r="K130" t="n">
        <v>0</v>
      </c>
      <c r="L130" t="n">
        <v>0</v>
      </c>
      <c r="M130" t="n">
        <v>0</v>
      </c>
      <c r="N130" t="n">
        <v>0</v>
      </c>
      <c r="O130" t="n">
        <v>0</v>
      </c>
      <c r="P130" t="n">
        <v>0</v>
      </c>
      <c r="Q130" t="n">
        <v>4</v>
      </c>
      <c r="R130" s="2" t="inlineStr">
        <is>
          <t>Skogsknipprot
Vårärt
Blåsippa
Revlummer</t>
        </is>
      </c>
      <c r="S130">
        <f>HYPERLINK("https://klasma.github.io/Logging_2101/artfynd/A 29544-2023 artfynd.xlsx", "A 29544-2023")</f>
        <v/>
      </c>
      <c r="T130">
        <f>HYPERLINK("https://klasma.github.io/Logging_2101/kartor/A 29544-2023 karta.png", "A 29544-2023")</f>
        <v/>
      </c>
      <c r="V130">
        <f>HYPERLINK("https://klasma.github.io/Logging_2101/klagomål/A 29544-2023 FSC-klagomål.docx", "A 29544-2023")</f>
        <v/>
      </c>
      <c r="W130">
        <f>HYPERLINK("https://klasma.github.io/Logging_2101/klagomålsmail/A 29544-2023 FSC-klagomål mail.docx", "A 29544-2023")</f>
        <v/>
      </c>
      <c r="X130">
        <f>HYPERLINK("https://klasma.github.io/Logging_2101/tillsyn/A 29544-2023 tillsynsbegäran.docx", "A 29544-2023")</f>
        <v/>
      </c>
      <c r="Y130">
        <f>HYPERLINK("https://klasma.github.io/Logging_2101/tillsynsmail/A 29544-2023 tillsynsbegäran mail.docx", "A 29544-2023")</f>
        <v/>
      </c>
    </row>
    <row r="131" ht="15" customHeight="1">
      <c r="A131" t="inlineStr">
        <is>
          <t>A 36672-2023</t>
        </is>
      </c>
      <c r="B131" s="1" t="n">
        <v>45153</v>
      </c>
      <c r="C131" s="1" t="n">
        <v>45587</v>
      </c>
      <c r="D131" t="inlineStr">
        <is>
          <t>GÄVLEBORGS LÄN</t>
        </is>
      </c>
      <c r="E131" t="inlineStr">
        <is>
          <t>SANDVIKEN</t>
        </is>
      </c>
      <c r="G131" t="n">
        <v>6.4</v>
      </c>
      <c r="H131" t="n">
        <v>4</v>
      </c>
      <c r="I131" t="n">
        <v>0</v>
      </c>
      <c r="J131" t="n">
        <v>0</v>
      </c>
      <c r="K131" t="n">
        <v>0</v>
      </c>
      <c r="L131" t="n">
        <v>0</v>
      </c>
      <c r="M131" t="n">
        <v>0</v>
      </c>
      <c r="N131" t="n">
        <v>0</v>
      </c>
      <c r="O131" t="n">
        <v>0</v>
      </c>
      <c r="P131" t="n">
        <v>0</v>
      </c>
      <c r="Q131" t="n">
        <v>4</v>
      </c>
      <c r="R131" s="2" t="inlineStr">
        <is>
          <t>Större vattensalamander
Åkergroda
Mindre vattensalamander
Vanlig groda</t>
        </is>
      </c>
      <c r="S131">
        <f>HYPERLINK("https://klasma.github.io/Logging_2181/artfynd/A 36672-2023 artfynd.xlsx", "A 36672-2023")</f>
        <v/>
      </c>
      <c r="T131">
        <f>HYPERLINK("https://klasma.github.io/Logging_2181/kartor/A 36672-2023 karta.png", "A 36672-2023")</f>
        <v/>
      </c>
      <c r="V131">
        <f>HYPERLINK("https://klasma.github.io/Logging_2181/klagomål/A 36672-2023 FSC-klagomål.docx", "A 36672-2023")</f>
        <v/>
      </c>
      <c r="W131">
        <f>HYPERLINK("https://klasma.github.io/Logging_2181/klagomålsmail/A 36672-2023 FSC-klagomål mail.docx", "A 36672-2023")</f>
        <v/>
      </c>
      <c r="X131">
        <f>HYPERLINK("https://klasma.github.io/Logging_2181/tillsyn/A 36672-2023 tillsynsbegäran.docx", "A 36672-2023")</f>
        <v/>
      </c>
      <c r="Y131">
        <f>HYPERLINK("https://klasma.github.io/Logging_2181/tillsynsmail/A 36672-2023 tillsynsbegäran mail.docx", "A 36672-2023")</f>
        <v/>
      </c>
    </row>
    <row r="132" ht="15" customHeight="1">
      <c r="A132" t="inlineStr">
        <is>
          <t>A 38738-2023</t>
        </is>
      </c>
      <c r="B132" s="1" t="n">
        <v>45163</v>
      </c>
      <c r="C132" s="1" t="n">
        <v>45587</v>
      </c>
      <c r="D132" t="inlineStr">
        <is>
          <t>GÄVLEBORGS LÄN</t>
        </is>
      </c>
      <c r="E132" t="inlineStr">
        <is>
          <t>HOFORS</t>
        </is>
      </c>
      <c r="F132" t="inlineStr">
        <is>
          <t>Kyrkan</t>
        </is>
      </c>
      <c r="G132" t="n">
        <v>1.3</v>
      </c>
      <c r="H132" t="n">
        <v>1</v>
      </c>
      <c r="I132" t="n">
        <v>2</v>
      </c>
      <c r="J132" t="n">
        <v>1</v>
      </c>
      <c r="K132" t="n">
        <v>1</v>
      </c>
      <c r="L132" t="n">
        <v>0</v>
      </c>
      <c r="M132" t="n">
        <v>0</v>
      </c>
      <c r="N132" t="n">
        <v>0</v>
      </c>
      <c r="O132" t="n">
        <v>2</v>
      </c>
      <c r="P132" t="n">
        <v>1</v>
      </c>
      <c r="Q132" t="n">
        <v>4</v>
      </c>
      <c r="R132" s="2" t="inlineStr">
        <is>
          <t>Knärot
Svartvit taggsvamp
Fjällig taggsvamp s.str.
Grönpyrola</t>
        </is>
      </c>
      <c r="S132">
        <f>HYPERLINK("https://klasma.github.io/Logging_2104/artfynd/A 38738-2023 artfynd.xlsx", "A 38738-2023")</f>
        <v/>
      </c>
      <c r="T132">
        <f>HYPERLINK("https://klasma.github.io/Logging_2104/kartor/A 38738-2023 karta.png", "A 38738-2023")</f>
        <v/>
      </c>
      <c r="U132">
        <f>HYPERLINK("https://klasma.github.io/Logging_2104/knärot/A 38738-2023 karta knärot.png", "A 38738-2023")</f>
        <v/>
      </c>
      <c r="V132">
        <f>HYPERLINK("https://klasma.github.io/Logging_2104/klagomål/A 38738-2023 FSC-klagomål.docx", "A 38738-2023")</f>
        <v/>
      </c>
      <c r="W132">
        <f>HYPERLINK("https://klasma.github.io/Logging_2104/klagomålsmail/A 38738-2023 FSC-klagomål mail.docx", "A 38738-2023")</f>
        <v/>
      </c>
      <c r="X132">
        <f>HYPERLINK("https://klasma.github.io/Logging_2104/tillsyn/A 38738-2023 tillsynsbegäran.docx", "A 38738-2023")</f>
        <v/>
      </c>
      <c r="Y132">
        <f>HYPERLINK("https://klasma.github.io/Logging_2104/tillsynsmail/A 38738-2023 tillsynsbegäran mail.docx", "A 38738-2023")</f>
        <v/>
      </c>
    </row>
    <row r="133" ht="15" customHeight="1">
      <c r="A133" t="inlineStr">
        <is>
          <t>A 41327-2023</t>
        </is>
      </c>
      <c r="B133" s="1" t="n">
        <v>45174</v>
      </c>
      <c r="C133" s="1" t="n">
        <v>45587</v>
      </c>
      <c r="D133" t="inlineStr">
        <is>
          <t>GÄVLEBORGS LÄN</t>
        </is>
      </c>
      <c r="E133" t="inlineStr">
        <is>
          <t>HOFORS</t>
        </is>
      </c>
      <c r="F133" t="inlineStr">
        <is>
          <t>Sveaskog</t>
        </is>
      </c>
      <c r="G133" t="n">
        <v>2.9</v>
      </c>
      <c r="H133" t="n">
        <v>1</v>
      </c>
      <c r="I133" t="n">
        <v>3</v>
      </c>
      <c r="J133" t="n">
        <v>1</v>
      </c>
      <c r="K133" t="n">
        <v>0</v>
      </c>
      <c r="L133" t="n">
        <v>0</v>
      </c>
      <c r="M133" t="n">
        <v>0</v>
      </c>
      <c r="N133" t="n">
        <v>0</v>
      </c>
      <c r="O133" t="n">
        <v>1</v>
      </c>
      <c r="P133" t="n">
        <v>0</v>
      </c>
      <c r="Q133" t="n">
        <v>4</v>
      </c>
      <c r="R133" s="2" t="inlineStr">
        <is>
          <t>Skogsfru
Mörk husmossa
Skinnlav
Svart trolldruva</t>
        </is>
      </c>
      <c r="S133">
        <f>HYPERLINK("https://klasma.github.io/Logging_2104/artfynd/A 41327-2023 artfynd.xlsx", "A 41327-2023")</f>
        <v/>
      </c>
      <c r="T133">
        <f>HYPERLINK("https://klasma.github.io/Logging_2104/kartor/A 41327-2023 karta.png", "A 41327-2023")</f>
        <v/>
      </c>
      <c r="V133">
        <f>HYPERLINK("https://klasma.github.io/Logging_2104/klagomål/A 41327-2023 FSC-klagomål.docx", "A 41327-2023")</f>
        <v/>
      </c>
      <c r="W133">
        <f>HYPERLINK("https://klasma.github.io/Logging_2104/klagomålsmail/A 41327-2023 FSC-klagomål mail.docx", "A 41327-2023")</f>
        <v/>
      </c>
      <c r="X133">
        <f>HYPERLINK("https://klasma.github.io/Logging_2104/tillsyn/A 41327-2023 tillsynsbegäran.docx", "A 41327-2023")</f>
        <v/>
      </c>
      <c r="Y133">
        <f>HYPERLINK("https://klasma.github.io/Logging_2104/tillsynsmail/A 41327-2023 tillsynsbegäran mail.docx", "A 41327-2023")</f>
        <v/>
      </c>
    </row>
    <row r="134" ht="15" customHeight="1">
      <c r="A134" t="inlineStr">
        <is>
          <t>A 45196-2023</t>
        </is>
      </c>
      <c r="B134" s="1" t="n">
        <v>45191</v>
      </c>
      <c r="C134" s="1" t="n">
        <v>45587</v>
      </c>
      <c r="D134" t="inlineStr">
        <is>
          <t>GÄVLEBORGS LÄN</t>
        </is>
      </c>
      <c r="E134" t="inlineStr">
        <is>
          <t>LJUSDAL</t>
        </is>
      </c>
      <c r="F134" t="inlineStr">
        <is>
          <t>Sveaskog</t>
        </is>
      </c>
      <c r="G134" t="n">
        <v>1.8</v>
      </c>
      <c r="H134" t="n">
        <v>1</v>
      </c>
      <c r="I134" t="n">
        <v>1</v>
      </c>
      <c r="J134" t="n">
        <v>3</v>
      </c>
      <c r="K134" t="n">
        <v>0</v>
      </c>
      <c r="L134" t="n">
        <v>0</v>
      </c>
      <c r="M134" t="n">
        <v>0</v>
      </c>
      <c r="N134" t="n">
        <v>0</v>
      </c>
      <c r="O134" t="n">
        <v>3</v>
      </c>
      <c r="P134" t="n">
        <v>0</v>
      </c>
      <c r="Q134" t="n">
        <v>4</v>
      </c>
      <c r="R134" s="2" t="inlineStr">
        <is>
          <t>Kolflarnlav
Lunglav
Mörk kolflarnlav
Plattlummer</t>
        </is>
      </c>
      <c r="S134">
        <f>HYPERLINK("https://klasma.github.io/Logging_2161/artfynd/A 45196-2023 artfynd.xlsx", "A 45196-2023")</f>
        <v/>
      </c>
      <c r="T134">
        <f>HYPERLINK("https://klasma.github.io/Logging_2161/kartor/A 45196-2023 karta.png", "A 45196-2023")</f>
        <v/>
      </c>
      <c r="V134">
        <f>HYPERLINK("https://klasma.github.io/Logging_2161/klagomål/A 45196-2023 FSC-klagomål.docx", "A 45196-2023")</f>
        <v/>
      </c>
      <c r="W134">
        <f>HYPERLINK("https://klasma.github.io/Logging_2161/klagomålsmail/A 45196-2023 FSC-klagomål mail.docx", "A 45196-2023")</f>
        <v/>
      </c>
      <c r="X134">
        <f>HYPERLINK("https://klasma.github.io/Logging_2161/tillsyn/A 45196-2023 tillsynsbegäran.docx", "A 45196-2023")</f>
        <v/>
      </c>
      <c r="Y134">
        <f>HYPERLINK("https://klasma.github.io/Logging_2161/tillsynsmail/A 45196-2023 tillsynsbegäran mail.docx", "A 45196-2023")</f>
        <v/>
      </c>
    </row>
    <row r="135" ht="15" customHeight="1">
      <c r="A135" t="inlineStr">
        <is>
          <t>A 50924-2023</t>
        </is>
      </c>
      <c r="B135" s="1" t="n">
        <v>45218</v>
      </c>
      <c r="C135" s="1" t="n">
        <v>45587</v>
      </c>
      <c r="D135" t="inlineStr">
        <is>
          <t>GÄVLEBORGS LÄN</t>
        </is>
      </c>
      <c r="E135" t="inlineStr">
        <is>
          <t>HUDIKSVALL</t>
        </is>
      </c>
      <c r="G135" t="n">
        <v>6.4</v>
      </c>
      <c r="H135" t="n">
        <v>1</v>
      </c>
      <c r="I135" t="n">
        <v>1</v>
      </c>
      <c r="J135" t="n">
        <v>2</v>
      </c>
      <c r="K135" t="n">
        <v>0</v>
      </c>
      <c r="L135" t="n">
        <v>0</v>
      </c>
      <c r="M135" t="n">
        <v>0</v>
      </c>
      <c r="N135" t="n">
        <v>0</v>
      </c>
      <c r="O135" t="n">
        <v>2</v>
      </c>
      <c r="P135" t="n">
        <v>0</v>
      </c>
      <c r="Q135" t="n">
        <v>4</v>
      </c>
      <c r="R135" s="2" t="inlineStr">
        <is>
          <t>Motaggsvamp
Skogshare
Nästlav
Fläcknycklar</t>
        </is>
      </c>
      <c r="S135">
        <f>HYPERLINK("https://klasma.github.io/Logging_2184/artfynd/A 50924-2023 artfynd.xlsx", "A 50924-2023")</f>
        <v/>
      </c>
      <c r="T135">
        <f>HYPERLINK("https://klasma.github.io/Logging_2184/kartor/A 50924-2023 karta.png", "A 50924-2023")</f>
        <v/>
      </c>
      <c r="V135">
        <f>HYPERLINK("https://klasma.github.io/Logging_2184/klagomål/A 50924-2023 FSC-klagomål.docx", "A 50924-2023")</f>
        <v/>
      </c>
      <c r="W135">
        <f>HYPERLINK("https://klasma.github.io/Logging_2184/klagomålsmail/A 50924-2023 FSC-klagomål mail.docx", "A 50924-2023")</f>
        <v/>
      </c>
      <c r="X135">
        <f>HYPERLINK("https://klasma.github.io/Logging_2184/tillsyn/A 50924-2023 tillsynsbegäran.docx", "A 50924-2023")</f>
        <v/>
      </c>
      <c r="Y135">
        <f>HYPERLINK("https://klasma.github.io/Logging_2184/tillsynsmail/A 50924-2023 tillsynsbegäran mail.docx", "A 50924-2023")</f>
        <v/>
      </c>
    </row>
    <row r="136" ht="15" customHeight="1">
      <c r="A136" t="inlineStr">
        <is>
          <t>A 51415-2023</t>
        </is>
      </c>
      <c r="B136" s="1" t="n">
        <v>45219</v>
      </c>
      <c r="C136" s="1" t="n">
        <v>45587</v>
      </c>
      <c r="D136" t="inlineStr">
        <is>
          <t>GÄVLEBORGS LÄN</t>
        </is>
      </c>
      <c r="E136" t="inlineStr">
        <is>
          <t>LJUSDAL</t>
        </is>
      </c>
      <c r="F136" t="inlineStr">
        <is>
          <t>Sveaskog</t>
        </is>
      </c>
      <c r="G136" t="n">
        <v>11.9</v>
      </c>
      <c r="H136" t="n">
        <v>0</v>
      </c>
      <c r="I136" t="n">
        <v>0</v>
      </c>
      <c r="J136" t="n">
        <v>4</v>
      </c>
      <c r="K136" t="n">
        <v>0</v>
      </c>
      <c r="L136" t="n">
        <v>0</v>
      </c>
      <c r="M136" t="n">
        <v>0</v>
      </c>
      <c r="N136" t="n">
        <v>0</v>
      </c>
      <c r="O136" t="n">
        <v>4</v>
      </c>
      <c r="P136" t="n">
        <v>0</v>
      </c>
      <c r="Q136" t="n">
        <v>4</v>
      </c>
      <c r="R136" s="2" t="inlineStr">
        <is>
          <t>Kolflarnlav
Motaggsvamp
Skrovlig taggsvamp
Vedflamlav</t>
        </is>
      </c>
      <c r="S136">
        <f>HYPERLINK("https://klasma.github.io/Logging_2161/artfynd/A 51415-2023 artfynd.xlsx", "A 51415-2023")</f>
        <v/>
      </c>
      <c r="T136">
        <f>HYPERLINK("https://klasma.github.io/Logging_2161/kartor/A 51415-2023 karta.png", "A 51415-2023")</f>
        <v/>
      </c>
      <c r="V136">
        <f>HYPERLINK("https://klasma.github.io/Logging_2161/klagomål/A 51415-2023 FSC-klagomål.docx", "A 51415-2023")</f>
        <v/>
      </c>
      <c r="W136">
        <f>HYPERLINK("https://klasma.github.io/Logging_2161/klagomålsmail/A 51415-2023 FSC-klagomål mail.docx", "A 51415-2023")</f>
        <v/>
      </c>
      <c r="X136">
        <f>HYPERLINK("https://klasma.github.io/Logging_2161/tillsyn/A 51415-2023 tillsynsbegäran.docx", "A 51415-2023")</f>
        <v/>
      </c>
      <c r="Y136">
        <f>HYPERLINK("https://klasma.github.io/Logging_2161/tillsynsmail/A 51415-2023 tillsynsbegäran mail.docx", "A 51415-2023")</f>
        <v/>
      </c>
    </row>
    <row r="137" ht="15" customHeight="1">
      <c r="A137" t="inlineStr">
        <is>
          <t>A 52131-2023</t>
        </is>
      </c>
      <c r="B137" s="1" t="n">
        <v>45223</v>
      </c>
      <c r="C137" s="1" t="n">
        <v>45587</v>
      </c>
      <c r="D137" t="inlineStr">
        <is>
          <t>GÄVLEBORGS LÄN</t>
        </is>
      </c>
      <c r="E137" t="inlineStr">
        <is>
          <t>LJUSDAL</t>
        </is>
      </c>
      <c r="F137" t="inlineStr">
        <is>
          <t>SCA</t>
        </is>
      </c>
      <c r="G137" t="n">
        <v>3.9</v>
      </c>
      <c r="H137" t="n">
        <v>4</v>
      </c>
      <c r="I137" t="n">
        <v>1</v>
      </c>
      <c r="J137" t="n">
        <v>1</v>
      </c>
      <c r="K137" t="n">
        <v>0</v>
      </c>
      <c r="L137" t="n">
        <v>0</v>
      </c>
      <c r="M137" t="n">
        <v>0</v>
      </c>
      <c r="N137" t="n">
        <v>0</v>
      </c>
      <c r="O137" t="n">
        <v>1</v>
      </c>
      <c r="P137" t="n">
        <v>0</v>
      </c>
      <c r="Q137" t="n">
        <v>4</v>
      </c>
      <c r="R137" s="2" t="inlineStr">
        <is>
          <t>Järpe
Korallrot
Fläcknycklar
Revlummer</t>
        </is>
      </c>
      <c r="S137">
        <f>HYPERLINK("https://klasma.github.io/Logging_2161/artfynd/A 52131-2023 artfynd.xlsx", "A 52131-2023")</f>
        <v/>
      </c>
      <c r="T137">
        <f>HYPERLINK("https://klasma.github.io/Logging_2161/kartor/A 52131-2023 karta.png", "A 52131-2023")</f>
        <v/>
      </c>
      <c r="V137">
        <f>HYPERLINK("https://klasma.github.io/Logging_2161/klagomål/A 52131-2023 FSC-klagomål.docx", "A 52131-2023")</f>
        <v/>
      </c>
      <c r="W137">
        <f>HYPERLINK("https://klasma.github.io/Logging_2161/klagomålsmail/A 52131-2023 FSC-klagomål mail.docx", "A 52131-2023")</f>
        <v/>
      </c>
      <c r="X137">
        <f>HYPERLINK("https://klasma.github.io/Logging_2161/tillsyn/A 52131-2023 tillsynsbegäran.docx", "A 52131-2023")</f>
        <v/>
      </c>
      <c r="Y137">
        <f>HYPERLINK("https://klasma.github.io/Logging_2161/tillsynsmail/A 52131-2023 tillsynsbegäran mail.docx", "A 52131-2023")</f>
        <v/>
      </c>
      <c r="Z137">
        <f>HYPERLINK("https://klasma.github.io/Logging_2161/fåglar/A 52131-2023 prioriterade fågelarter.docx", "A 52131-2023")</f>
        <v/>
      </c>
    </row>
    <row r="138" ht="15" customHeight="1">
      <c r="A138" t="inlineStr">
        <is>
          <t>A 53249-2023</t>
        </is>
      </c>
      <c r="B138" s="1" t="n">
        <v>45229</v>
      </c>
      <c r="C138" s="1" t="n">
        <v>45587</v>
      </c>
      <c r="D138" t="inlineStr">
        <is>
          <t>GÄVLEBORGS LÄN</t>
        </is>
      </c>
      <c r="E138" t="inlineStr">
        <is>
          <t>LJUSDAL</t>
        </is>
      </c>
      <c r="F138" t="inlineStr">
        <is>
          <t>Sveaskog</t>
        </is>
      </c>
      <c r="G138" t="n">
        <v>3.2</v>
      </c>
      <c r="H138" t="n">
        <v>0</v>
      </c>
      <c r="I138" t="n">
        <v>0</v>
      </c>
      <c r="J138" t="n">
        <v>4</v>
      </c>
      <c r="K138" t="n">
        <v>0</v>
      </c>
      <c r="L138" t="n">
        <v>0</v>
      </c>
      <c r="M138" t="n">
        <v>0</v>
      </c>
      <c r="N138" t="n">
        <v>0</v>
      </c>
      <c r="O138" t="n">
        <v>4</v>
      </c>
      <c r="P138" t="n">
        <v>0</v>
      </c>
      <c r="Q138" t="n">
        <v>4</v>
      </c>
      <c r="R138" s="2" t="inlineStr">
        <is>
          <t>Kolflarnlav
Motaggsvamp
Orange taggsvamp
Vedflamlav</t>
        </is>
      </c>
      <c r="S138">
        <f>HYPERLINK("https://klasma.github.io/Logging_2161/artfynd/A 53249-2023 artfynd.xlsx", "A 53249-2023")</f>
        <v/>
      </c>
      <c r="T138">
        <f>HYPERLINK("https://klasma.github.io/Logging_2161/kartor/A 53249-2023 karta.png", "A 53249-2023")</f>
        <v/>
      </c>
      <c r="V138">
        <f>HYPERLINK("https://klasma.github.io/Logging_2161/klagomål/A 53249-2023 FSC-klagomål.docx", "A 53249-2023")</f>
        <v/>
      </c>
      <c r="W138">
        <f>HYPERLINK("https://klasma.github.io/Logging_2161/klagomålsmail/A 53249-2023 FSC-klagomål mail.docx", "A 53249-2023")</f>
        <v/>
      </c>
      <c r="X138">
        <f>HYPERLINK("https://klasma.github.io/Logging_2161/tillsyn/A 53249-2023 tillsynsbegäran.docx", "A 53249-2023")</f>
        <v/>
      </c>
      <c r="Y138">
        <f>HYPERLINK("https://klasma.github.io/Logging_2161/tillsynsmail/A 53249-2023 tillsynsbegäran mail.docx", "A 53249-2023")</f>
        <v/>
      </c>
    </row>
    <row r="139" ht="15" customHeight="1">
      <c r="A139" t="inlineStr">
        <is>
          <t>A 56774-2023</t>
        </is>
      </c>
      <c r="B139" s="1" t="n">
        <v>45244</v>
      </c>
      <c r="C139" s="1" t="n">
        <v>45587</v>
      </c>
      <c r="D139" t="inlineStr">
        <is>
          <t>GÄVLEBORGS LÄN</t>
        </is>
      </c>
      <c r="E139" t="inlineStr">
        <is>
          <t>LJUSDAL</t>
        </is>
      </c>
      <c r="F139" t="inlineStr">
        <is>
          <t>Sveaskog</t>
        </is>
      </c>
      <c r="G139" t="n">
        <v>2.6</v>
      </c>
      <c r="H139" t="n">
        <v>0</v>
      </c>
      <c r="I139" t="n">
        <v>0</v>
      </c>
      <c r="J139" t="n">
        <v>2</v>
      </c>
      <c r="K139" t="n">
        <v>2</v>
      </c>
      <c r="L139" t="n">
        <v>0</v>
      </c>
      <c r="M139" t="n">
        <v>0</v>
      </c>
      <c r="N139" t="n">
        <v>0</v>
      </c>
      <c r="O139" t="n">
        <v>4</v>
      </c>
      <c r="P139" t="n">
        <v>2</v>
      </c>
      <c r="Q139" t="n">
        <v>4</v>
      </c>
      <c r="R139" s="2" t="inlineStr">
        <is>
          <t>Gräddporing
Turkos blåvinge
Garnlav
Skrovellav</t>
        </is>
      </c>
      <c r="S139">
        <f>HYPERLINK("https://klasma.github.io/Logging_2161/artfynd/A 56774-2023 artfynd.xlsx", "A 56774-2023")</f>
        <v/>
      </c>
      <c r="T139">
        <f>HYPERLINK("https://klasma.github.io/Logging_2161/kartor/A 56774-2023 karta.png", "A 56774-2023")</f>
        <v/>
      </c>
      <c r="V139">
        <f>HYPERLINK("https://klasma.github.io/Logging_2161/klagomål/A 56774-2023 FSC-klagomål.docx", "A 56774-2023")</f>
        <v/>
      </c>
      <c r="W139">
        <f>HYPERLINK("https://klasma.github.io/Logging_2161/klagomålsmail/A 56774-2023 FSC-klagomål mail.docx", "A 56774-2023")</f>
        <v/>
      </c>
      <c r="X139">
        <f>HYPERLINK("https://klasma.github.io/Logging_2161/tillsyn/A 56774-2023 tillsynsbegäran.docx", "A 56774-2023")</f>
        <v/>
      </c>
      <c r="Y139">
        <f>HYPERLINK("https://klasma.github.io/Logging_2161/tillsynsmail/A 56774-2023 tillsynsbegäran mail.docx", "A 56774-2023")</f>
        <v/>
      </c>
    </row>
    <row r="140" ht="15" customHeight="1">
      <c r="A140" t="inlineStr">
        <is>
          <t>A 56787-2023</t>
        </is>
      </c>
      <c r="B140" s="1" t="n">
        <v>45244</v>
      </c>
      <c r="C140" s="1" t="n">
        <v>45587</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56787-2023 artfynd.xlsx", "A 56787-2023")</f>
        <v/>
      </c>
      <c r="T140">
        <f>HYPERLINK("https://klasma.github.io/Logging_2161/kartor/A 56787-2023 karta.png", "A 56787-2023")</f>
        <v/>
      </c>
      <c r="V140">
        <f>HYPERLINK("https://klasma.github.io/Logging_2161/klagomål/A 56787-2023 FSC-klagomål.docx", "A 56787-2023")</f>
        <v/>
      </c>
      <c r="W140">
        <f>HYPERLINK("https://klasma.github.io/Logging_2161/klagomålsmail/A 56787-2023 FSC-klagomål mail.docx", "A 56787-2023")</f>
        <v/>
      </c>
      <c r="X140">
        <f>HYPERLINK("https://klasma.github.io/Logging_2161/tillsyn/A 56787-2023 tillsynsbegäran.docx", "A 56787-2023")</f>
        <v/>
      </c>
      <c r="Y140">
        <f>HYPERLINK("https://klasma.github.io/Logging_2161/tillsynsmail/A 56787-2023 tillsynsbegäran mail.docx", "A 56787-2023")</f>
        <v/>
      </c>
    </row>
    <row r="141" ht="15" customHeight="1">
      <c r="A141" t="inlineStr">
        <is>
          <t>A 56800-2023</t>
        </is>
      </c>
      <c r="B141" s="1" t="n">
        <v>45244</v>
      </c>
      <c r="C141" s="1" t="n">
        <v>45587</v>
      </c>
      <c r="D141" t="inlineStr">
        <is>
          <t>GÄVLEBORGS LÄN</t>
        </is>
      </c>
      <c r="E141" t="inlineStr">
        <is>
          <t>LJUSDAL</t>
        </is>
      </c>
      <c r="F141" t="inlineStr">
        <is>
          <t>Sveaskog</t>
        </is>
      </c>
      <c r="G141" t="n">
        <v>7.3</v>
      </c>
      <c r="H141" t="n">
        <v>0</v>
      </c>
      <c r="I141" t="n">
        <v>1</v>
      </c>
      <c r="J141" t="n">
        <v>2</v>
      </c>
      <c r="K141" t="n">
        <v>1</v>
      </c>
      <c r="L141" t="n">
        <v>0</v>
      </c>
      <c r="M141" t="n">
        <v>0</v>
      </c>
      <c r="N141" t="n">
        <v>0</v>
      </c>
      <c r="O141" t="n">
        <v>3</v>
      </c>
      <c r="P141" t="n">
        <v>1</v>
      </c>
      <c r="Q141" t="n">
        <v>4</v>
      </c>
      <c r="R141" s="2" t="inlineStr">
        <is>
          <t>Gräddporing
Gränsticka
Lunglav
Trådticka</t>
        </is>
      </c>
      <c r="S141">
        <f>HYPERLINK("https://klasma.github.io/Logging_2161/artfynd/A 56800-2023 artfynd.xlsx", "A 56800-2023")</f>
        <v/>
      </c>
      <c r="T141">
        <f>HYPERLINK("https://klasma.github.io/Logging_2161/kartor/A 56800-2023 karta.png", "A 56800-2023")</f>
        <v/>
      </c>
      <c r="V141">
        <f>HYPERLINK("https://klasma.github.io/Logging_2161/klagomål/A 56800-2023 FSC-klagomål.docx", "A 56800-2023")</f>
        <v/>
      </c>
      <c r="W141">
        <f>HYPERLINK("https://klasma.github.io/Logging_2161/klagomålsmail/A 56800-2023 FSC-klagomål mail.docx", "A 56800-2023")</f>
        <v/>
      </c>
      <c r="X141">
        <f>HYPERLINK("https://klasma.github.io/Logging_2161/tillsyn/A 56800-2023 tillsynsbegäran.docx", "A 56800-2023")</f>
        <v/>
      </c>
      <c r="Y141">
        <f>HYPERLINK("https://klasma.github.io/Logging_2161/tillsynsmail/A 56800-2023 tillsynsbegäran mail.docx", "A 56800-2023")</f>
        <v/>
      </c>
    </row>
    <row r="142" ht="15" customHeight="1">
      <c r="A142" t="inlineStr">
        <is>
          <t>A 59800-2023</t>
        </is>
      </c>
      <c r="B142" s="1" t="n">
        <v>45257</v>
      </c>
      <c r="C142" s="1" t="n">
        <v>45587</v>
      </c>
      <c r="D142" t="inlineStr">
        <is>
          <t>GÄVLEBORGS LÄN</t>
        </is>
      </c>
      <c r="E142" t="inlineStr">
        <is>
          <t>GÄVLE</t>
        </is>
      </c>
      <c r="G142" t="n">
        <v>6.3</v>
      </c>
      <c r="H142" t="n">
        <v>0</v>
      </c>
      <c r="I142" t="n">
        <v>2</v>
      </c>
      <c r="J142" t="n">
        <v>2</v>
      </c>
      <c r="K142" t="n">
        <v>0</v>
      </c>
      <c r="L142" t="n">
        <v>0</v>
      </c>
      <c r="M142" t="n">
        <v>0</v>
      </c>
      <c r="N142" t="n">
        <v>0</v>
      </c>
      <c r="O142" t="n">
        <v>2</v>
      </c>
      <c r="P142" t="n">
        <v>0</v>
      </c>
      <c r="Q142" t="n">
        <v>4</v>
      </c>
      <c r="R142" s="2" t="inlineStr">
        <is>
          <t>Motaggsvamp
Ullticka
Dropptaggsvamp
Skarp dropptaggsvamp</t>
        </is>
      </c>
      <c r="S142">
        <f>HYPERLINK("https://klasma.github.io/Logging_2180/artfynd/A 59800-2023 artfynd.xlsx", "A 59800-2023")</f>
        <v/>
      </c>
      <c r="T142">
        <f>HYPERLINK("https://klasma.github.io/Logging_2180/kartor/A 59800-2023 karta.png", "A 59800-2023")</f>
        <v/>
      </c>
      <c r="V142">
        <f>HYPERLINK("https://klasma.github.io/Logging_2180/klagomål/A 59800-2023 FSC-klagomål.docx", "A 59800-2023")</f>
        <v/>
      </c>
      <c r="W142">
        <f>HYPERLINK("https://klasma.github.io/Logging_2180/klagomålsmail/A 59800-2023 FSC-klagomål mail.docx", "A 59800-2023")</f>
        <v/>
      </c>
      <c r="X142">
        <f>HYPERLINK("https://klasma.github.io/Logging_2180/tillsyn/A 59800-2023 tillsynsbegäran.docx", "A 59800-2023")</f>
        <v/>
      </c>
      <c r="Y142">
        <f>HYPERLINK("https://klasma.github.io/Logging_2180/tillsynsmail/A 59800-2023 tillsynsbegäran mail.docx", "A 59800-2023")</f>
        <v/>
      </c>
    </row>
    <row r="143" ht="15" customHeight="1">
      <c r="A143" t="inlineStr">
        <is>
          <t>A 60906-2023</t>
        </is>
      </c>
      <c r="B143" s="1" t="n">
        <v>45261</v>
      </c>
      <c r="C143" s="1" t="n">
        <v>45587</v>
      </c>
      <c r="D143" t="inlineStr">
        <is>
          <t>GÄVLEBORGS LÄN</t>
        </is>
      </c>
      <c r="E143" t="inlineStr">
        <is>
          <t>NORDANSTIG</t>
        </is>
      </c>
      <c r="F143" t="inlineStr">
        <is>
          <t>Holmen skog AB</t>
        </is>
      </c>
      <c r="G143" t="n">
        <v>1.4</v>
      </c>
      <c r="H143" t="n">
        <v>0</v>
      </c>
      <c r="I143" t="n">
        <v>4</v>
      </c>
      <c r="J143" t="n">
        <v>0</v>
      </c>
      <c r="K143" t="n">
        <v>0</v>
      </c>
      <c r="L143" t="n">
        <v>0</v>
      </c>
      <c r="M143" t="n">
        <v>0</v>
      </c>
      <c r="N143" t="n">
        <v>0</v>
      </c>
      <c r="O143" t="n">
        <v>0</v>
      </c>
      <c r="P143" t="n">
        <v>0</v>
      </c>
      <c r="Q143" t="n">
        <v>4</v>
      </c>
      <c r="R143" s="2" t="inlineStr">
        <is>
          <t>Gulnål
Skogshakmossa
Strutbräken
Stubbspretmossa</t>
        </is>
      </c>
      <c r="S143">
        <f>HYPERLINK("https://klasma.github.io/Logging_2132/artfynd/A 60906-2023 artfynd.xlsx", "A 60906-2023")</f>
        <v/>
      </c>
      <c r="T143">
        <f>HYPERLINK("https://klasma.github.io/Logging_2132/kartor/A 60906-2023 karta.png", "A 60906-2023")</f>
        <v/>
      </c>
      <c r="V143">
        <f>HYPERLINK("https://klasma.github.io/Logging_2132/klagomål/A 60906-2023 FSC-klagomål.docx", "A 60906-2023")</f>
        <v/>
      </c>
      <c r="W143">
        <f>HYPERLINK("https://klasma.github.io/Logging_2132/klagomålsmail/A 60906-2023 FSC-klagomål mail.docx", "A 60906-2023")</f>
        <v/>
      </c>
      <c r="X143">
        <f>HYPERLINK("https://klasma.github.io/Logging_2132/tillsyn/A 60906-2023 tillsynsbegäran.docx", "A 60906-2023")</f>
        <v/>
      </c>
      <c r="Y143">
        <f>HYPERLINK("https://klasma.github.io/Logging_2132/tillsynsmail/A 60906-2023 tillsynsbegäran mail.docx", "A 60906-2023")</f>
        <v/>
      </c>
    </row>
    <row r="144" ht="15" customHeight="1">
      <c r="A144" t="inlineStr">
        <is>
          <t>A 1100-2024</t>
        </is>
      </c>
      <c r="B144" s="1" t="n">
        <v>45302</v>
      </c>
      <c r="C144" s="1" t="n">
        <v>45587</v>
      </c>
      <c r="D144" t="inlineStr">
        <is>
          <t>GÄVLEBORGS LÄN</t>
        </is>
      </c>
      <c r="E144" t="inlineStr">
        <is>
          <t>GÄVLE</t>
        </is>
      </c>
      <c r="F144" t="inlineStr">
        <is>
          <t>Bergvik skog väst AB</t>
        </is>
      </c>
      <c r="G144" t="n">
        <v>3.9</v>
      </c>
      <c r="H144" t="n">
        <v>0</v>
      </c>
      <c r="I144" t="n">
        <v>2</v>
      </c>
      <c r="J144" t="n">
        <v>2</v>
      </c>
      <c r="K144" t="n">
        <v>0</v>
      </c>
      <c r="L144" t="n">
        <v>0</v>
      </c>
      <c r="M144" t="n">
        <v>0</v>
      </c>
      <c r="N144" t="n">
        <v>0</v>
      </c>
      <c r="O144" t="n">
        <v>2</v>
      </c>
      <c r="P144" t="n">
        <v>0</v>
      </c>
      <c r="Q144" t="n">
        <v>4</v>
      </c>
      <c r="R144" s="2" t="inlineStr">
        <is>
          <t>Svart taggsvamp
Vedskivlav
Dropptaggsvamp
Vågbandad barkbock</t>
        </is>
      </c>
      <c r="S144">
        <f>HYPERLINK("https://klasma.github.io/Logging_2180/artfynd/A 1100-2024 artfynd.xlsx", "A 1100-2024")</f>
        <v/>
      </c>
      <c r="T144">
        <f>HYPERLINK("https://klasma.github.io/Logging_2180/kartor/A 1100-2024 karta.png", "A 1100-2024")</f>
        <v/>
      </c>
      <c r="V144">
        <f>HYPERLINK("https://klasma.github.io/Logging_2180/klagomål/A 1100-2024 FSC-klagomål.docx", "A 1100-2024")</f>
        <v/>
      </c>
      <c r="W144">
        <f>HYPERLINK("https://klasma.github.io/Logging_2180/klagomålsmail/A 1100-2024 FSC-klagomål mail.docx", "A 1100-2024")</f>
        <v/>
      </c>
      <c r="X144">
        <f>HYPERLINK("https://klasma.github.io/Logging_2180/tillsyn/A 1100-2024 tillsynsbegäran.docx", "A 1100-2024")</f>
        <v/>
      </c>
      <c r="Y144">
        <f>HYPERLINK("https://klasma.github.io/Logging_2180/tillsynsmail/A 1100-2024 tillsynsbegäran mail.docx", "A 1100-2024")</f>
        <v/>
      </c>
    </row>
    <row r="145" ht="15" customHeight="1">
      <c r="A145" t="inlineStr">
        <is>
          <t>A 15206-2024</t>
        </is>
      </c>
      <c r="B145" s="1" t="n">
        <v>45400</v>
      </c>
      <c r="C145" s="1" t="n">
        <v>45587</v>
      </c>
      <c r="D145" t="inlineStr">
        <is>
          <t>GÄVLEBORGS LÄN</t>
        </is>
      </c>
      <c r="E145" t="inlineStr">
        <is>
          <t>LJUSDAL</t>
        </is>
      </c>
      <c r="F145" t="inlineStr">
        <is>
          <t>Sveaskog</t>
        </is>
      </c>
      <c r="G145" t="n">
        <v>7.2</v>
      </c>
      <c r="H145" t="n">
        <v>0</v>
      </c>
      <c r="I145" t="n">
        <v>0</v>
      </c>
      <c r="J145" t="n">
        <v>4</v>
      </c>
      <c r="K145" t="n">
        <v>0</v>
      </c>
      <c r="L145" t="n">
        <v>0</v>
      </c>
      <c r="M145" t="n">
        <v>0</v>
      </c>
      <c r="N145" t="n">
        <v>0</v>
      </c>
      <c r="O145" t="n">
        <v>4</v>
      </c>
      <c r="P145" t="n">
        <v>0</v>
      </c>
      <c r="Q145" t="n">
        <v>4</v>
      </c>
      <c r="R145" s="2" t="inlineStr">
        <is>
          <t>Kolflarnlav
Lunglav
Motaggsvamp
Vedflamlav</t>
        </is>
      </c>
      <c r="S145">
        <f>HYPERLINK("https://klasma.github.io/Logging_2161/artfynd/A 15206-2024 artfynd.xlsx", "A 15206-2024")</f>
        <v/>
      </c>
      <c r="T145">
        <f>HYPERLINK("https://klasma.github.io/Logging_2161/kartor/A 15206-2024 karta.png", "A 15206-2024")</f>
        <v/>
      </c>
      <c r="V145">
        <f>HYPERLINK("https://klasma.github.io/Logging_2161/klagomål/A 15206-2024 FSC-klagomål.docx", "A 15206-2024")</f>
        <v/>
      </c>
      <c r="W145">
        <f>HYPERLINK("https://klasma.github.io/Logging_2161/klagomålsmail/A 15206-2024 FSC-klagomål mail.docx", "A 15206-2024")</f>
        <v/>
      </c>
      <c r="X145">
        <f>HYPERLINK("https://klasma.github.io/Logging_2161/tillsyn/A 15206-2024 tillsynsbegäran.docx", "A 15206-2024")</f>
        <v/>
      </c>
      <c r="Y145">
        <f>HYPERLINK("https://klasma.github.io/Logging_2161/tillsynsmail/A 15206-2024 tillsynsbegäran mail.docx", "A 15206-2024")</f>
        <v/>
      </c>
    </row>
    <row r="146" ht="15" customHeight="1">
      <c r="A146" t="inlineStr">
        <is>
          <t>A 15650-2024</t>
        </is>
      </c>
      <c r="B146" s="1" t="n">
        <v>45404</v>
      </c>
      <c r="C146" s="1" t="n">
        <v>45587</v>
      </c>
      <c r="D146" t="inlineStr">
        <is>
          <t>GÄVLEBORGS LÄN</t>
        </is>
      </c>
      <c r="E146" t="inlineStr">
        <is>
          <t>SANDVIKEN</t>
        </is>
      </c>
      <c r="F146" t="inlineStr">
        <is>
          <t>Bergvik skog öst AB</t>
        </is>
      </c>
      <c r="G146" t="n">
        <v>9.300000000000001</v>
      </c>
      <c r="H146" t="n">
        <v>1</v>
      </c>
      <c r="I146" t="n">
        <v>3</v>
      </c>
      <c r="J146" t="n">
        <v>0</v>
      </c>
      <c r="K146" t="n">
        <v>1</v>
      </c>
      <c r="L146" t="n">
        <v>0</v>
      </c>
      <c r="M146" t="n">
        <v>0</v>
      </c>
      <c r="N146" t="n">
        <v>0</v>
      </c>
      <c r="O146" t="n">
        <v>1</v>
      </c>
      <c r="P146" t="n">
        <v>1</v>
      </c>
      <c r="Q146" t="n">
        <v>4</v>
      </c>
      <c r="R146" s="2" t="inlineStr">
        <is>
          <t>Knärot
Dropptaggsvamp
Fjällig taggsvamp s.str.
Grönpyrola</t>
        </is>
      </c>
      <c r="S146">
        <f>HYPERLINK("https://klasma.github.io/Logging_2181/artfynd/A 15650-2024 artfynd.xlsx", "A 15650-2024")</f>
        <v/>
      </c>
      <c r="T146">
        <f>HYPERLINK("https://klasma.github.io/Logging_2181/kartor/A 15650-2024 karta.png", "A 15650-2024")</f>
        <v/>
      </c>
      <c r="U146">
        <f>HYPERLINK("https://klasma.github.io/Logging_2181/knärot/A 15650-2024 karta knärot.png", "A 15650-2024")</f>
        <v/>
      </c>
      <c r="V146">
        <f>HYPERLINK("https://klasma.github.io/Logging_2181/klagomål/A 15650-2024 FSC-klagomål.docx", "A 15650-2024")</f>
        <v/>
      </c>
      <c r="W146">
        <f>HYPERLINK("https://klasma.github.io/Logging_2181/klagomålsmail/A 15650-2024 FSC-klagomål mail.docx", "A 15650-2024")</f>
        <v/>
      </c>
      <c r="X146">
        <f>HYPERLINK("https://klasma.github.io/Logging_2181/tillsyn/A 15650-2024 tillsynsbegäran.docx", "A 15650-2024")</f>
        <v/>
      </c>
      <c r="Y146">
        <f>HYPERLINK("https://klasma.github.io/Logging_2181/tillsynsmail/A 15650-2024 tillsynsbegäran mail.docx", "A 15650-2024")</f>
        <v/>
      </c>
    </row>
    <row r="147" ht="15" customHeight="1">
      <c r="A147" t="inlineStr">
        <is>
          <t>A 18115-2024</t>
        </is>
      </c>
      <c r="B147" s="1" t="n">
        <v>45420</v>
      </c>
      <c r="C147" s="1" t="n">
        <v>45587</v>
      </c>
      <c r="D147" t="inlineStr">
        <is>
          <t>GÄVLEBORGS LÄN</t>
        </is>
      </c>
      <c r="E147" t="inlineStr">
        <is>
          <t>LJUSDAL</t>
        </is>
      </c>
      <c r="F147" t="inlineStr">
        <is>
          <t>Sveaskog</t>
        </is>
      </c>
      <c r="G147" t="n">
        <v>20.3</v>
      </c>
      <c r="H147" t="n">
        <v>1</v>
      </c>
      <c r="I147" t="n">
        <v>1</v>
      </c>
      <c r="J147" t="n">
        <v>3</v>
      </c>
      <c r="K147" t="n">
        <v>0</v>
      </c>
      <c r="L147" t="n">
        <v>0</v>
      </c>
      <c r="M147" t="n">
        <v>0</v>
      </c>
      <c r="N147" t="n">
        <v>0</v>
      </c>
      <c r="O147" t="n">
        <v>3</v>
      </c>
      <c r="P147" t="n">
        <v>0</v>
      </c>
      <c r="Q147" t="n">
        <v>4</v>
      </c>
      <c r="R147" s="2" t="inlineStr">
        <is>
          <t>Kolflarnlav
Lunglav
Orange taggsvamp
Plattlummer</t>
        </is>
      </c>
      <c r="S147">
        <f>HYPERLINK("https://klasma.github.io/Logging_2161/artfynd/A 18115-2024 artfynd.xlsx", "A 18115-2024")</f>
        <v/>
      </c>
      <c r="T147">
        <f>HYPERLINK("https://klasma.github.io/Logging_2161/kartor/A 18115-2024 karta.png", "A 18115-2024")</f>
        <v/>
      </c>
      <c r="V147">
        <f>HYPERLINK("https://klasma.github.io/Logging_2161/klagomål/A 18115-2024 FSC-klagomål.docx", "A 18115-2024")</f>
        <v/>
      </c>
      <c r="W147">
        <f>HYPERLINK("https://klasma.github.io/Logging_2161/klagomålsmail/A 18115-2024 FSC-klagomål mail.docx", "A 18115-2024")</f>
        <v/>
      </c>
      <c r="X147">
        <f>HYPERLINK("https://klasma.github.io/Logging_2161/tillsyn/A 18115-2024 tillsynsbegäran.docx", "A 18115-2024")</f>
        <v/>
      </c>
      <c r="Y147">
        <f>HYPERLINK("https://klasma.github.io/Logging_2161/tillsynsmail/A 18115-2024 tillsynsbegäran mail.docx", "A 18115-2024")</f>
        <v/>
      </c>
    </row>
    <row r="148" ht="15" customHeight="1">
      <c r="A148" t="inlineStr">
        <is>
          <t>A 21815-2024</t>
        </is>
      </c>
      <c r="B148" s="1" t="n">
        <v>45442</v>
      </c>
      <c r="C148" s="1" t="n">
        <v>45587</v>
      </c>
      <c r="D148" t="inlineStr">
        <is>
          <t>GÄVLEBORGS LÄN</t>
        </is>
      </c>
      <c r="E148" t="inlineStr">
        <is>
          <t>LJUSDAL</t>
        </is>
      </c>
      <c r="G148" t="n">
        <v>11.1</v>
      </c>
      <c r="H148" t="n">
        <v>3</v>
      </c>
      <c r="I148" t="n">
        <v>1</v>
      </c>
      <c r="J148" t="n">
        <v>0</v>
      </c>
      <c r="K148" t="n">
        <v>0</v>
      </c>
      <c r="L148" t="n">
        <v>0</v>
      </c>
      <c r="M148" t="n">
        <v>0</v>
      </c>
      <c r="N148" t="n">
        <v>0</v>
      </c>
      <c r="O148" t="n">
        <v>0</v>
      </c>
      <c r="P148" t="n">
        <v>0</v>
      </c>
      <c r="Q148" t="n">
        <v>4</v>
      </c>
      <c r="R148" s="2" t="inlineStr">
        <is>
          <t>Vårärt
Nattviol
Blåsippa
Revlummer</t>
        </is>
      </c>
      <c r="S148">
        <f>HYPERLINK("https://klasma.github.io/Logging_2161/artfynd/A 21815-2024 artfynd.xlsx", "A 21815-2024")</f>
        <v/>
      </c>
      <c r="T148">
        <f>HYPERLINK("https://klasma.github.io/Logging_2161/kartor/A 21815-2024 karta.png", "A 21815-2024")</f>
        <v/>
      </c>
      <c r="V148">
        <f>HYPERLINK("https://klasma.github.io/Logging_2161/klagomål/A 21815-2024 FSC-klagomål.docx", "A 21815-2024")</f>
        <v/>
      </c>
      <c r="W148">
        <f>HYPERLINK("https://klasma.github.io/Logging_2161/klagomålsmail/A 21815-2024 FSC-klagomål mail.docx", "A 21815-2024")</f>
        <v/>
      </c>
      <c r="X148">
        <f>HYPERLINK("https://klasma.github.io/Logging_2161/tillsyn/A 21815-2024 tillsynsbegäran.docx", "A 21815-2024")</f>
        <v/>
      </c>
      <c r="Y148">
        <f>HYPERLINK("https://klasma.github.io/Logging_2161/tillsynsmail/A 21815-2024 tillsynsbegäran mail.docx", "A 21815-2024")</f>
        <v/>
      </c>
    </row>
    <row r="149" ht="15" customHeight="1">
      <c r="A149" t="inlineStr">
        <is>
          <t>A 23393-2024</t>
        </is>
      </c>
      <c r="B149" s="1" t="n">
        <v>45453</v>
      </c>
      <c r="C149" s="1" t="n">
        <v>45587</v>
      </c>
      <c r="D149" t="inlineStr">
        <is>
          <t>GÄVLEBORGS LÄN</t>
        </is>
      </c>
      <c r="E149" t="inlineStr">
        <is>
          <t>LJUSDAL</t>
        </is>
      </c>
      <c r="G149" t="n">
        <v>4</v>
      </c>
      <c r="H149" t="n">
        <v>1</v>
      </c>
      <c r="I149" t="n">
        <v>0</v>
      </c>
      <c r="J149" t="n">
        <v>3</v>
      </c>
      <c r="K149" t="n">
        <v>0</v>
      </c>
      <c r="L149" t="n">
        <v>0</v>
      </c>
      <c r="M149" t="n">
        <v>0</v>
      </c>
      <c r="N149" t="n">
        <v>0</v>
      </c>
      <c r="O149" t="n">
        <v>3</v>
      </c>
      <c r="P149" t="n">
        <v>0</v>
      </c>
      <c r="Q149" t="n">
        <v>4</v>
      </c>
      <c r="R149" s="2" t="inlineStr">
        <is>
          <t>Kolflarnlav
Lunglav
Vedflamlav
Nattviol</t>
        </is>
      </c>
      <c r="S149">
        <f>HYPERLINK("https://klasma.github.io/Logging_2161/artfynd/A 23393-2024 artfynd.xlsx", "A 23393-2024")</f>
        <v/>
      </c>
      <c r="T149">
        <f>HYPERLINK("https://klasma.github.io/Logging_2161/kartor/A 23393-2024 karta.png", "A 23393-2024")</f>
        <v/>
      </c>
      <c r="V149">
        <f>HYPERLINK("https://klasma.github.io/Logging_2161/klagomål/A 23393-2024 FSC-klagomål.docx", "A 23393-2024")</f>
        <v/>
      </c>
      <c r="W149">
        <f>HYPERLINK("https://klasma.github.io/Logging_2161/klagomålsmail/A 23393-2024 FSC-klagomål mail.docx", "A 23393-2024")</f>
        <v/>
      </c>
      <c r="X149">
        <f>HYPERLINK("https://klasma.github.io/Logging_2161/tillsyn/A 23393-2024 tillsynsbegäran.docx", "A 23393-2024")</f>
        <v/>
      </c>
      <c r="Y149">
        <f>HYPERLINK("https://klasma.github.io/Logging_2161/tillsynsmail/A 23393-2024 tillsynsbegäran mail.docx", "A 23393-2024")</f>
        <v/>
      </c>
    </row>
    <row r="150" ht="15" customHeight="1">
      <c r="A150" t="inlineStr">
        <is>
          <t>A 24253-2024</t>
        </is>
      </c>
      <c r="B150" s="1" t="n">
        <v>45457</v>
      </c>
      <c r="C150" s="1" t="n">
        <v>45587</v>
      </c>
      <c r="D150" t="inlineStr">
        <is>
          <t>GÄVLEBORGS LÄN</t>
        </is>
      </c>
      <c r="E150" t="inlineStr">
        <is>
          <t>LJUSDAL</t>
        </is>
      </c>
      <c r="F150" t="inlineStr">
        <is>
          <t>Sveaskog</t>
        </is>
      </c>
      <c r="G150" t="n">
        <v>4.2</v>
      </c>
      <c r="H150" t="n">
        <v>0</v>
      </c>
      <c r="I150" t="n">
        <v>0</v>
      </c>
      <c r="J150" t="n">
        <v>4</v>
      </c>
      <c r="K150" t="n">
        <v>0</v>
      </c>
      <c r="L150" t="n">
        <v>0</v>
      </c>
      <c r="M150" t="n">
        <v>0</v>
      </c>
      <c r="N150" t="n">
        <v>0</v>
      </c>
      <c r="O150" t="n">
        <v>4</v>
      </c>
      <c r="P150" t="n">
        <v>0</v>
      </c>
      <c r="Q150" t="n">
        <v>4</v>
      </c>
      <c r="R150" s="2" t="inlineStr">
        <is>
          <t>Garnlav
Kolflarnlav
Lunglav
Mörk kolflarnlav</t>
        </is>
      </c>
      <c r="S150">
        <f>HYPERLINK("https://klasma.github.io/Logging_2161/artfynd/A 24253-2024 artfynd.xlsx", "A 24253-2024")</f>
        <v/>
      </c>
      <c r="T150">
        <f>HYPERLINK("https://klasma.github.io/Logging_2161/kartor/A 24253-2024 karta.png", "A 24253-2024")</f>
        <v/>
      </c>
      <c r="V150">
        <f>HYPERLINK("https://klasma.github.io/Logging_2161/klagomål/A 24253-2024 FSC-klagomål.docx", "A 24253-2024")</f>
        <v/>
      </c>
      <c r="W150">
        <f>HYPERLINK("https://klasma.github.io/Logging_2161/klagomålsmail/A 24253-2024 FSC-klagomål mail.docx", "A 24253-2024")</f>
        <v/>
      </c>
      <c r="X150">
        <f>HYPERLINK("https://klasma.github.io/Logging_2161/tillsyn/A 24253-2024 tillsynsbegäran.docx", "A 24253-2024")</f>
        <v/>
      </c>
      <c r="Y150">
        <f>HYPERLINK("https://klasma.github.io/Logging_2161/tillsynsmail/A 24253-2024 tillsynsbegäran mail.docx", "A 24253-2024")</f>
        <v/>
      </c>
    </row>
    <row r="151" ht="15" customHeight="1">
      <c r="A151" t="inlineStr">
        <is>
          <t>A 24356-2024</t>
        </is>
      </c>
      <c r="B151" s="1" t="n">
        <v>45457</v>
      </c>
      <c r="C151" s="1" t="n">
        <v>45587</v>
      </c>
      <c r="D151" t="inlineStr">
        <is>
          <t>GÄVLEBORGS LÄN</t>
        </is>
      </c>
      <c r="E151" t="inlineStr">
        <is>
          <t>LJUSDAL</t>
        </is>
      </c>
      <c r="G151" t="n">
        <v>9.6</v>
      </c>
      <c r="H151" t="n">
        <v>0</v>
      </c>
      <c r="I151" t="n">
        <v>0</v>
      </c>
      <c r="J151" t="n">
        <v>4</v>
      </c>
      <c r="K151" t="n">
        <v>0</v>
      </c>
      <c r="L151" t="n">
        <v>0</v>
      </c>
      <c r="M151" t="n">
        <v>0</v>
      </c>
      <c r="N151" t="n">
        <v>0</v>
      </c>
      <c r="O151" t="n">
        <v>4</v>
      </c>
      <c r="P151" t="n">
        <v>0</v>
      </c>
      <c r="Q151" t="n">
        <v>4</v>
      </c>
      <c r="R151" s="2" t="inlineStr">
        <is>
          <t>Garnlav
Kolflarnlav
Lunglav
Mörk kolflarnlav</t>
        </is>
      </c>
      <c r="S151">
        <f>HYPERLINK("https://klasma.github.io/Logging_2161/artfynd/A 24356-2024 artfynd.xlsx", "A 24356-2024")</f>
        <v/>
      </c>
      <c r="T151">
        <f>HYPERLINK("https://klasma.github.io/Logging_2161/kartor/A 24356-2024 karta.png", "A 24356-2024")</f>
        <v/>
      </c>
      <c r="V151">
        <f>HYPERLINK("https://klasma.github.io/Logging_2161/klagomål/A 24356-2024 FSC-klagomål.docx", "A 24356-2024")</f>
        <v/>
      </c>
      <c r="W151">
        <f>HYPERLINK("https://klasma.github.io/Logging_2161/klagomålsmail/A 24356-2024 FSC-klagomål mail.docx", "A 24356-2024")</f>
        <v/>
      </c>
      <c r="X151">
        <f>HYPERLINK("https://klasma.github.io/Logging_2161/tillsyn/A 24356-2024 tillsynsbegäran.docx", "A 24356-2024")</f>
        <v/>
      </c>
      <c r="Y151">
        <f>HYPERLINK("https://klasma.github.io/Logging_2161/tillsynsmail/A 24356-2024 tillsynsbegäran mail.docx", "A 24356-2024")</f>
        <v/>
      </c>
    </row>
    <row r="152" ht="15" customHeight="1">
      <c r="A152" t="inlineStr">
        <is>
          <t>A 33684-2024</t>
        </is>
      </c>
      <c r="B152" s="1" t="n">
        <v>45520</v>
      </c>
      <c r="C152" s="1" t="n">
        <v>45587</v>
      </c>
      <c r="D152" t="inlineStr">
        <is>
          <t>GÄVLEBORGS LÄN</t>
        </is>
      </c>
      <c r="E152" t="inlineStr">
        <is>
          <t>LJUSDAL</t>
        </is>
      </c>
      <c r="F152" t="inlineStr">
        <is>
          <t>Bergvik skog väst AB</t>
        </is>
      </c>
      <c r="G152" t="n">
        <v>2.6</v>
      </c>
      <c r="H152" t="n">
        <v>0</v>
      </c>
      <c r="I152" t="n">
        <v>0</v>
      </c>
      <c r="J152" t="n">
        <v>4</v>
      </c>
      <c r="K152" t="n">
        <v>0</v>
      </c>
      <c r="L152" t="n">
        <v>0</v>
      </c>
      <c r="M152" t="n">
        <v>0</v>
      </c>
      <c r="N152" t="n">
        <v>0</v>
      </c>
      <c r="O152" t="n">
        <v>4</v>
      </c>
      <c r="P152" t="n">
        <v>0</v>
      </c>
      <c r="Q152" t="n">
        <v>4</v>
      </c>
      <c r="R152" s="2" t="inlineStr">
        <is>
          <t>Dvärgbägarlav
Garnlav
Kolflarnlav
Vedskivlav</t>
        </is>
      </c>
      <c r="S152">
        <f>HYPERLINK("https://klasma.github.io/Logging_2161/artfynd/A 33684-2024 artfynd.xlsx", "A 33684-2024")</f>
        <v/>
      </c>
      <c r="T152">
        <f>HYPERLINK("https://klasma.github.io/Logging_2161/kartor/A 33684-2024 karta.png", "A 33684-2024")</f>
        <v/>
      </c>
      <c r="V152">
        <f>HYPERLINK("https://klasma.github.io/Logging_2161/klagomål/A 33684-2024 FSC-klagomål.docx", "A 33684-2024")</f>
        <v/>
      </c>
      <c r="W152">
        <f>HYPERLINK("https://klasma.github.io/Logging_2161/klagomålsmail/A 33684-2024 FSC-klagomål mail.docx", "A 33684-2024")</f>
        <v/>
      </c>
      <c r="X152">
        <f>HYPERLINK("https://klasma.github.io/Logging_2161/tillsyn/A 33684-2024 tillsynsbegäran.docx", "A 33684-2024")</f>
        <v/>
      </c>
      <c r="Y152">
        <f>HYPERLINK("https://klasma.github.io/Logging_2161/tillsynsmail/A 33684-2024 tillsynsbegäran mail.docx", "A 33684-2024")</f>
        <v/>
      </c>
    </row>
    <row r="153" ht="15" customHeight="1">
      <c r="A153" t="inlineStr">
        <is>
          <t>A 34757-2024</t>
        </is>
      </c>
      <c r="B153" s="1" t="n">
        <v>45526</v>
      </c>
      <c r="C153" s="1" t="n">
        <v>45587</v>
      </c>
      <c r="D153" t="inlineStr">
        <is>
          <t>GÄVLEBORGS LÄN</t>
        </is>
      </c>
      <c r="E153" t="inlineStr">
        <is>
          <t>LJUSDAL</t>
        </is>
      </c>
      <c r="F153" t="inlineStr">
        <is>
          <t>Sveaskog</t>
        </is>
      </c>
      <c r="G153" t="n">
        <v>8.300000000000001</v>
      </c>
      <c r="H153" t="n">
        <v>0</v>
      </c>
      <c r="I153" t="n">
        <v>0</v>
      </c>
      <c r="J153" t="n">
        <v>4</v>
      </c>
      <c r="K153" t="n">
        <v>0</v>
      </c>
      <c r="L153" t="n">
        <v>0</v>
      </c>
      <c r="M153" t="n">
        <v>0</v>
      </c>
      <c r="N153" t="n">
        <v>0</v>
      </c>
      <c r="O153" t="n">
        <v>4</v>
      </c>
      <c r="P153" t="n">
        <v>0</v>
      </c>
      <c r="Q153" t="n">
        <v>4</v>
      </c>
      <c r="R153" s="2" t="inlineStr">
        <is>
          <t>Blå taggsvamp
Garnlav
Kolflarnlav
Lunglav</t>
        </is>
      </c>
      <c r="S153">
        <f>HYPERLINK("https://klasma.github.io/Logging_2161/artfynd/A 34757-2024 artfynd.xlsx", "A 34757-2024")</f>
        <v/>
      </c>
      <c r="T153">
        <f>HYPERLINK("https://klasma.github.io/Logging_2161/kartor/A 34757-2024 karta.png", "A 34757-2024")</f>
        <v/>
      </c>
      <c r="V153">
        <f>HYPERLINK("https://klasma.github.io/Logging_2161/klagomål/A 34757-2024 FSC-klagomål.docx", "A 34757-2024")</f>
        <v/>
      </c>
      <c r="W153">
        <f>HYPERLINK("https://klasma.github.io/Logging_2161/klagomålsmail/A 34757-2024 FSC-klagomål mail.docx", "A 34757-2024")</f>
        <v/>
      </c>
      <c r="X153">
        <f>HYPERLINK("https://klasma.github.io/Logging_2161/tillsyn/A 34757-2024 tillsynsbegäran.docx", "A 34757-2024")</f>
        <v/>
      </c>
      <c r="Y153">
        <f>HYPERLINK("https://klasma.github.io/Logging_2161/tillsynsmail/A 34757-2024 tillsynsbegäran mail.docx", "A 34757-2024")</f>
        <v/>
      </c>
    </row>
    <row r="154" ht="15" customHeight="1">
      <c r="A154" t="inlineStr">
        <is>
          <t>A 21895-2019</t>
        </is>
      </c>
      <c r="B154" s="1" t="n">
        <v>43584</v>
      </c>
      <c r="C154" s="1" t="n">
        <v>45587</v>
      </c>
      <c r="D154" t="inlineStr">
        <is>
          <t>GÄVLEBORGS LÄN</t>
        </is>
      </c>
      <c r="E154" t="inlineStr">
        <is>
          <t>HUDIKSVALL</t>
        </is>
      </c>
      <c r="F154" t="inlineStr">
        <is>
          <t>Holmen skog AB</t>
        </is>
      </c>
      <c r="G154" t="n">
        <v>5.6</v>
      </c>
      <c r="H154" t="n">
        <v>1</v>
      </c>
      <c r="I154" t="n">
        <v>1</v>
      </c>
      <c r="J154" t="n">
        <v>0</v>
      </c>
      <c r="K154" t="n">
        <v>2</v>
      </c>
      <c r="L154" t="n">
        <v>0</v>
      </c>
      <c r="M154" t="n">
        <v>0</v>
      </c>
      <c r="N154" t="n">
        <v>0</v>
      </c>
      <c r="O154" t="n">
        <v>2</v>
      </c>
      <c r="P154" t="n">
        <v>2</v>
      </c>
      <c r="Q154" t="n">
        <v>3</v>
      </c>
      <c r="R154" s="2" t="inlineStr">
        <is>
          <t>Blackticka
Knärot
Bågpraktmossa</t>
        </is>
      </c>
      <c r="S154">
        <f>HYPERLINK("https://klasma.github.io/Logging_2184/artfynd/A 21895-2019 artfynd.xlsx", "A 21895-2019")</f>
        <v/>
      </c>
      <c r="T154">
        <f>HYPERLINK("https://klasma.github.io/Logging_2184/kartor/A 21895-2019 karta.png", "A 21895-2019")</f>
        <v/>
      </c>
      <c r="U154">
        <f>HYPERLINK("https://klasma.github.io/Logging_2184/knärot/A 21895-2019 karta knärot.png", "A 21895-2019")</f>
        <v/>
      </c>
      <c r="V154">
        <f>HYPERLINK("https://klasma.github.io/Logging_2184/klagomål/A 21895-2019 FSC-klagomål.docx", "A 21895-2019")</f>
        <v/>
      </c>
      <c r="W154">
        <f>HYPERLINK("https://klasma.github.io/Logging_2184/klagomålsmail/A 21895-2019 FSC-klagomål mail.docx", "A 21895-2019")</f>
        <v/>
      </c>
      <c r="X154">
        <f>HYPERLINK("https://klasma.github.io/Logging_2184/tillsyn/A 21895-2019 tillsynsbegäran.docx", "A 21895-2019")</f>
        <v/>
      </c>
      <c r="Y154">
        <f>HYPERLINK("https://klasma.github.io/Logging_2184/tillsynsmail/A 21895-2019 tillsynsbegäran mail.docx", "A 21895-2019")</f>
        <v/>
      </c>
    </row>
    <row r="155" ht="15" customHeight="1">
      <c r="A155" t="inlineStr">
        <is>
          <t>A 27404-2019</t>
        </is>
      </c>
      <c r="B155" s="1" t="n">
        <v>43616</v>
      </c>
      <c r="C155" s="1" t="n">
        <v>45587</v>
      </c>
      <c r="D155" t="inlineStr">
        <is>
          <t>GÄVLEBORGS LÄN</t>
        </is>
      </c>
      <c r="E155" t="inlineStr">
        <is>
          <t>OVANÅKER</t>
        </is>
      </c>
      <c r="F155" t="inlineStr">
        <is>
          <t>Bergvik skog väst AB</t>
        </is>
      </c>
      <c r="G155" t="n">
        <v>1.3</v>
      </c>
      <c r="H155" t="n">
        <v>0</v>
      </c>
      <c r="I155" t="n">
        <v>1</v>
      </c>
      <c r="J155" t="n">
        <v>2</v>
      </c>
      <c r="K155" t="n">
        <v>0</v>
      </c>
      <c r="L155" t="n">
        <v>0</v>
      </c>
      <c r="M155" t="n">
        <v>0</v>
      </c>
      <c r="N155" t="n">
        <v>0</v>
      </c>
      <c r="O155" t="n">
        <v>2</v>
      </c>
      <c r="P155" t="n">
        <v>0</v>
      </c>
      <c r="Q155" t="n">
        <v>3</v>
      </c>
      <c r="R155" s="2" t="inlineStr">
        <is>
          <t>Tallticka
Vedskivlav
Mindre märgborre</t>
        </is>
      </c>
      <c r="S155">
        <f>HYPERLINK("https://klasma.github.io/Logging_2121/artfynd/A 27404-2019 artfynd.xlsx", "A 27404-2019")</f>
        <v/>
      </c>
      <c r="T155">
        <f>HYPERLINK("https://klasma.github.io/Logging_2121/kartor/A 27404-2019 karta.png", "A 27404-2019")</f>
        <v/>
      </c>
      <c r="V155">
        <f>HYPERLINK("https://klasma.github.io/Logging_2121/klagomål/A 27404-2019 FSC-klagomål.docx", "A 27404-2019")</f>
        <v/>
      </c>
      <c r="W155">
        <f>HYPERLINK("https://klasma.github.io/Logging_2121/klagomålsmail/A 27404-2019 FSC-klagomål mail.docx", "A 27404-2019")</f>
        <v/>
      </c>
      <c r="X155">
        <f>HYPERLINK("https://klasma.github.io/Logging_2121/tillsyn/A 27404-2019 tillsynsbegäran.docx", "A 27404-2019")</f>
        <v/>
      </c>
      <c r="Y155">
        <f>HYPERLINK("https://klasma.github.io/Logging_2121/tillsynsmail/A 27404-2019 tillsynsbegäran mail.docx", "A 27404-2019")</f>
        <v/>
      </c>
    </row>
    <row r="156" ht="15" customHeight="1">
      <c r="A156" t="inlineStr">
        <is>
          <t>A 29664-2019</t>
        </is>
      </c>
      <c r="B156" s="1" t="n">
        <v>43628</v>
      </c>
      <c r="C156" s="1" t="n">
        <v>45587</v>
      </c>
      <c r="D156" t="inlineStr">
        <is>
          <t>GÄVLEBORGS LÄN</t>
        </is>
      </c>
      <c r="E156" t="inlineStr">
        <is>
          <t>LJUSDAL</t>
        </is>
      </c>
      <c r="F156" t="inlineStr">
        <is>
          <t>Holmen skog AB</t>
        </is>
      </c>
      <c r="G156" t="n">
        <v>3.1</v>
      </c>
      <c r="H156" t="n">
        <v>1</v>
      </c>
      <c r="I156" t="n">
        <v>1</v>
      </c>
      <c r="J156" t="n">
        <v>1</v>
      </c>
      <c r="K156" t="n">
        <v>1</v>
      </c>
      <c r="L156" t="n">
        <v>0</v>
      </c>
      <c r="M156" t="n">
        <v>0</v>
      </c>
      <c r="N156" t="n">
        <v>0</v>
      </c>
      <c r="O156" t="n">
        <v>2</v>
      </c>
      <c r="P156" t="n">
        <v>1</v>
      </c>
      <c r="Q156" t="n">
        <v>3</v>
      </c>
      <c r="R156" s="2" t="inlineStr">
        <is>
          <t>Knärot
Ullticka
Dropptaggsvamp</t>
        </is>
      </c>
      <c r="S156">
        <f>HYPERLINK("https://klasma.github.io/Logging_2161/artfynd/A 29664-2019 artfynd.xlsx", "A 29664-2019")</f>
        <v/>
      </c>
      <c r="T156">
        <f>HYPERLINK("https://klasma.github.io/Logging_2161/kartor/A 29664-2019 karta.png", "A 29664-2019")</f>
        <v/>
      </c>
      <c r="U156">
        <f>HYPERLINK("https://klasma.github.io/Logging_2161/knärot/A 29664-2019 karta knärot.png", "A 29664-2019")</f>
        <v/>
      </c>
      <c r="V156">
        <f>HYPERLINK("https://klasma.github.io/Logging_2161/klagomål/A 29664-2019 FSC-klagomål.docx", "A 29664-2019")</f>
        <v/>
      </c>
      <c r="W156">
        <f>HYPERLINK("https://klasma.github.io/Logging_2161/klagomålsmail/A 29664-2019 FSC-klagomål mail.docx", "A 29664-2019")</f>
        <v/>
      </c>
      <c r="X156">
        <f>HYPERLINK("https://klasma.github.io/Logging_2161/tillsyn/A 29664-2019 tillsynsbegäran.docx", "A 29664-2019")</f>
        <v/>
      </c>
      <c r="Y156">
        <f>HYPERLINK("https://klasma.github.io/Logging_2161/tillsynsmail/A 29664-2019 tillsynsbegäran mail.docx", "A 29664-2019")</f>
        <v/>
      </c>
    </row>
    <row r="157" ht="15" customHeight="1">
      <c r="A157" t="inlineStr">
        <is>
          <t>A 30590-2019</t>
        </is>
      </c>
      <c r="B157" s="1" t="n">
        <v>43635</v>
      </c>
      <c r="C157" s="1" t="n">
        <v>45587</v>
      </c>
      <c r="D157" t="inlineStr">
        <is>
          <t>GÄVLEBORGS LÄN</t>
        </is>
      </c>
      <c r="E157" t="inlineStr">
        <is>
          <t>HOFORS</t>
        </is>
      </c>
      <c r="F157" t="inlineStr">
        <is>
          <t>Sveaskog</t>
        </is>
      </c>
      <c r="G157" t="n">
        <v>7.2</v>
      </c>
      <c r="H157" t="n">
        <v>2</v>
      </c>
      <c r="I157" t="n">
        <v>1</v>
      </c>
      <c r="J157" t="n">
        <v>1</v>
      </c>
      <c r="K157" t="n">
        <v>1</v>
      </c>
      <c r="L157" t="n">
        <v>0</v>
      </c>
      <c r="M157" t="n">
        <v>0</v>
      </c>
      <c r="N157" t="n">
        <v>0</v>
      </c>
      <c r="O157" t="n">
        <v>2</v>
      </c>
      <c r="P157" t="n">
        <v>1</v>
      </c>
      <c r="Q157" t="n">
        <v>3</v>
      </c>
      <c r="R157" s="2" t="inlineStr">
        <is>
          <t>Knärot
Kortskaftad ärgspik
Plattlummer</t>
        </is>
      </c>
      <c r="S157">
        <f>HYPERLINK("https://klasma.github.io/Logging_2104/artfynd/A 30590-2019 artfynd.xlsx", "A 30590-2019")</f>
        <v/>
      </c>
      <c r="T157">
        <f>HYPERLINK("https://klasma.github.io/Logging_2104/kartor/A 30590-2019 karta.png", "A 30590-2019")</f>
        <v/>
      </c>
      <c r="U157">
        <f>HYPERLINK("https://klasma.github.io/Logging_2104/knärot/A 30590-2019 karta knärot.png", "A 30590-2019")</f>
        <v/>
      </c>
      <c r="V157">
        <f>HYPERLINK("https://klasma.github.io/Logging_2104/klagomål/A 30590-2019 FSC-klagomål.docx", "A 30590-2019")</f>
        <v/>
      </c>
      <c r="W157">
        <f>HYPERLINK("https://klasma.github.io/Logging_2104/klagomålsmail/A 30590-2019 FSC-klagomål mail.docx", "A 30590-2019")</f>
        <v/>
      </c>
      <c r="X157">
        <f>HYPERLINK("https://klasma.github.io/Logging_2104/tillsyn/A 30590-2019 tillsynsbegäran.docx", "A 30590-2019")</f>
        <v/>
      </c>
      <c r="Y157">
        <f>HYPERLINK("https://klasma.github.io/Logging_2104/tillsynsmail/A 30590-2019 tillsynsbegäran mail.docx", "A 30590-2019")</f>
        <v/>
      </c>
    </row>
    <row r="158" ht="15" customHeight="1">
      <c r="A158" t="inlineStr">
        <is>
          <t>A 67390-2019</t>
        </is>
      </c>
      <c r="B158" s="1" t="n">
        <v>43812</v>
      </c>
      <c r="C158" s="1" t="n">
        <v>45587</v>
      </c>
      <c r="D158" t="inlineStr">
        <is>
          <t>GÄVLEBORGS LÄN</t>
        </is>
      </c>
      <c r="E158" t="inlineStr">
        <is>
          <t>GÄVLE</t>
        </is>
      </c>
      <c r="F158" t="inlineStr">
        <is>
          <t>Kommuner</t>
        </is>
      </c>
      <c r="G158" t="n">
        <v>7.8</v>
      </c>
      <c r="H158" t="n">
        <v>1</v>
      </c>
      <c r="I158" t="n">
        <v>3</v>
      </c>
      <c r="J158" t="n">
        <v>0</v>
      </c>
      <c r="K158" t="n">
        <v>0</v>
      </c>
      <c r="L158" t="n">
        <v>0</v>
      </c>
      <c r="M158" t="n">
        <v>0</v>
      </c>
      <c r="N158" t="n">
        <v>0</v>
      </c>
      <c r="O158" t="n">
        <v>0</v>
      </c>
      <c r="P158" t="n">
        <v>0</v>
      </c>
      <c r="Q158" t="n">
        <v>3</v>
      </c>
      <c r="R158" s="2" t="inlineStr">
        <is>
          <t>Grön sköldmossa
Mörk husmossa
Skogshakmossa</t>
        </is>
      </c>
      <c r="S158">
        <f>HYPERLINK("https://klasma.github.io/Logging_2180/artfynd/A 67390-2019 artfynd.xlsx", "A 67390-2019")</f>
        <v/>
      </c>
      <c r="T158">
        <f>HYPERLINK("https://klasma.github.io/Logging_2180/kartor/A 67390-2019 karta.png", "A 67390-2019")</f>
        <v/>
      </c>
      <c r="V158">
        <f>HYPERLINK("https://klasma.github.io/Logging_2180/klagomål/A 67390-2019 FSC-klagomål.docx", "A 67390-2019")</f>
        <v/>
      </c>
      <c r="W158">
        <f>HYPERLINK("https://klasma.github.io/Logging_2180/klagomålsmail/A 67390-2019 FSC-klagomål mail.docx", "A 67390-2019")</f>
        <v/>
      </c>
      <c r="X158">
        <f>HYPERLINK("https://klasma.github.io/Logging_2180/tillsyn/A 67390-2019 tillsynsbegäran.docx", "A 67390-2019")</f>
        <v/>
      </c>
      <c r="Y158">
        <f>HYPERLINK("https://klasma.github.io/Logging_2180/tillsynsmail/A 67390-2019 tillsynsbegäran mail.docx", "A 67390-2019")</f>
        <v/>
      </c>
    </row>
    <row r="159" ht="15" customHeight="1">
      <c r="A159" t="inlineStr">
        <is>
          <t>A 3258-2020</t>
        </is>
      </c>
      <c r="B159" s="1" t="n">
        <v>43852</v>
      </c>
      <c r="C159" s="1" t="n">
        <v>45587</v>
      </c>
      <c r="D159" t="inlineStr">
        <is>
          <t>GÄVLEBORGS LÄN</t>
        </is>
      </c>
      <c r="E159" t="inlineStr">
        <is>
          <t>LJUSDAL</t>
        </is>
      </c>
      <c r="F159" t="inlineStr">
        <is>
          <t>Sveaskog</t>
        </is>
      </c>
      <c r="G159" t="n">
        <v>4.3</v>
      </c>
      <c r="H159" t="n">
        <v>1</v>
      </c>
      <c r="I159" t="n">
        <v>1</v>
      </c>
      <c r="J159" t="n">
        <v>1</v>
      </c>
      <c r="K159" t="n">
        <v>1</v>
      </c>
      <c r="L159" t="n">
        <v>0</v>
      </c>
      <c r="M159" t="n">
        <v>0</v>
      </c>
      <c r="N159" t="n">
        <v>0</v>
      </c>
      <c r="O159" t="n">
        <v>2</v>
      </c>
      <c r="P159" t="n">
        <v>1</v>
      </c>
      <c r="Q159" t="n">
        <v>3</v>
      </c>
      <c r="R159" s="2" t="inlineStr">
        <is>
          <t>Knärot
Tallticka
Dropptaggsvamp</t>
        </is>
      </c>
      <c r="S159">
        <f>HYPERLINK("https://klasma.github.io/Logging_2161/artfynd/A 3258-2020 artfynd.xlsx", "A 3258-2020")</f>
        <v/>
      </c>
      <c r="T159">
        <f>HYPERLINK("https://klasma.github.io/Logging_2161/kartor/A 3258-2020 karta.png", "A 3258-2020")</f>
        <v/>
      </c>
      <c r="U159">
        <f>HYPERLINK("https://klasma.github.io/Logging_2161/knärot/A 3258-2020 karta knärot.png", "A 3258-2020")</f>
        <v/>
      </c>
      <c r="V159">
        <f>HYPERLINK("https://klasma.github.io/Logging_2161/klagomål/A 3258-2020 FSC-klagomål.docx", "A 3258-2020")</f>
        <v/>
      </c>
      <c r="W159">
        <f>HYPERLINK("https://klasma.github.io/Logging_2161/klagomålsmail/A 3258-2020 FSC-klagomål mail.docx", "A 3258-2020")</f>
        <v/>
      </c>
      <c r="X159">
        <f>HYPERLINK("https://klasma.github.io/Logging_2161/tillsyn/A 3258-2020 tillsynsbegäran.docx", "A 3258-2020")</f>
        <v/>
      </c>
      <c r="Y159">
        <f>HYPERLINK("https://klasma.github.io/Logging_2161/tillsynsmail/A 3258-2020 tillsynsbegäran mail.docx", "A 3258-2020")</f>
        <v/>
      </c>
    </row>
    <row r="160" ht="15" customHeight="1">
      <c r="A160" t="inlineStr">
        <is>
          <t>A 7558-2020</t>
        </is>
      </c>
      <c r="B160" s="1" t="n">
        <v>43872</v>
      </c>
      <c r="C160" s="1" t="n">
        <v>45587</v>
      </c>
      <c r="D160" t="inlineStr">
        <is>
          <t>GÄVLEBORGS LÄN</t>
        </is>
      </c>
      <c r="E160" t="inlineStr">
        <is>
          <t>LJUSDAL</t>
        </is>
      </c>
      <c r="G160" t="n">
        <v>2.9</v>
      </c>
      <c r="H160" t="n">
        <v>0</v>
      </c>
      <c r="I160" t="n">
        <v>1</v>
      </c>
      <c r="J160" t="n">
        <v>2</v>
      </c>
      <c r="K160" t="n">
        <v>0</v>
      </c>
      <c r="L160" t="n">
        <v>0</v>
      </c>
      <c r="M160" t="n">
        <v>0</v>
      </c>
      <c r="N160" t="n">
        <v>0</v>
      </c>
      <c r="O160" t="n">
        <v>2</v>
      </c>
      <c r="P160" t="n">
        <v>0</v>
      </c>
      <c r="Q160" t="n">
        <v>3</v>
      </c>
      <c r="R160" s="2" t="inlineStr">
        <is>
          <t>Dvärgbägarlav
Vedskivlav
Dropptaggsvamp</t>
        </is>
      </c>
      <c r="S160">
        <f>HYPERLINK("https://klasma.github.io/Logging_2161/artfynd/A 7558-2020 artfynd.xlsx", "A 7558-2020")</f>
        <v/>
      </c>
      <c r="T160">
        <f>HYPERLINK("https://klasma.github.io/Logging_2161/kartor/A 7558-2020 karta.png", "A 7558-2020")</f>
        <v/>
      </c>
      <c r="V160">
        <f>HYPERLINK("https://klasma.github.io/Logging_2161/klagomål/A 7558-2020 FSC-klagomål.docx", "A 7558-2020")</f>
        <v/>
      </c>
      <c r="W160">
        <f>HYPERLINK("https://klasma.github.io/Logging_2161/klagomålsmail/A 7558-2020 FSC-klagomål mail.docx", "A 7558-2020")</f>
        <v/>
      </c>
      <c r="X160">
        <f>HYPERLINK("https://klasma.github.io/Logging_2161/tillsyn/A 7558-2020 tillsynsbegäran.docx", "A 7558-2020")</f>
        <v/>
      </c>
      <c r="Y160">
        <f>HYPERLINK("https://klasma.github.io/Logging_2161/tillsynsmail/A 7558-2020 tillsynsbegäran mail.docx", "A 7558-2020")</f>
        <v/>
      </c>
    </row>
    <row r="161" ht="15" customHeight="1">
      <c r="A161" t="inlineStr">
        <is>
          <t>A 24470-2020</t>
        </is>
      </c>
      <c r="B161" s="1" t="n">
        <v>43977</v>
      </c>
      <c r="C161" s="1" t="n">
        <v>45587</v>
      </c>
      <c r="D161" t="inlineStr">
        <is>
          <t>GÄVLEBORGS LÄN</t>
        </is>
      </c>
      <c r="E161" t="inlineStr">
        <is>
          <t>LJUSDAL</t>
        </is>
      </c>
      <c r="F161" t="inlineStr">
        <is>
          <t>Naturvårdsverket</t>
        </is>
      </c>
      <c r="G161" t="n">
        <v>2.5</v>
      </c>
      <c r="H161" t="n">
        <v>1</v>
      </c>
      <c r="I161" t="n">
        <v>0</v>
      </c>
      <c r="J161" t="n">
        <v>2</v>
      </c>
      <c r="K161" t="n">
        <v>0</v>
      </c>
      <c r="L161" t="n">
        <v>0</v>
      </c>
      <c r="M161" t="n">
        <v>0</v>
      </c>
      <c r="N161" t="n">
        <v>0</v>
      </c>
      <c r="O161" t="n">
        <v>2</v>
      </c>
      <c r="P161" t="n">
        <v>0</v>
      </c>
      <c r="Q161" t="n">
        <v>3</v>
      </c>
      <c r="R161" s="2" t="inlineStr">
        <is>
          <t>Garnlav
Mörk kolflarnlav
Nattviol</t>
        </is>
      </c>
      <c r="S161">
        <f>HYPERLINK("https://klasma.github.io/Logging_2161/artfynd/A 24470-2020 artfynd.xlsx", "A 24470-2020")</f>
        <v/>
      </c>
      <c r="T161">
        <f>HYPERLINK("https://klasma.github.io/Logging_2161/kartor/A 24470-2020 karta.png", "A 24470-2020")</f>
        <v/>
      </c>
      <c r="V161">
        <f>HYPERLINK("https://klasma.github.io/Logging_2161/klagomål/A 24470-2020 FSC-klagomål.docx", "A 24470-2020")</f>
        <v/>
      </c>
      <c r="W161">
        <f>HYPERLINK("https://klasma.github.io/Logging_2161/klagomålsmail/A 24470-2020 FSC-klagomål mail.docx", "A 24470-2020")</f>
        <v/>
      </c>
      <c r="X161">
        <f>HYPERLINK("https://klasma.github.io/Logging_2161/tillsyn/A 24470-2020 tillsynsbegäran.docx", "A 24470-2020")</f>
        <v/>
      </c>
      <c r="Y161">
        <f>HYPERLINK("https://klasma.github.io/Logging_2161/tillsynsmail/A 24470-2020 tillsynsbegäran mail.docx", "A 24470-2020")</f>
        <v/>
      </c>
    </row>
    <row r="162" ht="15" customHeight="1">
      <c r="A162" t="inlineStr">
        <is>
          <t>A 56429-2020</t>
        </is>
      </c>
      <c r="B162" s="1" t="n">
        <v>44137</v>
      </c>
      <c r="C162" s="1" t="n">
        <v>45587</v>
      </c>
      <c r="D162" t="inlineStr">
        <is>
          <t>GÄVLEBORGS LÄN</t>
        </is>
      </c>
      <c r="E162" t="inlineStr">
        <is>
          <t>HUDIKSVALL</t>
        </is>
      </c>
      <c r="F162" t="inlineStr">
        <is>
          <t>Holmen skog AB</t>
        </is>
      </c>
      <c r="G162" t="n">
        <v>11.1</v>
      </c>
      <c r="H162" t="n">
        <v>0</v>
      </c>
      <c r="I162" t="n">
        <v>2</v>
      </c>
      <c r="J162" t="n">
        <v>1</v>
      </c>
      <c r="K162" t="n">
        <v>0</v>
      </c>
      <c r="L162" t="n">
        <v>0</v>
      </c>
      <c r="M162" t="n">
        <v>0</v>
      </c>
      <c r="N162" t="n">
        <v>0</v>
      </c>
      <c r="O162" t="n">
        <v>1</v>
      </c>
      <c r="P162" t="n">
        <v>0</v>
      </c>
      <c r="Q162" t="n">
        <v>3</v>
      </c>
      <c r="R162" s="2" t="inlineStr">
        <is>
          <t>Garnlav
Bollvitmossa
Nästlav</t>
        </is>
      </c>
      <c r="S162">
        <f>HYPERLINK("https://klasma.github.io/Logging_2184/artfynd/A 56429-2020 artfynd.xlsx", "A 56429-2020")</f>
        <v/>
      </c>
      <c r="T162">
        <f>HYPERLINK("https://klasma.github.io/Logging_2184/kartor/A 56429-2020 karta.png", "A 56429-2020")</f>
        <v/>
      </c>
      <c r="V162">
        <f>HYPERLINK("https://klasma.github.io/Logging_2184/klagomål/A 56429-2020 FSC-klagomål.docx", "A 56429-2020")</f>
        <v/>
      </c>
      <c r="W162">
        <f>HYPERLINK("https://klasma.github.io/Logging_2184/klagomålsmail/A 56429-2020 FSC-klagomål mail.docx", "A 56429-2020")</f>
        <v/>
      </c>
      <c r="X162">
        <f>HYPERLINK("https://klasma.github.io/Logging_2184/tillsyn/A 56429-2020 tillsynsbegäran.docx", "A 56429-2020")</f>
        <v/>
      </c>
      <c r="Y162">
        <f>HYPERLINK("https://klasma.github.io/Logging_2184/tillsynsmail/A 56429-2020 tillsynsbegäran mail.docx", "A 56429-2020")</f>
        <v/>
      </c>
    </row>
    <row r="163" ht="15" customHeight="1">
      <c r="A163" t="inlineStr">
        <is>
          <t>A 56674-2020</t>
        </is>
      </c>
      <c r="B163" s="1" t="n">
        <v>44137</v>
      </c>
      <c r="C163" s="1" t="n">
        <v>45587</v>
      </c>
      <c r="D163" t="inlineStr">
        <is>
          <t>GÄVLEBORGS LÄN</t>
        </is>
      </c>
      <c r="E163" t="inlineStr">
        <is>
          <t>LJUSDAL</t>
        </is>
      </c>
      <c r="G163" t="n">
        <v>11</v>
      </c>
      <c r="H163" t="n">
        <v>1</v>
      </c>
      <c r="I163" t="n">
        <v>2</v>
      </c>
      <c r="J163" t="n">
        <v>0</v>
      </c>
      <c r="K163" t="n">
        <v>1</v>
      </c>
      <c r="L163" t="n">
        <v>0</v>
      </c>
      <c r="M163" t="n">
        <v>0</v>
      </c>
      <c r="N163" t="n">
        <v>0</v>
      </c>
      <c r="O163" t="n">
        <v>1</v>
      </c>
      <c r="P163" t="n">
        <v>1</v>
      </c>
      <c r="Q163" t="n">
        <v>3</v>
      </c>
      <c r="R163" s="2" t="inlineStr">
        <is>
          <t>Knärot
Korallblylav
Mörk husmossa</t>
        </is>
      </c>
      <c r="S163">
        <f>HYPERLINK("https://klasma.github.io/Logging_2161/artfynd/A 56674-2020 artfynd.xlsx", "A 56674-2020")</f>
        <v/>
      </c>
      <c r="T163">
        <f>HYPERLINK("https://klasma.github.io/Logging_2161/kartor/A 56674-2020 karta.png", "A 56674-2020")</f>
        <v/>
      </c>
      <c r="U163">
        <f>HYPERLINK("https://klasma.github.io/Logging_2161/knärot/A 56674-2020 karta knärot.png", "A 56674-2020")</f>
        <v/>
      </c>
      <c r="V163">
        <f>HYPERLINK("https://klasma.github.io/Logging_2161/klagomål/A 56674-2020 FSC-klagomål.docx", "A 56674-2020")</f>
        <v/>
      </c>
      <c r="W163">
        <f>HYPERLINK("https://klasma.github.io/Logging_2161/klagomålsmail/A 56674-2020 FSC-klagomål mail.docx", "A 56674-2020")</f>
        <v/>
      </c>
      <c r="X163">
        <f>HYPERLINK("https://klasma.github.io/Logging_2161/tillsyn/A 56674-2020 tillsynsbegäran.docx", "A 56674-2020")</f>
        <v/>
      </c>
      <c r="Y163">
        <f>HYPERLINK("https://klasma.github.io/Logging_2161/tillsynsmail/A 56674-2020 tillsynsbegäran mail.docx", "A 56674-2020")</f>
        <v/>
      </c>
    </row>
    <row r="164" ht="15" customHeight="1">
      <c r="A164" t="inlineStr">
        <is>
          <t>A 60162-2020</t>
        </is>
      </c>
      <c r="B164" s="1" t="n">
        <v>44152</v>
      </c>
      <c r="C164" s="1" t="n">
        <v>45587</v>
      </c>
      <c r="D164" t="inlineStr">
        <is>
          <t>GÄVLEBORGS LÄN</t>
        </is>
      </c>
      <c r="E164" t="inlineStr">
        <is>
          <t>LJUSDAL</t>
        </is>
      </c>
      <c r="F164" t="inlineStr">
        <is>
          <t>Sveaskog</t>
        </is>
      </c>
      <c r="G164" t="n">
        <v>8.4</v>
      </c>
      <c r="H164" t="n">
        <v>0</v>
      </c>
      <c r="I164" t="n">
        <v>0</v>
      </c>
      <c r="J164" t="n">
        <v>3</v>
      </c>
      <c r="K164" t="n">
        <v>0</v>
      </c>
      <c r="L164" t="n">
        <v>0</v>
      </c>
      <c r="M164" t="n">
        <v>0</v>
      </c>
      <c r="N164" t="n">
        <v>0</v>
      </c>
      <c r="O164" t="n">
        <v>3</v>
      </c>
      <c r="P164" t="n">
        <v>0</v>
      </c>
      <c r="Q164" t="n">
        <v>3</v>
      </c>
      <c r="R164" s="2" t="inlineStr">
        <is>
          <t>Kolflarnlav
Lunglav
Skrovellav</t>
        </is>
      </c>
      <c r="S164">
        <f>HYPERLINK("https://klasma.github.io/Logging_2161/artfynd/A 60162-2020 artfynd.xlsx", "A 60162-2020")</f>
        <v/>
      </c>
      <c r="T164">
        <f>HYPERLINK("https://klasma.github.io/Logging_2161/kartor/A 60162-2020 karta.png", "A 60162-2020")</f>
        <v/>
      </c>
      <c r="V164">
        <f>HYPERLINK("https://klasma.github.io/Logging_2161/klagomål/A 60162-2020 FSC-klagomål.docx", "A 60162-2020")</f>
        <v/>
      </c>
      <c r="W164">
        <f>HYPERLINK("https://klasma.github.io/Logging_2161/klagomålsmail/A 60162-2020 FSC-klagomål mail.docx", "A 60162-2020")</f>
        <v/>
      </c>
      <c r="X164">
        <f>HYPERLINK("https://klasma.github.io/Logging_2161/tillsyn/A 60162-2020 tillsynsbegäran.docx", "A 60162-2020")</f>
        <v/>
      </c>
      <c r="Y164">
        <f>HYPERLINK("https://klasma.github.io/Logging_2161/tillsynsmail/A 60162-2020 tillsynsbegäran mail.docx", "A 60162-2020")</f>
        <v/>
      </c>
    </row>
    <row r="165" ht="15" customHeight="1">
      <c r="A165" t="inlineStr">
        <is>
          <t>A 64591-2020</t>
        </is>
      </c>
      <c r="B165" s="1" t="n">
        <v>44169</v>
      </c>
      <c r="C165" s="1" t="n">
        <v>45587</v>
      </c>
      <c r="D165" t="inlineStr">
        <is>
          <t>GÄVLEBORGS LÄN</t>
        </is>
      </c>
      <c r="E165" t="inlineStr">
        <is>
          <t>LJUSDAL</t>
        </is>
      </c>
      <c r="F165" t="inlineStr">
        <is>
          <t>Bergvik skog väst AB</t>
        </is>
      </c>
      <c r="G165" t="n">
        <v>3.5</v>
      </c>
      <c r="H165" t="n">
        <v>0</v>
      </c>
      <c r="I165" t="n">
        <v>2</v>
      </c>
      <c r="J165" t="n">
        <v>1</v>
      </c>
      <c r="K165" t="n">
        <v>0</v>
      </c>
      <c r="L165" t="n">
        <v>0</v>
      </c>
      <c r="M165" t="n">
        <v>0</v>
      </c>
      <c r="N165" t="n">
        <v>0</v>
      </c>
      <c r="O165" t="n">
        <v>1</v>
      </c>
      <c r="P165" t="n">
        <v>0</v>
      </c>
      <c r="Q165" t="n">
        <v>3</v>
      </c>
      <c r="R165" s="2" t="inlineStr">
        <is>
          <t>Kandelabersvamp
Aspvedgnagare
Skinnlav</t>
        </is>
      </c>
      <c r="S165">
        <f>HYPERLINK("https://klasma.github.io/Logging_2161/artfynd/A 64591-2020 artfynd.xlsx", "A 64591-2020")</f>
        <v/>
      </c>
      <c r="T165">
        <f>HYPERLINK("https://klasma.github.io/Logging_2161/kartor/A 64591-2020 karta.png", "A 64591-2020")</f>
        <v/>
      </c>
      <c r="V165">
        <f>HYPERLINK("https://klasma.github.io/Logging_2161/klagomål/A 64591-2020 FSC-klagomål.docx", "A 64591-2020")</f>
        <v/>
      </c>
      <c r="W165">
        <f>HYPERLINK("https://klasma.github.io/Logging_2161/klagomålsmail/A 64591-2020 FSC-klagomål mail.docx", "A 64591-2020")</f>
        <v/>
      </c>
      <c r="X165">
        <f>HYPERLINK("https://klasma.github.io/Logging_2161/tillsyn/A 64591-2020 tillsynsbegäran.docx", "A 64591-2020")</f>
        <v/>
      </c>
      <c r="Y165">
        <f>HYPERLINK("https://klasma.github.io/Logging_2161/tillsynsmail/A 64591-2020 tillsynsbegäran mail.docx", "A 64591-2020")</f>
        <v/>
      </c>
    </row>
    <row r="166" ht="15" customHeight="1">
      <c r="A166" t="inlineStr">
        <is>
          <t>A 64590-2020</t>
        </is>
      </c>
      <c r="B166" s="1" t="n">
        <v>44169</v>
      </c>
      <c r="C166" s="1" t="n">
        <v>45587</v>
      </c>
      <c r="D166" t="inlineStr">
        <is>
          <t>GÄVLEBORGS LÄN</t>
        </is>
      </c>
      <c r="E166" t="inlineStr">
        <is>
          <t>OCKELBO</t>
        </is>
      </c>
      <c r="F166" t="inlineStr">
        <is>
          <t>Bergvik skog väst AB</t>
        </is>
      </c>
      <c r="G166" t="n">
        <v>2.8</v>
      </c>
      <c r="H166" t="n">
        <v>1</v>
      </c>
      <c r="I166" t="n">
        <v>0</v>
      </c>
      <c r="J166" t="n">
        <v>2</v>
      </c>
      <c r="K166" t="n">
        <v>0</v>
      </c>
      <c r="L166" t="n">
        <v>0</v>
      </c>
      <c r="M166" t="n">
        <v>0</v>
      </c>
      <c r="N166" t="n">
        <v>0</v>
      </c>
      <c r="O166" t="n">
        <v>2</v>
      </c>
      <c r="P166" t="n">
        <v>0</v>
      </c>
      <c r="Q166" t="n">
        <v>3</v>
      </c>
      <c r="R166" s="2" t="inlineStr">
        <is>
          <t>Garnlav
Vedskivlav
Revlummer</t>
        </is>
      </c>
      <c r="S166">
        <f>HYPERLINK("https://klasma.github.io/Logging_2101/artfynd/A 64590-2020 artfynd.xlsx", "A 64590-2020")</f>
        <v/>
      </c>
      <c r="T166">
        <f>HYPERLINK("https://klasma.github.io/Logging_2101/kartor/A 64590-2020 karta.png", "A 64590-2020")</f>
        <v/>
      </c>
      <c r="V166">
        <f>HYPERLINK("https://klasma.github.io/Logging_2101/klagomål/A 64590-2020 FSC-klagomål.docx", "A 64590-2020")</f>
        <v/>
      </c>
      <c r="W166">
        <f>HYPERLINK("https://klasma.github.io/Logging_2101/klagomålsmail/A 64590-2020 FSC-klagomål mail.docx", "A 64590-2020")</f>
        <v/>
      </c>
      <c r="X166">
        <f>HYPERLINK("https://klasma.github.io/Logging_2101/tillsyn/A 64590-2020 tillsynsbegäran.docx", "A 64590-2020")</f>
        <v/>
      </c>
      <c r="Y166">
        <f>HYPERLINK("https://klasma.github.io/Logging_2101/tillsynsmail/A 64590-2020 tillsynsbegäran mail.docx", "A 64590-2020")</f>
        <v/>
      </c>
    </row>
    <row r="167" ht="15" customHeight="1">
      <c r="A167" t="inlineStr">
        <is>
          <t>A 21238-2021</t>
        </is>
      </c>
      <c r="B167" s="1" t="n">
        <v>44320</v>
      </c>
      <c r="C167" s="1" t="n">
        <v>45587</v>
      </c>
      <c r="D167" t="inlineStr">
        <is>
          <t>GÄVLEBORGS LÄN</t>
        </is>
      </c>
      <c r="E167" t="inlineStr">
        <is>
          <t>OVANÅKER</t>
        </is>
      </c>
      <c r="F167" t="inlineStr">
        <is>
          <t>Sveaskog</t>
        </is>
      </c>
      <c r="G167" t="n">
        <v>1.7</v>
      </c>
      <c r="H167" t="n">
        <v>0</v>
      </c>
      <c r="I167" t="n">
        <v>0</v>
      </c>
      <c r="J167" t="n">
        <v>3</v>
      </c>
      <c r="K167" t="n">
        <v>0</v>
      </c>
      <c r="L167" t="n">
        <v>0</v>
      </c>
      <c r="M167" t="n">
        <v>0</v>
      </c>
      <c r="N167" t="n">
        <v>0</v>
      </c>
      <c r="O167" t="n">
        <v>3</v>
      </c>
      <c r="P167" t="n">
        <v>0</v>
      </c>
      <c r="Q167" t="n">
        <v>3</v>
      </c>
      <c r="R167" s="2" t="inlineStr">
        <is>
          <t>Dvärgbägarlav
Gammelgransskål
Kolflarnlav</t>
        </is>
      </c>
      <c r="S167">
        <f>HYPERLINK("https://klasma.github.io/Logging_2121/artfynd/A 21238-2021 artfynd.xlsx", "A 21238-2021")</f>
        <v/>
      </c>
      <c r="T167">
        <f>HYPERLINK("https://klasma.github.io/Logging_2121/kartor/A 21238-2021 karta.png", "A 21238-2021")</f>
        <v/>
      </c>
      <c r="V167">
        <f>HYPERLINK("https://klasma.github.io/Logging_2121/klagomål/A 21238-2021 FSC-klagomål.docx", "A 21238-2021")</f>
        <v/>
      </c>
      <c r="W167">
        <f>HYPERLINK("https://klasma.github.io/Logging_2121/klagomålsmail/A 21238-2021 FSC-klagomål mail.docx", "A 21238-2021")</f>
        <v/>
      </c>
      <c r="X167">
        <f>HYPERLINK("https://klasma.github.io/Logging_2121/tillsyn/A 21238-2021 tillsynsbegäran.docx", "A 21238-2021")</f>
        <v/>
      </c>
      <c r="Y167">
        <f>HYPERLINK("https://klasma.github.io/Logging_2121/tillsynsmail/A 21238-2021 tillsynsbegäran mail.docx", "A 21238-2021")</f>
        <v/>
      </c>
    </row>
    <row r="168" ht="15" customHeight="1">
      <c r="A168" t="inlineStr">
        <is>
          <t>A 22461-2021</t>
        </is>
      </c>
      <c r="B168" s="1" t="n">
        <v>44326</v>
      </c>
      <c r="C168" s="1" t="n">
        <v>45587</v>
      </c>
      <c r="D168" t="inlineStr">
        <is>
          <t>GÄVLEBORGS LÄN</t>
        </is>
      </c>
      <c r="E168" t="inlineStr">
        <is>
          <t>LJUSDAL</t>
        </is>
      </c>
      <c r="F168" t="inlineStr">
        <is>
          <t>Sveaskog</t>
        </is>
      </c>
      <c r="G168" t="n">
        <v>7.1</v>
      </c>
      <c r="H168" t="n">
        <v>1</v>
      </c>
      <c r="I168" t="n">
        <v>1</v>
      </c>
      <c r="J168" t="n">
        <v>1</v>
      </c>
      <c r="K168" t="n">
        <v>0</v>
      </c>
      <c r="L168" t="n">
        <v>0</v>
      </c>
      <c r="M168" t="n">
        <v>0</v>
      </c>
      <c r="N168" t="n">
        <v>0</v>
      </c>
      <c r="O168" t="n">
        <v>1</v>
      </c>
      <c r="P168" t="n">
        <v>0</v>
      </c>
      <c r="Q168" t="n">
        <v>3</v>
      </c>
      <c r="R168" s="2" t="inlineStr">
        <is>
          <t>Lunglav
Stuplav
Revlummer</t>
        </is>
      </c>
      <c r="S168">
        <f>HYPERLINK("https://klasma.github.io/Logging_2161/artfynd/A 22461-2021 artfynd.xlsx", "A 22461-2021")</f>
        <v/>
      </c>
      <c r="T168">
        <f>HYPERLINK("https://klasma.github.io/Logging_2161/kartor/A 22461-2021 karta.png", "A 22461-2021")</f>
        <v/>
      </c>
      <c r="V168">
        <f>HYPERLINK("https://klasma.github.io/Logging_2161/klagomål/A 22461-2021 FSC-klagomål.docx", "A 22461-2021")</f>
        <v/>
      </c>
      <c r="W168">
        <f>HYPERLINK("https://klasma.github.io/Logging_2161/klagomålsmail/A 22461-2021 FSC-klagomål mail.docx", "A 22461-2021")</f>
        <v/>
      </c>
      <c r="X168">
        <f>HYPERLINK("https://klasma.github.io/Logging_2161/tillsyn/A 22461-2021 tillsynsbegäran.docx", "A 22461-2021")</f>
        <v/>
      </c>
      <c r="Y168">
        <f>HYPERLINK("https://klasma.github.io/Logging_2161/tillsynsmail/A 22461-2021 tillsynsbegäran mail.docx", "A 22461-2021")</f>
        <v/>
      </c>
    </row>
    <row r="169" ht="15" customHeight="1">
      <c r="A169" t="inlineStr">
        <is>
          <t>A 34590-2021</t>
        </is>
      </c>
      <c r="B169" s="1" t="n">
        <v>44382</v>
      </c>
      <c r="C169" s="1" t="n">
        <v>45587</v>
      </c>
      <c r="D169" t="inlineStr">
        <is>
          <t>GÄVLEBORGS LÄN</t>
        </is>
      </c>
      <c r="E169" t="inlineStr">
        <is>
          <t>BOLLNÄS</t>
        </is>
      </c>
      <c r="F169" t="inlineStr">
        <is>
          <t>Bergvik skog väst AB</t>
        </is>
      </c>
      <c r="G169" t="n">
        <v>5.6</v>
      </c>
      <c r="H169" t="n">
        <v>2</v>
      </c>
      <c r="I169" t="n">
        <v>1</v>
      </c>
      <c r="J169" t="n">
        <v>0</v>
      </c>
      <c r="K169" t="n">
        <v>0</v>
      </c>
      <c r="L169" t="n">
        <v>0</v>
      </c>
      <c r="M169" t="n">
        <v>0</v>
      </c>
      <c r="N169" t="n">
        <v>0</v>
      </c>
      <c r="O169" t="n">
        <v>0</v>
      </c>
      <c r="P169" t="n">
        <v>0</v>
      </c>
      <c r="Q169" t="n">
        <v>3</v>
      </c>
      <c r="R169" s="2" t="inlineStr">
        <is>
          <t>Tibast
Brudsporre
Fläcknycklar</t>
        </is>
      </c>
      <c r="S169">
        <f>HYPERLINK("https://klasma.github.io/Logging_2183/artfynd/A 34590-2021 artfynd.xlsx", "A 34590-2021")</f>
        <v/>
      </c>
      <c r="T169">
        <f>HYPERLINK("https://klasma.github.io/Logging_2183/kartor/A 34590-2021 karta.png", "A 34590-2021")</f>
        <v/>
      </c>
      <c r="V169">
        <f>HYPERLINK("https://klasma.github.io/Logging_2183/klagomål/A 34590-2021 FSC-klagomål.docx", "A 34590-2021")</f>
        <v/>
      </c>
      <c r="W169">
        <f>HYPERLINK("https://klasma.github.io/Logging_2183/klagomålsmail/A 34590-2021 FSC-klagomål mail.docx", "A 34590-2021")</f>
        <v/>
      </c>
      <c r="X169">
        <f>HYPERLINK("https://klasma.github.io/Logging_2183/tillsyn/A 34590-2021 tillsynsbegäran.docx", "A 34590-2021")</f>
        <v/>
      </c>
      <c r="Y169">
        <f>HYPERLINK("https://klasma.github.io/Logging_2183/tillsynsmail/A 34590-2021 tillsynsbegäran mail.docx", "A 34590-2021")</f>
        <v/>
      </c>
    </row>
    <row r="170" ht="15" customHeight="1">
      <c r="A170" t="inlineStr">
        <is>
          <t>A 49922-2021</t>
        </is>
      </c>
      <c r="B170" s="1" t="n">
        <v>44455</v>
      </c>
      <c r="C170" s="1" t="n">
        <v>45587</v>
      </c>
      <c r="D170" t="inlineStr">
        <is>
          <t>GÄVLEBORGS LÄN</t>
        </is>
      </c>
      <c r="E170" t="inlineStr">
        <is>
          <t>HUDIKSVALL</t>
        </is>
      </c>
      <c r="G170" t="n">
        <v>4.5</v>
      </c>
      <c r="H170" t="n">
        <v>0</v>
      </c>
      <c r="I170" t="n">
        <v>3</v>
      </c>
      <c r="J170" t="n">
        <v>0</v>
      </c>
      <c r="K170" t="n">
        <v>0</v>
      </c>
      <c r="L170" t="n">
        <v>0</v>
      </c>
      <c r="M170" t="n">
        <v>0</v>
      </c>
      <c r="N170" t="n">
        <v>0</v>
      </c>
      <c r="O170" t="n">
        <v>0</v>
      </c>
      <c r="P170" t="n">
        <v>0</v>
      </c>
      <c r="Q170" t="n">
        <v>3</v>
      </c>
      <c r="R170" s="2" t="inlineStr">
        <is>
          <t>Kattfotslav
Korallblylav
Skinnlav</t>
        </is>
      </c>
      <c r="S170">
        <f>HYPERLINK("https://klasma.github.io/Logging_2184/artfynd/A 49922-2021 artfynd.xlsx", "A 49922-2021")</f>
        <v/>
      </c>
      <c r="T170">
        <f>HYPERLINK("https://klasma.github.io/Logging_2184/kartor/A 49922-2021 karta.png", "A 49922-2021")</f>
        <v/>
      </c>
      <c r="V170">
        <f>HYPERLINK("https://klasma.github.io/Logging_2184/klagomål/A 49922-2021 FSC-klagomål.docx", "A 49922-2021")</f>
        <v/>
      </c>
      <c r="W170">
        <f>HYPERLINK("https://klasma.github.io/Logging_2184/klagomålsmail/A 49922-2021 FSC-klagomål mail.docx", "A 49922-2021")</f>
        <v/>
      </c>
      <c r="X170">
        <f>HYPERLINK("https://klasma.github.io/Logging_2184/tillsyn/A 49922-2021 tillsynsbegäran.docx", "A 49922-2021")</f>
        <v/>
      </c>
      <c r="Y170">
        <f>HYPERLINK("https://klasma.github.io/Logging_2184/tillsynsmail/A 49922-2021 tillsynsbegäran mail.docx", "A 49922-2021")</f>
        <v/>
      </c>
    </row>
    <row r="171" ht="15" customHeight="1">
      <c r="A171" t="inlineStr">
        <is>
          <t>A 58515-2021</t>
        </is>
      </c>
      <c r="B171" s="1" t="n">
        <v>44488</v>
      </c>
      <c r="C171" s="1" t="n">
        <v>45587</v>
      </c>
      <c r="D171" t="inlineStr">
        <is>
          <t>GÄVLEBORGS LÄN</t>
        </is>
      </c>
      <c r="E171" t="inlineStr">
        <is>
          <t>BOLLNÄS</t>
        </is>
      </c>
      <c r="G171" t="n">
        <v>1.1</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HYPERLINK("https://klasma.github.io/Logging_2183/artfynd/A 58515-2021 artfynd.xlsx", "A 58515-2021")</f>
        <v/>
      </c>
      <c r="T171">
        <f>HYPERLINK("https://klasma.github.io/Logging_2183/kartor/A 58515-2021 karta.png", "A 58515-2021")</f>
        <v/>
      </c>
      <c r="U171">
        <f>HYPERLINK("https://klasma.github.io/Logging_2183/knärot/A 58515-2021 karta knärot.png", "A 58515-2021")</f>
        <v/>
      </c>
      <c r="V171">
        <f>HYPERLINK("https://klasma.github.io/Logging_2183/klagomål/A 58515-2021 FSC-klagomål.docx", "A 58515-2021")</f>
        <v/>
      </c>
      <c r="W171">
        <f>HYPERLINK("https://klasma.github.io/Logging_2183/klagomålsmail/A 58515-2021 FSC-klagomål mail.docx", "A 58515-2021")</f>
        <v/>
      </c>
      <c r="X171">
        <f>HYPERLINK("https://klasma.github.io/Logging_2183/tillsyn/A 58515-2021 tillsynsbegäran.docx", "A 58515-2021")</f>
        <v/>
      </c>
      <c r="Y171">
        <f>HYPERLINK("https://klasma.github.io/Logging_2183/tillsynsmail/A 58515-2021 tillsynsbegäran mail.docx", "A 58515-2021")</f>
        <v/>
      </c>
    </row>
    <row r="172" ht="15" customHeight="1">
      <c r="A172" t="inlineStr">
        <is>
          <t>A 8446-2022</t>
        </is>
      </c>
      <c r="B172" s="1" t="n">
        <v>44612</v>
      </c>
      <c r="C172" s="1" t="n">
        <v>45587</v>
      </c>
      <c r="D172" t="inlineStr">
        <is>
          <t>GÄVLEBORGS LÄN</t>
        </is>
      </c>
      <c r="E172" t="inlineStr">
        <is>
          <t>HUDIKSVALL</t>
        </is>
      </c>
      <c r="G172" t="n">
        <v>5.4</v>
      </c>
      <c r="H172" t="n">
        <v>3</v>
      </c>
      <c r="I172" t="n">
        <v>0</v>
      </c>
      <c r="J172" t="n">
        <v>0</v>
      </c>
      <c r="K172" t="n">
        <v>0</v>
      </c>
      <c r="L172" t="n">
        <v>0</v>
      </c>
      <c r="M172" t="n">
        <v>0</v>
      </c>
      <c r="N172" t="n">
        <v>0</v>
      </c>
      <c r="O172" t="n">
        <v>0</v>
      </c>
      <c r="P172" t="n">
        <v>0</v>
      </c>
      <c r="Q172" t="n">
        <v>3</v>
      </c>
      <c r="R172" s="2" t="inlineStr">
        <is>
          <t>Fläcknycklar
Nattviol
Blåsippa</t>
        </is>
      </c>
      <c r="S172">
        <f>HYPERLINK("https://klasma.github.io/Logging_2184/artfynd/A 8446-2022 artfynd.xlsx", "A 8446-2022")</f>
        <v/>
      </c>
      <c r="T172">
        <f>HYPERLINK("https://klasma.github.io/Logging_2184/kartor/A 8446-2022 karta.png", "A 8446-2022")</f>
        <v/>
      </c>
      <c r="V172">
        <f>HYPERLINK("https://klasma.github.io/Logging_2184/klagomål/A 8446-2022 FSC-klagomål.docx", "A 8446-2022")</f>
        <v/>
      </c>
      <c r="W172">
        <f>HYPERLINK("https://klasma.github.io/Logging_2184/klagomålsmail/A 8446-2022 FSC-klagomål mail.docx", "A 8446-2022")</f>
        <v/>
      </c>
      <c r="X172">
        <f>HYPERLINK("https://klasma.github.io/Logging_2184/tillsyn/A 8446-2022 tillsynsbegäran.docx", "A 8446-2022")</f>
        <v/>
      </c>
      <c r="Y172">
        <f>HYPERLINK("https://klasma.github.io/Logging_2184/tillsynsmail/A 8446-2022 tillsynsbegäran mail.docx", "A 8446-2022")</f>
        <v/>
      </c>
    </row>
    <row r="173" ht="15" customHeight="1">
      <c r="A173" t="inlineStr">
        <is>
          <t>A 10436-2022</t>
        </is>
      </c>
      <c r="B173" s="1" t="n">
        <v>44623</v>
      </c>
      <c r="C173" s="1" t="n">
        <v>45587</v>
      </c>
      <c r="D173" t="inlineStr">
        <is>
          <t>GÄVLEBORGS LÄN</t>
        </is>
      </c>
      <c r="E173" t="inlineStr">
        <is>
          <t>HOFORS</t>
        </is>
      </c>
      <c r="G173" t="n">
        <v>6.3</v>
      </c>
      <c r="H173" t="n">
        <v>1</v>
      </c>
      <c r="I173" t="n">
        <v>2</v>
      </c>
      <c r="J173" t="n">
        <v>0</v>
      </c>
      <c r="K173" t="n">
        <v>1</v>
      </c>
      <c r="L173" t="n">
        <v>0</v>
      </c>
      <c r="M173" t="n">
        <v>0</v>
      </c>
      <c r="N173" t="n">
        <v>0</v>
      </c>
      <c r="O173" t="n">
        <v>1</v>
      </c>
      <c r="P173" t="n">
        <v>1</v>
      </c>
      <c r="Q173" t="n">
        <v>3</v>
      </c>
      <c r="R173" s="2" t="inlineStr">
        <is>
          <t>Knärot
Björksplintborre
Vedticka</t>
        </is>
      </c>
      <c r="S173">
        <f>HYPERLINK("https://klasma.github.io/Logging_2104/artfynd/A 10436-2022 artfynd.xlsx", "A 10436-2022")</f>
        <v/>
      </c>
      <c r="T173">
        <f>HYPERLINK("https://klasma.github.io/Logging_2104/kartor/A 10436-2022 karta.png", "A 10436-2022")</f>
        <v/>
      </c>
      <c r="U173">
        <f>HYPERLINK("https://klasma.github.io/Logging_2104/knärot/A 10436-2022 karta knärot.png", "A 10436-2022")</f>
        <v/>
      </c>
      <c r="V173">
        <f>HYPERLINK("https://klasma.github.io/Logging_2104/klagomål/A 10436-2022 FSC-klagomål.docx", "A 10436-2022")</f>
        <v/>
      </c>
      <c r="W173">
        <f>HYPERLINK("https://klasma.github.io/Logging_2104/klagomålsmail/A 10436-2022 FSC-klagomål mail.docx", "A 10436-2022")</f>
        <v/>
      </c>
      <c r="X173">
        <f>HYPERLINK("https://klasma.github.io/Logging_2104/tillsyn/A 10436-2022 tillsynsbegäran.docx", "A 10436-2022")</f>
        <v/>
      </c>
      <c r="Y173">
        <f>HYPERLINK("https://klasma.github.io/Logging_2104/tillsynsmail/A 10436-2022 tillsynsbegäran mail.docx", "A 10436-2022")</f>
        <v/>
      </c>
    </row>
    <row r="174" ht="15" customHeight="1">
      <c r="A174" t="inlineStr">
        <is>
          <t>A 14181-2022</t>
        </is>
      </c>
      <c r="B174" s="1" t="n">
        <v>44651</v>
      </c>
      <c r="C174" s="1" t="n">
        <v>45587</v>
      </c>
      <c r="D174" t="inlineStr">
        <is>
          <t>GÄVLEBORGS LÄN</t>
        </is>
      </c>
      <c r="E174" t="inlineStr">
        <is>
          <t>SÖDERHAMN</t>
        </is>
      </c>
      <c r="F174" t="inlineStr">
        <is>
          <t>Bergvik skog väst AB</t>
        </is>
      </c>
      <c r="G174" t="n">
        <v>4.1</v>
      </c>
      <c r="H174" t="n">
        <v>0</v>
      </c>
      <c r="I174" t="n">
        <v>2</v>
      </c>
      <c r="J174" t="n">
        <v>1</v>
      </c>
      <c r="K174" t="n">
        <v>0</v>
      </c>
      <c r="L174" t="n">
        <v>0</v>
      </c>
      <c r="M174" t="n">
        <v>0</v>
      </c>
      <c r="N174" t="n">
        <v>0</v>
      </c>
      <c r="O174" t="n">
        <v>1</v>
      </c>
      <c r="P174" t="n">
        <v>0</v>
      </c>
      <c r="Q174" t="n">
        <v>3</v>
      </c>
      <c r="R174" s="2" t="inlineStr">
        <is>
          <t>Ullticka
Kattfotslav
Vågbandad barkbock</t>
        </is>
      </c>
      <c r="S174">
        <f>HYPERLINK("https://klasma.github.io/Logging_2182/artfynd/A 14181-2022 artfynd.xlsx", "A 14181-2022")</f>
        <v/>
      </c>
      <c r="T174">
        <f>HYPERLINK("https://klasma.github.io/Logging_2182/kartor/A 14181-2022 karta.png", "A 14181-2022")</f>
        <v/>
      </c>
      <c r="V174">
        <f>HYPERLINK("https://klasma.github.io/Logging_2182/klagomål/A 14181-2022 FSC-klagomål.docx", "A 14181-2022")</f>
        <v/>
      </c>
      <c r="W174">
        <f>HYPERLINK("https://klasma.github.io/Logging_2182/klagomålsmail/A 14181-2022 FSC-klagomål mail.docx", "A 14181-2022")</f>
        <v/>
      </c>
      <c r="X174">
        <f>HYPERLINK("https://klasma.github.io/Logging_2182/tillsyn/A 14181-2022 tillsynsbegäran.docx", "A 14181-2022")</f>
        <v/>
      </c>
      <c r="Y174">
        <f>HYPERLINK("https://klasma.github.io/Logging_2182/tillsynsmail/A 14181-2022 tillsynsbegäran mail.docx", "A 14181-2022")</f>
        <v/>
      </c>
    </row>
    <row r="175" ht="15" customHeight="1">
      <c r="A175" t="inlineStr">
        <is>
          <t>A 21538-2022</t>
        </is>
      </c>
      <c r="B175" s="1" t="n">
        <v>44706</v>
      </c>
      <c r="C175" s="1" t="n">
        <v>45587</v>
      </c>
      <c r="D175" t="inlineStr">
        <is>
          <t>GÄVLEBORGS LÄN</t>
        </is>
      </c>
      <c r="E175" t="inlineStr">
        <is>
          <t>LJUSDAL</t>
        </is>
      </c>
      <c r="F175" t="inlineStr">
        <is>
          <t>Sveaskog</t>
        </is>
      </c>
      <c r="G175" t="n">
        <v>2.3</v>
      </c>
      <c r="H175" t="n">
        <v>0</v>
      </c>
      <c r="I175" t="n">
        <v>1</v>
      </c>
      <c r="J175" t="n">
        <v>2</v>
      </c>
      <c r="K175" t="n">
        <v>0</v>
      </c>
      <c r="L175" t="n">
        <v>0</v>
      </c>
      <c r="M175" t="n">
        <v>0</v>
      </c>
      <c r="N175" t="n">
        <v>0</v>
      </c>
      <c r="O175" t="n">
        <v>2</v>
      </c>
      <c r="P175" t="n">
        <v>0</v>
      </c>
      <c r="Q175" t="n">
        <v>3</v>
      </c>
      <c r="R175" s="2" t="inlineStr">
        <is>
          <t>Kolflarnlav
Mörk kolflarnlav
Dropptaggsvamp</t>
        </is>
      </c>
      <c r="S175">
        <f>HYPERLINK("https://klasma.github.io/Logging_2161/artfynd/A 21538-2022 artfynd.xlsx", "A 21538-2022")</f>
        <v/>
      </c>
      <c r="T175">
        <f>HYPERLINK("https://klasma.github.io/Logging_2161/kartor/A 21538-2022 karta.png", "A 21538-2022")</f>
        <v/>
      </c>
      <c r="V175">
        <f>HYPERLINK("https://klasma.github.io/Logging_2161/klagomål/A 21538-2022 FSC-klagomål.docx", "A 21538-2022")</f>
        <v/>
      </c>
      <c r="W175">
        <f>HYPERLINK("https://klasma.github.io/Logging_2161/klagomålsmail/A 21538-2022 FSC-klagomål mail.docx", "A 21538-2022")</f>
        <v/>
      </c>
      <c r="X175">
        <f>HYPERLINK("https://klasma.github.io/Logging_2161/tillsyn/A 21538-2022 tillsynsbegäran.docx", "A 21538-2022")</f>
        <v/>
      </c>
      <c r="Y175">
        <f>HYPERLINK("https://klasma.github.io/Logging_2161/tillsynsmail/A 21538-2022 tillsynsbegäran mail.docx", "A 21538-2022")</f>
        <v/>
      </c>
    </row>
    <row r="176" ht="15" customHeight="1">
      <c r="A176" t="inlineStr">
        <is>
          <t>A 21797-2022</t>
        </is>
      </c>
      <c r="B176" s="1" t="n">
        <v>44708</v>
      </c>
      <c r="C176" s="1" t="n">
        <v>45587</v>
      </c>
      <c r="D176" t="inlineStr">
        <is>
          <t>GÄVLEBORGS LÄN</t>
        </is>
      </c>
      <c r="E176" t="inlineStr">
        <is>
          <t>LJUSDAL</t>
        </is>
      </c>
      <c r="F176" t="inlineStr">
        <is>
          <t>Holmen skog AB</t>
        </is>
      </c>
      <c r="G176" t="n">
        <v>2.5</v>
      </c>
      <c r="H176" t="n">
        <v>0</v>
      </c>
      <c r="I176" t="n">
        <v>2</v>
      </c>
      <c r="J176" t="n">
        <v>1</v>
      </c>
      <c r="K176" t="n">
        <v>0</v>
      </c>
      <c r="L176" t="n">
        <v>0</v>
      </c>
      <c r="M176" t="n">
        <v>0</v>
      </c>
      <c r="N176" t="n">
        <v>0</v>
      </c>
      <c r="O176" t="n">
        <v>1</v>
      </c>
      <c r="P176" t="n">
        <v>0</v>
      </c>
      <c r="Q176" t="n">
        <v>3</v>
      </c>
      <c r="R176" s="2" t="inlineStr">
        <is>
          <t>Ullticka
Skinnlav
Vedticka</t>
        </is>
      </c>
      <c r="S176">
        <f>HYPERLINK("https://klasma.github.io/Logging_2161/artfynd/A 21797-2022 artfynd.xlsx", "A 21797-2022")</f>
        <v/>
      </c>
      <c r="T176">
        <f>HYPERLINK("https://klasma.github.io/Logging_2161/kartor/A 21797-2022 karta.png", "A 21797-2022")</f>
        <v/>
      </c>
      <c r="V176">
        <f>HYPERLINK("https://klasma.github.io/Logging_2161/klagomål/A 21797-2022 FSC-klagomål.docx", "A 21797-2022")</f>
        <v/>
      </c>
      <c r="W176">
        <f>HYPERLINK("https://klasma.github.io/Logging_2161/klagomålsmail/A 21797-2022 FSC-klagomål mail.docx", "A 21797-2022")</f>
        <v/>
      </c>
      <c r="X176">
        <f>HYPERLINK("https://klasma.github.io/Logging_2161/tillsyn/A 21797-2022 tillsynsbegäran.docx", "A 21797-2022")</f>
        <v/>
      </c>
      <c r="Y176">
        <f>HYPERLINK("https://klasma.github.io/Logging_2161/tillsynsmail/A 21797-2022 tillsynsbegäran mail.docx", "A 21797-2022")</f>
        <v/>
      </c>
    </row>
    <row r="177" ht="15" customHeight="1">
      <c r="A177" t="inlineStr">
        <is>
          <t>A 25129-2022</t>
        </is>
      </c>
      <c r="B177" s="1" t="n">
        <v>44729</v>
      </c>
      <c r="C177" s="1" t="n">
        <v>45587</v>
      </c>
      <c r="D177" t="inlineStr">
        <is>
          <t>GÄVLEBORGS LÄN</t>
        </is>
      </c>
      <c r="E177" t="inlineStr">
        <is>
          <t>BOLLNÄS</t>
        </is>
      </c>
      <c r="F177" t="inlineStr">
        <is>
          <t>Bergvik skog väst AB</t>
        </is>
      </c>
      <c r="G177" t="n">
        <v>27.4</v>
      </c>
      <c r="H177" t="n">
        <v>0</v>
      </c>
      <c r="I177" t="n">
        <v>1</v>
      </c>
      <c r="J177" t="n">
        <v>2</v>
      </c>
      <c r="K177" t="n">
        <v>0</v>
      </c>
      <c r="L177" t="n">
        <v>0</v>
      </c>
      <c r="M177" t="n">
        <v>0</v>
      </c>
      <c r="N177" t="n">
        <v>0</v>
      </c>
      <c r="O177" t="n">
        <v>2</v>
      </c>
      <c r="P177" t="n">
        <v>0</v>
      </c>
      <c r="Q177" t="n">
        <v>3</v>
      </c>
      <c r="R177" s="2" t="inlineStr">
        <is>
          <t>Garnlav
Kortskaftad ärgspik
Nästlav</t>
        </is>
      </c>
      <c r="S177">
        <f>HYPERLINK("https://klasma.github.io/Logging_2183/artfynd/A 25129-2022 artfynd.xlsx", "A 25129-2022")</f>
        <v/>
      </c>
      <c r="T177">
        <f>HYPERLINK("https://klasma.github.io/Logging_2183/kartor/A 25129-2022 karta.png", "A 25129-2022")</f>
        <v/>
      </c>
      <c r="V177">
        <f>HYPERLINK("https://klasma.github.io/Logging_2183/klagomål/A 25129-2022 FSC-klagomål.docx", "A 25129-2022")</f>
        <v/>
      </c>
      <c r="W177">
        <f>HYPERLINK("https://klasma.github.io/Logging_2183/klagomålsmail/A 25129-2022 FSC-klagomål mail.docx", "A 25129-2022")</f>
        <v/>
      </c>
      <c r="X177">
        <f>HYPERLINK("https://klasma.github.io/Logging_2183/tillsyn/A 25129-2022 tillsynsbegäran.docx", "A 25129-2022")</f>
        <v/>
      </c>
      <c r="Y177">
        <f>HYPERLINK("https://klasma.github.io/Logging_2183/tillsynsmail/A 25129-2022 tillsynsbegäran mail.docx", "A 25129-2022")</f>
        <v/>
      </c>
    </row>
    <row r="178" ht="15" customHeight="1">
      <c r="A178" t="inlineStr">
        <is>
          <t>A 26055-2022</t>
        </is>
      </c>
      <c r="B178" s="1" t="n">
        <v>44734</v>
      </c>
      <c r="C178" s="1" t="n">
        <v>45587</v>
      </c>
      <c r="D178" t="inlineStr">
        <is>
          <t>GÄVLEBORGS LÄN</t>
        </is>
      </c>
      <c r="E178" t="inlineStr">
        <is>
          <t>LJUSDAL</t>
        </is>
      </c>
      <c r="F178" t="inlineStr">
        <is>
          <t>Bergvik skog väst AB</t>
        </is>
      </c>
      <c r="G178" t="n">
        <v>23.3</v>
      </c>
      <c r="H178" t="n">
        <v>0</v>
      </c>
      <c r="I178" t="n">
        <v>0</v>
      </c>
      <c r="J178" t="n">
        <v>2</v>
      </c>
      <c r="K178" t="n">
        <v>1</v>
      </c>
      <c r="L178" t="n">
        <v>0</v>
      </c>
      <c r="M178" t="n">
        <v>0</v>
      </c>
      <c r="N178" t="n">
        <v>0</v>
      </c>
      <c r="O178" t="n">
        <v>3</v>
      </c>
      <c r="P178" t="n">
        <v>1</v>
      </c>
      <c r="Q178" t="n">
        <v>3</v>
      </c>
      <c r="R178" s="2" t="inlineStr">
        <is>
          <t>Aspfjädermossa
Stiftgelélav
Vedtrappmossa</t>
        </is>
      </c>
      <c r="S178">
        <f>HYPERLINK("https://klasma.github.io/Logging_2161/artfynd/A 26055-2022 artfynd.xlsx", "A 26055-2022")</f>
        <v/>
      </c>
      <c r="T178">
        <f>HYPERLINK("https://klasma.github.io/Logging_2161/kartor/A 26055-2022 karta.png", "A 26055-2022")</f>
        <v/>
      </c>
      <c r="V178">
        <f>HYPERLINK("https://klasma.github.io/Logging_2161/klagomål/A 26055-2022 FSC-klagomål.docx", "A 26055-2022")</f>
        <v/>
      </c>
      <c r="W178">
        <f>HYPERLINK("https://klasma.github.io/Logging_2161/klagomålsmail/A 26055-2022 FSC-klagomål mail.docx", "A 26055-2022")</f>
        <v/>
      </c>
      <c r="X178">
        <f>HYPERLINK("https://klasma.github.io/Logging_2161/tillsyn/A 26055-2022 tillsynsbegäran.docx", "A 26055-2022")</f>
        <v/>
      </c>
      <c r="Y178">
        <f>HYPERLINK("https://klasma.github.io/Logging_2161/tillsynsmail/A 26055-2022 tillsynsbegäran mail.docx", "A 26055-2022")</f>
        <v/>
      </c>
    </row>
    <row r="179" ht="15" customHeight="1">
      <c r="A179" t="inlineStr">
        <is>
          <t>A 40292-2022</t>
        </is>
      </c>
      <c r="B179" s="1" t="n">
        <v>44821</v>
      </c>
      <c r="C179" s="1" t="n">
        <v>45587</v>
      </c>
      <c r="D179" t="inlineStr">
        <is>
          <t>GÄVLEBORGS LÄN</t>
        </is>
      </c>
      <c r="E179" t="inlineStr">
        <is>
          <t>LJUSDAL</t>
        </is>
      </c>
      <c r="F179" t="inlineStr">
        <is>
          <t>Sveaskog</t>
        </is>
      </c>
      <c r="G179" t="n">
        <v>3.1</v>
      </c>
      <c r="H179" t="n">
        <v>0</v>
      </c>
      <c r="I179" t="n">
        <v>1</v>
      </c>
      <c r="J179" t="n">
        <v>2</v>
      </c>
      <c r="K179" t="n">
        <v>0</v>
      </c>
      <c r="L179" t="n">
        <v>0</v>
      </c>
      <c r="M179" t="n">
        <v>0</v>
      </c>
      <c r="N179" t="n">
        <v>0</v>
      </c>
      <c r="O179" t="n">
        <v>2</v>
      </c>
      <c r="P179" t="n">
        <v>0</v>
      </c>
      <c r="Q179" t="n">
        <v>3</v>
      </c>
      <c r="R179" s="2" t="inlineStr">
        <is>
          <t>Kolflarnlav
Mörk kolflarnlav
Dropptaggsvamp</t>
        </is>
      </c>
      <c r="S179">
        <f>HYPERLINK("https://klasma.github.io/Logging_2161/artfynd/A 40292-2022 artfynd.xlsx", "A 40292-2022")</f>
        <v/>
      </c>
      <c r="T179">
        <f>HYPERLINK("https://klasma.github.io/Logging_2161/kartor/A 40292-2022 karta.png", "A 40292-2022")</f>
        <v/>
      </c>
      <c r="V179">
        <f>HYPERLINK("https://klasma.github.io/Logging_2161/klagomål/A 40292-2022 FSC-klagomål.docx", "A 40292-2022")</f>
        <v/>
      </c>
      <c r="W179">
        <f>HYPERLINK("https://klasma.github.io/Logging_2161/klagomålsmail/A 40292-2022 FSC-klagomål mail.docx", "A 40292-2022")</f>
        <v/>
      </c>
      <c r="X179">
        <f>HYPERLINK("https://klasma.github.io/Logging_2161/tillsyn/A 40292-2022 tillsynsbegäran.docx", "A 40292-2022")</f>
        <v/>
      </c>
      <c r="Y179">
        <f>HYPERLINK("https://klasma.github.io/Logging_2161/tillsynsmail/A 40292-2022 tillsynsbegäran mail.docx", "A 40292-2022")</f>
        <v/>
      </c>
    </row>
    <row r="180" ht="15" customHeight="1">
      <c r="A180" t="inlineStr">
        <is>
          <t>A 52399-2022</t>
        </is>
      </c>
      <c r="B180" s="1" t="n">
        <v>44874</v>
      </c>
      <c r="C180" s="1" t="n">
        <v>45587</v>
      </c>
      <c r="D180" t="inlineStr">
        <is>
          <t>GÄVLEBORGS LÄN</t>
        </is>
      </c>
      <c r="E180" t="inlineStr">
        <is>
          <t>HUDIKSVALL</t>
        </is>
      </c>
      <c r="F180" t="inlineStr">
        <is>
          <t>Holmen skog AB</t>
        </is>
      </c>
      <c r="G180" t="n">
        <v>3.9</v>
      </c>
      <c r="H180" t="n">
        <v>0</v>
      </c>
      <c r="I180" t="n">
        <v>0</v>
      </c>
      <c r="J180" t="n">
        <v>3</v>
      </c>
      <c r="K180" t="n">
        <v>0</v>
      </c>
      <c r="L180" t="n">
        <v>0</v>
      </c>
      <c r="M180" t="n">
        <v>0</v>
      </c>
      <c r="N180" t="n">
        <v>0</v>
      </c>
      <c r="O180" t="n">
        <v>3</v>
      </c>
      <c r="P180" t="n">
        <v>0</v>
      </c>
      <c r="Q180" t="n">
        <v>3</v>
      </c>
      <c r="R180" s="2" t="inlineStr">
        <is>
          <t>Blanksvart spiklav
Gammelgransskål
Garnlav</t>
        </is>
      </c>
      <c r="S180">
        <f>HYPERLINK("https://klasma.github.io/Logging_2184/artfynd/A 52399-2022 artfynd.xlsx", "A 52399-2022")</f>
        <v/>
      </c>
      <c r="T180">
        <f>HYPERLINK("https://klasma.github.io/Logging_2184/kartor/A 52399-2022 karta.png", "A 52399-2022")</f>
        <v/>
      </c>
      <c r="V180">
        <f>HYPERLINK("https://klasma.github.io/Logging_2184/klagomål/A 52399-2022 FSC-klagomål.docx", "A 52399-2022")</f>
        <v/>
      </c>
      <c r="W180">
        <f>HYPERLINK("https://klasma.github.io/Logging_2184/klagomålsmail/A 52399-2022 FSC-klagomål mail.docx", "A 52399-2022")</f>
        <v/>
      </c>
      <c r="X180">
        <f>HYPERLINK("https://klasma.github.io/Logging_2184/tillsyn/A 52399-2022 tillsynsbegäran.docx", "A 52399-2022")</f>
        <v/>
      </c>
      <c r="Y180">
        <f>HYPERLINK("https://klasma.github.io/Logging_2184/tillsynsmail/A 52399-2022 tillsynsbegäran mail.docx", "A 52399-2022")</f>
        <v/>
      </c>
    </row>
    <row r="181" ht="15" customHeight="1">
      <c r="A181" t="inlineStr">
        <is>
          <t>A 54472-2022</t>
        </is>
      </c>
      <c r="B181" s="1" t="n">
        <v>44882</v>
      </c>
      <c r="C181" s="1" t="n">
        <v>45587</v>
      </c>
      <c r="D181" t="inlineStr">
        <is>
          <t>GÄVLEBORGS LÄN</t>
        </is>
      </c>
      <c r="E181" t="inlineStr">
        <is>
          <t>LJUSDAL</t>
        </is>
      </c>
      <c r="F181" t="inlineStr">
        <is>
          <t>Bergvik skog väst AB</t>
        </is>
      </c>
      <c r="G181" t="n">
        <v>3.1</v>
      </c>
      <c r="H181" t="n">
        <v>0</v>
      </c>
      <c r="I181" t="n">
        <v>1</v>
      </c>
      <c r="J181" t="n">
        <v>2</v>
      </c>
      <c r="K181" t="n">
        <v>0</v>
      </c>
      <c r="L181" t="n">
        <v>0</v>
      </c>
      <c r="M181" t="n">
        <v>0</v>
      </c>
      <c r="N181" t="n">
        <v>0</v>
      </c>
      <c r="O181" t="n">
        <v>2</v>
      </c>
      <c r="P181" t="n">
        <v>0</v>
      </c>
      <c r="Q181" t="n">
        <v>3</v>
      </c>
      <c r="R181" s="2" t="inlineStr">
        <is>
          <t>Lunglav
Skrovellav
Källmossa</t>
        </is>
      </c>
      <c r="S181">
        <f>HYPERLINK("https://klasma.github.io/Logging_2161/artfynd/A 54472-2022 artfynd.xlsx", "A 54472-2022")</f>
        <v/>
      </c>
      <c r="T181">
        <f>HYPERLINK("https://klasma.github.io/Logging_2161/kartor/A 54472-2022 karta.png", "A 54472-2022")</f>
        <v/>
      </c>
      <c r="U181">
        <f>HYPERLINK("https://klasma.github.io/Logging_2161/knärot/A 54472-2022 karta knärot.png", "A 54472-2022")</f>
        <v/>
      </c>
      <c r="V181">
        <f>HYPERLINK("https://klasma.github.io/Logging_2161/klagomål/A 54472-2022 FSC-klagomål.docx", "A 54472-2022")</f>
        <v/>
      </c>
      <c r="W181">
        <f>HYPERLINK("https://klasma.github.io/Logging_2161/klagomålsmail/A 54472-2022 FSC-klagomål mail.docx", "A 54472-2022")</f>
        <v/>
      </c>
      <c r="X181">
        <f>HYPERLINK("https://klasma.github.io/Logging_2161/tillsyn/A 54472-2022 tillsynsbegäran.docx", "A 54472-2022")</f>
        <v/>
      </c>
      <c r="Y181">
        <f>HYPERLINK("https://klasma.github.io/Logging_2161/tillsynsmail/A 54472-2022 tillsynsbegäran mail.docx", "A 54472-2022")</f>
        <v/>
      </c>
    </row>
    <row r="182" ht="15" customHeight="1">
      <c r="A182" t="inlineStr">
        <is>
          <t>A 60287-2022</t>
        </is>
      </c>
      <c r="B182" s="1" t="n">
        <v>44910</v>
      </c>
      <c r="C182" s="1" t="n">
        <v>45587</v>
      </c>
      <c r="D182" t="inlineStr">
        <is>
          <t>GÄVLEBORGS LÄN</t>
        </is>
      </c>
      <c r="E182" t="inlineStr">
        <is>
          <t>OVANÅKER</t>
        </is>
      </c>
      <c r="F182" t="inlineStr">
        <is>
          <t>Sveaskog</t>
        </is>
      </c>
      <c r="G182" t="n">
        <v>1.2</v>
      </c>
      <c r="H182" t="n">
        <v>3</v>
      </c>
      <c r="I182" t="n">
        <v>0</v>
      </c>
      <c r="J182" t="n">
        <v>1</v>
      </c>
      <c r="K182" t="n">
        <v>0</v>
      </c>
      <c r="L182" t="n">
        <v>0</v>
      </c>
      <c r="M182" t="n">
        <v>0</v>
      </c>
      <c r="N182" t="n">
        <v>0</v>
      </c>
      <c r="O182" t="n">
        <v>1</v>
      </c>
      <c r="P182" t="n">
        <v>0</v>
      </c>
      <c r="Q182" t="n">
        <v>3</v>
      </c>
      <c r="R182" s="2" t="inlineStr">
        <is>
          <t>Talltita
Törnskata
Kopparödla</t>
        </is>
      </c>
      <c r="S182">
        <f>HYPERLINK("https://klasma.github.io/Logging_2121/artfynd/A 60287-2022 artfynd.xlsx", "A 60287-2022")</f>
        <v/>
      </c>
      <c r="T182">
        <f>HYPERLINK("https://klasma.github.io/Logging_2121/kartor/A 60287-2022 karta.png", "A 60287-2022")</f>
        <v/>
      </c>
      <c r="V182">
        <f>HYPERLINK("https://klasma.github.io/Logging_2121/klagomål/A 60287-2022 FSC-klagomål.docx", "A 60287-2022")</f>
        <v/>
      </c>
      <c r="W182">
        <f>HYPERLINK("https://klasma.github.io/Logging_2121/klagomålsmail/A 60287-2022 FSC-klagomål mail.docx", "A 60287-2022")</f>
        <v/>
      </c>
      <c r="X182">
        <f>HYPERLINK("https://klasma.github.io/Logging_2121/tillsyn/A 60287-2022 tillsynsbegäran.docx", "A 60287-2022")</f>
        <v/>
      </c>
      <c r="Y182">
        <f>HYPERLINK("https://klasma.github.io/Logging_2121/tillsynsmail/A 60287-2022 tillsynsbegäran mail.docx", "A 60287-2022")</f>
        <v/>
      </c>
      <c r="Z182">
        <f>HYPERLINK("https://klasma.github.io/Logging_2121/fåglar/A 60287-2022 prioriterade fågelarter.docx", "A 60287-2022")</f>
        <v/>
      </c>
    </row>
    <row r="183" ht="15" customHeight="1">
      <c r="A183" t="inlineStr">
        <is>
          <t>A 12105-2023</t>
        </is>
      </c>
      <c r="B183" s="1" t="n">
        <v>44998</v>
      </c>
      <c r="C183" s="1" t="n">
        <v>45587</v>
      </c>
      <c r="D183" t="inlineStr">
        <is>
          <t>GÄVLEBORGS LÄN</t>
        </is>
      </c>
      <c r="E183" t="inlineStr">
        <is>
          <t>LJUSDAL</t>
        </is>
      </c>
      <c r="G183" t="n">
        <v>11.7</v>
      </c>
      <c r="H183" t="n">
        <v>1</v>
      </c>
      <c r="I183" t="n">
        <v>2</v>
      </c>
      <c r="J183" t="n">
        <v>0</v>
      </c>
      <c r="K183" t="n">
        <v>1</v>
      </c>
      <c r="L183" t="n">
        <v>0</v>
      </c>
      <c r="M183" t="n">
        <v>0</v>
      </c>
      <c r="N183" t="n">
        <v>0</v>
      </c>
      <c r="O183" t="n">
        <v>1</v>
      </c>
      <c r="P183" t="n">
        <v>1</v>
      </c>
      <c r="Q183" t="n">
        <v>3</v>
      </c>
      <c r="R183" s="2" t="inlineStr">
        <is>
          <t>Knärot
Korallblylav
Mörk husmossa</t>
        </is>
      </c>
      <c r="S183">
        <f>HYPERLINK("https://klasma.github.io/Logging_2161/artfynd/A 12105-2023 artfynd.xlsx", "A 12105-2023")</f>
        <v/>
      </c>
      <c r="T183">
        <f>HYPERLINK("https://klasma.github.io/Logging_2161/kartor/A 12105-2023 karta.png", "A 12105-2023")</f>
        <v/>
      </c>
      <c r="U183">
        <f>HYPERLINK("https://klasma.github.io/Logging_2161/knärot/A 12105-2023 karta knärot.png", "A 12105-2023")</f>
        <v/>
      </c>
      <c r="V183">
        <f>HYPERLINK("https://klasma.github.io/Logging_2161/klagomål/A 12105-2023 FSC-klagomål.docx", "A 12105-2023")</f>
        <v/>
      </c>
      <c r="W183">
        <f>HYPERLINK("https://klasma.github.io/Logging_2161/klagomålsmail/A 12105-2023 FSC-klagomål mail.docx", "A 12105-2023")</f>
        <v/>
      </c>
      <c r="X183">
        <f>HYPERLINK("https://klasma.github.io/Logging_2161/tillsyn/A 12105-2023 tillsynsbegäran.docx", "A 12105-2023")</f>
        <v/>
      </c>
      <c r="Y183">
        <f>HYPERLINK("https://klasma.github.io/Logging_2161/tillsynsmail/A 12105-2023 tillsynsbegäran mail.docx", "A 12105-2023")</f>
        <v/>
      </c>
    </row>
    <row r="184" ht="15" customHeight="1">
      <c r="A184" t="inlineStr">
        <is>
          <t>A 23246-2023</t>
        </is>
      </c>
      <c r="B184" s="1" t="n">
        <v>45075</v>
      </c>
      <c r="C184" s="1" t="n">
        <v>45587</v>
      </c>
      <c r="D184" t="inlineStr">
        <is>
          <t>GÄVLEBORGS LÄN</t>
        </is>
      </c>
      <c r="E184" t="inlineStr">
        <is>
          <t>HUDIKSVALL</t>
        </is>
      </c>
      <c r="F184" t="inlineStr">
        <is>
          <t>Sveaskog</t>
        </is>
      </c>
      <c r="G184" t="n">
        <v>7.2</v>
      </c>
      <c r="H184" t="n">
        <v>1</v>
      </c>
      <c r="I184" t="n">
        <v>0</v>
      </c>
      <c r="J184" t="n">
        <v>2</v>
      </c>
      <c r="K184" t="n">
        <v>0</v>
      </c>
      <c r="L184" t="n">
        <v>0</v>
      </c>
      <c r="M184" t="n">
        <v>0</v>
      </c>
      <c r="N184" t="n">
        <v>0</v>
      </c>
      <c r="O184" t="n">
        <v>2</v>
      </c>
      <c r="P184" t="n">
        <v>0</v>
      </c>
      <c r="Q184" t="n">
        <v>3</v>
      </c>
      <c r="R184" s="2" t="inlineStr">
        <is>
          <t>Kolflarnlav
Mörk kolflarnlav
Fläcknycklar</t>
        </is>
      </c>
      <c r="S184">
        <f>HYPERLINK("https://klasma.github.io/Logging_2184/artfynd/A 23246-2023 artfynd.xlsx", "A 23246-2023")</f>
        <v/>
      </c>
      <c r="T184">
        <f>HYPERLINK("https://klasma.github.io/Logging_2184/kartor/A 23246-2023 karta.png", "A 23246-2023")</f>
        <v/>
      </c>
      <c r="V184">
        <f>HYPERLINK("https://klasma.github.io/Logging_2184/klagomål/A 23246-2023 FSC-klagomål.docx", "A 23246-2023")</f>
        <v/>
      </c>
      <c r="W184">
        <f>HYPERLINK("https://klasma.github.io/Logging_2184/klagomålsmail/A 23246-2023 FSC-klagomål mail.docx", "A 23246-2023")</f>
        <v/>
      </c>
      <c r="X184">
        <f>HYPERLINK("https://klasma.github.io/Logging_2184/tillsyn/A 23246-2023 tillsynsbegäran.docx", "A 23246-2023")</f>
        <v/>
      </c>
      <c r="Y184">
        <f>HYPERLINK("https://klasma.github.io/Logging_2184/tillsynsmail/A 23246-2023 tillsynsbegäran mail.docx", "A 23246-2023")</f>
        <v/>
      </c>
    </row>
    <row r="185" ht="15" customHeight="1">
      <c r="A185" t="inlineStr">
        <is>
          <t>A 24519-2023</t>
        </is>
      </c>
      <c r="B185" s="1" t="n">
        <v>45082</v>
      </c>
      <c r="C185" s="1" t="n">
        <v>45587</v>
      </c>
      <c r="D185" t="inlineStr">
        <is>
          <t>GÄVLEBORGS LÄN</t>
        </is>
      </c>
      <c r="E185" t="inlineStr">
        <is>
          <t>LJUSDAL</t>
        </is>
      </c>
      <c r="F185" t="inlineStr">
        <is>
          <t>Sveaskog</t>
        </is>
      </c>
      <c r="G185" t="n">
        <v>8.199999999999999</v>
      </c>
      <c r="H185" t="n">
        <v>0</v>
      </c>
      <c r="I185" t="n">
        <v>0</v>
      </c>
      <c r="J185" t="n">
        <v>3</v>
      </c>
      <c r="K185" t="n">
        <v>0</v>
      </c>
      <c r="L185" t="n">
        <v>0</v>
      </c>
      <c r="M185" t="n">
        <v>0</v>
      </c>
      <c r="N185" t="n">
        <v>0</v>
      </c>
      <c r="O185" t="n">
        <v>3</v>
      </c>
      <c r="P185" t="n">
        <v>0</v>
      </c>
      <c r="Q185" t="n">
        <v>3</v>
      </c>
      <c r="R185" s="2" t="inlineStr">
        <is>
          <t>Dvärgbägarlav
Kolflarnlav
Lunglav</t>
        </is>
      </c>
      <c r="S185">
        <f>HYPERLINK("https://klasma.github.io/Logging_2161/artfynd/A 24519-2023 artfynd.xlsx", "A 24519-2023")</f>
        <v/>
      </c>
      <c r="T185">
        <f>HYPERLINK("https://klasma.github.io/Logging_2161/kartor/A 24519-2023 karta.png", "A 24519-2023")</f>
        <v/>
      </c>
      <c r="V185">
        <f>HYPERLINK("https://klasma.github.io/Logging_2161/klagomål/A 24519-2023 FSC-klagomål.docx", "A 24519-2023")</f>
        <v/>
      </c>
      <c r="W185">
        <f>HYPERLINK("https://klasma.github.io/Logging_2161/klagomålsmail/A 24519-2023 FSC-klagomål mail.docx", "A 24519-2023")</f>
        <v/>
      </c>
      <c r="X185">
        <f>HYPERLINK("https://klasma.github.io/Logging_2161/tillsyn/A 24519-2023 tillsynsbegäran.docx", "A 24519-2023")</f>
        <v/>
      </c>
      <c r="Y185">
        <f>HYPERLINK("https://klasma.github.io/Logging_2161/tillsynsmail/A 24519-2023 tillsynsbegäran mail.docx", "A 24519-2023")</f>
        <v/>
      </c>
    </row>
    <row r="186" ht="15" customHeight="1">
      <c r="A186" t="inlineStr">
        <is>
          <t>A 25182-2023</t>
        </is>
      </c>
      <c r="B186" s="1" t="n">
        <v>45086</v>
      </c>
      <c r="C186" s="1" t="n">
        <v>45587</v>
      </c>
      <c r="D186" t="inlineStr">
        <is>
          <t>GÄVLEBORGS LÄN</t>
        </is>
      </c>
      <c r="E186" t="inlineStr">
        <is>
          <t>LJUSDAL</t>
        </is>
      </c>
      <c r="F186" t="inlineStr">
        <is>
          <t>Holmen skog AB</t>
        </is>
      </c>
      <c r="G186" t="n">
        <v>16.6</v>
      </c>
      <c r="H186" t="n">
        <v>3</v>
      </c>
      <c r="I186" t="n">
        <v>0</v>
      </c>
      <c r="J186" t="n">
        <v>0</v>
      </c>
      <c r="K186" t="n">
        <v>0</v>
      </c>
      <c r="L186" t="n">
        <v>0</v>
      </c>
      <c r="M186" t="n">
        <v>0</v>
      </c>
      <c r="N186" t="n">
        <v>0</v>
      </c>
      <c r="O186" t="n">
        <v>0</v>
      </c>
      <c r="P186" t="n">
        <v>0</v>
      </c>
      <c r="Q186" t="n">
        <v>3</v>
      </c>
      <c r="R186" s="2" t="inlineStr">
        <is>
          <t>Fläcknycklar
Myggblomster
Revlummer</t>
        </is>
      </c>
      <c r="S186">
        <f>HYPERLINK("https://klasma.github.io/Logging_2161/artfynd/A 25182-2023 artfynd.xlsx", "A 25182-2023")</f>
        <v/>
      </c>
      <c r="T186">
        <f>HYPERLINK("https://klasma.github.io/Logging_2161/kartor/A 25182-2023 karta.png", "A 25182-2023")</f>
        <v/>
      </c>
      <c r="V186">
        <f>HYPERLINK("https://klasma.github.io/Logging_2161/klagomål/A 25182-2023 FSC-klagomål.docx", "A 25182-2023")</f>
        <v/>
      </c>
      <c r="W186">
        <f>HYPERLINK("https://klasma.github.io/Logging_2161/klagomålsmail/A 25182-2023 FSC-klagomål mail.docx", "A 25182-2023")</f>
        <v/>
      </c>
      <c r="X186">
        <f>HYPERLINK("https://klasma.github.io/Logging_2161/tillsyn/A 25182-2023 tillsynsbegäran.docx", "A 25182-2023")</f>
        <v/>
      </c>
      <c r="Y186">
        <f>HYPERLINK("https://klasma.github.io/Logging_2161/tillsynsmail/A 25182-2023 tillsynsbegäran mail.docx", "A 25182-2023")</f>
        <v/>
      </c>
    </row>
    <row r="187" ht="15" customHeight="1">
      <c r="A187" t="inlineStr">
        <is>
          <t>A 25643-2023</t>
        </is>
      </c>
      <c r="B187" s="1" t="n">
        <v>45089</v>
      </c>
      <c r="C187" s="1" t="n">
        <v>45587</v>
      </c>
      <c r="D187" t="inlineStr">
        <is>
          <t>GÄVLEBORGS LÄN</t>
        </is>
      </c>
      <c r="E187" t="inlineStr">
        <is>
          <t>NORDANSTIG</t>
        </is>
      </c>
      <c r="F187" t="inlineStr">
        <is>
          <t>Holmen skog AB</t>
        </is>
      </c>
      <c r="G187" t="n">
        <v>5.9</v>
      </c>
      <c r="H187" t="n">
        <v>1</v>
      </c>
      <c r="I187" t="n">
        <v>0</v>
      </c>
      <c r="J187" t="n">
        <v>2</v>
      </c>
      <c r="K187" t="n">
        <v>0</v>
      </c>
      <c r="L187" t="n">
        <v>0</v>
      </c>
      <c r="M187" t="n">
        <v>0</v>
      </c>
      <c r="N187" t="n">
        <v>0</v>
      </c>
      <c r="O187" t="n">
        <v>2</v>
      </c>
      <c r="P187" t="n">
        <v>0</v>
      </c>
      <c r="Q187" t="n">
        <v>3</v>
      </c>
      <c r="R187" s="2" t="inlineStr">
        <is>
          <t>Gammelgransskål
Garnlav
Fläcknycklar</t>
        </is>
      </c>
      <c r="S187">
        <f>HYPERLINK("https://klasma.github.io/Logging_2132/artfynd/A 25643-2023 artfynd.xlsx", "A 25643-2023")</f>
        <v/>
      </c>
      <c r="T187">
        <f>HYPERLINK("https://klasma.github.io/Logging_2132/kartor/A 25643-2023 karta.png", "A 25643-2023")</f>
        <v/>
      </c>
      <c r="V187">
        <f>HYPERLINK("https://klasma.github.io/Logging_2132/klagomål/A 25643-2023 FSC-klagomål.docx", "A 25643-2023")</f>
        <v/>
      </c>
      <c r="W187">
        <f>HYPERLINK("https://klasma.github.io/Logging_2132/klagomålsmail/A 25643-2023 FSC-klagomål mail.docx", "A 25643-2023")</f>
        <v/>
      </c>
      <c r="X187">
        <f>HYPERLINK("https://klasma.github.io/Logging_2132/tillsyn/A 25643-2023 tillsynsbegäran.docx", "A 25643-2023")</f>
        <v/>
      </c>
      <c r="Y187">
        <f>HYPERLINK("https://klasma.github.io/Logging_2132/tillsynsmail/A 25643-2023 tillsynsbegäran mail.docx", "A 25643-2023")</f>
        <v/>
      </c>
    </row>
    <row r="188" ht="15" customHeight="1">
      <c r="A188" t="inlineStr">
        <is>
          <t>A 31473-2023</t>
        </is>
      </c>
      <c r="B188" s="1" t="n">
        <v>45114</v>
      </c>
      <c r="C188" s="1" t="n">
        <v>45587</v>
      </c>
      <c r="D188" t="inlineStr">
        <is>
          <t>GÄVLEBORGS LÄN</t>
        </is>
      </c>
      <c r="E188" t="inlineStr">
        <is>
          <t>LJUSDAL</t>
        </is>
      </c>
      <c r="F188" t="inlineStr">
        <is>
          <t>Sveaskog</t>
        </is>
      </c>
      <c r="G188" t="n">
        <v>15.5</v>
      </c>
      <c r="H188" t="n">
        <v>1</v>
      </c>
      <c r="I188" t="n">
        <v>1</v>
      </c>
      <c r="J188" t="n">
        <v>2</v>
      </c>
      <c r="K188" t="n">
        <v>0</v>
      </c>
      <c r="L188" t="n">
        <v>0</v>
      </c>
      <c r="M188" t="n">
        <v>0</v>
      </c>
      <c r="N188" t="n">
        <v>0</v>
      </c>
      <c r="O188" t="n">
        <v>2</v>
      </c>
      <c r="P188" t="n">
        <v>0</v>
      </c>
      <c r="Q188" t="n">
        <v>3</v>
      </c>
      <c r="R188" s="2" t="inlineStr">
        <is>
          <t>Kolflarnlav
Lunglav
Plattlummer</t>
        </is>
      </c>
      <c r="S188">
        <f>HYPERLINK("https://klasma.github.io/Logging_2161/artfynd/A 31473-2023 artfynd.xlsx", "A 31473-2023")</f>
        <v/>
      </c>
      <c r="T188">
        <f>HYPERLINK("https://klasma.github.io/Logging_2161/kartor/A 31473-2023 karta.png", "A 31473-2023")</f>
        <v/>
      </c>
      <c r="V188">
        <f>HYPERLINK("https://klasma.github.io/Logging_2161/klagomål/A 31473-2023 FSC-klagomål.docx", "A 31473-2023")</f>
        <v/>
      </c>
      <c r="W188">
        <f>HYPERLINK("https://klasma.github.io/Logging_2161/klagomålsmail/A 31473-2023 FSC-klagomål mail.docx", "A 31473-2023")</f>
        <v/>
      </c>
      <c r="X188">
        <f>HYPERLINK("https://klasma.github.io/Logging_2161/tillsyn/A 31473-2023 tillsynsbegäran.docx", "A 31473-2023")</f>
        <v/>
      </c>
      <c r="Y188">
        <f>HYPERLINK("https://klasma.github.io/Logging_2161/tillsynsmail/A 31473-2023 tillsynsbegäran mail.docx", "A 31473-2023")</f>
        <v/>
      </c>
    </row>
    <row r="189" ht="15" customHeight="1">
      <c r="A189" t="inlineStr">
        <is>
          <t>A 32677-2023</t>
        </is>
      </c>
      <c r="B189" s="1" t="n">
        <v>45121</v>
      </c>
      <c r="C189" s="1" t="n">
        <v>45587</v>
      </c>
      <c r="D189" t="inlineStr">
        <is>
          <t>GÄVLEBORGS LÄN</t>
        </is>
      </c>
      <c r="E189" t="inlineStr">
        <is>
          <t>GÄVLE</t>
        </is>
      </c>
      <c r="G189" t="n">
        <v>20.7</v>
      </c>
      <c r="H189" t="n">
        <v>1</v>
      </c>
      <c r="I189" t="n">
        <v>1</v>
      </c>
      <c r="J189" t="n">
        <v>0</v>
      </c>
      <c r="K189" t="n">
        <v>1</v>
      </c>
      <c r="L189" t="n">
        <v>0</v>
      </c>
      <c r="M189" t="n">
        <v>0</v>
      </c>
      <c r="N189" t="n">
        <v>0</v>
      </c>
      <c r="O189" t="n">
        <v>1</v>
      </c>
      <c r="P189" t="n">
        <v>1</v>
      </c>
      <c r="Q189" t="n">
        <v>3</v>
      </c>
      <c r="R189" s="2" t="inlineStr">
        <is>
          <t>Glesgröe
Spädstarr
Blåsippa</t>
        </is>
      </c>
      <c r="S189">
        <f>HYPERLINK("https://klasma.github.io/Logging_2180/artfynd/A 32677-2023 artfynd.xlsx", "A 32677-2023")</f>
        <v/>
      </c>
      <c r="T189">
        <f>HYPERLINK("https://klasma.github.io/Logging_2180/kartor/A 32677-2023 karta.png", "A 32677-2023")</f>
        <v/>
      </c>
      <c r="V189">
        <f>HYPERLINK("https://klasma.github.io/Logging_2180/klagomål/A 32677-2023 FSC-klagomål.docx", "A 32677-2023")</f>
        <v/>
      </c>
      <c r="W189">
        <f>HYPERLINK("https://klasma.github.io/Logging_2180/klagomålsmail/A 32677-2023 FSC-klagomål mail.docx", "A 32677-2023")</f>
        <v/>
      </c>
      <c r="X189">
        <f>HYPERLINK("https://klasma.github.io/Logging_2180/tillsyn/A 32677-2023 tillsynsbegäran.docx", "A 32677-2023")</f>
        <v/>
      </c>
      <c r="Y189">
        <f>HYPERLINK("https://klasma.github.io/Logging_2180/tillsynsmail/A 32677-2023 tillsynsbegäran mail.docx", "A 32677-2023")</f>
        <v/>
      </c>
    </row>
    <row r="190" ht="15" customHeight="1">
      <c r="A190" t="inlineStr">
        <is>
          <t>A 33691-2023</t>
        </is>
      </c>
      <c r="B190" s="1" t="n">
        <v>45132</v>
      </c>
      <c r="C190" s="1" t="n">
        <v>45587</v>
      </c>
      <c r="D190" t="inlineStr">
        <is>
          <t>GÄVLEBORGS LÄN</t>
        </is>
      </c>
      <c r="E190" t="inlineStr">
        <is>
          <t>NORDANSTIG</t>
        </is>
      </c>
      <c r="F190" t="inlineStr">
        <is>
          <t>Holmen skog AB</t>
        </is>
      </c>
      <c r="G190" t="n">
        <v>2.7</v>
      </c>
      <c r="H190" t="n">
        <v>0</v>
      </c>
      <c r="I190" t="n">
        <v>2</v>
      </c>
      <c r="J190" t="n">
        <v>1</v>
      </c>
      <c r="K190" t="n">
        <v>0</v>
      </c>
      <c r="L190" t="n">
        <v>0</v>
      </c>
      <c r="M190" t="n">
        <v>0</v>
      </c>
      <c r="N190" t="n">
        <v>0</v>
      </c>
      <c r="O190" t="n">
        <v>1</v>
      </c>
      <c r="P190" t="n">
        <v>0</v>
      </c>
      <c r="Q190" t="n">
        <v>3</v>
      </c>
      <c r="R190" s="2" t="inlineStr">
        <is>
          <t>Ullticka
Skogshakmossa
Vågbandad barkbock</t>
        </is>
      </c>
      <c r="S190">
        <f>HYPERLINK("https://klasma.github.io/Logging_2132/artfynd/A 33691-2023 artfynd.xlsx", "A 33691-2023")</f>
        <v/>
      </c>
      <c r="T190">
        <f>HYPERLINK("https://klasma.github.io/Logging_2132/kartor/A 33691-2023 karta.png", "A 33691-2023")</f>
        <v/>
      </c>
      <c r="V190">
        <f>HYPERLINK("https://klasma.github.io/Logging_2132/klagomål/A 33691-2023 FSC-klagomål.docx", "A 33691-2023")</f>
        <v/>
      </c>
      <c r="W190">
        <f>HYPERLINK("https://klasma.github.io/Logging_2132/klagomålsmail/A 33691-2023 FSC-klagomål mail.docx", "A 33691-2023")</f>
        <v/>
      </c>
      <c r="X190">
        <f>HYPERLINK("https://klasma.github.io/Logging_2132/tillsyn/A 33691-2023 tillsynsbegäran.docx", "A 33691-2023")</f>
        <v/>
      </c>
      <c r="Y190">
        <f>HYPERLINK("https://klasma.github.io/Logging_2132/tillsynsmail/A 33691-2023 tillsynsbegäran mail.docx", "A 33691-2023")</f>
        <v/>
      </c>
    </row>
    <row r="191" ht="15" customHeight="1">
      <c r="A191" t="inlineStr">
        <is>
          <t>A 33783-2023</t>
        </is>
      </c>
      <c r="B191" s="1" t="n">
        <v>45133</v>
      </c>
      <c r="C191" s="1" t="n">
        <v>45587</v>
      </c>
      <c r="D191" t="inlineStr">
        <is>
          <t>GÄVLEBORGS LÄN</t>
        </is>
      </c>
      <c r="E191" t="inlineStr">
        <is>
          <t>HUDIKSVALL</t>
        </is>
      </c>
      <c r="F191" t="inlineStr">
        <is>
          <t>Holmen skog AB</t>
        </is>
      </c>
      <c r="G191" t="n">
        <v>2.6</v>
      </c>
      <c r="H191" t="n">
        <v>0</v>
      </c>
      <c r="I191" t="n">
        <v>1</v>
      </c>
      <c r="J191" t="n">
        <v>2</v>
      </c>
      <c r="K191" t="n">
        <v>0</v>
      </c>
      <c r="L191" t="n">
        <v>0</v>
      </c>
      <c r="M191" t="n">
        <v>0</v>
      </c>
      <c r="N191" t="n">
        <v>0</v>
      </c>
      <c r="O191" t="n">
        <v>2</v>
      </c>
      <c r="P191" t="n">
        <v>0</v>
      </c>
      <c r="Q191" t="n">
        <v>3</v>
      </c>
      <c r="R191" s="2" t="inlineStr">
        <is>
          <t>Garnlav
Lunglav
Stuplav</t>
        </is>
      </c>
      <c r="S191">
        <f>HYPERLINK("https://klasma.github.io/Logging_2184/artfynd/A 33783-2023 artfynd.xlsx", "A 33783-2023")</f>
        <v/>
      </c>
      <c r="T191">
        <f>HYPERLINK("https://klasma.github.io/Logging_2184/kartor/A 33783-2023 karta.png", "A 33783-2023")</f>
        <v/>
      </c>
      <c r="V191">
        <f>HYPERLINK("https://klasma.github.io/Logging_2184/klagomål/A 33783-2023 FSC-klagomål.docx", "A 33783-2023")</f>
        <v/>
      </c>
      <c r="W191">
        <f>HYPERLINK("https://klasma.github.io/Logging_2184/klagomålsmail/A 33783-2023 FSC-klagomål mail.docx", "A 33783-2023")</f>
        <v/>
      </c>
      <c r="X191">
        <f>HYPERLINK("https://klasma.github.io/Logging_2184/tillsyn/A 33783-2023 tillsynsbegäran.docx", "A 33783-2023")</f>
        <v/>
      </c>
      <c r="Y191">
        <f>HYPERLINK("https://klasma.github.io/Logging_2184/tillsynsmail/A 33783-2023 tillsynsbegäran mail.docx", "A 33783-2023")</f>
        <v/>
      </c>
    </row>
    <row r="192" ht="15" customHeight="1">
      <c r="A192" t="inlineStr">
        <is>
          <t>A 36196-2023</t>
        </is>
      </c>
      <c r="B192" s="1" t="n">
        <v>45149</v>
      </c>
      <c r="C192" s="1" t="n">
        <v>45587</v>
      </c>
      <c r="D192" t="inlineStr">
        <is>
          <t>GÄVLEBORGS LÄN</t>
        </is>
      </c>
      <c r="E192" t="inlineStr">
        <is>
          <t>HUDIKSVALL</t>
        </is>
      </c>
      <c r="F192" t="inlineStr">
        <is>
          <t>Holmen skog AB</t>
        </is>
      </c>
      <c r="G192" t="n">
        <v>11.8</v>
      </c>
      <c r="H192" t="n">
        <v>1</v>
      </c>
      <c r="I192" t="n">
        <v>0</v>
      </c>
      <c r="J192" t="n">
        <v>2</v>
      </c>
      <c r="K192" t="n">
        <v>1</v>
      </c>
      <c r="L192" t="n">
        <v>0</v>
      </c>
      <c r="M192" t="n">
        <v>0</v>
      </c>
      <c r="N192" t="n">
        <v>0</v>
      </c>
      <c r="O192" t="n">
        <v>3</v>
      </c>
      <c r="P192" t="n">
        <v>1</v>
      </c>
      <c r="Q192" t="n">
        <v>3</v>
      </c>
      <c r="R192" s="2" t="inlineStr">
        <is>
          <t>Knärot
Rosenticka
Ullticka</t>
        </is>
      </c>
      <c r="S192">
        <f>HYPERLINK("https://klasma.github.io/Logging_2184/artfynd/A 36196-2023 artfynd.xlsx", "A 36196-2023")</f>
        <v/>
      </c>
      <c r="T192">
        <f>HYPERLINK("https://klasma.github.io/Logging_2184/kartor/A 36196-2023 karta.png", "A 36196-2023")</f>
        <v/>
      </c>
      <c r="U192">
        <f>HYPERLINK("https://klasma.github.io/Logging_2184/knärot/A 36196-2023 karta knärot.png", "A 36196-2023")</f>
        <v/>
      </c>
      <c r="V192">
        <f>HYPERLINK("https://klasma.github.io/Logging_2184/klagomål/A 36196-2023 FSC-klagomål.docx", "A 36196-2023")</f>
        <v/>
      </c>
      <c r="W192">
        <f>HYPERLINK("https://klasma.github.io/Logging_2184/klagomålsmail/A 36196-2023 FSC-klagomål mail.docx", "A 36196-2023")</f>
        <v/>
      </c>
      <c r="X192">
        <f>HYPERLINK("https://klasma.github.io/Logging_2184/tillsyn/A 36196-2023 tillsynsbegäran.docx", "A 36196-2023")</f>
        <v/>
      </c>
      <c r="Y192">
        <f>HYPERLINK("https://klasma.github.io/Logging_2184/tillsynsmail/A 36196-2023 tillsynsbegäran mail.docx", "A 36196-2023")</f>
        <v/>
      </c>
    </row>
    <row r="193" ht="15" customHeight="1">
      <c r="A193" t="inlineStr">
        <is>
          <t>A 39885-2023</t>
        </is>
      </c>
      <c r="B193" s="1" t="n">
        <v>45168</v>
      </c>
      <c r="C193" s="1" t="n">
        <v>45587</v>
      </c>
      <c r="D193" t="inlineStr">
        <is>
          <t>GÄVLEBORGS LÄN</t>
        </is>
      </c>
      <c r="E193" t="inlineStr">
        <is>
          <t>SÖDERHAMN</t>
        </is>
      </c>
      <c r="G193" t="n">
        <v>2.9</v>
      </c>
      <c r="H193" t="n">
        <v>0</v>
      </c>
      <c r="I193" t="n">
        <v>2</v>
      </c>
      <c r="J193" t="n">
        <v>1</v>
      </c>
      <c r="K193" t="n">
        <v>0</v>
      </c>
      <c r="L193" t="n">
        <v>0</v>
      </c>
      <c r="M193" t="n">
        <v>0</v>
      </c>
      <c r="N193" t="n">
        <v>0</v>
      </c>
      <c r="O193" t="n">
        <v>1</v>
      </c>
      <c r="P193" t="n">
        <v>0</v>
      </c>
      <c r="Q193" t="n">
        <v>3</v>
      </c>
      <c r="R193" s="2" t="inlineStr">
        <is>
          <t>Hapalopilus aurantiacus
Blodticka
Sotriska</t>
        </is>
      </c>
      <c r="S193">
        <f>HYPERLINK("https://klasma.github.io/Logging_2182/artfynd/A 39885-2023 artfynd.xlsx", "A 39885-2023")</f>
        <v/>
      </c>
      <c r="T193">
        <f>HYPERLINK("https://klasma.github.io/Logging_2182/kartor/A 39885-2023 karta.png", "A 39885-2023")</f>
        <v/>
      </c>
      <c r="V193">
        <f>HYPERLINK("https://klasma.github.io/Logging_2182/klagomål/A 39885-2023 FSC-klagomål.docx", "A 39885-2023")</f>
        <v/>
      </c>
      <c r="W193">
        <f>HYPERLINK("https://klasma.github.io/Logging_2182/klagomålsmail/A 39885-2023 FSC-klagomål mail.docx", "A 39885-2023")</f>
        <v/>
      </c>
      <c r="X193">
        <f>HYPERLINK("https://klasma.github.io/Logging_2182/tillsyn/A 39885-2023 tillsynsbegäran.docx", "A 39885-2023")</f>
        <v/>
      </c>
      <c r="Y193">
        <f>HYPERLINK("https://klasma.github.io/Logging_2182/tillsynsmail/A 39885-2023 tillsynsbegäran mail.docx", "A 39885-2023")</f>
        <v/>
      </c>
    </row>
    <row r="194" ht="15" customHeight="1">
      <c r="A194" t="inlineStr">
        <is>
          <t>A 45306-2023</t>
        </is>
      </c>
      <c r="B194" s="1" t="n">
        <v>45191</v>
      </c>
      <c r="C194" s="1" t="n">
        <v>45587</v>
      </c>
      <c r="D194" t="inlineStr">
        <is>
          <t>GÄVLEBORGS LÄN</t>
        </is>
      </c>
      <c r="E194" t="inlineStr">
        <is>
          <t>HOFORS</t>
        </is>
      </c>
      <c r="F194" t="inlineStr">
        <is>
          <t>Sveaskog</t>
        </is>
      </c>
      <c r="G194" t="n">
        <v>2.9</v>
      </c>
      <c r="H194" t="n">
        <v>1</v>
      </c>
      <c r="I194" t="n">
        <v>1</v>
      </c>
      <c r="J194" t="n">
        <v>2</v>
      </c>
      <c r="K194" t="n">
        <v>0</v>
      </c>
      <c r="L194" t="n">
        <v>0</v>
      </c>
      <c r="M194" t="n">
        <v>0</v>
      </c>
      <c r="N194" t="n">
        <v>0</v>
      </c>
      <c r="O194" t="n">
        <v>2</v>
      </c>
      <c r="P194" t="n">
        <v>0</v>
      </c>
      <c r="Q194" t="n">
        <v>3</v>
      </c>
      <c r="R194" s="2" t="inlineStr">
        <is>
          <t>Motaggsvamp
Talltita
Mindre märgborre</t>
        </is>
      </c>
      <c r="S194">
        <f>HYPERLINK("https://klasma.github.io/Logging_2104/artfynd/A 45306-2023 artfynd.xlsx", "A 45306-2023")</f>
        <v/>
      </c>
      <c r="T194">
        <f>HYPERLINK("https://klasma.github.io/Logging_2104/kartor/A 45306-2023 karta.png", "A 45306-2023")</f>
        <v/>
      </c>
      <c r="V194">
        <f>HYPERLINK("https://klasma.github.io/Logging_2104/klagomål/A 45306-2023 FSC-klagomål.docx", "A 45306-2023")</f>
        <v/>
      </c>
      <c r="W194">
        <f>HYPERLINK("https://klasma.github.io/Logging_2104/klagomålsmail/A 45306-2023 FSC-klagomål mail.docx", "A 45306-2023")</f>
        <v/>
      </c>
      <c r="X194">
        <f>HYPERLINK("https://klasma.github.io/Logging_2104/tillsyn/A 45306-2023 tillsynsbegäran.docx", "A 45306-2023")</f>
        <v/>
      </c>
      <c r="Y194">
        <f>HYPERLINK("https://klasma.github.io/Logging_2104/tillsynsmail/A 45306-2023 tillsynsbegäran mail.docx", "A 45306-2023")</f>
        <v/>
      </c>
      <c r="Z194">
        <f>HYPERLINK("https://klasma.github.io/Logging_2104/fåglar/A 45306-2023 prioriterade fågelarter.docx", "A 45306-2023")</f>
        <v/>
      </c>
    </row>
    <row r="195" ht="15" customHeight="1">
      <c r="A195" t="inlineStr">
        <is>
          <t>A 50217-2023</t>
        </is>
      </c>
      <c r="B195" s="1" t="n">
        <v>45215</v>
      </c>
      <c r="C195" s="1" t="n">
        <v>45587</v>
      </c>
      <c r="D195" t="inlineStr">
        <is>
          <t>GÄVLEBORGS LÄN</t>
        </is>
      </c>
      <c r="E195" t="inlineStr">
        <is>
          <t>SÖDERHAMN</t>
        </is>
      </c>
      <c r="G195" t="n">
        <v>13.6</v>
      </c>
      <c r="H195" t="n">
        <v>0</v>
      </c>
      <c r="I195" t="n">
        <v>1</v>
      </c>
      <c r="J195" t="n">
        <v>2</v>
      </c>
      <c r="K195" t="n">
        <v>0</v>
      </c>
      <c r="L195" t="n">
        <v>0</v>
      </c>
      <c r="M195" t="n">
        <v>0</v>
      </c>
      <c r="N195" t="n">
        <v>0</v>
      </c>
      <c r="O195" t="n">
        <v>2</v>
      </c>
      <c r="P195" t="n">
        <v>0</v>
      </c>
      <c r="Q195" t="n">
        <v>3</v>
      </c>
      <c r="R195" s="2" t="inlineStr">
        <is>
          <t>Dofttaggsvamp
Gropticka
Dropptaggsvamp</t>
        </is>
      </c>
      <c r="S195">
        <f>HYPERLINK("https://klasma.github.io/Logging_2182/artfynd/A 50217-2023 artfynd.xlsx", "A 50217-2023")</f>
        <v/>
      </c>
      <c r="T195">
        <f>HYPERLINK("https://klasma.github.io/Logging_2182/kartor/A 50217-2023 karta.png", "A 50217-2023")</f>
        <v/>
      </c>
      <c r="V195">
        <f>HYPERLINK("https://klasma.github.io/Logging_2182/klagomål/A 50217-2023 FSC-klagomål.docx", "A 50217-2023")</f>
        <v/>
      </c>
      <c r="W195">
        <f>HYPERLINK("https://klasma.github.io/Logging_2182/klagomålsmail/A 50217-2023 FSC-klagomål mail.docx", "A 50217-2023")</f>
        <v/>
      </c>
      <c r="X195">
        <f>HYPERLINK("https://klasma.github.io/Logging_2182/tillsyn/A 50217-2023 tillsynsbegäran.docx", "A 50217-2023")</f>
        <v/>
      </c>
      <c r="Y195">
        <f>HYPERLINK("https://klasma.github.io/Logging_2182/tillsynsmail/A 50217-2023 tillsynsbegäran mail.docx", "A 50217-2023")</f>
        <v/>
      </c>
    </row>
    <row r="196" ht="15" customHeight="1">
      <c r="A196" t="inlineStr">
        <is>
          <t>A 64533-2023</t>
        </is>
      </c>
      <c r="B196" s="1" t="n">
        <v>45281</v>
      </c>
      <c r="C196" s="1" t="n">
        <v>45587</v>
      </c>
      <c r="D196" t="inlineStr">
        <is>
          <t>GÄVLEBORGS LÄN</t>
        </is>
      </c>
      <c r="E196" t="inlineStr">
        <is>
          <t>GÄVLE</t>
        </is>
      </c>
      <c r="G196" t="n">
        <v>1.1</v>
      </c>
      <c r="H196" t="n">
        <v>0</v>
      </c>
      <c r="I196" t="n">
        <v>2</v>
      </c>
      <c r="J196" t="n">
        <v>1</v>
      </c>
      <c r="K196" t="n">
        <v>0</v>
      </c>
      <c r="L196" t="n">
        <v>0</v>
      </c>
      <c r="M196" t="n">
        <v>0</v>
      </c>
      <c r="N196" t="n">
        <v>0</v>
      </c>
      <c r="O196" t="n">
        <v>1</v>
      </c>
      <c r="P196" t="n">
        <v>0</v>
      </c>
      <c r="Q196" t="n">
        <v>3</v>
      </c>
      <c r="R196" s="2" t="inlineStr">
        <is>
          <t>Asppraktbagge
Aspvedgnagare
Jättesvampmal</t>
        </is>
      </c>
      <c r="S196">
        <f>HYPERLINK("https://klasma.github.io/Logging_2180/artfynd/A 64533-2023 artfynd.xlsx", "A 64533-2023")</f>
        <v/>
      </c>
      <c r="T196">
        <f>HYPERLINK("https://klasma.github.io/Logging_2180/kartor/A 64533-2023 karta.png", "A 64533-2023")</f>
        <v/>
      </c>
      <c r="V196">
        <f>HYPERLINK("https://klasma.github.io/Logging_2180/klagomål/A 64533-2023 FSC-klagomål.docx", "A 64533-2023")</f>
        <v/>
      </c>
      <c r="W196">
        <f>HYPERLINK("https://klasma.github.io/Logging_2180/klagomålsmail/A 64533-2023 FSC-klagomål mail.docx", "A 64533-2023")</f>
        <v/>
      </c>
      <c r="X196">
        <f>HYPERLINK("https://klasma.github.io/Logging_2180/tillsyn/A 64533-2023 tillsynsbegäran.docx", "A 64533-2023")</f>
        <v/>
      </c>
      <c r="Y196">
        <f>HYPERLINK("https://klasma.github.io/Logging_2180/tillsynsmail/A 64533-2023 tillsynsbegäran mail.docx", "A 64533-2023")</f>
        <v/>
      </c>
    </row>
    <row r="197" ht="15" customHeight="1">
      <c r="A197" t="inlineStr">
        <is>
          <t>A 12843-2024</t>
        </is>
      </c>
      <c r="B197" s="1" t="n">
        <v>45384</v>
      </c>
      <c r="C197" s="1" t="n">
        <v>45587</v>
      </c>
      <c r="D197" t="inlineStr">
        <is>
          <t>GÄVLEBORGS LÄN</t>
        </is>
      </c>
      <c r="E197" t="inlineStr">
        <is>
          <t>HUDIKSVALL</t>
        </is>
      </c>
      <c r="F197" t="inlineStr">
        <is>
          <t>Holmen skog AB</t>
        </is>
      </c>
      <c r="G197" t="n">
        <v>23.4</v>
      </c>
      <c r="H197" t="n">
        <v>3</v>
      </c>
      <c r="I197" t="n">
        <v>1</v>
      </c>
      <c r="J197" t="n">
        <v>0</v>
      </c>
      <c r="K197" t="n">
        <v>0</v>
      </c>
      <c r="L197" t="n">
        <v>0</v>
      </c>
      <c r="M197" t="n">
        <v>0</v>
      </c>
      <c r="N197" t="n">
        <v>0</v>
      </c>
      <c r="O197" t="n">
        <v>0</v>
      </c>
      <c r="P197" t="n">
        <v>0</v>
      </c>
      <c r="Q197" t="n">
        <v>3</v>
      </c>
      <c r="R197" s="2" t="inlineStr">
        <is>
          <t>Spindelblomster
Fläcknycklar
Revlummer</t>
        </is>
      </c>
      <c r="S197">
        <f>HYPERLINK("https://klasma.github.io/Logging_2184/artfynd/A 12843-2024 artfynd.xlsx", "A 12843-2024")</f>
        <v/>
      </c>
      <c r="T197">
        <f>HYPERLINK("https://klasma.github.io/Logging_2184/kartor/A 12843-2024 karta.png", "A 12843-2024")</f>
        <v/>
      </c>
      <c r="V197">
        <f>HYPERLINK("https://klasma.github.io/Logging_2184/klagomål/A 12843-2024 FSC-klagomål.docx", "A 12843-2024")</f>
        <v/>
      </c>
      <c r="W197">
        <f>HYPERLINK("https://klasma.github.io/Logging_2184/klagomålsmail/A 12843-2024 FSC-klagomål mail.docx", "A 12843-2024")</f>
        <v/>
      </c>
      <c r="X197">
        <f>HYPERLINK("https://klasma.github.io/Logging_2184/tillsyn/A 12843-2024 tillsynsbegäran.docx", "A 12843-2024")</f>
        <v/>
      </c>
      <c r="Y197">
        <f>HYPERLINK("https://klasma.github.io/Logging_2184/tillsynsmail/A 12843-2024 tillsynsbegäran mail.docx", "A 12843-2024")</f>
        <v/>
      </c>
    </row>
    <row r="198" ht="15" customHeight="1">
      <c r="A198" t="inlineStr">
        <is>
          <t>A 14517-2024</t>
        </is>
      </c>
      <c r="B198" s="1" t="n">
        <v>45394</v>
      </c>
      <c r="C198" s="1" t="n">
        <v>45587</v>
      </c>
      <c r="D198" t="inlineStr">
        <is>
          <t>GÄVLEBORGS LÄN</t>
        </is>
      </c>
      <c r="E198" t="inlineStr">
        <is>
          <t>SANDVIKEN</t>
        </is>
      </c>
      <c r="F198" t="inlineStr">
        <is>
          <t>Kommuner</t>
        </is>
      </c>
      <c r="G198" t="n">
        <v>15.3</v>
      </c>
      <c r="H198" t="n">
        <v>2</v>
      </c>
      <c r="I198" t="n">
        <v>0</v>
      </c>
      <c r="J198" t="n">
        <v>1</v>
      </c>
      <c r="K198" t="n">
        <v>1</v>
      </c>
      <c r="L198" t="n">
        <v>0</v>
      </c>
      <c r="M198" t="n">
        <v>0</v>
      </c>
      <c r="N198" t="n">
        <v>0</v>
      </c>
      <c r="O198" t="n">
        <v>2</v>
      </c>
      <c r="P198" t="n">
        <v>1</v>
      </c>
      <c r="Q198" t="n">
        <v>3</v>
      </c>
      <c r="R198" s="2" t="inlineStr">
        <is>
          <t>Knärot
Ullticka
Nattviol</t>
        </is>
      </c>
      <c r="S198">
        <f>HYPERLINK("https://klasma.github.io/Logging_2181/artfynd/A 14517-2024 artfynd.xlsx", "A 14517-2024")</f>
        <v/>
      </c>
      <c r="T198">
        <f>HYPERLINK("https://klasma.github.io/Logging_2181/kartor/A 14517-2024 karta.png", "A 14517-2024")</f>
        <v/>
      </c>
      <c r="U198">
        <f>HYPERLINK("https://klasma.github.io/Logging_2181/knärot/A 14517-2024 karta knärot.png", "A 14517-2024")</f>
        <v/>
      </c>
      <c r="V198">
        <f>HYPERLINK("https://klasma.github.io/Logging_2181/klagomål/A 14517-2024 FSC-klagomål.docx", "A 14517-2024")</f>
        <v/>
      </c>
      <c r="W198">
        <f>HYPERLINK("https://klasma.github.io/Logging_2181/klagomålsmail/A 14517-2024 FSC-klagomål mail.docx", "A 14517-2024")</f>
        <v/>
      </c>
      <c r="X198">
        <f>HYPERLINK("https://klasma.github.io/Logging_2181/tillsyn/A 14517-2024 tillsynsbegäran.docx", "A 14517-2024")</f>
        <v/>
      </c>
      <c r="Y198">
        <f>HYPERLINK("https://klasma.github.io/Logging_2181/tillsynsmail/A 14517-2024 tillsynsbegäran mail.docx", "A 14517-2024")</f>
        <v/>
      </c>
    </row>
    <row r="199" ht="15" customHeight="1">
      <c r="A199" t="inlineStr">
        <is>
          <t>A 18680-2024</t>
        </is>
      </c>
      <c r="B199" s="1" t="n">
        <v>45426</v>
      </c>
      <c r="C199" s="1" t="n">
        <v>45587</v>
      </c>
      <c r="D199" t="inlineStr">
        <is>
          <t>GÄVLEBORGS LÄN</t>
        </is>
      </c>
      <c r="E199" t="inlineStr">
        <is>
          <t>LJUSDAL</t>
        </is>
      </c>
      <c r="F199" t="inlineStr">
        <is>
          <t>Sveaskog</t>
        </is>
      </c>
      <c r="G199" t="n">
        <v>12.3</v>
      </c>
      <c r="H199" t="n">
        <v>1</v>
      </c>
      <c r="I199" t="n">
        <v>2</v>
      </c>
      <c r="J199" t="n">
        <v>1</v>
      </c>
      <c r="K199" t="n">
        <v>0</v>
      </c>
      <c r="L199" t="n">
        <v>0</v>
      </c>
      <c r="M199" t="n">
        <v>0</v>
      </c>
      <c r="N199" t="n">
        <v>0</v>
      </c>
      <c r="O199" t="n">
        <v>1</v>
      </c>
      <c r="P199" t="n">
        <v>0</v>
      </c>
      <c r="Q199" t="n">
        <v>3</v>
      </c>
      <c r="R199" s="2" t="inlineStr">
        <is>
          <t>Skrovlig taggsvamp
Plattlummer
Skarp dropptaggsvamp</t>
        </is>
      </c>
      <c r="S199">
        <f>HYPERLINK("https://klasma.github.io/Logging_2161/artfynd/A 18680-2024 artfynd.xlsx", "A 18680-2024")</f>
        <v/>
      </c>
      <c r="T199">
        <f>HYPERLINK("https://klasma.github.io/Logging_2161/kartor/A 18680-2024 karta.png", "A 18680-2024")</f>
        <v/>
      </c>
      <c r="V199">
        <f>HYPERLINK("https://klasma.github.io/Logging_2161/klagomål/A 18680-2024 FSC-klagomål.docx", "A 18680-2024")</f>
        <v/>
      </c>
      <c r="W199">
        <f>HYPERLINK("https://klasma.github.io/Logging_2161/klagomålsmail/A 18680-2024 FSC-klagomål mail.docx", "A 18680-2024")</f>
        <v/>
      </c>
      <c r="X199">
        <f>HYPERLINK("https://klasma.github.io/Logging_2161/tillsyn/A 18680-2024 tillsynsbegäran.docx", "A 18680-2024")</f>
        <v/>
      </c>
      <c r="Y199">
        <f>HYPERLINK("https://klasma.github.io/Logging_2161/tillsynsmail/A 18680-2024 tillsynsbegäran mail.docx", "A 18680-2024")</f>
        <v/>
      </c>
    </row>
    <row r="200" ht="15" customHeight="1">
      <c r="A200" t="inlineStr">
        <is>
          <t>A 20312-2024</t>
        </is>
      </c>
      <c r="B200" s="1" t="n">
        <v>45435</v>
      </c>
      <c r="C200" s="1" t="n">
        <v>45587</v>
      </c>
      <c r="D200" t="inlineStr">
        <is>
          <t>GÄVLEBORGS LÄN</t>
        </is>
      </c>
      <c r="E200" t="inlineStr">
        <is>
          <t>NORDANSTIG</t>
        </is>
      </c>
      <c r="G200" t="n">
        <v>2.6</v>
      </c>
      <c r="H200" t="n">
        <v>0</v>
      </c>
      <c r="I200" t="n">
        <v>2</v>
      </c>
      <c r="J200" t="n">
        <v>1</v>
      </c>
      <c r="K200" t="n">
        <v>0</v>
      </c>
      <c r="L200" t="n">
        <v>0</v>
      </c>
      <c r="M200" t="n">
        <v>0</v>
      </c>
      <c r="N200" t="n">
        <v>0</v>
      </c>
      <c r="O200" t="n">
        <v>1</v>
      </c>
      <c r="P200" t="n">
        <v>0</v>
      </c>
      <c r="Q200" t="n">
        <v>3</v>
      </c>
      <c r="R200" s="2" t="inlineStr">
        <is>
          <t>Lunglav
Korallblylav
Skinnlav</t>
        </is>
      </c>
      <c r="S200">
        <f>HYPERLINK("https://klasma.github.io/Logging_2132/artfynd/A 20312-2024 artfynd.xlsx", "A 20312-2024")</f>
        <v/>
      </c>
      <c r="T200">
        <f>HYPERLINK("https://klasma.github.io/Logging_2132/kartor/A 20312-2024 karta.png", "A 20312-2024")</f>
        <v/>
      </c>
      <c r="V200">
        <f>HYPERLINK("https://klasma.github.io/Logging_2132/klagomål/A 20312-2024 FSC-klagomål.docx", "A 20312-2024")</f>
        <v/>
      </c>
      <c r="W200">
        <f>HYPERLINK("https://klasma.github.io/Logging_2132/klagomålsmail/A 20312-2024 FSC-klagomål mail.docx", "A 20312-2024")</f>
        <v/>
      </c>
      <c r="X200">
        <f>HYPERLINK("https://klasma.github.io/Logging_2132/tillsyn/A 20312-2024 tillsynsbegäran.docx", "A 20312-2024")</f>
        <v/>
      </c>
      <c r="Y200">
        <f>HYPERLINK("https://klasma.github.io/Logging_2132/tillsynsmail/A 20312-2024 tillsynsbegäran mail.docx", "A 20312-2024")</f>
        <v/>
      </c>
    </row>
    <row r="201" ht="15" customHeight="1">
      <c r="A201" t="inlineStr">
        <is>
          <t>A 21134-2024</t>
        </is>
      </c>
      <c r="B201" s="1" t="n">
        <v>45440</v>
      </c>
      <c r="C201" s="1" t="n">
        <v>45587</v>
      </c>
      <c r="D201" t="inlineStr">
        <is>
          <t>GÄVLEBORGS LÄN</t>
        </is>
      </c>
      <c r="E201" t="inlineStr">
        <is>
          <t>LJUSDAL</t>
        </is>
      </c>
      <c r="G201" t="n">
        <v>3.2</v>
      </c>
      <c r="H201" t="n">
        <v>1</v>
      </c>
      <c r="I201" t="n">
        <v>0</v>
      </c>
      <c r="J201" t="n">
        <v>2</v>
      </c>
      <c r="K201" t="n">
        <v>1</v>
      </c>
      <c r="L201" t="n">
        <v>0</v>
      </c>
      <c r="M201" t="n">
        <v>0</v>
      </c>
      <c r="N201" t="n">
        <v>0</v>
      </c>
      <c r="O201" t="n">
        <v>3</v>
      </c>
      <c r="P201" t="n">
        <v>1</v>
      </c>
      <c r="Q201" t="n">
        <v>3</v>
      </c>
      <c r="R201" s="2" t="inlineStr">
        <is>
          <t>Knärot
Kolflarnlav
Vedflamlav</t>
        </is>
      </c>
      <c r="S201">
        <f>HYPERLINK("https://klasma.github.io/Logging_2161/artfynd/A 21134-2024 artfynd.xlsx", "A 21134-2024")</f>
        <v/>
      </c>
      <c r="T201">
        <f>HYPERLINK("https://klasma.github.io/Logging_2161/kartor/A 21134-2024 karta.png", "A 21134-2024")</f>
        <v/>
      </c>
      <c r="U201">
        <f>HYPERLINK("https://klasma.github.io/Logging_2161/knärot/A 21134-2024 karta knärot.png", "A 21134-2024")</f>
        <v/>
      </c>
      <c r="V201">
        <f>HYPERLINK("https://klasma.github.io/Logging_2161/klagomål/A 21134-2024 FSC-klagomål.docx", "A 21134-2024")</f>
        <v/>
      </c>
      <c r="W201">
        <f>HYPERLINK("https://klasma.github.io/Logging_2161/klagomålsmail/A 21134-2024 FSC-klagomål mail.docx", "A 21134-2024")</f>
        <v/>
      </c>
      <c r="X201">
        <f>HYPERLINK("https://klasma.github.io/Logging_2161/tillsyn/A 21134-2024 tillsynsbegäran.docx", "A 21134-2024")</f>
        <v/>
      </c>
      <c r="Y201">
        <f>HYPERLINK("https://klasma.github.io/Logging_2161/tillsynsmail/A 21134-2024 tillsynsbegäran mail.docx", "A 21134-2024")</f>
        <v/>
      </c>
    </row>
    <row r="202" ht="15" customHeight="1">
      <c r="A202" t="inlineStr">
        <is>
          <t>A 22025-2024</t>
        </is>
      </c>
      <c r="B202" s="1" t="n">
        <v>45443</v>
      </c>
      <c r="C202" s="1" t="n">
        <v>45587</v>
      </c>
      <c r="D202" t="inlineStr">
        <is>
          <t>GÄVLEBORGS LÄN</t>
        </is>
      </c>
      <c r="E202" t="inlineStr">
        <is>
          <t>LJUSDAL</t>
        </is>
      </c>
      <c r="F202" t="inlineStr">
        <is>
          <t>Sveaskog</t>
        </is>
      </c>
      <c r="G202" t="n">
        <v>35.9</v>
      </c>
      <c r="H202" t="n">
        <v>0</v>
      </c>
      <c r="I202" t="n">
        <v>0</v>
      </c>
      <c r="J202" t="n">
        <v>3</v>
      </c>
      <c r="K202" t="n">
        <v>0</v>
      </c>
      <c r="L202" t="n">
        <v>0</v>
      </c>
      <c r="M202" t="n">
        <v>0</v>
      </c>
      <c r="N202" t="n">
        <v>0</v>
      </c>
      <c r="O202" t="n">
        <v>3</v>
      </c>
      <c r="P202" t="n">
        <v>0</v>
      </c>
      <c r="Q202" t="n">
        <v>3</v>
      </c>
      <c r="R202" s="2" t="inlineStr">
        <is>
          <t>Kolflarnlav
Lunglav
Mörk kolflarnlav</t>
        </is>
      </c>
      <c r="S202">
        <f>HYPERLINK("https://klasma.github.io/Logging_2161/artfynd/A 22025-2024 artfynd.xlsx", "A 22025-2024")</f>
        <v/>
      </c>
      <c r="T202">
        <f>HYPERLINK("https://klasma.github.io/Logging_2161/kartor/A 22025-2024 karta.png", "A 22025-2024")</f>
        <v/>
      </c>
      <c r="V202">
        <f>HYPERLINK("https://klasma.github.io/Logging_2161/klagomål/A 22025-2024 FSC-klagomål.docx", "A 22025-2024")</f>
        <v/>
      </c>
      <c r="W202">
        <f>HYPERLINK("https://klasma.github.io/Logging_2161/klagomålsmail/A 22025-2024 FSC-klagomål mail.docx", "A 22025-2024")</f>
        <v/>
      </c>
      <c r="X202">
        <f>HYPERLINK("https://klasma.github.io/Logging_2161/tillsyn/A 22025-2024 tillsynsbegäran.docx", "A 22025-2024")</f>
        <v/>
      </c>
      <c r="Y202">
        <f>HYPERLINK("https://klasma.github.io/Logging_2161/tillsynsmail/A 22025-2024 tillsynsbegäran mail.docx", "A 22025-2024")</f>
        <v/>
      </c>
    </row>
    <row r="203" ht="15" customHeight="1">
      <c r="A203" t="inlineStr">
        <is>
          <t>A 22229-2024</t>
        </is>
      </c>
      <c r="B203" s="1" t="n">
        <v>45446</v>
      </c>
      <c r="C203" s="1" t="n">
        <v>45587</v>
      </c>
      <c r="D203" t="inlineStr">
        <is>
          <t>GÄVLEBORGS LÄN</t>
        </is>
      </c>
      <c r="E203" t="inlineStr">
        <is>
          <t>LJUSDAL</t>
        </is>
      </c>
      <c r="F203" t="inlineStr">
        <is>
          <t>Sveaskog</t>
        </is>
      </c>
      <c r="G203" t="n">
        <v>4.2</v>
      </c>
      <c r="H203" t="n">
        <v>2</v>
      </c>
      <c r="I203" t="n">
        <v>0</v>
      </c>
      <c r="J203" t="n">
        <v>2</v>
      </c>
      <c r="K203" t="n">
        <v>1</v>
      </c>
      <c r="L203" t="n">
        <v>0</v>
      </c>
      <c r="M203" t="n">
        <v>0</v>
      </c>
      <c r="N203" t="n">
        <v>0</v>
      </c>
      <c r="O203" t="n">
        <v>3</v>
      </c>
      <c r="P203" t="n">
        <v>1</v>
      </c>
      <c r="Q203" t="n">
        <v>3</v>
      </c>
      <c r="R203" s="2" t="inlineStr">
        <is>
          <t>Topplåsbräken
Höstlåsbräken
Månlåsbräken</t>
        </is>
      </c>
      <c r="S203">
        <f>HYPERLINK("https://klasma.github.io/Logging_2161/artfynd/A 22229-2024 artfynd.xlsx", "A 22229-2024")</f>
        <v/>
      </c>
      <c r="T203">
        <f>HYPERLINK("https://klasma.github.io/Logging_2161/kartor/A 22229-2024 karta.png", "A 22229-2024")</f>
        <v/>
      </c>
      <c r="V203">
        <f>HYPERLINK("https://klasma.github.io/Logging_2161/klagomål/A 22229-2024 FSC-klagomål.docx", "A 22229-2024")</f>
        <v/>
      </c>
      <c r="W203">
        <f>HYPERLINK("https://klasma.github.io/Logging_2161/klagomålsmail/A 22229-2024 FSC-klagomål mail.docx", "A 22229-2024")</f>
        <v/>
      </c>
      <c r="X203">
        <f>HYPERLINK("https://klasma.github.io/Logging_2161/tillsyn/A 22229-2024 tillsynsbegäran.docx", "A 22229-2024")</f>
        <v/>
      </c>
      <c r="Y203">
        <f>HYPERLINK("https://klasma.github.io/Logging_2161/tillsynsmail/A 22229-2024 tillsynsbegäran mail.docx", "A 22229-2024")</f>
        <v/>
      </c>
    </row>
    <row r="204" ht="15" customHeight="1">
      <c r="A204" t="inlineStr">
        <is>
          <t>A 22239-2024</t>
        </is>
      </c>
      <c r="B204" s="1" t="n">
        <v>45446</v>
      </c>
      <c r="C204" s="1" t="n">
        <v>45587</v>
      </c>
      <c r="D204" t="inlineStr">
        <is>
          <t>GÄVLEBORGS LÄN</t>
        </is>
      </c>
      <c r="E204" t="inlineStr">
        <is>
          <t>LJUSDAL</t>
        </is>
      </c>
      <c r="F204" t="inlineStr">
        <is>
          <t>Sveaskog</t>
        </is>
      </c>
      <c r="G204" t="n">
        <v>4.4</v>
      </c>
      <c r="H204" t="n">
        <v>0</v>
      </c>
      <c r="I204" t="n">
        <v>0</v>
      </c>
      <c r="J204" t="n">
        <v>3</v>
      </c>
      <c r="K204" t="n">
        <v>0</v>
      </c>
      <c r="L204" t="n">
        <v>0</v>
      </c>
      <c r="M204" t="n">
        <v>0</v>
      </c>
      <c r="N204" t="n">
        <v>0</v>
      </c>
      <c r="O204" t="n">
        <v>3</v>
      </c>
      <c r="P204" t="n">
        <v>0</v>
      </c>
      <c r="Q204" t="n">
        <v>3</v>
      </c>
      <c r="R204" s="2" t="inlineStr">
        <is>
          <t>Kolflarnlav
Vedflamlav
Vedskivlav</t>
        </is>
      </c>
      <c r="S204">
        <f>HYPERLINK("https://klasma.github.io/Logging_2161/artfynd/A 22239-2024 artfynd.xlsx", "A 22239-2024")</f>
        <v/>
      </c>
      <c r="T204">
        <f>HYPERLINK("https://klasma.github.io/Logging_2161/kartor/A 22239-2024 karta.png", "A 22239-2024")</f>
        <v/>
      </c>
      <c r="V204">
        <f>HYPERLINK("https://klasma.github.io/Logging_2161/klagomål/A 22239-2024 FSC-klagomål.docx", "A 22239-2024")</f>
        <v/>
      </c>
      <c r="W204">
        <f>HYPERLINK("https://klasma.github.io/Logging_2161/klagomålsmail/A 22239-2024 FSC-klagomål mail.docx", "A 22239-2024")</f>
        <v/>
      </c>
      <c r="X204">
        <f>HYPERLINK("https://klasma.github.io/Logging_2161/tillsyn/A 22239-2024 tillsynsbegäran.docx", "A 22239-2024")</f>
        <v/>
      </c>
      <c r="Y204">
        <f>HYPERLINK("https://klasma.github.io/Logging_2161/tillsynsmail/A 22239-2024 tillsynsbegäran mail.docx", "A 22239-2024")</f>
        <v/>
      </c>
    </row>
    <row r="205" ht="15" customHeight="1">
      <c r="A205" t="inlineStr">
        <is>
          <t>A 22916-2024</t>
        </is>
      </c>
      <c r="B205" s="1" t="n">
        <v>45448</v>
      </c>
      <c r="C205" s="1" t="n">
        <v>45587</v>
      </c>
      <c r="D205" t="inlineStr">
        <is>
          <t>GÄVLEBORGS LÄN</t>
        </is>
      </c>
      <c r="E205" t="inlineStr">
        <is>
          <t>LJUSDAL</t>
        </is>
      </c>
      <c r="F205" t="inlineStr">
        <is>
          <t>Sveaskog</t>
        </is>
      </c>
      <c r="G205" t="n">
        <v>28.4</v>
      </c>
      <c r="H205" t="n">
        <v>0</v>
      </c>
      <c r="I205" t="n">
        <v>0</v>
      </c>
      <c r="J205" t="n">
        <v>3</v>
      </c>
      <c r="K205" t="n">
        <v>0</v>
      </c>
      <c r="L205" t="n">
        <v>0</v>
      </c>
      <c r="M205" t="n">
        <v>0</v>
      </c>
      <c r="N205" t="n">
        <v>0</v>
      </c>
      <c r="O205" t="n">
        <v>3</v>
      </c>
      <c r="P205" t="n">
        <v>0</v>
      </c>
      <c r="Q205" t="n">
        <v>3</v>
      </c>
      <c r="R205" s="2" t="inlineStr">
        <is>
          <t>Kolflarnlav
Mörk kolflarnlav
Vedflamlav</t>
        </is>
      </c>
      <c r="S205">
        <f>HYPERLINK("https://klasma.github.io/Logging_2161/artfynd/A 22916-2024 artfynd.xlsx", "A 22916-2024")</f>
        <v/>
      </c>
      <c r="T205">
        <f>HYPERLINK("https://klasma.github.io/Logging_2161/kartor/A 22916-2024 karta.png", "A 22916-2024")</f>
        <v/>
      </c>
      <c r="V205">
        <f>HYPERLINK("https://klasma.github.io/Logging_2161/klagomål/A 22916-2024 FSC-klagomål.docx", "A 22916-2024")</f>
        <v/>
      </c>
      <c r="W205">
        <f>HYPERLINK("https://klasma.github.io/Logging_2161/klagomålsmail/A 22916-2024 FSC-klagomål mail.docx", "A 22916-2024")</f>
        <v/>
      </c>
      <c r="X205">
        <f>HYPERLINK("https://klasma.github.io/Logging_2161/tillsyn/A 22916-2024 tillsynsbegäran.docx", "A 22916-2024")</f>
        <v/>
      </c>
      <c r="Y205">
        <f>HYPERLINK("https://klasma.github.io/Logging_2161/tillsynsmail/A 22916-2024 tillsynsbegäran mail.docx", "A 22916-2024")</f>
        <v/>
      </c>
    </row>
    <row r="206" ht="15" customHeight="1">
      <c r="A206" t="inlineStr">
        <is>
          <t>A 24895-2024</t>
        </is>
      </c>
      <c r="B206" s="1" t="n">
        <v>45461</v>
      </c>
      <c r="C206" s="1" t="n">
        <v>45587</v>
      </c>
      <c r="D206" t="inlineStr">
        <is>
          <t>GÄVLEBORGS LÄN</t>
        </is>
      </c>
      <c r="E206" t="inlineStr">
        <is>
          <t>OVANÅKER</t>
        </is>
      </c>
      <c r="G206" t="n">
        <v>5.1</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HYPERLINK("https://klasma.github.io/Logging_2121/artfynd/A 24895-2024 artfynd.xlsx", "A 24895-2024")</f>
        <v/>
      </c>
      <c r="T206">
        <f>HYPERLINK("https://klasma.github.io/Logging_2121/kartor/A 24895-2024 karta.png", "A 24895-2024")</f>
        <v/>
      </c>
      <c r="V206">
        <f>HYPERLINK("https://klasma.github.io/Logging_2121/klagomål/A 24895-2024 FSC-klagomål.docx", "A 24895-2024")</f>
        <v/>
      </c>
      <c r="W206">
        <f>HYPERLINK("https://klasma.github.io/Logging_2121/klagomålsmail/A 24895-2024 FSC-klagomål mail.docx", "A 24895-2024")</f>
        <v/>
      </c>
      <c r="X206">
        <f>HYPERLINK("https://klasma.github.io/Logging_2121/tillsyn/A 24895-2024 tillsynsbegäran.docx", "A 24895-2024")</f>
        <v/>
      </c>
      <c r="Y206">
        <f>HYPERLINK("https://klasma.github.io/Logging_2121/tillsynsmail/A 24895-2024 tillsynsbegäran mail.docx", "A 24895-2024")</f>
        <v/>
      </c>
    </row>
    <row r="207" ht="15" customHeight="1">
      <c r="A207" t="inlineStr">
        <is>
          <t>A 26877-2024</t>
        </is>
      </c>
      <c r="B207" s="1" t="n">
        <v>45470</v>
      </c>
      <c r="C207" s="1" t="n">
        <v>45587</v>
      </c>
      <c r="D207" t="inlineStr">
        <is>
          <t>GÄVLEBORGS LÄN</t>
        </is>
      </c>
      <c r="E207" t="inlineStr">
        <is>
          <t>LJUSDAL</t>
        </is>
      </c>
      <c r="F207" t="inlineStr">
        <is>
          <t>Sveaskog</t>
        </is>
      </c>
      <c r="G207" t="n">
        <v>2.5</v>
      </c>
      <c r="H207" t="n">
        <v>1</v>
      </c>
      <c r="I207" t="n">
        <v>0</v>
      </c>
      <c r="J207" t="n">
        <v>2</v>
      </c>
      <c r="K207" t="n">
        <v>0</v>
      </c>
      <c r="L207" t="n">
        <v>0</v>
      </c>
      <c r="M207" t="n">
        <v>0</v>
      </c>
      <c r="N207" t="n">
        <v>0</v>
      </c>
      <c r="O207" t="n">
        <v>2</v>
      </c>
      <c r="P207" t="n">
        <v>0</v>
      </c>
      <c r="Q207" t="n">
        <v>3</v>
      </c>
      <c r="R207" s="2" t="inlineStr">
        <is>
          <t>Kolflarnlav
Lunglav
Nattviol</t>
        </is>
      </c>
      <c r="S207">
        <f>HYPERLINK("https://klasma.github.io/Logging_2161/artfynd/A 26877-2024 artfynd.xlsx", "A 26877-2024")</f>
        <v/>
      </c>
      <c r="T207">
        <f>HYPERLINK("https://klasma.github.io/Logging_2161/kartor/A 26877-2024 karta.png", "A 26877-2024")</f>
        <v/>
      </c>
      <c r="V207">
        <f>HYPERLINK("https://klasma.github.io/Logging_2161/klagomål/A 26877-2024 FSC-klagomål.docx", "A 26877-2024")</f>
        <v/>
      </c>
      <c r="W207">
        <f>HYPERLINK("https://klasma.github.io/Logging_2161/klagomålsmail/A 26877-2024 FSC-klagomål mail.docx", "A 26877-2024")</f>
        <v/>
      </c>
      <c r="X207">
        <f>HYPERLINK("https://klasma.github.io/Logging_2161/tillsyn/A 26877-2024 tillsynsbegäran.docx", "A 26877-2024")</f>
        <v/>
      </c>
      <c r="Y207">
        <f>HYPERLINK("https://klasma.github.io/Logging_2161/tillsynsmail/A 26877-2024 tillsynsbegäran mail.docx", "A 26877-2024")</f>
        <v/>
      </c>
    </row>
    <row r="208" ht="15" customHeight="1">
      <c r="A208" t="inlineStr">
        <is>
          <t>A 28268-2024</t>
        </is>
      </c>
      <c r="B208" s="1" t="n">
        <v>45477</v>
      </c>
      <c r="C208" s="1" t="n">
        <v>45587</v>
      </c>
      <c r="D208" t="inlineStr">
        <is>
          <t>GÄVLEBORGS LÄN</t>
        </is>
      </c>
      <c r="E208" t="inlineStr">
        <is>
          <t>HUDIKSVALL</t>
        </is>
      </c>
      <c r="F208" t="inlineStr">
        <is>
          <t>Holmen skog AB</t>
        </is>
      </c>
      <c r="G208" t="n">
        <v>3.7</v>
      </c>
      <c r="H208" t="n">
        <v>0</v>
      </c>
      <c r="I208" t="n">
        <v>2</v>
      </c>
      <c r="J208" t="n">
        <v>1</v>
      </c>
      <c r="K208" t="n">
        <v>0</v>
      </c>
      <c r="L208" t="n">
        <v>0</v>
      </c>
      <c r="M208" t="n">
        <v>0</v>
      </c>
      <c r="N208" t="n">
        <v>0</v>
      </c>
      <c r="O208" t="n">
        <v>1</v>
      </c>
      <c r="P208" t="n">
        <v>0</v>
      </c>
      <c r="Q208" t="n">
        <v>3</v>
      </c>
      <c r="R208" s="2" t="inlineStr">
        <is>
          <t>Lunglav
Korallblylav
Skinnlav</t>
        </is>
      </c>
      <c r="S208">
        <f>HYPERLINK("https://klasma.github.io/Logging_2184/artfynd/A 28268-2024 artfynd.xlsx", "A 28268-2024")</f>
        <v/>
      </c>
      <c r="T208">
        <f>HYPERLINK("https://klasma.github.io/Logging_2184/kartor/A 28268-2024 karta.png", "A 28268-2024")</f>
        <v/>
      </c>
      <c r="V208">
        <f>HYPERLINK("https://klasma.github.io/Logging_2184/klagomål/A 28268-2024 FSC-klagomål.docx", "A 28268-2024")</f>
        <v/>
      </c>
      <c r="W208">
        <f>HYPERLINK("https://klasma.github.io/Logging_2184/klagomålsmail/A 28268-2024 FSC-klagomål mail.docx", "A 28268-2024")</f>
        <v/>
      </c>
      <c r="X208">
        <f>HYPERLINK("https://klasma.github.io/Logging_2184/tillsyn/A 28268-2024 tillsynsbegäran.docx", "A 28268-2024")</f>
        <v/>
      </c>
      <c r="Y208">
        <f>HYPERLINK("https://klasma.github.io/Logging_2184/tillsynsmail/A 28268-2024 tillsynsbegäran mail.docx", "A 28268-2024")</f>
        <v/>
      </c>
    </row>
    <row r="209" ht="15" customHeight="1">
      <c r="A209" t="inlineStr">
        <is>
          <t>A 30783-2024</t>
        </is>
      </c>
      <c r="B209" s="1" t="n">
        <v>45497</v>
      </c>
      <c r="C209" s="1" t="n">
        <v>45587</v>
      </c>
      <c r="D209" t="inlineStr">
        <is>
          <t>GÄVLEBORGS LÄN</t>
        </is>
      </c>
      <c r="E209" t="inlineStr">
        <is>
          <t>LJUSDAL</t>
        </is>
      </c>
      <c r="F209" t="inlineStr">
        <is>
          <t>SCA</t>
        </is>
      </c>
      <c r="G209" t="n">
        <v>4.8</v>
      </c>
      <c r="H209" t="n">
        <v>2</v>
      </c>
      <c r="I209" t="n">
        <v>1</v>
      </c>
      <c r="J209" t="n">
        <v>1</v>
      </c>
      <c r="K209" t="n">
        <v>0</v>
      </c>
      <c r="L209" t="n">
        <v>0</v>
      </c>
      <c r="M209" t="n">
        <v>0</v>
      </c>
      <c r="N209" t="n">
        <v>0</v>
      </c>
      <c r="O209" t="n">
        <v>1</v>
      </c>
      <c r="P209" t="n">
        <v>0</v>
      </c>
      <c r="Q209" t="n">
        <v>3</v>
      </c>
      <c r="R209" s="2" t="inlineStr">
        <is>
          <t>Garnlav
Plattlummer
Mattlummer</t>
        </is>
      </c>
      <c r="S209">
        <f>HYPERLINK("https://klasma.github.io/Logging_2161/artfynd/A 30783-2024 artfynd.xlsx", "A 30783-2024")</f>
        <v/>
      </c>
      <c r="T209">
        <f>HYPERLINK("https://klasma.github.io/Logging_2161/kartor/A 30783-2024 karta.png", "A 30783-2024")</f>
        <v/>
      </c>
      <c r="V209">
        <f>HYPERLINK("https://klasma.github.io/Logging_2161/klagomål/A 30783-2024 FSC-klagomål.docx", "A 30783-2024")</f>
        <v/>
      </c>
      <c r="W209">
        <f>HYPERLINK("https://klasma.github.io/Logging_2161/klagomålsmail/A 30783-2024 FSC-klagomål mail.docx", "A 30783-2024")</f>
        <v/>
      </c>
      <c r="X209">
        <f>HYPERLINK("https://klasma.github.io/Logging_2161/tillsyn/A 30783-2024 tillsynsbegäran.docx", "A 30783-2024")</f>
        <v/>
      </c>
      <c r="Y209">
        <f>HYPERLINK("https://klasma.github.io/Logging_2161/tillsynsmail/A 30783-2024 tillsynsbegäran mail.docx", "A 30783-2024")</f>
        <v/>
      </c>
    </row>
    <row r="210" ht="15" customHeight="1">
      <c r="A210" t="inlineStr">
        <is>
          <t>A 31054-2024</t>
        </is>
      </c>
      <c r="B210" s="1" t="n">
        <v>45502</v>
      </c>
      <c r="C210" s="1" t="n">
        <v>45587</v>
      </c>
      <c r="D210" t="inlineStr">
        <is>
          <t>GÄVLEBORGS LÄN</t>
        </is>
      </c>
      <c r="E210" t="inlineStr">
        <is>
          <t>NORDANSTIG</t>
        </is>
      </c>
      <c r="F210" t="inlineStr">
        <is>
          <t>Holmen skog AB</t>
        </is>
      </c>
      <c r="G210" t="n">
        <v>4.7</v>
      </c>
      <c r="H210" t="n">
        <v>0</v>
      </c>
      <c r="I210" t="n">
        <v>3</v>
      </c>
      <c r="J210" t="n">
        <v>0</v>
      </c>
      <c r="K210" t="n">
        <v>0</v>
      </c>
      <c r="L210" t="n">
        <v>0</v>
      </c>
      <c r="M210" t="n">
        <v>0</v>
      </c>
      <c r="N210" t="n">
        <v>0</v>
      </c>
      <c r="O210" t="n">
        <v>0</v>
      </c>
      <c r="P210" t="n">
        <v>0</v>
      </c>
      <c r="Q210" t="n">
        <v>3</v>
      </c>
      <c r="R210" s="2" t="inlineStr">
        <is>
          <t>Kamjordstjärna
Smal svampklubba
Stor aspticka</t>
        </is>
      </c>
      <c r="S210">
        <f>HYPERLINK("https://klasma.github.io/Logging_2132/artfynd/A 31054-2024 artfynd.xlsx", "A 31054-2024")</f>
        <v/>
      </c>
      <c r="T210">
        <f>HYPERLINK("https://klasma.github.io/Logging_2132/kartor/A 31054-2024 karta.png", "A 31054-2024")</f>
        <v/>
      </c>
      <c r="V210">
        <f>HYPERLINK("https://klasma.github.io/Logging_2132/klagomål/A 31054-2024 FSC-klagomål.docx", "A 31054-2024")</f>
        <v/>
      </c>
      <c r="W210">
        <f>HYPERLINK("https://klasma.github.io/Logging_2132/klagomålsmail/A 31054-2024 FSC-klagomål mail.docx", "A 31054-2024")</f>
        <v/>
      </c>
      <c r="X210">
        <f>HYPERLINK("https://klasma.github.io/Logging_2132/tillsyn/A 31054-2024 tillsynsbegäran.docx", "A 31054-2024")</f>
        <v/>
      </c>
      <c r="Y210">
        <f>HYPERLINK("https://klasma.github.io/Logging_2132/tillsynsmail/A 31054-2024 tillsynsbegäran mail.docx", "A 31054-2024")</f>
        <v/>
      </c>
    </row>
    <row r="211" ht="15" customHeight="1">
      <c r="A211" t="inlineStr">
        <is>
          <t>A 32134-2024</t>
        </is>
      </c>
      <c r="B211" s="1" t="n">
        <v>45511</v>
      </c>
      <c r="C211" s="1" t="n">
        <v>45587</v>
      </c>
      <c r="D211" t="inlineStr">
        <is>
          <t>GÄVLEBORGS LÄN</t>
        </is>
      </c>
      <c r="E211" t="inlineStr">
        <is>
          <t>LJUSDAL</t>
        </is>
      </c>
      <c r="G211" t="n">
        <v>6.5</v>
      </c>
      <c r="H211" t="n">
        <v>1</v>
      </c>
      <c r="I211" t="n">
        <v>1</v>
      </c>
      <c r="J211" t="n">
        <v>1</v>
      </c>
      <c r="K211" t="n">
        <v>1</v>
      </c>
      <c r="L211" t="n">
        <v>0</v>
      </c>
      <c r="M211" t="n">
        <v>0</v>
      </c>
      <c r="N211" t="n">
        <v>0</v>
      </c>
      <c r="O211" t="n">
        <v>2</v>
      </c>
      <c r="P211" t="n">
        <v>1</v>
      </c>
      <c r="Q211" t="n">
        <v>3</v>
      </c>
      <c r="R211" s="2" t="inlineStr">
        <is>
          <t>Knärot
Lunglav
Gulnål</t>
        </is>
      </c>
      <c r="S211">
        <f>HYPERLINK("https://klasma.github.io/Logging_2161/artfynd/A 32134-2024 artfynd.xlsx", "A 32134-2024")</f>
        <v/>
      </c>
      <c r="T211">
        <f>HYPERLINK("https://klasma.github.io/Logging_2161/kartor/A 32134-2024 karta.png", "A 32134-2024")</f>
        <v/>
      </c>
      <c r="U211">
        <f>HYPERLINK("https://klasma.github.io/Logging_2161/knärot/A 32134-2024 karta knärot.png", "A 32134-2024")</f>
        <v/>
      </c>
      <c r="V211">
        <f>HYPERLINK("https://klasma.github.io/Logging_2161/klagomål/A 32134-2024 FSC-klagomål.docx", "A 32134-2024")</f>
        <v/>
      </c>
      <c r="W211">
        <f>HYPERLINK("https://klasma.github.io/Logging_2161/klagomålsmail/A 32134-2024 FSC-klagomål mail.docx", "A 32134-2024")</f>
        <v/>
      </c>
      <c r="X211">
        <f>HYPERLINK("https://klasma.github.io/Logging_2161/tillsyn/A 32134-2024 tillsynsbegäran.docx", "A 32134-2024")</f>
        <v/>
      </c>
      <c r="Y211">
        <f>HYPERLINK("https://klasma.github.io/Logging_2161/tillsynsmail/A 32134-2024 tillsynsbegäran mail.docx", "A 32134-2024")</f>
        <v/>
      </c>
    </row>
    <row r="212" ht="15" customHeight="1">
      <c r="A212" t="inlineStr">
        <is>
          <t>A 36621-2024</t>
        </is>
      </c>
      <c r="B212" s="1" t="n">
        <v>45537</v>
      </c>
      <c r="C212" s="1" t="n">
        <v>45587</v>
      </c>
      <c r="D212" t="inlineStr">
        <is>
          <t>GÄVLEBORGS LÄN</t>
        </is>
      </c>
      <c r="E212" t="inlineStr">
        <is>
          <t>LJUSDAL</t>
        </is>
      </c>
      <c r="F212" t="inlineStr">
        <is>
          <t>Sveaskog</t>
        </is>
      </c>
      <c r="G212" t="n">
        <v>2.9</v>
      </c>
      <c r="H212" t="n">
        <v>0</v>
      </c>
      <c r="I212" t="n">
        <v>0</v>
      </c>
      <c r="J212" t="n">
        <v>3</v>
      </c>
      <c r="K212" t="n">
        <v>0</v>
      </c>
      <c r="L212" t="n">
        <v>0</v>
      </c>
      <c r="M212" t="n">
        <v>0</v>
      </c>
      <c r="N212" t="n">
        <v>0</v>
      </c>
      <c r="O212" t="n">
        <v>3</v>
      </c>
      <c r="P212" t="n">
        <v>0</v>
      </c>
      <c r="Q212" t="n">
        <v>3</v>
      </c>
      <c r="R212" s="2" t="inlineStr">
        <is>
          <t>Kolflarnlav
Lunglav
Mörk kolflarnlav</t>
        </is>
      </c>
      <c r="S212">
        <f>HYPERLINK("https://klasma.github.io/Logging_2161/artfynd/A 36621-2024 artfynd.xlsx", "A 36621-2024")</f>
        <v/>
      </c>
      <c r="T212">
        <f>HYPERLINK("https://klasma.github.io/Logging_2161/kartor/A 36621-2024 karta.png", "A 36621-2024")</f>
        <v/>
      </c>
      <c r="V212">
        <f>HYPERLINK("https://klasma.github.io/Logging_2161/klagomål/A 36621-2024 FSC-klagomål.docx", "A 36621-2024")</f>
        <v/>
      </c>
      <c r="W212">
        <f>HYPERLINK("https://klasma.github.io/Logging_2161/klagomålsmail/A 36621-2024 FSC-klagomål mail.docx", "A 36621-2024")</f>
        <v/>
      </c>
      <c r="X212">
        <f>HYPERLINK("https://klasma.github.io/Logging_2161/tillsyn/A 36621-2024 tillsynsbegäran.docx", "A 36621-2024")</f>
        <v/>
      </c>
      <c r="Y212">
        <f>HYPERLINK("https://klasma.github.io/Logging_2161/tillsynsmail/A 36621-2024 tillsynsbegäran mail.docx", "A 36621-2024")</f>
        <v/>
      </c>
    </row>
    <row r="213" ht="15" customHeight="1">
      <c r="A213" t="inlineStr">
        <is>
          <t>A 36629-2024</t>
        </is>
      </c>
      <c r="B213" s="1" t="n">
        <v>45537</v>
      </c>
      <c r="C213" s="1" t="n">
        <v>45587</v>
      </c>
      <c r="D213" t="inlineStr">
        <is>
          <t>GÄVLEBORGS LÄN</t>
        </is>
      </c>
      <c r="E213" t="inlineStr">
        <is>
          <t>LJUSDAL</t>
        </is>
      </c>
      <c r="F213" t="inlineStr">
        <is>
          <t>Sveaskog</t>
        </is>
      </c>
      <c r="G213" t="n">
        <v>1.1</v>
      </c>
      <c r="H213" t="n">
        <v>0</v>
      </c>
      <c r="I213" t="n">
        <v>0</v>
      </c>
      <c r="J213" t="n">
        <v>3</v>
      </c>
      <c r="K213" t="n">
        <v>0</v>
      </c>
      <c r="L213" t="n">
        <v>0</v>
      </c>
      <c r="M213" t="n">
        <v>0</v>
      </c>
      <c r="N213" t="n">
        <v>0</v>
      </c>
      <c r="O213" t="n">
        <v>3</v>
      </c>
      <c r="P213" t="n">
        <v>0</v>
      </c>
      <c r="Q213" t="n">
        <v>3</v>
      </c>
      <c r="R213" s="2" t="inlineStr">
        <is>
          <t>Garnlav
Kolflarnlav
Mörk kolflarnlav</t>
        </is>
      </c>
      <c r="S213">
        <f>HYPERLINK("https://klasma.github.io/Logging_2161/artfynd/A 36629-2024 artfynd.xlsx", "A 36629-2024")</f>
        <v/>
      </c>
      <c r="T213">
        <f>HYPERLINK("https://klasma.github.io/Logging_2161/kartor/A 36629-2024 karta.png", "A 36629-2024")</f>
        <v/>
      </c>
      <c r="V213">
        <f>HYPERLINK("https://klasma.github.io/Logging_2161/klagomål/A 36629-2024 FSC-klagomål.docx", "A 36629-2024")</f>
        <v/>
      </c>
      <c r="W213">
        <f>HYPERLINK("https://klasma.github.io/Logging_2161/klagomålsmail/A 36629-2024 FSC-klagomål mail.docx", "A 36629-2024")</f>
        <v/>
      </c>
      <c r="X213">
        <f>HYPERLINK("https://klasma.github.io/Logging_2161/tillsyn/A 36629-2024 tillsynsbegäran.docx", "A 36629-2024")</f>
        <v/>
      </c>
      <c r="Y213">
        <f>HYPERLINK("https://klasma.github.io/Logging_2161/tillsynsmail/A 36629-2024 tillsynsbegäran mail.docx", "A 36629-2024")</f>
        <v/>
      </c>
    </row>
    <row r="214" ht="15" customHeight="1">
      <c r="A214" t="inlineStr">
        <is>
          <t>A 36623-2024</t>
        </is>
      </c>
      <c r="B214" s="1" t="n">
        <v>45537</v>
      </c>
      <c r="C214" s="1" t="n">
        <v>45587</v>
      </c>
      <c r="D214" t="inlineStr">
        <is>
          <t>GÄVLEBORGS LÄN</t>
        </is>
      </c>
      <c r="E214" t="inlineStr">
        <is>
          <t>LJUSDAL</t>
        </is>
      </c>
      <c r="F214" t="inlineStr">
        <is>
          <t>Sveaskog</t>
        </is>
      </c>
      <c r="G214" t="n">
        <v>24.7</v>
      </c>
      <c r="H214" t="n">
        <v>0</v>
      </c>
      <c r="I214" t="n">
        <v>0</v>
      </c>
      <c r="J214" t="n">
        <v>3</v>
      </c>
      <c r="K214" t="n">
        <v>0</v>
      </c>
      <c r="L214" t="n">
        <v>0</v>
      </c>
      <c r="M214" t="n">
        <v>0</v>
      </c>
      <c r="N214" t="n">
        <v>0</v>
      </c>
      <c r="O214" t="n">
        <v>3</v>
      </c>
      <c r="P214" t="n">
        <v>0</v>
      </c>
      <c r="Q214" t="n">
        <v>3</v>
      </c>
      <c r="R214" s="2" t="inlineStr">
        <is>
          <t>Kolflarnlav
Lunglav
Mörk kolflarnlav</t>
        </is>
      </c>
      <c r="S214">
        <f>HYPERLINK("https://klasma.github.io/Logging_2161/artfynd/A 36623-2024 artfynd.xlsx", "A 36623-2024")</f>
        <v/>
      </c>
      <c r="T214">
        <f>HYPERLINK("https://klasma.github.io/Logging_2161/kartor/A 36623-2024 karta.png", "A 36623-2024")</f>
        <v/>
      </c>
      <c r="V214">
        <f>HYPERLINK("https://klasma.github.io/Logging_2161/klagomål/A 36623-2024 FSC-klagomål.docx", "A 36623-2024")</f>
        <v/>
      </c>
      <c r="W214">
        <f>HYPERLINK("https://klasma.github.io/Logging_2161/klagomålsmail/A 36623-2024 FSC-klagomål mail.docx", "A 36623-2024")</f>
        <v/>
      </c>
      <c r="X214">
        <f>HYPERLINK("https://klasma.github.io/Logging_2161/tillsyn/A 36623-2024 tillsynsbegäran.docx", "A 36623-2024")</f>
        <v/>
      </c>
      <c r="Y214">
        <f>HYPERLINK("https://klasma.github.io/Logging_2161/tillsynsmail/A 36623-2024 tillsynsbegäran mail.docx", "A 36623-2024")</f>
        <v/>
      </c>
    </row>
    <row r="215" ht="15" customHeight="1">
      <c r="A215" t="inlineStr">
        <is>
          <t>A 36627-2024</t>
        </is>
      </c>
      <c r="B215" s="1" t="n">
        <v>45537</v>
      </c>
      <c r="C215" s="1" t="n">
        <v>45587</v>
      </c>
      <c r="D215" t="inlineStr">
        <is>
          <t>GÄVLEBORGS LÄN</t>
        </is>
      </c>
      <c r="E215" t="inlineStr">
        <is>
          <t>LJUSDAL</t>
        </is>
      </c>
      <c r="F215" t="inlineStr">
        <is>
          <t>Sveaskog</t>
        </is>
      </c>
      <c r="G215" t="n">
        <v>11.8</v>
      </c>
      <c r="H215" t="n">
        <v>0</v>
      </c>
      <c r="I215" t="n">
        <v>0</v>
      </c>
      <c r="J215" t="n">
        <v>3</v>
      </c>
      <c r="K215" t="n">
        <v>0</v>
      </c>
      <c r="L215" t="n">
        <v>0</v>
      </c>
      <c r="M215" t="n">
        <v>0</v>
      </c>
      <c r="N215" t="n">
        <v>0</v>
      </c>
      <c r="O215" t="n">
        <v>3</v>
      </c>
      <c r="P215" t="n">
        <v>0</v>
      </c>
      <c r="Q215" t="n">
        <v>3</v>
      </c>
      <c r="R215" s="2" t="inlineStr">
        <is>
          <t>Garnlav
Kolflarnlav
Mörk kolflarnlav</t>
        </is>
      </c>
      <c r="S215">
        <f>HYPERLINK("https://klasma.github.io/Logging_2161/artfynd/A 36627-2024 artfynd.xlsx", "A 36627-2024")</f>
        <v/>
      </c>
      <c r="T215">
        <f>HYPERLINK("https://klasma.github.io/Logging_2161/kartor/A 36627-2024 karta.png", "A 36627-2024")</f>
        <v/>
      </c>
      <c r="V215">
        <f>HYPERLINK("https://klasma.github.io/Logging_2161/klagomål/A 36627-2024 FSC-klagomål.docx", "A 36627-2024")</f>
        <v/>
      </c>
      <c r="W215">
        <f>HYPERLINK("https://klasma.github.io/Logging_2161/klagomålsmail/A 36627-2024 FSC-klagomål mail.docx", "A 36627-2024")</f>
        <v/>
      </c>
      <c r="X215">
        <f>HYPERLINK("https://klasma.github.io/Logging_2161/tillsyn/A 36627-2024 tillsynsbegäran.docx", "A 36627-2024")</f>
        <v/>
      </c>
      <c r="Y215">
        <f>HYPERLINK("https://klasma.github.io/Logging_2161/tillsynsmail/A 36627-2024 tillsynsbegäran mail.docx", "A 36627-2024")</f>
        <v/>
      </c>
    </row>
    <row r="216" ht="15" customHeight="1">
      <c r="A216" t="inlineStr">
        <is>
          <t>A 38141-2024</t>
        </is>
      </c>
      <c r="B216" s="1" t="n">
        <v>45545</v>
      </c>
      <c r="C216" s="1" t="n">
        <v>45587</v>
      </c>
      <c r="D216" t="inlineStr">
        <is>
          <t>GÄVLEBORGS LÄN</t>
        </is>
      </c>
      <c r="E216" t="inlineStr">
        <is>
          <t>LJUSDAL</t>
        </is>
      </c>
      <c r="F216" t="inlineStr">
        <is>
          <t>Sveaskog</t>
        </is>
      </c>
      <c r="G216" t="n">
        <v>13.5</v>
      </c>
      <c r="H216" t="n">
        <v>0</v>
      </c>
      <c r="I216" t="n">
        <v>0</v>
      </c>
      <c r="J216" t="n">
        <v>3</v>
      </c>
      <c r="K216" t="n">
        <v>0</v>
      </c>
      <c r="L216" t="n">
        <v>0</v>
      </c>
      <c r="M216" t="n">
        <v>0</v>
      </c>
      <c r="N216" t="n">
        <v>0</v>
      </c>
      <c r="O216" t="n">
        <v>3</v>
      </c>
      <c r="P216" t="n">
        <v>0</v>
      </c>
      <c r="Q216" t="n">
        <v>3</v>
      </c>
      <c r="R216" s="2" t="inlineStr">
        <is>
          <t>Kolflarnlav
Mörk kolflarnlav
Vedflamlav</t>
        </is>
      </c>
      <c r="S216">
        <f>HYPERLINK("https://klasma.github.io/Logging_2161/artfynd/A 38141-2024 artfynd.xlsx", "A 38141-2024")</f>
        <v/>
      </c>
      <c r="T216">
        <f>HYPERLINK("https://klasma.github.io/Logging_2161/kartor/A 38141-2024 karta.png", "A 38141-2024")</f>
        <v/>
      </c>
      <c r="V216">
        <f>HYPERLINK("https://klasma.github.io/Logging_2161/klagomål/A 38141-2024 FSC-klagomål.docx", "A 38141-2024")</f>
        <v/>
      </c>
      <c r="W216">
        <f>HYPERLINK("https://klasma.github.io/Logging_2161/klagomålsmail/A 38141-2024 FSC-klagomål mail.docx", "A 38141-2024")</f>
        <v/>
      </c>
      <c r="X216">
        <f>HYPERLINK("https://klasma.github.io/Logging_2161/tillsyn/A 38141-2024 tillsynsbegäran.docx", "A 38141-2024")</f>
        <v/>
      </c>
      <c r="Y216">
        <f>HYPERLINK("https://klasma.github.io/Logging_2161/tillsynsmail/A 38141-2024 tillsynsbegäran mail.docx", "A 38141-2024")</f>
        <v/>
      </c>
    </row>
    <row r="217" ht="15" customHeight="1">
      <c r="A217" t="inlineStr">
        <is>
          <t>A 17913-2019</t>
        </is>
      </c>
      <c r="B217" s="1" t="n">
        <v>43557</v>
      </c>
      <c r="C217" s="1" t="n">
        <v>45587</v>
      </c>
      <c r="D217" t="inlineStr">
        <is>
          <t>GÄVLEBORGS LÄN</t>
        </is>
      </c>
      <c r="E217" t="inlineStr">
        <is>
          <t>NORDANSTIG</t>
        </is>
      </c>
      <c r="F217" t="inlineStr">
        <is>
          <t>Holmen skog AB</t>
        </is>
      </c>
      <c r="G217" t="n">
        <v>6.6</v>
      </c>
      <c r="H217" t="n">
        <v>1</v>
      </c>
      <c r="I217" t="n">
        <v>1</v>
      </c>
      <c r="J217" t="n">
        <v>0</v>
      </c>
      <c r="K217" t="n">
        <v>0</v>
      </c>
      <c r="L217" t="n">
        <v>0</v>
      </c>
      <c r="M217" t="n">
        <v>0</v>
      </c>
      <c r="N217" t="n">
        <v>0</v>
      </c>
      <c r="O217" t="n">
        <v>0</v>
      </c>
      <c r="P217" t="n">
        <v>0</v>
      </c>
      <c r="Q217" t="n">
        <v>2</v>
      </c>
      <c r="R217" s="2" t="inlineStr">
        <is>
          <t>Skinnlav
Fläcknycklar</t>
        </is>
      </c>
      <c r="S217">
        <f>HYPERLINK("https://klasma.github.io/Logging_2132/artfynd/A 17913-2019 artfynd.xlsx", "A 17913-2019")</f>
        <v/>
      </c>
      <c r="T217">
        <f>HYPERLINK("https://klasma.github.io/Logging_2132/kartor/A 17913-2019 karta.png", "A 17913-2019")</f>
        <v/>
      </c>
      <c r="V217">
        <f>HYPERLINK("https://klasma.github.io/Logging_2132/klagomål/A 17913-2019 FSC-klagomål.docx", "A 17913-2019")</f>
        <v/>
      </c>
      <c r="W217">
        <f>HYPERLINK("https://klasma.github.io/Logging_2132/klagomålsmail/A 17913-2019 FSC-klagomål mail.docx", "A 17913-2019")</f>
        <v/>
      </c>
      <c r="X217">
        <f>HYPERLINK("https://klasma.github.io/Logging_2132/tillsyn/A 17913-2019 tillsynsbegäran.docx", "A 17913-2019")</f>
        <v/>
      </c>
      <c r="Y217">
        <f>HYPERLINK("https://klasma.github.io/Logging_2132/tillsynsmail/A 17913-2019 tillsynsbegäran mail.docx", "A 17913-2019")</f>
        <v/>
      </c>
    </row>
    <row r="218" ht="15" customHeight="1">
      <c r="A218" t="inlineStr">
        <is>
          <t>A 19095-2019</t>
        </is>
      </c>
      <c r="B218" s="1" t="n">
        <v>43564</v>
      </c>
      <c r="C218" s="1" t="n">
        <v>45587</v>
      </c>
      <c r="D218" t="inlineStr">
        <is>
          <t>GÄVLEBORGS LÄN</t>
        </is>
      </c>
      <c r="E218" t="inlineStr">
        <is>
          <t>HOFORS</t>
        </is>
      </c>
      <c r="G218" t="n">
        <v>8</v>
      </c>
      <c r="H218" t="n">
        <v>1</v>
      </c>
      <c r="I218" t="n">
        <v>1</v>
      </c>
      <c r="J218" t="n">
        <v>0</v>
      </c>
      <c r="K218" t="n">
        <v>1</v>
      </c>
      <c r="L218" t="n">
        <v>0</v>
      </c>
      <c r="M218" t="n">
        <v>0</v>
      </c>
      <c r="N218" t="n">
        <v>0</v>
      </c>
      <c r="O218" t="n">
        <v>1</v>
      </c>
      <c r="P218" t="n">
        <v>1</v>
      </c>
      <c r="Q218" t="n">
        <v>2</v>
      </c>
      <c r="R218" s="2" t="inlineStr">
        <is>
          <t>Knärot
Mindre märgborre</t>
        </is>
      </c>
      <c r="S218">
        <f>HYPERLINK("https://klasma.github.io/Logging_2104/artfynd/A 19095-2019 artfynd.xlsx", "A 19095-2019")</f>
        <v/>
      </c>
      <c r="T218">
        <f>HYPERLINK("https://klasma.github.io/Logging_2104/kartor/A 19095-2019 karta.png", "A 19095-2019")</f>
        <v/>
      </c>
      <c r="U218">
        <f>HYPERLINK("https://klasma.github.io/Logging_2104/knärot/A 19095-2019 karta knärot.png", "A 19095-2019")</f>
        <v/>
      </c>
      <c r="V218">
        <f>HYPERLINK("https://klasma.github.io/Logging_2104/klagomål/A 19095-2019 FSC-klagomål.docx", "A 19095-2019")</f>
        <v/>
      </c>
      <c r="W218">
        <f>HYPERLINK("https://klasma.github.io/Logging_2104/klagomålsmail/A 19095-2019 FSC-klagomål mail.docx", "A 19095-2019")</f>
        <v/>
      </c>
      <c r="X218">
        <f>HYPERLINK("https://klasma.github.io/Logging_2104/tillsyn/A 19095-2019 tillsynsbegäran.docx", "A 19095-2019")</f>
        <v/>
      </c>
      <c r="Y218">
        <f>HYPERLINK("https://klasma.github.io/Logging_2104/tillsynsmail/A 19095-2019 tillsynsbegäran mail.docx", "A 19095-2019")</f>
        <v/>
      </c>
    </row>
    <row r="219" ht="15" customHeight="1">
      <c r="A219" t="inlineStr">
        <is>
          <t>A 21731-2019</t>
        </is>
      </c>
      <c r="B219" s="1" t="n">
        <v>43581</v>
      </c>
      <c r="C219" s="1" t="n">
        <v>45587</v>
      </c>
      <c r="D219" t="inlineStr">
        <is>
          <t>GÄVLEBORGS LÄN</t>
        </is>
      </c>
      <c r="E219" t="inlineStr">
        <is>
          <t>HOFORS</t>
        </is>
      </c>
      <c r="F219" t="inlineStr">
        <is>
          <t>Sveaskog</t>
        </is>
      </c>
      <c r="G219" t="n">
        <v>3.8</v>
      </c>
      <c r="H219" t="n">
        <v>2</v>
      </c>
      <c r="I219" t="n">
        <v>1</v>
      </c>
      <c r="J219" t="n">
        <v>0</v>
      </c>
      <c r="K219" t="n">
        <v>0</v>
      </c>
      <c r="L219" t="n">
        <v>0</v>
      </c>
      <c r="M219" t="n">
        <v>0</v>
      </c>
      <c r="N219" t="n">
        <v>0</v>
      </c>
      <c r="O219" t="n">
        <v>0</v>
      </c>
      <c r="P219" t="n">
        <v>0</v>
      </c>
      <c r="Q219" t="n">
        <v>2</v>
      </c>
      <c r="R219" s="2" t="inlineStr">
        <is>
          <t>Tvåblad
Revlummer</t>
        </is>
      </c>
      <c r="S219">
        <f>HYPERLINK("https://klasma.github.io/Logging_2104/artfynd/A 21731-2019 artfynd.xlsx", "A 21731-2019")</f>
        <v/>
      </c>
      <c r="T219">
        <f>HYPERLINK("https://klasma.github.io/Logging_2104/kartor/A 21731-2019 karta.png", "A 21731-2019")</f>
        <v/>
      </c>
      <c r="U219">
        <f>HYPERLINK("https://klasma.github.io/Logging_2104/knärot/A 21731-2019 karta knärot.png", "A 21731-2019")</f>
        <v/>
      </c>
      <c r="V219">
        <f>HYPERLINK("https://klasma.github.io/Logging_2104/klagomål/A 21731-2019 FSC-klagomål.docx", "A 21731-2019")</f>
        <v/>
      </c>
      <c r="W219">
        <f>HYPERLINK("https://klasma.github.io/Logging_2104/klagomålsmail/A 21731-2019 FSC-klagomål mail.docx", "A 21731-2019")</f>
        <v/>
      </c>
      <c r="X219">
        <f>HYPERLINK("https://klasma.github.io/Logging_2104/tillsyn/A 21731-2019 tillsynsbegäran.docx", "A 21731-2019")</f>
        <v/>
      </c>
      <c r="Y219">
        <f>HYPERLINK("https://klasma.github.io/Logging_2104/tillsynsmail/A 21731-2019 tillsynsbegäran mail.docx", "A 21731-2019")</f>
        <v/>
      </c>
    </row>
    <row r="220" ht="15" customHeight="1">
      <c r="A220" t="inlineStr">
        <is>
          <t>A 29812-2019</t>
        </is>
      </c>
      <c r="B220" s="1" t="n">
        <v>43629</v>
      </c>
      <c r="C220" s="1" t="n">
        <v>45587</v>
      </c>
      <c r="D220" t="inlineStr">
        <is>
          <t>GÄVLEBORGS LÄN</t>
        </is>
      </c>
      <c r="E220" t="inlineStr">
        <is>
          <t>LJUSDAL</t>
        </is>
      </c>
      <c r="F220" t="inlineStr">
        <is>
          <t>Holmen skog AB</t>
        </is>
      </c>
      <c r="G220" t="n">
        <v>2.4</v>
      </c>
      <c r="H220" t="n">
        <v>1</v>
      </c>
      <c r="I220" t="n">
        <v>1</v>
      </c>
      <c r="J220" t="n">
        <v>0</v>
      </c>
      <c r="K220" t="n">
        <v>1</v>
      </c>
      <c r="L220" t="n">
        <v>0</v>
      </c>
      <c r="M220" t="n">
        <v>0</v>
      </c>
      <c r="N220" t="n">
        <v>0</v>
      </c>
      <c r="O220" t="n">
        <v>1</v>
      </c>
      <c r="P220" t="n">
        <v>1</v>
      </c>
      <c r="Q220" t="n">
        <v>2</v>
      </c>
      <c r="R220" s="2" t="inlineStr">
        <is>
          <t>Knärot
Skinnlav</t>
        </is>
      </c>
      <c r="S220">
        <f>HYPERLINK("https://klasma.github.io/Logging_2161/artfynd/A 29812-2019 artfynd.xlsx", "A 29812-2019")</f>
        <v/>
      </c>
      <c r="T220">
        <f>HYPERLINK("https://klasma.github.io/Logging_2161/kartor/A 29812-2019 karta.png", "A 29812-2019")</f>
        <v/>
      </c>
      <c r="U220">
        <f>HYPERLINK("https://klasma.github.io/Logging_2161/knärot/A 29812-2019 karta knärot.png", "A 29812-2019")</f>
        <v/>
      </c>
      <c r="V220">
        <f>HYPERLINK("https://klasma.github.io/Logging_2161/klagomål/A 29812-2019 FSC-klagomål.docx", "A 29812-2019")</f>
        <v/>
      </c>
      <c r="W220">
        <f>HYPERLINK("https://klasma.github.io/Logging_2161/klagomålsmail/A 29812-2019 FSC-klagomål mail.docx", "A 29812-2019")</f>
        <v/>
      </c>
      <c r="X220">
        <f>HYPERLINK("https://klasma.github.io/Logging_2161/tillsyn/A 29812-2019 tillsynsbegäran.docx", "A 29812-2019")</f>
        <v/>
      </c>
      <c r="Y220">
        <f>HYPERLINK("https://klasma.github.io/Logging_2161/tillsynsmail/A 29812-2019 tillsynsbegäran mail.docx", "A 29812-2019")</f>
        <v/>
      </c>
    </row>
    <row r="221" ht="15" customHeight="1">
      <c r="A221" t="inlineStr">
        <is>
          <t>A 33547-2019</t>
        </is>
      </c>
      <c r="B221" s="1" t="n">
        <v>43651</v>
      </c>
      <c r="C221" s="1" t="n">
        <v>45587</v>
      </c>
      <c r="D221" t="inlineStr">
        <is>
          <t>GÄVLEBORGS LÄN</t>
        </is>
      </c>
      <c r="E221" t="inlineStr">
        <is>
          <t>HUDIKSVALL</t>
        </is>
      </c>
      <c r="G221" t="n">
        <v>27.7</v>
      </c>
      <c r="H221" t="n">
        <v>2</v>
      </c>
      <c r="I221" t="n">
        <v>0</v>
      </c>
      <c r="J221" t="n">
        <v>2</v>
      </c>
      <c r="K221" t="n">
        <v>0</v>
      </c>
      <c r="L221" t="n">
        <v>0</v>
      </c>
      <c r="M221" t="n">
        <v>0</v>
      </c>
      <c r="N221" t="n">
        <v>0</v>
      </c>
      <c r="O221" t="n">
        <v>2</v>
      </c>
      <c r="P221" t="n">
        <v>0</v>
      </c>
      <c r="Q221" t="n">
        <v>2</v>
      </c>
      <c r="R221" s="2" t="inlineStr">
        <is>
          <t>Blå kärrhök
Kungsörn</t>
        </is>
      </c>
      <c r="S221">
        <f>HYPERLINK("https://klasma.github.io/Logging_2184/artfynd/A 33547-2019 artfynd.xlsx", "A 33547-2019")</f>
        <v/>
      </c>
      <c r="T221">
        <f>HYPERLINK("https://klasma.github.io/Logging_2184/kartor/A 33547-2019 karta.png", "A 33547-2019")</f>
        <v/>
      </c>
      <c r="V221">
        <f>HYPERLINK("https://klasma.github.io/Logging_2184/klagomål/A 33547-2019 FSC-klagomål.docx", "A 33547-2019")</f>
        <v/>
      </c>
      <c r="W221">
        <f>HYPERLINK("https://klasma.github.io/Logging_2184/klagomålsmail/A 33547-2019 FSC-klagomål mail.docx", "A 33547-2019")</f>
        <v/>
      </c>
      <c r="X221">
        <f>HYPERLINK("https://klasma.github.io/Logging_2184/tillsyn/A 33547-2019 tillsynsbegäran.docx", "A 33547-2019")</f>
        <v/>
      </c>
      <c r="Y221">
        <f>HYPERLINK("https://klasma.github.io/Logging_2184/tillsynsmail/A 33547-2019 tillsynsbegäran mail.docx", "A 33547-2019")</f>
        <v/>
      </c>
      <c r="Z221">
        <f>HYPERLINK("https://klasma.github.io/Logging_2184/fåglar/A 33547-2019 prioriterade fågelarter.docx", "A 33547-2019")</f>
        <v/>
      </c>
    </row>
    <row r="222" ht="15" customHeight="1">
      <c r="A222" t="inlineStr">
        <is>
          <t>A 38174-2019</t>
        </is>
      </c>
      <c r="B222" s="1" t="n">
        <v>43684</v>
      </c>
      <c r="C222" s="1" t="n">
        <v>45587</v>
      </c>
      <c r="D222" t="inlineStr">
        <is>
          <t>GÄVLEBORGS LÄN</t>
        </is>
      </c>
      <c r="E222" t="inlineStr">
        <is>
          <t>HOFORS</t>
        </is>
      </c>
      <c r="G222" t="n">
        <v>14</v>
      </c>
      <c r="H222" t="n">
        <v>1</v>
      </c>
      <c r="I222" t="n">
        <v>0</v>
      </c>
      <c r="J222" t="n">
        <v>1</v>
      </c>
      <c r="K222" t="n">
        <v>0</v>
      </c>
      <c r="L222" t="n">
        <v>0</v>
      </c>
      <c r="M222" t="n">
        <v>0</v>
      </c>
      <c r="N222" t="n">
        <v>0</v>
      </c>
      <c r="O222" t="n">
        <v>1</v>
      </c>
      <c r="P222" t="n">
        <v>0</v>
      </c>
      <c r="Q222" t="n">
        <v>2</v>
      </c>
      <c r="R222" s="2" t="inlineStr">
        <is>
          <t>Ullticka
Tjäder</t>
        </is>
      </c>
      <c r="S222">
        <f>HYPERLINK("https://klasma.github.io/Logging_2104/artfynd/A 38174-2019 artfynd.xlsx", "A 38174-2019")</f>
        <v/>
      </c>
      <c r="T222">
        <f>HYPERLINK("https://klasma.github.io/Logging_2104/kartor/A 38174-2019 karta.png", "A 38174-2019")</f>
        <v/>
      </c>
      <c r="V222">
        <f>HYPERLINK("https://klasma.github.io/Logging_2104/klagomål/A 38174-2019 FSC-klagomål.docx", "A 38174-2019")</f>
        <v/>
      </c>
      <c r="W222">
        <f>HYPERLINK("https://klasma.github.io/Logging_2104/klagomålsmail/A 38174-2019 FSC-klagomål mail.docx", "A 38174-2019")</f>
        <v/>
      </c>
      <c r="X222">
        <f>HYPERLINK("https://klasma.github.io/Logging_2104/tillsyn/A 38174-2019 tillsynsbegäran.docx", "A 38174-2019")</f>
        <v/>
      </c>
      <c r="Y222">
        <f>HYPERLINK("https://klasma.github.io/Logging_2104/tillsynsmail/A 38174-2019 tillsynsbegäran mail.docx", "A 38174-2019")</f>
        <v/>
      </c>
      <c r="Z222">
        <f>HYPERLINK("https://klasma.github.io/Logging_2104/fåglar/A 38174-2019 prioriterade fågelarter.docx", "A 38174-2019")</f>
        <v/>
      </c>
    </row>
    <row r="223" ht="15" customHeight="1">
      <c r="A223" t="inlineStr">
        <is>
          <t>A 52965-2019</t>
        </is>
      </c>
      <c r="B223" s="1" t="n">
        <v>43747</v>
      </c>
      <c r="C223" s="1" t="n">
        <v>45587</v>
      </c>
      <c r="D223" t="inlineStr">
        <is>
          <t>GÄVLEBORGS LÄN</t>
        </is>
      </c>
      <c r="E223" t="inlineStr">
        <is>
          <t>OCKELBO</t>
        </is>
      </c>
      <c r="G223" t="n">
        <v>1.6</v>
      </c>
      <c r="H223" t="n">
        <v>1</v>
      </c>
      <c r="I223" t="n">
        <v>1</v>
      </c>
      <c r="J223" t="n">
        <v>0</v>
      </c>
      <c r="K223" t="n">
        <v>0</v>
      </c>
      <c r="L223" t="n">
        <v>0</v>
      </c>
      <c r="M223" t="n">
        <v>0</v>
      </c>
      <c r="N223" t="n">
        <v>0</v>
      </c>
      <c r="O223" t="n">
        <v>0</v>
      </c>
      <c r="P223" t="n">
        <v>0</v>
      </c>
      <c r="Q223" t="n">
        <v>2</v>
      </c>
      <c r="R223" s="2" t="inlineStr">
        <is>
          <t>Större träfjäril
Skogsödla</t>
        </is>
      </c>
      <c r="S223">
        <f>HYPERLINK("https://klasma.github.io/Logging_2101/artfynd/A 52965-2019 artfynd.xlsx", "A 52965-2019")</f>
        <v/>
      </c>
      <c r="T223">
        <f>HYPERLINK("https://klasma.github.io/Logging_2101/kartor/A 52965-2019 karta.png", "A 52965-2019")</f>
        <v/>
      </c>
      <c r="V223">
        <f>HYPERLINK("https://klasma.github.io/Logging_2101/klagomål/A 52965-2019 FSC-klagomål.docx", "A 52965-2019")</f>
        <v/>
      </c>
      <c r="W223">
        <f>HYPERLINK("https://klasma.github.io/Logging_2101/klagomålsmail/A 52965-2019 FSC-klagomål mail.docx", "A 52965-2019")</f>
        <v/>
      </c>
      <c r="X223">
        <f>HYPERLINK("https://klasma.github.io/Logging_2101/tillsyn/A 52965-2019 tillsynsbegäran.docx", "A 52965-2019")</f>
        <v/>
      </c>
      <c r="Y223">
        <f>HYPERLINK("https://klasma.github.io/Logging_2101/tillsynsmail/A 52965-2019 tillsynsbegäran mail.docx", "A 52965-2019")</f>
        <v/>
      </c>
    </row>
    <row r="224" ht="15" customHeight="1">
      <c r="A224" t="inlineStr">
        <is>
          <t>A 59286-2019</t>
        </is>
      </c>
      <c r="B224" s="1" t="n">
        <v>43775</v>
      </c>
      <c r="C224" s="1" t="n">
        <v>45587</v>
      </c>
      <c r="D224" t="inlineStr">
        <is>
          <t>GÄVLEBORGS LÄN</t>
        </is>
      </c>
      <c r="E224" t="inlineStr">
        <is>
          <t>OCKELBO</t>
        </is>
      </c>
      <c r="G224" t="n">
        <v>2.2</v>
      </c>
      <c r="H224" t="n">
        <v>0</v>
      </c>
      <c r="I224" t="n">
        <v>0</v>
      </c>
      <c r="J224" t="n">
        <v>2</v>
      </c>
      <c r="K224" t="n">
        <v>0</v>
      </c>
      <c r="L224" t="n">
        <v>0</v>
      </c>
      <c r="M224" t="n">
        <v>0</v>
      </c>
      <c r="N224" t="n">
        <v>0</v>
      </c>
      <c r="O224" t="n">
        <v>2</v>
      </c>
      <c r="P224" t="n">
        <v>0</v>
      </c>
      <c r="Q224" t="n">
        <v>2</v>
      </c>
      <c r="R224" s="2" t="inlineStr">
        <is>
          <t>Garnlav
Koralltaggsvamp</t>
        </is>
      </c>
      <c r="S224">
        <f>HYPERLINK("https://klasma.github.io/Logging_2101/artfynd/A 59286-2019 artfynd.xlsx", "A 59286-2019")</f>
        <v/>
      </c>
      <c r="T224">
        <f>HYPERLINK("https://klasma.github.io/Logging_2101/kartor/A 59286-2019 karta.png", "A 59286-2019")</f>
        <v/>
      </c>
      <c r="V224">
        <f>HYPERLINK("https://klasma.github.io/Logging_2101/klagomål/A 59286-2019 FSC-klagomål.docx", "A 59286-2019")</f>
        <v/>
      </c>
      <c r="W224">
        <f>HYPERLINK("https://klasma.github.io/Logging_2101/klagomålsmail/A 59286-2019 FSC-klagomål mail.docx", "A 59286-2019")</f>
        <v/>
      </c>
      <c r="X224">
        <f>HYPERLINK("https://klasma.github.io/Logging_2101/tillsyn/A 59286-2019 tillsynsbegäran.docx", "A 59286-2019")</f>
        <v/>
      </c>
      <c r="Y224">
        <f>HYPERLINK("https://klasma.github.io/Logging_2101/tillsynsmail/A 59286-2019 tillsynsbegäran mail.docx", "A 59286-2019")</f>
        <v/>
      </c>
    </row>
    <row r="225" ht="15" customHeight="1">
      <c r="A225" t="inlineStr">
        <is>
          <t>A 61384-2019</t>
        </is>
      </c>
      <c r="B225" s="1" t="n">
        <v>43783</v>
      </c>
      <c r="C225" s="1" t="n">
        <v>45587</v>
      </c>
      <c r="D225" t="inlineStr">
        <is>
          <t>GÄVLEBORGS LÄN</t>
        </is>
      </c>
      <c r="E225" t="inlineStr">
        <is>
          <t>BOLLNÄS</t>
        </is>
      </c>
      <c r="F225" t="inlineStr">
        <is>
          <t>Sveaskog</t>
        </is>
      </c>
      <c r="G225" t="n">
        <v>4.1</v>
      </c>
      <c r="H225" t="n">
        <v>2</v>
      </c>
      <c r="I225" t="n">
        <v>1</v>
      </c>
      <c r="J225" t="n">
        <v>0</v>
      </c>
      <c r="K225" t="n">
        <v>1</v>
      </c>
      <c r="L225" t="n">
        <v>0</v>
      </c>
      <c r="M225" t="n">
        <v>0</v>
      </c>
      <c r="N225" t="n">
        <v>0</v>
      </c>
      <c r="O225" t="n">
        <v>1</v>
      </c>
      <c r="P225" t="n">
        <v>1</v>
      </c>
      <c r="Q225" t="n">
        <v>2</v>
      </c>
      <c r="R225" s="2" t="inlineStr">
        <is>
          <t>Knärot
Korallrot</t>
        </is>
      </c>
      <c r="S225">
        <f>HYPERLINK("https://klasma.github.io/Logging_2183/artfynd/A 61384-2019 artfynd.xlsx", "A 61384-2019")</f>
        <v/>
      </c>
      <c r="T225">
        <f>HYPERLINK("https://klasma.github.io/Logging_2183/kartor/A 61384-2019 karta.png", "A 61384-2019")</f>
        <v/>
      </c>
      <c r="U225">
        <f>HYPERLINK("https://klasma.github.io/Logging_2183/knärot/A 61384-2019 karta knärot.png", "A 61384-2019")</f>
        <v/>
      </c>
      <c r="V225">
        <f>HYPERLINK("https://klasma.github.io/Logging_2183/klagomål/A 61384-2019 FSC-klagomål.docx", "A 61384-2019")</f>
        <v/>
      </c>
      <c r="W225">
        <f>HYPERLINK("https://klasma.github.io/Logging_2183/klagomålsmail/A 61384-2019 FSC-klagomål mail.docx", "A 61384-2019")</f>
        <v/>
      </c>
      <c r="X225">
        <f>HYPERLINK("https://klasma.github.io/Logging_2183/tillsyn/A 61384-2019 tillsynsbegäran.docx", "A 61384-2019")</f>
        <v/>
      </c>
      <c r="Y225">
        <f>HYPERLINK("https://klasma.github.io/Logging_2183/tillsynsmail/A 61384-2019 tillsynsbegäran mail.docx", "A 61384-2019")</f>
        <v/>
      </c>
    </row>
    <row r="226" ht="15" customHeight="1">
      <c r="A226" t="inlineStr">
        <is>
          <t>A 61372-2019</t>
        </is>
      </c>
      <c r="B226" s="1" t="n">
        <v>43783</v>
      </c>
      <c r="C226" s="1" t="n">
        <v>45587</v>
      </c>
      <c r="D226" t="inlineStr">
        <is>
          <t>GÄVLEBORGS LÄN</t>
        </is>
      </c>
      <c r="E226" t="inlineStr">
        <is>
          <t>BOLLNÄS</t>
        </is>
      </c>
      <c r="F226" t="inlineStr">
        <is>
          <t>Sveaskog</t>
        </is>
      </c>
      <c r="G226" t="n">
        <v>3.2</v>
      </c>
      <c r="H226" t="n">
        <v>1</v>
      </c>
      <c r="I226" t="n">
        <v>0</v>
      </c>
      <c r="J226" t="n">
        <v>1</v>
      </c>
      <c r="K226" t="n">
        <v>1</v>
      </c>
      <c r="L226" t="n">
        <v>0</v>
      </c>
      <c r="M226" t="n">
        <v>0</v>
      </c>
      <c r="N226" t="n">
        <v>0</v>
      </c>
      <c r="O226" t="n">
        <v>2</v>
      </c>
      <c r="P226" t="n">
        <v>1</v>
      </c>
      <c r="Q226" t="n">
        <v>2</v>
      </c>
      <c r="R226" s="2" t="inlineStr">
        <is>
          <t>Knärot
Garnlav</t>
        </is>
      </c>
      <c r="S226">
        <f>HYPERLINK("https://klasma.github.io/Logging_2183/artfynd/A 61372-2019 artfynd.xlsx", "A 61372-2019")</f>
        <v/>
      </c>
      <c r="T226">
        <f>HYPERLINK("https://klasma.github.io/Logging_2183/kartor/A 61372-2019 karta.png", "A 61372-2019")</f>
        <v/>
      </c>
      <c r="U226">
        <f>HYPERLINK("https://klasma.github.io/Logging_2183/knärot/A 61372-2019 karta knärot.png", "A 61372-2019")</f>
        <v/>
      </c>
      <c r="V226">
        <f>HYPERLINK("https://klasma.github.io/Logging_2183/klagomål/A 61372-2019 FSC-klagomål.docx", "A 61372-2019")</f>
        <v/>
      </c>
      <c r="W226">
        <f>HYPERLINK("https://klasma.github.io/Logging_2183/klagomålsmail/A 61372-2019 FSC-klagomål mail.docx", "A 61372-2019")</f>
        <v/>
      </c>
      <c r="X226">
        <f>HYPERLINK("https://klasma.github.io/Logging_2183/tillsyn/A 61372-2019 tillsynsbegäran.docx", "A 61372-2019")</f>
        <v/>
      </c>
      <c r="Y226">
        <f>HYPERLINK("https://klasma.github.io/Logging_2183/tillsynsmail/A 61372-2019 tillsynsbegäran mail.docx", "A 61372-2019")</f>
        <v/>
      </c>
    </row>
    <row r="227" ht="15" customHeight="1">
      <c r="A227" t="inlineStr">
        <is>
          <t>A 61380-2019</t>
        </is>
      </c>
      <c r="B227" s="1" t="n">
        <v>43783</v>
      </c>
      <c r="C227" s="1" t="n">
        <v>45587</v>
      </c>
      <c r="D227" t="inlineStr">
        <is>
          <t>GÄVLEBORGS LÄN</t>
        </is>
      </c>
      <c r="E227" t="inlineStr">
        <is>
          <t>BOLLNÄS</t>
        </is>
      </c>
      <c r="F227" t="inlineStr">
        <is>
          <t>Sveaskog</t>
        </is>
      </c>
      <c r="G227" t="n">
        <v>6</v>
      </c>
      <c r="H227" t="n">
        <v>1</v>
      </c>
      <c r="I227" t="n">
        <v>1</v>
      </c>
      <c r="J227" t="n">
        <v>0</v>
      </c>
      <c r="K227" t="n">
        <v>1</v>
      </c>
      <c r="L227" t="n">
        <v>0</v>
      </c>
      <c r="M227" t="n">
        <v>0</v>
      </c>
      <c r="N227" t="n">
        <v>0</v>
      </c>
      <c r="O227" t="n">
        <v>1</v>
      </c>
      <c r="P227" t="n">
        <v>1</v>
      </c>
      <c r="Q227" t="n">
        <v>2</v>
      </c>
      <c r="R227" s="2" t="inlineStr">
        <is>
          <t>Knärot
Tibast</t>
        </is>
      </c>
      <c r="S227">
        <f>HYPERLINK("https://klasma.github.io/Logging_2183/artfynd/A 61380-2019 artfynd.xlsx", "A 61380-2019")</f>
        <v/>
      </c>
      <c r="T227">
        <f>HYPERLINK("https://klasma.github.io/Logging_2183/kartor/A 61380-2019 karta.png", "A 61380-2019")</f>
        <v/>
      </c>
      <c r="U227">
        <f>HYPERLINK("https://klasma.github.io/Logging_2183/knärot/A 61380-2019 karta knärot.png", "A 61380-2019")</f>
        <v/>
      </c>
      <c r="V227">
        <f>HYPERLINK("https://klasma.github.io/Logging_2183/klagomål/A 61380-2019 FSC-klagomål.docx", "A 61380-2019")</f>
        <v/>
      </c>
      <c r="W227">
        <f>HYPERLINK("https://klasma.github.io/Logging_2183/klagomålsmail/A 61380-2019 FSC-klagomål mail.docx", "A 61380-2019")</f>
        <v/>
      </c>
      <c r="X227">
        <f>HYPERLINK("https://klasma.github.io/Logging_2183/tillsyn/A 61380-2019 tillsynsbegäran.docx", "A 61380-2019")</f>
        <v/>
      </c>
      <c r="Y227">
        <f>HYPERLINK("https://klasma.github.io/Logging_2183/tillsynsmail/A 61380-2019 tillsynsbegäran mail.docx", "A 61380-2019")</f>
        <v/>
      </c>
    </row>
    <row r="228" ht="15" customHeight="1">
      <c r="A228" t="inlineStr">
        <is>
          <t>A 64630-2019</t>
        </is>
      </c>
      <c r="B228" s="1" t="n">
        <v>43798</v>
      </c>
      <c r="C228" s="1" t="n">
        <v>45587</v>
      </c>
      <c r="D228" t="inlineStr">
        <is>
          <t>GÄVLEBORGS LÄN</t>
        </is>
      </c>
      <c r="E228" t="inlineStr">
        <is>
          <t>SÖDERHAMN</t>
        </is>
      </c>
      <c r="G228" t="n">
        <v>8.300000000000001</v>
      </c>
      <c r="H228" t="n">
        <v>0</v>
      </c>
      <c r="I228" t="n">
        <v>1</v>
      </c>
      <c r="J228" t="n">
        <v>0</v>
      </c>
      <c r="K228" t="n">
        <v>1</v>
      </c>
      <c r="L228" t="n">
        <v>0</v>
      </c>
      <c r="M228" t="n">
        <v>0</v>
      </c>
      <c r="N228" t="n">
        <v>0</v>
      </c>
      <c r="O228" t="n">
        <v>1</v>
      </c>
      <c r="P228" t="n">
        <v>1</v>
      </c>
      <c r="Q228" t="n">
        <v>2</v>
      </c>
      <c r="R228" s="2" t="inlineStr">
        <is>
          <t>Violgubbe
Skarp dropptaggsvamp</t>
        </is>
      </c>
      <c r="S228">
        <f>HYPERLINK("https://klasma.github.io/Logging_2182/artfynd/A 64630-2019 artfynd.xlsx", "A 64630-2019")</f>
        <v/>
      </c>
      <c r="T228">
        <f>HYPERLINK("https://klasma.github.io/Logging_2182/kartor/A 64630-2019 karta.png", "A 64630-2019")</f>
        <v/>
      </c>
      <c r="V228">
        <f>HYPERLINK("https://klasma.github.io/Logging_2182/klagomål/A 64630-2019 FSC-klagomål.docx", "A 64630-2019")</f>
        <v/>
      </c>
      <c r="W228">
        <f>HYPERLINK("https://klasma.github.io/Logging_2182/klagomålsmail/A 64630-2019 FSC-klagomål mail.docx", "A 64630-2019")</f>
        <v/>
      </c>
      <c r="X228">
        <f>HYPERLINK("https://klasma.github.io/Logging_2182/tillsyn/A 64630-2019 tillsynsbegäran.docx", "A 64630-2019")</f>
        <v/>
      </c>
      <c r="Y228">
        <f>HYPERLINK("https://klasma.github.io/Logging_2182/tillsynsmail/A 64630-2019 tillsynsbegäran mail.docx", "A 64630-2019")</f>
        <v/>
      </c>
    </row>
    <row r="229" ht="15" customHeight="1">
      <c r="A229" t="inlineStr">
        <is>
          <t>A 116-2020</t>
        </is>
      </c>
      <c r="B229" s="1" t="n">
        <v>43832</v>
      </c>
      <c r="C229" s="1" t="n">
        <v>45587</v>
      </c>
      <c r="D229" t="inlineStr">
        <is>
          <t>GÄVLEBORGS LÄN</t>
        </is>
      </c>
      <c r="E229" t="inlineStr">
        <is>
          <t>HUDIKSVALL</t>
        </is>
      </c>
      <c r="G229" t="n">
        <v>7.1</v>
      </c>
      <c r="H229" t="n">
        <v>2</v>
      </c>
      <c r="I229" t="n">
        <v>0</v>
      </c>
      <c r="J229" t="n">
        <v>1</v>
      </c>
      <c r="K229" t="n">
        <v>0</v>
      </c>
      <c r="L229" t="n">
        <v>1</v>
      </c>
      <c r="M229" t="n">
        <v>0</v>
      </c>
      <c r="N229" t="n">
        <v>0</v>
      </c>
      <c r="O229" t="n">
        <v>2</v>
      </c>
      <c r="P229" t="n">
        <v>1</v>
      </c>
      <c r="Q229" t="n">
        <v>2</v>
      </c>
      <c r="R229" s="2" t="inlineStr">
        <is>
          <t>Tornseglare
Kråka</t>
        </is>
      </c>
      <c r="S229">
        <f>HYPERLINK("https://klasma.github.io/Logging_2184/artfynd/A 116-2020 artfynd.xlsx", "A 116-2020")</f>
        <v/>
      </c>
      <c r="T229">
        <f>HYPERLINK("https://klasma.github.io/Logging_2184/kartor/A 116-2020 karta.png", "A 116-2020")</f>
        <v/>
      </c>
      <c r="V229">
        <f>HYPERLINK("https://klasma.github.io/Logging_2184/klagomål/A 116-2020 FSC-klagomål.docx", "A 116-2020")</f>
        <v/>
      </c>
      <c r="W229">
        <f>HYPERLINK("https://klasma.github.io/Logging_2184/klagomålsmail/A 116-2020 FSC-klagomål mail.docx", "A 116-2020")</f>
        <v/>
      </c>
      <c r="X229">
        <f>HYPERLINK("https://klasma.github.io/Logging_2184/tillsyn/A 116-2020 tillsynsbegäran.docx", "A 116-2020")</f>
        <v/>
      </c>
      <c r="Y229">
        <f>HYPERLINK("https://klasma.github.io/Logging_2184/tillsynsmail/A 116-2020 tillsynsbegäran mail.docx", "A 116-2020")</f>
        <v/>
      </c>
      <c r="Z229">
        <f>HYPERLINK("https://klasma.github.io/Logging_2184/fåglar/A 116-2020 prioriterade fågelarter.docx", "A 116-2020")</f>
        <v/>
      </c>
    </row>
    <row r="230" ht="15" customHeight="1">
      <c r="A230" t="inlineStr">
        <is>
          <t>A 14255-2020</t>
        </is>
      </c>
      <c r="B230" s="1" t="n">
        <v>43907</v>
      </c>
      <c r="C230" s="1" t="n">
        <v>45587</v>
      </c>
      <c r="D230" t="inlineStr">
        <is>
          <t>GÄVLEBORGS LÄN</t>
        </is>
      </c>
      <c r="E230" t="inlineStr">
        <is>
          <t>HUDIKSVALL</t>
        </is>
      </c>
      <c r="F230" t="inlineStr">
        <is>
          <t>Holmen skog AB</t>
        </is>
      </c>
      <c r="G230" t="n">
        <v>14.2</v>
      </c>
      <c r="H230" t="n">
        <v>2</v>
      </c>
      <c r="I230" t="n">
        <v>0</v>
      </c>
      <c r="J230" t="n">
        <v>0</v>
      </c>
      <c r="K230" t="n">
        <v>0</v>
      </c>
      <c r="L230" t="n">
        <v>0</v>
      </c>
      <c r="M230" t="n">
        <v>0</v>
      </c>
      <c r="N230" t="n">
        <v>0</v>
      </c>
      <c r="O230" t="n">
        <v>0</v>
      </c>
      <c r="P230" t="n">
        <v>0</v>
      </c>
      <c r="Q230" t="n">
        <v>2</v>
      </c>
      <c r="R230" s="2" t="inlineStr">
        <is>
          <t>Fläcknycklar
Myggblomster</t>
        </is>
      </c>
      <c r="S230">
        <f>HYPERLINK("https://klasma.github.io/Logging_2184/artfynd/A 14255-2020 artfynd.xlsx", "A 14255-2020")</f>
        <v/>
      </c>
      <c r="T230">
        <f>HYPERLINK("https://klasma.github.io/Logging_2184/kartor/A 14255-2020 karta.png", "A 14255-2020")</f>
        <v/>
      </c>
      <c r="V230">
        <f>HYPERLINK("https://klasma.github.io/Logging_2184/klagomål/A 14255-2020 FSC-klagomål.docx", "A 14255-2020")</f>
        <v/>
      </c>
      <c r="W230">
        <f>HYPERLINK("https://klasma.github.io/Logging_2184/klagomålsmail/A 14255-2020 FSC-klagomål mail.docx", "A 14255-2020")</f>
        <v/>
      </c>
      <c r="X230">
        <f>HYPERLINK("https://klasma.github.io/Logging_2184/tillsyn/A 14255-2020 tillsynsbegäran.docx", "A 14255-2020")</f>
        <v/>
      </c>
      <c r="Y230">
        <f>HYPERLINK("https://klasma.github.io/Logging_2184/tillsynsmail/A 14255-2020 tillsynsbegäran mail.docx", "A 14255-2020")</f>
        <v/>
      </c>
    </row>
    <row r="231" ht="15" customHeight="1">
      <c r="A231" t="inlineStr">
        <is>
          <t>A 24617-2020</t>
        </is>
      </c>
      <c r="B231" s="1" t="n">
        <v>43977</v>
      </c>
      <c r="C231" s="1" t="n">
        <v>45587</v>
      </c>
      <c r="D231" t="inlineStr">
        <is>
          <t>GÄVLEBORGS LÄN</t>
        </is>
      </c>
      <c r="E231" t="inlineStr">
        <is>
          <t>LJUSDAL</t>
        </is>
      </c>
      <c r="F231" t="inlineStr">
        <is>
          <t>Sveaskog</t>
        </is>
      </c>
      <c r="G231" t="n">
        <v>9.300000000000001</v>
      </c>
      <c r="H231" t="n">
        <v>0</v>
      </c>
      <c r="I231" t="n">
        <v>1</v>
      </c>
      <c r="J231" t="n">
        <v>1</v>
      </c>
      <c r="K231" t="n">
        <v>0</v>
      </c>
      <c r="L231" t="n">
        <v>0</v>
      </c>
      <c r="M231" t="n">
        <v>0</v>
      </c>
      <c r="N231" t="n">
        <v>0</v>
      </c>
      <c r="O231" t="n">
        <v>1</v>
      </c>
      <c r="P231" t="n">
        <v>0</v>
      </c>
      <c r="Q231" t="n">
        <v>2</v>
      </c>
      <c r="R231" s="2" t="inlineStr">
        <is>
          <t>Kolflarnlav
Dropptaggsvamp</t>
        </is>
      </c>
      <c r="S231">
        <f>HYPERLINK("https://klasma.github.io/Logging_2161/artfynd/A 24617-2020 artfynd.xlsx", "A 24617-2020")</f>
        <v/>
      </c>
      <c r="T231">
        <f>HYPERLINK("https://klasma.github.io/Logging_2161/kartor/A 24617-2020 karta.png", "A 24617-2020")</f>
        <v/>
      </c>
      <c r="V231">
        <f>HYPERLINK("https://klasma.github.io/Logging_2161/klagomål/A 24617-2020 FSC-klagomål.docx", "A 24617-2020")</f>
        <v/>
      </c>
      <c r="W231">
        <f>HYPERLINK("https://klasma.github.io/Logging_2161/klagomålsmail/A 24617-2020 FSC-klagomål mail.docx", "A 24617-2020")</f>
        <v/>
      </c>
      <c r="X231">
        <f>HYPERLINK("https://klasma.github.io/Logging_2161/tillsyn/A 24617-2020 tillsynsbegäran.docx", "A 24617-2020")</f>
        <v/>
      </c>
      <c r="Y231">
        <f>HYPERLINK("https://klasma.github.io/Logging_2161/tillsynsmail/A 24617-2020 tillsynsbegäran mail.docx", "A 24617-2020")</f>
        <v/>
      </c>
    </row>
    <row r="232" ht="15" customHeight="1">
      <c r="A232" t="inlineStr">
        <is>
          <t>A 28704-2020</t>
        </is>
      </c>
      <c r="B232" s="1" t="n">
        <v>43999</v>
      </c>
      <c r="C232" s="1" t="n">
        <v>45587</v>
      </c>
      <c r="D232" t="inlineStr">
        <is>
          <t>GÄVLEBORGS LÄN</t>
        </is>
      </c>
      <c r="E232" t="inlineStr">
        <is>
          <t>BOLLNÄS</t>
        </is>
      </c>
      <c r="F232" t="inlineStr">
        <is>
          <t>Sveaskog</t>
        </is>
      </c>
      <c r="G232" t="n">
        <v>2.2</v>
      </c>
      <c r="H232" t="n">
        <v>0</v>
      </c>
      <c r="I232" t="n">
        <v>0</v>
      </c>
      <c r="J232" t="n">
        <v>2</v>
      </c>
      <c r="K232" t="n">
        <v>0</v>
      </c>
      <c r="L232" t="n">
        <v>0</v>
      </c>
      <c r="M232" t="n">
        <v>0</v>
      </c>
      <c r="N232" t="n">
        <v>0</v>
      </c>
      <c r="O232" t="n">
        <v>2</v>
      </c>
      <c r="P232" t="n">
        <v>0</v>
      </c>
      <c r="Q232" t="n">
        <v>2</v>
      </c>
      <c r="R232" s="2" t="inlineStr">
        <is>
          <t>Gammelgransskål
Tallticka</t>
        </is>
      </c>
      <c r="S232">
        <f>HYPERLINK("https://klasma.github.io/Logging_2183/artfynd/A 28704-2020 artfynd.xlsx", "A 28704-2020")</f>
        <v/>
      </c>
      <c r="T232">
        <f>HYPERLINK("https://klasma.github.io/Logging_2183/kartor/A 28704-2020 karta.png", "A 28704-2020")</f>
        <v/>
      </c>
      <c r="V232">
        <f>HYPERLINK("https://klasma.github.io/Logging_2183/klagomål/A 28704-2020 FSC-klagomål.docx", "A 28704-2020")</f>
        <v/>
      </c>
      <c r="W232">
        <f>HYPERLINK("https://klasma.github.io/Logging_2183/klagomålsmail/A 28704-2020 FSC-klagomål mail.docx", "A 28704-2020")</f>
        <v/>
      </c>
      <c r="X232">
        <f>HYPERLINK("https://klasma.github.io/Logging_2183/tillsyn/A 28704-2020 tillsynsbegäran.docx", "A 28704-2020")</f>
        <v/>
      </c>
      <c r="Y232">
        <f>HYPERLINK("https://klasma.github.io/Logging_2183/tillsynsmail/A 28704-2020 tillsynsbegäran mail.docx", "A 28704-2020")</f>
        <v/>
      </c>
    </row>
    <row r="233" ht="15" customHeight="1">
      <c r="A233" t="inlineStr">
        <is>
          <t>A 30147-2020</t>
        </is>
      </c>
      <c r="B233" s="1" t="n">
        <v>44007</v>
      </c>
      <c r="C233" s="1" t="n">
        <v>45587</v>
      </c>
      <c r="D233" t="inlineStr">
        <is>
          <t>GÄVLEBORGS LÄN</t>
        </is>
      </c>
      <c r="E233" t="inlineStr">
        <is>
          <t>SANDVIKEN</t>
        </is>
      </c>
      <c r="G233" t="n">
        <v>3.7</v>
      </c>
      <c r="H233" t="n">
        <v>1</v>
      </c>
      <c r="I233" t="n">
        <v>1</v>
      </c>
      <c r="J233" t="n">
        <v>0</v>
      </c>
      <c r="K233" t="n">
        <v>0</v>
      </c>
      <c r="L233" t="n">
        <v>0</v>
      </c>
      <c r="M233" t="n">
        <v>0</v>
      </c>
      <c r="N233" t="n">
        <v>0</v>
      </c>
      <c r="O233" t="n">
        <v>0</v>
      </c>
      <c r="P233" t="n">
        <v>0</v>
      </c>
      <c r="Q233" t="n">
        <v>2</v>
      </c>
      <c r="R233" s="2" t="inlineStr">
        <is>
          <t>Strutbräken
Revlummer</t>
        </is>
      </c>
      <c r="S233">
        <f>HYPERLINK("https://klasma.github.io/Logging_2181/artfynd/A 30147-2020 artfynd.xlsx", "A 30147-2020")</f>
        <v/>
      </c>
      <c r="T233">
        <f>HYPERLINK("https://klasma.github.io/Logging_2181/kartor/A 30147-2020 karta.png", "A 30147-2020")</f>
        <v/>
      </c>
      <c r="V233">
        <f>HYPERLINK("https://klasma.github.io/Logging_2181/klagomål/A 30147-2020 FSC-klagomål.docx", "A 30147-2020")</f>
        <v/>
      </c>
      <c r="W233">
        <f>HYPERLINK("https://klasma.github.io/Logging_2181/klagomålsmail/A 30147-2020 FSC-klagomål mail.docx", "A 30147-2020")</f>
        <v/>
      </c>
      <c r="X233">
        <f>HYPERLINK("https://klasma.github.io/Logging_2181/tillsyn/A 30147-2020 tillsynsbegäran.docx", "A 30147-2020")</f>
        <v/>
      </c>
      <c r="Y233">
        <f>HYPERLINK("https://klasma.github.io/Logging_2181/tillsynsmail/A 30147-2020 tillsynsbegäran mail.docx", "A 30147-2020")</f>
        <v/>
      </c>
    </row>
    <row r="234" ht="15" customHeight="1">
      <c r="A234" t="inlineStr">
        <is>
          <t>A 30620-2020</t>
        </is>
      </c>
      <c r="B234" s="1" t="n">
        <v>44008</v>
      </c>
      <c r="C234" s="1" t="n">
        <v>45587</v>
      </c>
      <c r="D234" t="inlineStr">
        <is>
          <t>GÄVLEBORGS LÄN</t>
        </is>
      </c>
      <c r="E234" t="inlineStr">
        <is>
          <t>NORDANSTIG</t>
        </is>
      </c>
      <c r="G234" t="n">
        <v>19.5</v>
      </c>
      <c r="H234" t="n">
        <v>2</v>
      </c>
      <c r="I234" t="n">
        <v>0</v>
      </c>
      <c r="J234" t="n">
        <v>2</v>
      </c>
      <c r="K234" t="n">
        <v>0</v>
      </c>
      <c r="L234" t="n">
        <v>0</v>
      </c>
      <c r="M234" t="n">
        <v>0</v>
      </c>
      <c r="N234" t="n">
        <v>0</v>
      </c>
      <c r="O234" t="n">
        <v>2</v>
      </c>
      <c r="P234" t="n">
        <v>0</v>
      </c>
      <c r="Q234" t="n">
        <v>2</v>
      </c>
      <c r="R234" s="2" t="inlineStr">
        <is>
          <t>Duvhök
Havsörn</t>
        </is>
      </c>
      <c r="S234">
        <f>HYPERLINK("https://klasma.github.io/Logging_2132/artfynd/A 30620-2020 artfynd.xlsx", "A 30620-2020")</f>
        <v/>
      </c>
      <c r="T234">
        <f>HYPERLINK("https://klasma.github.io/Logging_2132/kartor/A 30620-2020 karta.png", "A 30620-2020")</f>
        <v/>
      </c>
      <c r="V234">
        <f>HYPERLINK("https://klasma.github.io/Logging_2132/klagomål/A 30620-2020 FSC-klagomål.docx", "A 30620-2020")</f>
        <v/>
      </c>
      <c r="W234">
        <f>HYPERLINK("https://klasma.github.io/Logging_2132/klagomålsmail/A 30620-2020 FSC-klagomål mail.docx", "A 30620-2020")</f>
        <v/>
      </c>
      <c r="X234">
        <f>HYPERLINK("https://klasma.github.io/Logging_2132/tillsyn/A 30620-2020 tillsynsbegäran.docx", "A 30620-2020")</f>
        <v/>
      </c>
      <c r="Y234">
        <f>HYPERLINK("https://klasma.github.io/Logging_2132/tillsynsmail/A 30620-2020 tillsynsbegäran mail.docx", "A 30620-2020")</f>
        <v/>
      </c>
      <c r="Z234">
        <f>HYPERLINK("https://klasma.github.io/Logging_2132/fåglar/A 30620-2020 prioriterade fågelarter.docx", "A 30620-2020")</f>
        <v/>
      </c>
    </row>
    <row r="235" ht="15" customHeight="1">
      <c r="A235" t="inlineStr">
        <is>
          <t>A 33136-2020</t>
        </is>
      </c>
      <c r="B235" s="1" t="n">
        <v>44021</v>
      </c>
      <c r="C235" s="1" t="n">
        <v>45587</v>
      </c>
      <c r="D235" t="inlineStr">
        <is>
          <t>GÄVLEBORGS LÄN</t>
        </is>
      </c>
      <c r="E235" t="inlineStr">
        <is>
          <t>NORDANSTIG</t>
        </is>
      </c>
      <c r="F235" t="inlineStr">
        <is>
          <t>Holmen skog AB</t>
        </is>
      </c>
      <c r="G235" t="n">
        <v>6</v>
      </c>
      <c r="H235" t="n">
        <v>0</v>
      </c>
      <c r="I235" t="n">
        <v>0</v>
      </c>
      <c r="J235" t="n">
        <v>2</v>
      </c>
      <c r="K235" t="n">
        <v>0</v>
      </c>
      <c r="L235" t="n">
        <v>0</v>
      </c>
      <c r="M235" t="n">
        <v>0</v>
      </c>
      <c r="N235" t="n">
        <v>0</v>
      </c>
      <c r="O235" t="n">
        <v>2</v>
      </c>
      <c r="P235" t="n">
        <v>0</v>
      </c>
      <c r="Q235" t="n">
        <v>2</v>
      </c>
      <c r="R235" s="2" t="inlineStr">
        <is>
          <t>Motaggsvamp
Reliktbock</t>
        </is>
      </c>
      <c r="S235">
        <f>HYPERLINK("https://klasma.github.io/Logging_2132/artfynd/A 33136-2020 artfynd.xlsx", "A 33136-2020")</f>
        <v/>
      </c>
      <c r="T235">
        <f>HYPERLINK("https://klasma.github.io/Logging_2132/kartor/A 33136-2020 karta.png", "A 33136-2020")</f>
        <v/>
      </c>
      <c r="V235">
        <f>HYPERLINK("https://klasma.github.io/Logging_2132/klagomål/A 33136-2020 FSC-klagomål.docx", "A 33136-2020")</f>
        <v/>
      </c>
      <c r="W235">
        <f>HYPERLINK("https://klasma.github.io/Logging_2132/klagomålsmail/A 33136-2020 FSC-klagomål mail.docx", "A 33136-2020")</f>
        <v/>
      </c>
      <c r="X235">
        <f>HYPERLINK("https://klasma.github.io/Logging_2132/tillsyn/A 33136-2020 tillsynsbegäran.docx", "A 33136-2020")</f>
        <v/>
      </c>
      <c r="Y235">
        <f>HYPERLINK("https://klasma.github.io/Logging_2132/tillsynsmail/A 33136-2020 tillsynsbegäran mail.docx", "A 33136-2020")</f>
        <v/>
      </c>
    </row>
    <row r="236" ht="15" customHeight="1">
      <c r="A236" t="inlineStr">
        <is>
          <t>A 35427-2020</t>
        </is>
      </c>
      <c r="B236" s="1" t="n">
        <v>44042</v>
      </c>
      <c r="C236" s="1" t="n">
        <v>45587</v>
      </c>
      <c r="D236" t="inlineStr">
        <is>
          <t>GÄVLEBORGS LÄN</t>
        </is>
      </c>
      <c r="E236" t="inlineStr">
        <is>
          <t>HUDIKSVALL</t>
        </is>
      </c>
      <c r="F236" t="inlineStr">
        <is>
          <t>Holmen skog AB</t>
        </is>
      </c>
      <c r="G236" t="n">
        <v>1.4</v>
      </c>
      <c r="H236" t="n">
        <v>1</v>
      </c>
      <c r="I236" t="n">
        <v>0</v>
      </c>
      <c r="J236" t="n">
        <v>1</v>
      </c>
      <c r="K236" t="n">
        <v>0</v>
      </c>
      <c r="L236" t="n">
        <v>0</v>
      </c>
      <c r="M236" t="n">
        <v>0</v>
      </c>
      <c r="N236" t="n">
        <v>0</v>
      </c>
      <c r="O236" t="n">
        <v>1</v>
      </c>
      <c r="P236" t="n">
        <v>0</v>
      </c>
      <c r="Q236" t="n">
        <v>2</v>
      </c>
      <c r="R236" s="2" t="inlineStr">
        <is>
          <t>Garnlav
Revlummer</t>
        </is>
      </c>
      <c r="S236">
        <f>HYPERLINK("https://klasma.github.io/Logging_2184/artfynd/A 35427-2020 artfynd.xlsx", "A 35427-2020")</f>
        <v/>
      </c>
      <c r="T236">
        <f>HYPERLINK("https://klasma.github.io/Logging_2184/kartor/A 35427-2020 karta.png", "A 35427-2020")</f>
        <v/>
      </c>
      <c r="V236">
        <f>HYPERLINK("https://klasma.github.io/Logging_2184/klagomål/A 35427-2020 FSC-klagomål.docx", "A 35427-2020")</f>
        <v/>
      </c>
      <c r="W236">
        <f>HYPERLINK("https://klasma.github.io/Logging_2184/klagomålsmail/A 35427-2020 FSC-klagomål mail.docx", "A 35427-2020")</f>
        <v/>
      </c>
      <c r="X236">
        <f>HYPERLINK("https://klasma.github.io/Logging_2184/tillsyn/A 35427-2020 tillsynsbegäran.docx", "A 35427-2020")</f>
        <v/>
      </c>
      <c r="Y236">
        <f>HYPERLINK("https://klasma.github.io/Logging_2184/tillsynsmail/A 35427-2020 tillsynsbegäran mail.docx", "A 35427-2020")</f>
        <v/>
      </c>
    </row>
    <row r="237" ht="15" customHeight="1">
      <c r="A237" t="inlineStr">
        <is>
          <t>A 43503-2020</t>
        </is>
      </c>
      <c r="B237" s="1" t="n">
        <v>44077</v>
      </c>
      <c r="C237" s="1" t="n">
        <v>45587</v>
      </c>
      <c r="D237" t="inlineStr">
        <is>
          <t>GÄVLEBORGS LÄN</t>
        </is>
      </c>
      <c r="E237" t="inlineStr">
        <is>
          <t>HUDIKSVALL</t>
        </is>
      </c>
      <c r="G237" t="n">
        <v>3.3</v>
      </c>
      <c r="H237" t="n">
        <v>1</v>
      </c>
      <c r="I237" t="n">
        <v>0</v>
      </c>
      <c r="J237" t="n">
        <v>1</v>
      </c>
      <c r="K237" t="n">
        <v>1</v>
      </c>
      <c r="L237" t="n">
        <v>0</v>
      </c>
      <c r="M237" t="n">
        <v>0</v>
      </c>
      <c r="N237" t="n">
        <v>0</v>
      </c>
      <c r="O237" t="n">
        <v>2</v>
      </c>
      <c r="P237" t="n">
        <v>1</v>
      </c>
      <c r="Q237" t="n">
        <v>2</v>
      </c>
      <c r="R237" s="2" t="inlineStr">
        <is>
          <t>Knärot
Garnlav</t>
        </is>
      </c>
      <c r="S237">
        <f>HYPERLINK("https://klasma.github.io/Logging_2184/artfynd/A 43503-2020 artfynd.xlsx", "A 43503-2020")</f>
        <v/>
      </c>
      <c r="T237">
        <f>HYPERLINK("https://klasma.github.io/Logging_2184/kartor/A 43503-2020 karta.png", "A 43503-2020")</f>
        <v/>
      </c>
      <c r="U237">
        <f>HYPERLINK("https://klasma.github.io/Logging_2184/knärot/A 43503-2020 karta knärot.png", "A 43503-2020")</f>
        <v/>
      </c>
      <c r="V237">
        <f>HYPERLINK("https://klasma.github.io/Logging_2184/klagomål/A 43503-2020 FSC-klagomål.docx", "A 43503-2020")</f>
        <v/>
      </c>
      <c r="W237">
        <f>HYPERLINK("https://klasma.github.io/Logging_2184/klagomålsmail/A 43503-2020 FSC-klagomål mail.docx", "A 43503-2020")</f>
        <v/>
      </c>
      <c r="X237">
        <f>HYPERLINK("https://klasma.github.io/Logging_2184/tillsyn/A 43503-2020 tillsynsbegäran.docx", "A 43503-2020")</f>
        <v/>
      </c>
      <c r="Y237">
        <f>HYPERLINK("https://klasma.github.io/Logging_2184/tillsynsmail/A 43503-2020 tillsynsbegäran mail.docx", "A 43503-2020")</f>
        <v/>
      </c>
    </row>
    <row r="238" ht="15" customHeight="1">
      <c r="A238" t="inlineStr">
        <is>
          <t>A 49073-2020</t>
        </is>
      </c>
      <c r="B238" s="1" t="n">
        <v>44104</v>
      </c>
      <c r="C238" s="1" t="n">
        <v>45587</v>
      </c>
      <c r="D238" t="inlineStr">
        <is>
          <t>GÄVLEBORGS LÄN</t>
        </is>
      </c>
      <c r="E238" t="inlineStr">
        <is>
          <t>LJUSDAL</t>
        </is>
      </c>
      <c r="F238" t="inlineStr">
        <is>
          <t>Sveaskog</t>
        </is>
      </c>
      <c r="G238" t="n">
        <v>15.1</v>
      </c>
      <c r="H238" t="n">
        <v>2</v>
      </c>
      <c r="I238" t="n">
        <v>0</v>
      </c>
      <c r="J238" t="n">
        <v>0</v>
      </c>
      <c r="K238" t="n">
        <v>1</v>
      </c>
      <c r="L238" t="n">
        <v>0</v>
      </c>
      <c r="M238" t="n">
        <v>0</v>
      </c>
      <c r="N238" t="n">
        <v>0</v>
      </c>
      <c r="O238" t="n">
        <v>1</v>
      </c>
      <c r="P238" t="n">
        <v>1</v>
      </c>
      <c r="Q238" t="n">
        <v>2</v>
      </c>
      <c r="R238" s="2" t="inlineStr">
        <is>
          <t>Knärot
Fläcknycklar</t>
        </is>
      </c>
      <c r="S238">
        <f>HYPERLINK("https://klasma.github.io/Logging_2161/artfynd/A 49073-2020 artfynd.xlsx", "A 49073-2020")</f>
        <v/>
      </c>
      <c r="T238">
        <f>HYPERLINK("https://klasma.github.io/Logging_2161/kartor/A 49073-2020 karta.png", "A 49073-2020")</f>
        <v/>
      </c>
      <c r="U238">
        <f>HYPERLINK("https://klasma.github.io/Logging_2161/knärot/A 49073-2020 karta knärot.png", "A 49073-2020")</f>
        <v/>
      </c>
      <c r="V238">
        <f>HYPERLINK("https://klasma.github.io/Logging_2161/klagomål/A 49073-2020 FSC-klagomål.docx", "A 49073-2020")</f>
        <v/>
      </c>
      <c r="W238">
        <f>HYPERLINK("https://klasma.github.io/Logging_2161/klagomålsmail/A 49073-2020 FSC-klagomål mail.docx", "A 49073-2020")</f>
        <v/>
      </c>
      <c r="X238">
        <f>HYPERLINK("https://klasma.github.io/Logging_2161/tillsyn/A 49073-2020 tillsynsbegäran.docx", "A 49073-2020")</f>
        <v/>
      </c>
      <c r="Y238">
        <f>HYPERLINK("https://klasma.github.io/Logging_2161/tillsynsmail/A 49073-2020 tillsynsbegäran mail.docx", "A 49073-2020")</f>
        <v/>
      </c>
    </row>
    <row r="239" ht="15" customHeight="1">
      <c r="A239" t="inlineStr">
        <is>
          <t>A 13261-2021</t>
        </is>
      </c>
      <c r="B239" s="1" t="n">
        <v>44272</v>
      </c>
      <c r="C239" s="1" t="n">
        <v>45587</v>
      </c>
      <c r="D239" t="inlineStr">
        <is>
          <t>GÄVLEBORGS LÄN</t>
        </is>
      </c>
      <c r="E239" t="inlineStr">
        <is>
          <t>GÄVLE</t>
        </is>
      </c>
      <c r="G239" t="n">
        <v>4.7</v>
      </c>
      <c r="H239" t="n">
        <v>1</v>
      </c>
      <c r="I239" t="n">
        <v>0</v>
      </c>
      <c r="J239" t="n">
        <v>1</v>
      </c>
      <c r="K239" t="n">
        <v>0</v>
      </c>
      <c r="L239" t="n">
        <v>0</v>
      </c>
      <c r="M239" t="n">
        <v>0</v>
      </c>
      <c r="N239" t="n">
        <v>0</v>
      </c>
      <c r="O239" t="n">
        <v>1</v>
      </c>
      <c r="P239" t="n">
        <v>0</v>
      </c>
      <c r="Q239" t="n">
        <v>2</v>
      </c>
      <c r="R239" s="2" t="inlineStr">
        <is>
          <t>Motaggsvamp
Blåsippa</t>
        </is>
      </c>
      <c r="S239">
        <f>HYPERLINK("https://klasma.github.io/Logging_2180/artfynd/A 13261-2021 artfynd.xlsx", "A 13261-2021")</f>
        <v/>
      </c>
      <c r="T239">
        <f>HYPERLINK("https://klasma.github.io/Logging_2180/kartor/A 13261-2021 karta.png", "A 13261-2021")</f>
        <v/>
      </c>
      <c r="V239">
        <f>HYPERLINK("https://klasma.github.io/Logging_2180/klagomål/A 13261-2021 FSC-klagomål.docx", "A 13261-2021")</f>
        <v/>
      </c>
      <c r="W239">
        <f>HYPERLINK("https://klasma.github.io/Logging_2180/klagomålsmail/A 13261-2021 FSC-klagomål mail.docx", "A 13261-2021")</f>
        <v/>
      </c>
      <c r="X239">
        <f>HYPERLINK("https://klasma.github.io/Logging_2180/tillsyn/A 13261-2021 tillsynsbegäran.docx", "A 13261-2021")</f>
        <v/>
      </c>
      <c r="Y239">
        <f>HYPERLINK("https://klasma.github.io/Logging_2180/tillsynsmail/A 13261-2021 tillsynsbegäran mail.docx", "A 13261-2021")</f>
        <v/>
      </c>
    </row>
    <row r="240" ht="15" customHeight="1">
      <c r="A240" t="inlineStr">
        <is>
          <t>A 20198-2021</t>
        </is>
      </c>
      <c r="B240" s="1" t="n">
        <v>44314</v>
      </c>
      <c r="C240" s="1" t="n">
        <v>45587</v>
      </c>
      <c r="D240" t="inlineStr">
        <is>
          <t>GÄVLEBORGS LÄN</t>
        </is>
      </c>
      <c r="E240" t="inlineStr">
        <is>
          <t>GÄVLE</t>
        </is>
      </c>
      <c r="F240" t="inlineStr">
        <is>
          <t>Bergvik skog öst AB</t>
        </is>
      </c>
      <c r="G240" t="n">
        <v>4.5</v>
      </c>
      <c r="H240" t="n">
        <v>1</v>
      </c>
      <c r="I240" t="n">
        <v>2</v>
      </c>
      <c r="J240" t="n">
        <v>0</v>
      </c>
      <c r="K240" t="n">
        <v>0</v>
      </c>
      <c r="L240" t="n">
        <v>0</v>
      </c>
      <c r="M240" t="n">
        <v>0</v>
      </c>
      <c r="N240" t="n">
        <v>0</v>
      </c>
      <c r="O240" t="n">
        <v>0</v>
      </c>
      <c r="P240" t="n">
        <v>0</v>
      </c>
      <c r="Q240" t="n">
        <v>2</v>
      </c>
      <c r="R240" s="2" t="inlineStr">
        <is>
          <t>Anisspindling
Skogsknipprot</t>
        </is>
      </c>
      <c r="S240">
        <f>HYPERLINK("https://klasma.github.io/Logging_2180/artfynd/A 20198-2021 artfynd.xlsx", "A 20198-2021")</f>
        <v/>
      </c>
      <c r="T240">
        <f>HYPERLINK("https://klasma.github.io/Logging_2180/kartor/A 20198-2021 karta.png", "A 20198-2021")</f>
        <v/>
      </c>
      <c r="V240">
        <f>HYPERLINK("https://klasma.github.io/Logging_2180/klagomål/A 20198-2021 FSC-klagomål.docx", "A 20198-2021")</f>
        <v/>
      </c>
      <c r="W240">
        <f>HYPERLINK("https://klasma.github.io/Logging_2180/klagomålsmail/A 20198-2021 FSC-klagomål mail.docx", "A 20198-2021")</f>
        <v/>
      </c>
      <c r="X240">
        <f>HYPERLINK("https://klasma.github.io/Logging_2180/tillsyn/A 20198-2021 tillsynsbegäran.docx", "A 20198-2021")</f>
        <v/>
      </c>
      <c r="Y240">
        <f>HYPERLINK("https://klasma.github.io/Logging_2180/tillsynsmail/A 20198-2021 tillsynsbegäran mail.docx", "A 20198-2021")</f>
        <v/>
      </c>
    </row>
    <row r="241" ht="15" customHeight="1">
      <c r="A241" t="inlineStr">
        <is>
          <t>A 21765-2021</t>
        </is>
      </c>
      <c r="B241" s="1" t="n">
        <v>44322</v>
      </c>
      <c r="C241" s="1" t="n">
        <v>45587</v>
      </c>
      <c r="D241" t="inlineStr">
        <is>
          <t>GÄVLEBORGS LÄN</t>
        </is>
      </c>
      <c r="E241" t="inlineStr">
        <is>
          <t>LJUSDAL</t>
        </is>
      </c>
      <c r="F241" t="inlineStr">
        <is>
          <t>Sveaskog</t>
        </is>
      </c>
      <c r="G241" t="n">
        <v>1</v>
      </c>
      <c r="H241" t="n">
        <v>2</v>
      </c>
      <c r="I241" t="n">
        <v>0</v>
      </c>
      <c r="J241" t="n">
        <v>2</v>
      </c>
      <c r="K241" t="n">
        <v>0</v>
      </c>
      <c r="L241" t="n">
        <v>0</v>
      </c>
      <c r="M241" t="n">
        <v>0</v>
      </c>
      <c r="N241" t="n">
        <v>0</v>
      </c>
      <c r="O241" t="n">
        <v>2</v>
      </c>
      <c r="P241" t="n">
        <v>0</v>
      </c>
      <c r="Q241" t="n">
        <v>2</v>
      </c>
      <c r="R241" s="2" t="inlineStr">
        <is>
          <t>Stenfalk
Ärtsångare</t>
        </is>
      </c>
      <c r="S241">
        <f>HYPERLINK("https://klasma.github.io/Logging_2161/artfynd/A 21765-2021 artfynd.xlsx", "A 21765-2021")</f>
        <v/>
      </c>
      <c r="T241">
        <f>HYPERLINK("https://klasma.github.io/Logging_2161/kartor/A 21765-2021 karta.png", "A 21765-2021")</f>
        <v/>
      </c>
      <c r="V241">
        <f>HYPERLINK("https://klasma.github.io/Logging_2161/klagomål/A 21765-2021 FSC-klagomål.docx", "A 21765-2021")</f>
        <v/>
      </c>
      <c r="W241">
        <f>HYPERLINK("https://klasma.github.io/Logging_2161/klagomålsmail/A 21765-2021 FSC-klagomål mail.docx", "A 21765-2021")</f>
        <v/>
      </c>
      <c r="X241">
        <f>HYPERLINK("https://klasma.github.io/Logging_2161/tillsyn/A 21765-2021 tillsynsbegäran.docx", "A 21765-2021")</f>
        <v/>
      </c>
      <c r="Y241">
        <f>HYPERLINK("https://klasma.github.io/Logging_2161/tillsynsmail/A 21765-2021 tillsynsbegäran mail.docx", "A 21765-2021")</f>
        <v/>
      </c>
      <c r="Z241">
        <f>HYPERLINK("https://klasma.github.io/Logging_2161/fåglar/A 21765-2021 prioriterade fågelarter.docx", "A 21765-2021")</f>
        <v/>
      </c>
    </row>
    <row r="242" ht="15" customHeight="1">
      <c r="A242" t="inlineStr">
        <is>
          <t>A 22073-2021</t>
        </is>
      </c>
      <c r="B242" s="1" t="n">
        <v>44323</v>
      </c>
      <c r="C242" s="1" t="n">
        <v>45587</v>
      </c>
      <c r="D242" t="inlineStr">
        <is>
          <t>GÄVLEBORGS LÄN</t>
        </is>
      </c>
      <c r="E242" t="inlineStr">
        <is>
          <t>GÄVLE</t>
        </is>
      </c>
      <c r="F242" t="inlineStr">
        <is>
          <t>Bergvik skog öst AB</t>
        </is>
      </c>
      <c r="G242" t="n">
        <v>0.5</v>
      </c>
      <c r="H242" t="n">
        <v>2</v>
      </c>
      <c r="I242" t="n">
        <v>0</v>
      </c>
      <c r="J242" t="n">
        <v>2</v>
      </c>
      <c r="K242" t="n">
        <v>0</v>
      </c>
      <c r="L242" t="n">
        <v>0</v>
      </c>
      <c r="M242" t="n">
        <v>0</v>
      </c>
      <c r="N242" t="n">
        <v>0</v>
      </c>
      <c r="O242" t="n">
        <v>2</v>
      </c>
      <c r="P242" t="n">
        <v>0</v>
      </c>
      <c r="Q242" t="n">
        <v>2</v>
      </c>
      <c r="R242" s="2" t="inlineStr">
        <is>
          <t>Blå kärrhök
Havsörn</t>
        </is>
      </c>
      <c r="S242">
        <f>HYPERLINK("https://klasma.github.io/Logging_2180/artfynd/A 22073-2021 artfynd.xlsx", "A 22073-2021")</f>
        <v/>
      </c>
      <c r="T242">
        <f>HYPERLINK("https://klasma.github.io/Logging_2180/kartor/A 22073-2021 karta.png", "A 22073-2021")</f>
        <v/>
      </c>
      <c r="V242">
        <f>HYPERLINK("https://klasma.github.io/Logging_2180/klagomål/A 22073-2021 FSC-klagomål.docx", "A 22073-2021")</f>
        <v/>
      </c>
      <c r="W242">
        <f>HYPERLINK("https://klasma.github.io/Logging_2180/klagomålsmail/A 22073-2021 FSC-klagomål mail.docx", "A 22073-2021")</f>
        <v/>
      </c>
      <c r="X242">
        <f>HYPERLINK("https://klasma.github.io/Logging_2180/tillsyn/A 22073-2021 tillsynsbegäran.docx", "A 22073-2021")</f>
        <v/>
      </c>
      <c r="Y242">
        <f>HYPERLINK("https://klasma.github.io/Logging_2180/tillsynsmail/A 22073-2021 tillsynsbegäran mail.docx", "A 22073-2021")</f>
        <v/>
      </c>
      <c r="Z242">
        <f>HYPERLINK("https://klasma.github.io/Logging_2180/fåglar/A 22073-2021 prioriterade fågelarter.docx", "A 22073-2021")</f>
        <v/>
      </c>
    </row>
    <row r="243" ht="15" customHeight="1">
      <c r="A243" t="inlineStr">
        <is>
          <t>A 28727-2021</t>
        </is>
      </c>
      <c r="B243" s="1" t="n">
        <v>44357</v>
      </c>
      <c r="C243" s="1" t="n">
        <v>45587</v>
      </c>
      <c r="D243" t="inlineStr">
        <is>
          <t>GÄVLEBORGS LÄN</t>
        </is>
      </c>
      <c r="E243" t="inlineStr">
        <is>
          <t>LJUSDAL</t>
        </is>
      </c>
      <c r="F243" t="inlineStr">
        <is>
          <t>Sveaskog</t>
        </is>
      </c>
      <c r="G243" t="n">
        <v>45.9</v>
      </c>
      <c r="H243" t="n">
        <v>2</v>
      </c>
      <c r="I243" t="n">
        <v>1</v>
      </c>
      <c r="J243" t="n">
        <v>0</v>
      </c>
      <c r="K243" t="n">
        <v>0</v>
      </c>
      <c r="L243" t="n">
        <v>0</v>
      </c>
      <c r="M243" t="n">
        <v>0</v>
      </c>
      <c r="N243" t="n">
        <v>0</v>
      </c>
      <c r="O243" t="n">
        <v>0</v>
      </c>
      <c r="P243" t="n">
        <v>0</v>
      </c>
      <c r="Q243" t="n">
        <v>2</v>
      </c>
      <c r="R243" s="2" t="inlineStr">
        <is>
          <t>Plattlummer
Nattviol</t>
        </is>
      </c>
      <c r="S243">
        <f>HYPERLINK("https://klasma.github.io/Logging_2161/artfynd/A 28727-2021 artfynd.xlsx", "A 28727-2021")</f>
        <v/>
      </c>
      <c r="T243">
        <f>HYPERLINK("https://klasma.github.io/Logging_2161/kartor/A 28727-2021 karta.png", "A 28727-2021")</f>
        <v/>
      </c>
      <c r="V243">
        <f>HYPERLINK("https://klasma.github.io/Logging_2161/klagomål/A 28727-2021 FSC-klagomål.docx", "A 28727-2021")</f>
        <v/>
      </c>
      <c r="W243">
        <f>HYPERLINK("https://klasma.github.io/Logging_2161/klagomålsmail/A 28727-2021 FSC-klagomål mail.docx", "A 28727-2021")</f>
        <v/>
      </c>
      <c r="X243">
        <f>HYPERLINK("https://klasma.github.io/Logging_2161/tillsyn/A 28727-2021 tillsynsbegäran.docx", "A 28727-2021")</f>
        <v/>
      </c>
      <c r="Y243">
        <f>HYPERLINK("https://klasma.github.io/Logging_2161/tillsynsmail/A 28727-2021 tillsynsbegäran mail.docx", "A 28727-2021")</f>
        <v/>
      </c>
    </row>
    <row r="244" ht="15" customHeight="1">
      <c r="A244" t="inlineStr">
        <is>
          <t>A 39528-2021</t>
        </is>
      </c>
      <c r="B244" s="1" t="n">
        <v>44415</v>
      </c>
      <c r="C244" s="1" t="n">
        <v>45587</v>
      </c>
      <c r="D244" t="inlineStr">
        <is>
          <t>GÄVLEBORGS LÄN</t>
        </is>
      </c>
      <c r="E244" t="inlineStr">
        <is>
          <t>HUDIKSVALL</t>
        </is>
      </c>
      <c r="G244" t="n">
        <v>5.2</v>
      </c>
      <c r="H244" t="n">
        <v>1</v>
      </c>
      <c r="I244" t="n">
        <v>1</v>
      </c>
      <c r="J244" t="n">
        <v>0</v>
      </c>
      <c r="K244" t="n">
        <v>1</v>
      </c>
      <c r="L244" t="n">
        <v>0</v>
      </c>
      <c r="M244" t="n">
        <v>0</v>
      </c>
      <c r="N244" t="n">
        <v>0</v>
      </c>
      <c r="O244" t="n">
        <v>1</v>
      </c>
      <c r="P244" t="n">
        <v>1</v>
      </c>
      <c r="Q244" t="n">
        <v>2</v>
      </c>
      <c r="R244" s="2" t="inlineStr">
        <is>
          <t>Knärot
Stuplav</t>
        </is>
      </c>
      <c r="S244">
        <f>HYPERLINK("https://klasma.github.io/Logging_2184/artfynd/A 39528-2021 artfynd.xlsx", "A 39528-2021")</f>
        <v/>
      </c>
      <c r="T244">
        <f>HYPERLINK("https://klasma.github.io/Logging_2184/kartor/A 39528-2021 karta.png", "A 39528-2021")</f>
        <v/>
      </c>
      <c r="U244">
        <f>HYPERLINK("https://klasma.github.io/Logging_2184/knärot/A 39528-2021 karta knärot.png", "A 39528-2021")</f>
        <v/>
      </c>
      <c r="V244">
        <f>HYPERLINK("https://klasma.github.io/Logging_2184/klagomål/A 39528-2021 FSC-klagomål.docx", "A 39528-2021")</f>
        <v/>
      </c>
      <c r="W244">
        <f>HYPERLINK("https://klasma.github.io/Logging_2184/klagomålsmail/A 39528-2021 FSC-klagomål mail.docx", "A 39528-2021")</f>
        <v/>
      </c>
      <c r="X244">
        <f>HYPERLINK("https://klasma.github.io/Logging_2184/tillsyn/A 39528-2021 tillsynsbegäran.docx", "A 39528-2021")</f>
        <v/>
      </c>
      <c r="Y244">
        <f>HYPERLINK("https://klasma.github.io/Logging_2184/tillsynsmail/A 39528-2021 tillsynsbegäran mail.docx", "A 39528-2021")</f>
        <v/>
      </c>
    </row>
    <row r="245" ht="15" customHeight="1">
      <c r="A245" t="inlineStr">
        <is>
          <t>A 43259-2021</t>
        </is>
      </c>
      <c r="B245" s="1" t="n">
        <v>44432</v>
      </c>
      <c r="C245" s="1" t="n">
        <v>45587</v>
      </c>
      <c r="D245" t="inlineStr">
        <is>
          <t>GÄVLEBORGS LÄN</t>
        </is>
      </c>
      <c r="E245" t="inlineStr">
        <is>
          <t>BOLLNÄS</t>
        </is>
      </c>
      <c r="G245" t="n">
        <v>3.8</v>
      </c>
      <c r="H245" t="n">
        <v>1</v>
      </c>
      <c r="I245" t="n">
        <v>1</v>
      </c>
      <c r="J245" t="n">
        <v>0</v>
      </c>
      <c r="K245" t="n">
        <v>1</v>
      </c>
      <c r="L245" t="n">
        <v>0</v>
      </c>
      <c r="M245" t="n">
        <v>0</v>
      </c>
      <c r="N245" t="n">
        <v>0</v>
      </c>
      <c r="O245" t="n">
        <v>1</v>
      </c>
      <c r="P245" t="n">
        <v>1</v>
      </c>
      <c r="Q245" t="n">
        <v>2</v>
      </c>
      <c r="R245" s="2" t="inlineStr">
        <is>
          <t>Knärot
Grönpyrola</t>
        </is>
      </c>
      <c r="S245">
        <f>HYPERLINK("https://klasma.github.io/Logging_2183/artfynd/A 43259-2021 artfynd.xlsx", "A 43259-2021")</f>
        <v/>
      </c>
      <c r="T245">
        <f>HYPERLINK("https://klasma.github.io/Logging_2183/kartor/A 43259-2021 karta.png", "A 43259-2021")</f>
        <v/>
      </c>
      <c r="U245">
        <f>HYPERLINK("https://klasma.github.io/Logging_2183/knärot/A 43259-2021 karta knärot.png", "A 43259-2021")</f>
        <v/>
      </c>
      <c r="V245">
        <f>HYPERLINK("https://klasma.github.io/Logging_2183/klagomål/A 43259-2021 FSC-klagomål.docx", "A 43259-2021")</f>
        <v/>
      </c>
      <c r="W245">
        <f>HYPERLINK("https://klasma.github.io/Logging_2183/klagomålsmail/A 43259-2021 FSC-klagomål mail.docx", "A 43259-2021")</f>
        <v/>
      </c>
      <c r="X245">
        <f>HYPERLINK("https://klasma.github.io/Logging_2183/tillsyn/A 43259-2021 tillsynsbegäran.docx", "A 43259-2021")</f>
        <v/>
      </c>
      <c r="Y245">
        <f>HYPERLINK("https://klasma.github.io/Logging_2183/tillsynsmail/A 43259-2021 tillsynsbegäran mail.docx", "A 43259-2021")</f>
        <v/>
      </c>
    </row>
    <row r="246" ht="15" customHeight="1">
      <c r="A246" t="inlineStr">
        <is>
          <t>A 44692-2021</t>
        </is>
      </c>
      <c r="B246" s="1" t="n">
        <v>44438</v>
      </c>
      <c r="C246" s="1" t="n">
        <v>45587</v>
      </c>
      <c r="D246" t="inlineStr">
        <is>
          <t>GÄVLEBORGS LÄN</t>
        </is>
      </c>
      <c r="E246" t="inlineStr">
        <is>
          <t>LJUSDAL</t>
        </is>
      </c>
      <c r="F246" t="inlineStr">
        <is>
          <t>Sveaskog</t>
        </is>
      </c>
      <c r="G246" t="n">
        <v>2.5</v>
      </c>
      <c r="H246" t="n">
        <v>0</v>
      </c>
      <c r="I246" t="n">
        <v>0</v>
      </c>
      <c r="J246" t="n">
        <v>2</v>
      </c>
      <c r="K246" t="n">
        <v>0</v>
      </c>
      <c r="L246" t="n">
        <v>0</v>
      </c>
      <c r="M246" t="n">
        <v>0</v>
      </c>
      <c r="N246" t="n">
        <v>0</v>
      </c>
      <c r="O246" t="n">
        <v>2</v>
      </c>
      <c r="P246" t="n">
        <v>0</v>
      </c>
      <c r="Q246" t="n">
        <v>2</v>
      </c>
      <c r="R246" s="2" t="inlineStr">
        <is>
          <t>Kolflarnlav
Lunglav</t>
        </is>
      </c>
      <c r="S246">
        <f>HYPERLINK("https://klasma.github.io/Logging_2161/artfynd/A 44692-2021 artfynd.xlsx", "A 44692-2021")</f>
        <v/>
      </c>
      <c r="T246">
        <f>HYPERLINK("https://klasma.github.io/Logging_2161/kartor/A 44692-2021 karta.png", "A 44692-2021")</f>
        <v/>
      </c>
      <c r="V246">
        <f>HYPERLINK("https://klasma.github.io/Logging_2161/klagomål/A 44692-2021 FSC-klagomål.docx", "A 44692-2021")</f>
        <v/>
      </c>
      <c r="W246">
        <f>HYPERLINK("https://klasma.github.io/Logging_2161/klagomålsmail/A 44692-2021 FSC-klagomål mail.docx", "A 44692-2021")</f>
        <v/>
      </c>
      <c r="X246">
        <f>HYPERLINK("https://klasma.github.io/Logging_2161/tillsyn/A 44692-2021 tillsynsbegäran.docx", "A 44692-2021")</f>
        <v/>
      </c>
      <c r="Y246">
        <f>HYPERLINK("https://klasma.github.io/Logging_2161/tillsynsmail/A 44692-2021 tillsynsbegäran mail.docx", "A 44692-2021")</f>
        <v/>
      </c>
    </row>
    <row r="247" ht="15" customHeight="1">
      <c r="A247" t="inlineStr">
        <is>
          <t>A 47483-2021</t>
        </is>
      </c>
      <c r="B247" s="1" t="n">
        <v>44447</v>
      </c>
      <c r="C247" s="1" t="n">
        <v>45587</v>
      </c>
      <c r="D247" t="inlineStr">
        <is>
          <t>GÄVLEBORGS LÄN</t>
        </is>
      </c>
      <c r="E247" t="inlineStr">
        <is>
          <t>HOFORS</t>
        </is>
      </c>
      <c r="G247" t="n">
        <v>6.9</v>
      </c>
      <c r="H247" t="n">
        <v>1</v>
      </c>
      <c r="I247" t="n">
        <v>1</v>
      </c>
      <c r="J247" t="n">
        <v>0</v>
      </c>
      <c r="K247" t="n">
        <v>1</v>
      </c>
      <c r="L247" t="n">
        <v>0</v>
      </c>
      <c r="M247" t="n">
        <v>0</v>
      </c>
      <c r="N247" t="n">
        <v>0</v>
      </c>
      <c r="O247" t="n">
        <v>1</v>
      </c>
      <c r="P247" t="n">
        <v>1</v>
      </c>
      <c r="Q247" t="n">
        <v>2</v>
      </c>
      <c r="R247" s="2" t="inlineStr">
        <is>
          <t>Knärot
Mindre märgborre</t>
        </is>
      </c>
      <c r="S247">
        <f>HYPERLINK("https://klasma.github.io/Logging_2104/artfynd/A 47483-2021 artfynd.xlsx", "A 47483-2021")</f>
        <v/>
      </c>
      <c r="T247">
        <f>HYPERLINK("https://klasma.github.io/Logging_2104/kartor/A 47483-2021 karta.png", "A 47483-2021")</f>
        <v/>
      </c>
      <c r="U247">
        <f>HYPERLINK("https://klasma.github.io/Logging_2104/knärot/A 47483-2021 karta knärot.png", "A 47483-2021")</f>
        <v/>
      </c>
      <c r="V247">
        <f>HYPERLINK("https://klasma.github.io/Logging_2104/klagomål/A 47483-2021 FSC-klagomål.docx", "A 47483-2021")</f>
        <v/>
      </c>
      <c r="W247">
        <f>HYPERLINK("https://klasma.github.io/Logging_2104/klagomålsmail/A 47483-2021 FSC-klagomål mail.docx", "A 47483-2021")</f>
        <v/>
      </c>
      <c r="X247">
        <f>HYPERLINK("https://klasma.github.io/Logging_2104/tillsyn/A 47483-2021 tillsynsbegäran.docx", "A 47483-2021")</f>
        <v/>
      </c>
      <c r="Y247">
        <f>HYPERLINK("https://klasma.github.io/Logging_2104/tillsynsmail/A 47483-2021 tillsynsbegäran mail.docx", "A 47483-2021")</f>
        <v/>
      </c>
    </row>
    <row r="248" ht="15" customHeight="1">
      <c r="A248" t="inlineStr">
        <is>
          <t>A 72433-2021</t>
        </is>
      </c>
      <c r="B248" s="1" t="n">
        <v>44545</v>
      </c>
      <c r="C248" s="1" t="n">
        <v>45587</v>
      </c>
      <c r="D248" t="inlineStr">
        <is>
          <t>GÄVLEBORGS LÄN</t>
        </is>
      </c>
      <c r="E248" t="inlineStr">
        <is>
          <t>NORDANSTIG</t>
        </is>
      </c>
      <c r="G248" t="n">
        <v>6.1</v>
      </c>
      <c r="H248" t="n">
        <v>2</v>
      </c>
      <c r="I248" t="n">
        <v>0</v>
      </c>
      <c r="J248" t="n">
        <v>1</v>
      </c>
      <c r="K248" t="n">
        <v>0</v>
      </c>
      <c r="L248" t="n">
        <v>0</v>
      </c>
      <c r="M248" t="n">
        <v>0</v>
      </c>
      <c r="N248" t="n">
        <v>0</v>
      </c>
      <c r="O248" t="n">
        <v>1</v>
      </c>
      <c r="P248" t="n">
        <v>0</v>
      </c>
      <c r="Q248" t="n">
        <v>2</v>
      </c>
      <c r="R248" s="2" t="inlineStr">
        <is>
          <t>Järpe
Grönsiska</t>
        </is>
      </c>
      <c r="S248">
        <f>HYPERLINK("https://klasma.github.io/Logging_2132/artfynd/A 72433-2021 artfynd.xlsx", "A 72433-2021")</f>
        <v/>
      </c>
      <c r="T248">
        <f>HYPERLINK("https://klasma.github.io/Logging_2132/kartor/A 72433-2021 karta.png", "A 72433-2021")</f>
        <v/>
      </c>
      <c r="V248">
        <f>HYPERLINK("https://klasma.github.io/Logging_2132/klagomål/A 72433-2021 FSC-klagomål.docx", "A 72433-2021")</f>
        <v/>
      </c>
      <c r="W248">
        <f>HYPERLINK("https://klasma.github.io/Logging_2132/klagomålsmail/A 72433-2021 FSC-klagomål mail.docx", "A 72433-2021")</f>
        <v/>
      </c>
      <c r="X248">
        <f>HYPERLINK("https://klasma.github.io/Logging_2132/tillsyn/A 72433-2021 tillsynsbegäran.docx", "A 72433-2021")</f>
        <v/>
      </c>
      <c r="Y248">
        <f>HYPERLINK("https://klasma.github.io/Logging_2132/tillsynsmail/A 72433-2021 tillsynsbegäran mail.docx", "A 72433-2021")</f>
        <v/>
      </c>
      <c r="Z248">
        <f>HYPERLINK("https://klasma.github.io/Logging_2132/fåglar/A 72433-2021 prioriterade fågelarter.docx", "A 72433-2021")</f>
        <v/>
      </c>
    </row>
    <row r="249" ht="15" customHeight="1">
      <c r="A249" t="inlineStr">
        <is>
          <t>A 13026-2022</t>
        </is>
      </c>
      <c r="B249" s="1" t="n">
        <v>44643</v>
      </c>
      <c r="C249" s="1" t="n">
        <v>45587</v>
      </c>
      <c r="D249" t="inlineStr">
        <is>
          <t>GÄVLEBORGS LÄN</t>
        </is>
      </c>
      <c r="E249" t="inlineStr">
        <is>
          <t>NORDANSTIG</t>
        </is>
      </c>
      <c r="G249" t="n">
        <v>17.3</v>
      </c>
      <c r="H249" t="n">
        <v>1</v>
      </c>
      <c r="I249" t="n">
        <v>0</v>
      </c>
      <c r="J249" t="n">
        <v>2</v>
      </c>
      <c r="K249" t="n">
        <v>0</v>
      </c>
      <c r="L249" t="n">
        <v>0</v>
      </c>
      <c r="M249" t="n">
        <v>0</v>
      </c>
      <c r="N249" t="n">
        <v>0</v>
      </c>
      <c r="O249" t="n">
        <v>2</v>
      </c>
      <c r="P249" t="n">
        <v>0</v>
      </c>
      <c r="Q249" t="n">
        <v>2</v>
      </c>
      <c r="R249" s="2" t="inlineStr">
        <is>
          <t>Garnlav
Talltita</t>
        </is>
      </c>
      <c r="S249">
        <f>HYPERLINK("https://klasma.github.io/Logging_2132/artfynd/A 13026-2022 artfynd.xlsx", "A 13026-2022")</f>
        <v/>
      </c>
      <c r="T249">
        <f>HYPERLINK("https://klasma.github.io/Logging_2132/kartor/A 13026-2022 karta.png", "A 13026-2022")</f>
        <v/>
      </c>
      <c r="V249">
        <f>HYPERLINK("https://klasma.github.io/Logging_2132/klagomål/A 13026-2022 FSC-klagomål.docx", "A 13026-2022")</f>
        <v/>
      </c>
      <c r="W249">
        <f>HYPERLINK("https://klasma.github.io/Logging_2132/klagomålsmail/A 13026-2022 FSC-klagomål mail.docx", "A 13026-2022")</f>
        <v/>
      </c>
      <c r="X249">
        <f>HYPERLINK("https://klasma.github.io/Logging_2132/tillsyn/A 13026-2022 tillsynsbegäran.docx", "A 13026-2022")</f>
        <v/>
      </c>
      <c r="Y249">
        <f>HYPERLINK("https://klasma.github.io/Logging_2132/tillsynsmail/A 13026-2022 tillsynsbegäran mail.docx", "A 13026-2022")</f>
        <v/>
      </c>
      <c r="Z249">
        <f>HYPERLINK("https://klasma.github.io/Logging_2132/fåglar/A 13026-2022 prioriterade fågelarter.docx", "A 13026-2022")</f>
        <v/>
      </c>
    </row>
    <row r="250" ht="15" customHeight="1">
      <c r="A250" t="inlineStr">
        <is>
          <t>A 23866-2022</t>
        </is>
      </c>
      <c r="B250" s="1" t="n">
        <v>44722</v>
      </c>
      <c r="C250" s="1" t="n">
        <v>45587</v>
      </c>
      <c r="D250" t="inlineStr">
        <is>
          <t>GÄVLEBORGS LÄN</t>
        </is>
      </c>
      <c r="E250" t="inlineStr">
        <is>
          <t>LJUSDAL</t>
        </is>
      </c>
      <c r="F250" t="inlineStr">
        <is>
          <t>Sveaskog</t>
        </is>
      </c>
      <c r="G250" t="n">
        <v>2.5</v>
      </c>
      <c r="H250" t="n">
        <v>1</v>
      </c>
      <c r="I250" t="n">
        <v>0</v>
      </c>
      <c r="J250" t="n">
        <v>1</v>
      </c>
      <c r="K250" t="n">
        <v>1</v>
      </c>
      <c r="L250" t="n">
        <v>0</v>
      </c>
      <c r="M250" t="n">
        <v>0</v>
      </c>
      <c r="N250" t="n">
        <v>0</v>
      </c>
      <c r="O250" t="n">
        <v>2</v>
      </c>
      <c r="P250" t="n">
        <v>1</v>
      </c>
      <c r="Q250" t="n">
        <v>2</v>
      </c>
      <c r="R250" s="2" t="inlineStr">
        <is>
          <t>Knärot
Lunglav</t>
        </is>
      </c>
      <c r="S250">
        <f>HYPERLINK("https://klasma.github.io/Logging_2161/artfynd/A 23866-2022 artfynd.xlsx", "A 23866-2022")</f>
        <v/>
      </c>
      <c r="T250">
        <f>HYPERLINK("https://klasma.github.io/Logging_2161/kartor/A 23866-2022 karta.png", "A 23866-2022")</f>
        <v/>
      </c>
      <c r="U250">
        <f>HYPERLINK("https://klasma.github.io/Logging_2161/knärot/A 23866-2022 karta knärot.png", "A 23866-2022")</f>
        <v/>
      </c>
      <c r="V250">
        <f>HYPERLINK("https://klasma.github.io/Logging_2161/klagomål/A 23866-2022 FSC-klagomål.docx", "A 23866-2022")</f>
        <v/>
      </c>
      <c r="W250">
        <f>HYPERLINK("https://klasma.github.io/Logging_2161/klagomålsmail/A 23866-2022 FSC-klagomål mail.docx", "A 23866-2022")</f>
        <v/>
      </c>
      <c r="X250">
        <f>HYPERLINK("https://klasma.github.io/Logging_2161/tillsyn/A 23866-2022 tillsynsbegäran.docx", "A 23866-2022")</f>
        <v/>
      </c>
      <c r="Y250">
        <f>HYPERLINK("https://klasma.github.io/Logging_2161/tillsynsmail/A 23866-2022 tillsynsbegäran mail.docx", "A 23866-2022")</f>
        <v/>
      </c>
    </row>
    <row r="251" ht="15" customHeight="1">
      <c r="A251" t="inlineStr">
        <is>
          <t>A 27216-2022</t>
        </is>
      </c>
      <c r="B251" s="1" t="n">
        <v>44741</v>
      </c>
      <c r="C251" s="1" t="n">
        <v>45587</v>
      </c>
      <c r="D251" t="inlineStr">
        <is>
          <t>GÄVLEBORGS LÄN</t>
        </is>
      </c>
      <c r="E251" t="inlineStr">
        <is>
          <t>HOFORS</t>
        </is>
      </c>
      <c r="F251" t="inlineStr">
        <is>
          <t>Sveaskog</t>
        </is>
      </c>
      <c r="G251" t="n">
        <v>6.4</v>
      </c>
      <c r="H251" t="n">
        <v>2</v>
      </c>
      <c r="I251" t="n">
        <v>1</v>
      </c>
      <c r="J251" t="n">
        <v>0</v>
      </c>
      <c r="K251" t="n">
        <v>0</v>
      </c>
      <c r="L251" t="n">
        <v>0</v>
      </c>
      <c r="M251" t="n">
        <v>0</v>
      </c>
      <c r="N251" t="n">
        <v>0</v>
      </c>
      <c r="O251" t="n">
        <v>0</v>
      </c>
      <c r="P251" t="n">
        <v>0</v>
      </c>
      <c r="Q251" t="n">
        <v>2</v>
      </c>
      <c r="R251" s="2" t="inlineStr">
        <is>
          <t>Plattlummer
Revlummer</t>
        </is>
      </c>
      <c r="S251">
        <f>HYPERLINK("https://klasma.github.io/Logging_2104/artfynd/A 27216-2022 artfynd.xlsx", "A 27216-2022")</f>
        <v/>
      </c>
      <c r="T251">
        <f>HYPERLINK("https://klasma.github.io/Logging_2104/kartor/A 27216-2022 karta.png", "A 27216-2022")</f>
        <v/>
      </c>
      <c r="V251">
        <f>HYPERLINK("https://klasma.github.io/Logging_2104/klagomål/A 27216-2022 FSC-klagomål.docx", "A 27216-2022")</f>
        <v/>
      </c>
      <c r="W251">
        <f>HYPERLINK("https://klasma.github.io/Logging_2104/klagomålsmail/A 27216-2022 FSC-klagomål mail.docx", "A 27216-2022")</f>
        <v/>
      </c>
      <c r="X251">
        <f>HYPERLINK("https://klasma.github.io/Logging_2104/tillsyn/A 27216-2022 tillsynsbegäran.docx", "A 27216-2022")</f>
        <v/>
      </c>
      <c r="Y251">
        <f>HYPERLINK("https://klasma.github.io/Logging_2104/tillsynsmail/A 27216-2022 tillsynsbegäran mail.docx", "A 27216-2022")</f>
        <v/>
      </c>
    </row>
    <row r="252" ht="15" customHeight="1">
      <c r="A252" t="inlineStr">
        <is>
          <t>A 29206-2022</t>
        </is>
      </c>
      <c r="B252" s="1" t="n">
        <v>44750</v>
      </c>
      <c r="C252" s="1" t="n">
        <v>45587</v>
      </c>
      <c r="D252" t="inlineStr">
        <is>
          <t>GÄVLEBORGS LÄN</t>
        </is>
      </c>
      <c r="E252" t="inlineStr">
        <is>
          <t>HUDIKSVALL</t>
        </is>
      </c>
      <c r="F252" t="inlineStr">
        <is>
          <t>Holmen skog AB</t>
        </is>
      </c>
      <c r="G252" t="n">
        <v>1.6</v>
      </c>
      <c r="H252" t="n">
        <v>1</v>
      </c>
      <c r="I252" t="n">
        <v>1</v>
      </c>
      <c r="J252" t="n">
        <v>0</v>
      </c>
      <c r="K252" t="n">
        <v>0</v>
      </c>
      <c r="L252" t="n">
        <v>0</v>
      </c>
      <c r="M252" t="n">
        <v>0</v>
      </c>
      <c r="N252" t="n">
        <v>0</v>
      </c>
      <c r="O252" t="n">
        <v>0</v>
      </c>
      <c r="P252" t="n">
        <v>0</v>
      </c>
      <c r="Q252" t="n">
        <v>2</v>
      </c>
      <c r="R252" s="2" t="inlineStr">
        <is>
          <t>Skinnlav
Revlummer</t>
        </is>
      </c>
      <c r="S252">
        <f>HYPERLINK("https://klasma.github.io/Logging_2184/artfynd/A 29206-2022 artfynd.xlsx", "A 29206-2022")</f>
        <v/>
      </c>
      <c r="T252">
        <f>HYPERLINK("https://klasma.github.io/Logging_2184/kartor/A 29206-2022 karta.png", "A 29206-2022")</f>
        <v/>
      </c>
      <c r="V252">
        <f>HYPERLINK("https://klasma.github.io/Logging_2184/klagomål/A 29206-2022 FSC-klagomål.docx", "A 29206-2022")</f>
        <v/>
      </c>
      <c r="W252">
        <f>HYPERLINK("https://klasma.github.io/Logging_2184/klagomålsmail/A 29206-2022 FSC-klagomål mail.docx", "A 29206-2022")</f>
        <v/>
      </c>
      <c r="X252">
        <f>HYPERLINK("https://klasma.github.io/Logging_2184/tillsyn/A 29206-2022 tillsynsbegäran.docx", "A 29206-2022")</f>
        <v/>
      </c>
      <c r="Y252">
        <f>HYPERLINK("https://klasma.github.io/Logging_2184/tillsynsmail/A 29206-2022 tillsynsbegäran mail.docx", "A 29206-2022")</f>
        <v/>
      </c>
    </row>
    <row r="253" ht="15" customHeight="1">
      <c r="A253" t="inlineStr">
        <is>
          <t>A 34503-2022</t>
        </is>
      </c>
      <c r="B253" s="1" t="n">
        <v>44792</v>
      </c>
      <c r="C253" s="1" t="n">
        <v>45587</v>
      </c>
      <c r="D253" t="inlineStr">
        <is>
          <t>GÄVLEBORGS LÄN</t>
        </is>
      </c>
      <c r="E253" t="inlineStr">
        <is>
          <t>LJUSDAL</t>
        </is>
      </c>
      <c r="F253" t="inlineStr">
        <is>
          <t>Sveaskog</t>
        </is>
      </c>
      <c r="G253" t="n">
        <v>12.5</v>
      </c>
      <c r="H253" t="n">
        <v>0</v>
      </c>
      <c r="I253" t="n">
        <v>0</v>
      </c>
      <c r="J253" t="n">
        <v>2</v>
      </c>
      <c r="K253" t="n">
        <v>0</v>
      </c>
      <c r="L253" t="n">
        <v>0</v>
      </c>
      <c r="M253" t="n">
        <v>0</v>
      </c>
      <c r="N253" t="n">
        <v>0</v>
      </c>
      <c r="O253" t="n">
        <v>2</v>
      </c>
      <c r="P253" t="n">
        <v>0</v>
      </c>
      <c r="Q253" t="n">
        <v>2</v>
      </c>
      <c r="R253" s="2" t="inlineStr">
        <is>
          <t>Lunglav
Skrovellav</t>
        </is>
      </c>
      <c r="S253">
        <f>HYPERLINK("https://klasma.github.io/Logging_2161/artfynd/A 34503-2022 artfynd.xlsx", "A 34503-2022")</f>
        <v/>
      </c>
      <c r="T253">
        <f>HYPERLINK("https://klasma.github.io/Logging_2161/kartor/A 34503-2022 karta.png", "A 34503-2022")</f>
        <v/>
      </c>
      <c r="V253">
        <f>HYPERLINK("https://klasma.github.io/Logging_2161/klagomål/A 34503-2022 FSC-klagomål.docx", "A 34503-2022")</f>
        <v/>
      </c>
      <c r="W253">
        <f>HYPERLINK("https://klasma.github.io/Logging_2161/klagomålsmail/A 34503-2022 FSC-klagomål mail.docx", "A 34503-2022")</f>
        <v/>
      </c>
      <c r="X253">
        <f>HYPERLINK("https://klasma.github.io/Logging_2161/tillsyn/A 34503-2022 tillsynsbegäran.docx", "A 34503-2022")</f>
        <v/>
      </c>
      <c r="Y253">
        <f>HYPERLINK("https://klasma.github.io/Logging_2161/tillsynsmail/A 34503-2022 tillsynsbegäran mail.docx", "A 34503-2022")</f>
        <v/>
      </c>
    </row>
    <row r="254" ht="15" customHeight="1">
      <c r="A254" t="inlineStr">
        <is>
          <t>A 35588-2022</t>
        </is>
      </c>
      <c r="B254" s="1" t="n">
        <v>44799</v>
      </c>
      <c r="C254" s="1" t="n">
        <v>45587</v>
      </c>
      <c r="D254" t="inlineStr">
        <is>
          <t>GÄVLEBORGS LÄN</t>
        </is>
      </c>
      <c r="E254" t="inlineStr">
        <is>
          <t>LJUSDAL</t>
        </is>
      </c>
      <c r="F254" t="inlineStr">
        <is>
          <t>Sveaskog</t>
        </is>
      </c>
      <c r="G254" t="n">
        <v>3.4</v>
      </c>
      <c r="H254" t="n">
        <v>0</v>
      </c>
      <c r="I254" t="n">
        <v>0</v>
      </c>
      <c r="J254" t="n">
        <v>2</v>
      </c>
      <c r="K254" t="n">
        <v>0</v>
      </c>
      <c r="L254" t="n">
        <v>0</v>
      </c>
      <c r="M254" t="n">
        <v>0</v>
      </c>
      <c r="N254" t="n">
        <v>0</v>
      </c>
      <c r="O254" t="n">
        <v>2</v>
      </c>
      <c r="P254" t="n">
        <v>0</v>
      </c>
      <c r="Q254" t="n">
        <v>2</v>
      </c>
      <c r="R254" s="2" t="inlineStr">
        <is>
          <t>Garnlav
Lunglav</t>
        </is>
      </c>
      <c r="S254">
        <f>HYPERLINK("https://klasma.github.io/Logging_2161/artfynd/A 35588-2022 artfynd.xlsx", "A 35588-2022")</f>
        <v/>
      </c>
      <c r="T254">
        <f>HYPERLINK("https://klasma.github.io/Logging_2161/kartor/A 35588-2022 karta.png", "A 35588-2022")</f>
        <v/>
      </c>
      <c r="V254">
        <f>HYPERLINK("https://klasma.github.io/Logging_2161/klagomål/A 35588-2022 FSC-klagomål.docx", "A 35588-2022")</f>
        <v/>
      </c>
      <c r="W254">
        <f>HYPERLINK("https://klasma.github.io/Logging_2161/klagomålsmail/A 35588-2022 FSC-klagomål mail.docx", "A 35588-2022")</f>
        <v/>
      </c>
      <c r="X254">
        <f>HYPERLINK("https://klasma.github.io/Logging_2161/tillsyn/A 35588-2022 tillsynsbegäran.docx", "A 35588-2022")</f>
        <v/>
      </c>
      <c r="Y254">
        <f>HYPERLINK("https://klasma.github.io/Logging_2161/tillsynsmail/A 35588-2022 tillsynsbegäran mail.docx", "A 35588-2022")</f>
        <v/>
      </c>
    </row>
    <row r="255" ht="15" customHeight="1">
      <c r="A255" t="inlineStr">
        <is>
          <t>A 37123-2022</t>
        </is>
      </c>
      <c r="B255" s="1" t="n">
        <v>44806</v>
      </c>
      <c r="C255" s="1" t="n">
        <v>45587</v>
      </c>
      <c r="D255" t="inlineStr">
        <is>
          <t>GÄVLEBORGS LÄN</t>
        </is>
      </c>
      <c r="E255" t="inlineStr">
        <is>
          <t>NORDANSTIG</t>
        </is>
      </c>
      <c r="G255" t="n">
        <v>4.5</v>
      </c>
      <c r="H255" t="n">
        <v>2</v>
      </c>
      <c r="I255" t="n">
        <v>0</v>
      </c>
      <c r="J255" t="n">
        <v>0</v>
      </c>
      <c r="K255" t="n">
        <v>0</v>
      </c>
      <c r="L255" t="n">
        <v>0</v>
      </c>
      <c r="M255" t="n">
        <v>0</v>
      </c>
      <c r="N255" t="n">
        <v>0</v>
      </c>
      <c r="O255" t="n">
        <v>0</v>
      </c>
      <c r="P255" t="n">
        <v>0</v>
      </c>
      <c r="Q255" t="n">
        <v>2</v>
      </c>
      <c r="R255" s="2" t="inlineStr">
        <is>
          <t>Fläcknycklar
Revlummer</t>
        </is>
      </c>
      <c r="S255">
        <f>HYPERLINK("https://klasma.github.io/Logging_2132/artfynd/A 37123-2022 artfynd.xlsx", "A 37123-2022")</f>
        <v/>
      </c>
      <c r="T255">
        <f>HYPERLINK("https://klasma.github.io/Logging_2132/kartor/A 37123-2022 karta.png", "A 37123-2022")</f>
        <v/>
      </c>
      <c r="V255">
        <f>HYPERLINK("https://klasma.github.io/Logging_2132/klagomål/A 37123-2022 FSC-klagomål.docx", "A 37123-2022")</f>
        <v/>
      </c>
      <c r="W255">
        <f>HYPERLINK("https://klasma.github.io/Logging_2132/klagomålsmail/A 37123-2022 FSC-klagomål mail.docx", "A 37123-2022")</f>
        <v/>
      </c>
      <c r="X255">
        <f>HYPERLINK("https://klasma.github.io/Logging_2132/tillsyn/A 37123-2022 tillsynsbegäran.docx", "A 37123-2022")</f>
        <v/>
      </c>
      <c r="Y255">
        <f>HYPERLINK("https://klasma.github.io/Logging_2132/tillsynsmail/A 37123-2022 tillsynsbegäran mail.docx", "A 37123-2022")</f>
        <v/>
      </c>
    </row>
    <row r="256" ht="15" customHeight="1">
      <c r="A256" t="inlineStr">
        <is>
          <t>A 38855-2022</t>
        </is>
      </c>
      <c r="B256" s="1" t="n">
        <v>44816</v>
      </c>
      <c r="C256" s="1" t="n">
        <v>45587</v>
      </c>
      <c r="D256" t="inlineStr">
        <is>
          <t>GÄVLEBORGS LÄN</t>
        </is>
      </c>
      <c r="E256" t="inlineStr">
        <is>
          <t>HOFORS</t>
        </is>
      </c>
      <c r="G256" t="n">
        <v>7.1</v>
      </c>
      <c r="H256" t="n">
        <v>2</v>
      </c>
      <c r="I256" t="n">
        <v>0</v>
      </c>
      <c r="J256" t="n">
        <v>0</v>
      </c>
      <c r="K256" t="n">
        <v>1</v>
      </c>
      <c r="L256" t="n">
        <v>0</v>
      </c>
      <c r="M256" t="n">
        <v>0</v>
      </c>
      <c r="N256" t="n">
        <v>0</v>
      </c>
      <c r="O256" t="n">
        <v>1</v>
      </c>
      <c r="P256" t="n">
        <v>1</v>
      </c>
      <c r="Q256" t="n">
        <v>2</v>
      </c>
      <c r="R256" s="2" t="inlineStr">
        <is>
          <t>Knärot
Blåsippa</t>
        </is>
      </c>
      <c r="S256">
        <f>HYPERLINK("https://klasma.github.io/Logging_2104/artfynd/A 38855-2022 artfynd.xlsx", "A 38855-2022")</f>
        <v/>
      </c>
      <c r="T256">
        <f>HYPERLINK("https://klasma.github.io/Logging_2104/kartor/A 38855-2022 karta.png", "A 38855-2022")</f>
        <v/>
      </c>
      <c r="U256">
        <f>HYPERLINK("https://klasma.github.io/Logging_2104/knärot/A 38855-2022 karta knärot.png", "A 38855-2022")</f>
        <v/>
      </c>
      <c r="V256">
        <f>HYPERLINK("https://klasma.github.io/Logging_2104/klagomål/A 38855-2022 FSC-klagomål.docx", "A 38855-2022")</f>
        <v/>
      </c>
      <c r="W256">
        <f>HYPERLINK("https://klasma.github.io/Logging_2104/klagomålsmail/A 38855-2022 FSC-klagomål mail.docx", "A 38855-2022")</f>
        <v/>
      </c>
      <c r="X256">
        <f>HYPERLINK("https://klasma.github.io/Logging_2104/tillsyn/A 38855-2022 tillsynsbegäran.docx", "A 38855-2022")</f>
        <v/>
      </c>
      <c r="Y256">
        <f>HYPERLINK("https://klasma.github.io/Logging_2104/tillsynsmail/A 38855-2022 tillsynsbegäran mail.docx", "A 38855-2022")</f>
        <v/>
      </c>
    </row>
    <row r="257" ht="15" customHeight="1">
      <c r="A257" t="inlineStr">
        <is>
          <t>A 38862-2022</t>
        </is>
      </c>
      <c r="B257" s="1" t="n">
        <v>44816</v>
      </c>
      <c r="C257" s="1" t="n">
        <v>45587</v>
      </c>
      <c r="D257" t="inlineStr">
        <is>
          <t>GÄVLEBORGS LÄN</t>
        </is>
      </c>
      <c r="E257" t="inlineStr">
        <is>
          <t>HOFORS</t>
        </is>
      </c>
      <c r="G257" t="n">
        <v>5.1</v>
      </c>
      <c r="H257" t="n">
        <v>1</v>
      </c>
      <c r="I257" t="n">
        <v>1</v>
      </c>
      <c r="J257" t="n">
        <v>1</v>
      </c>
      <c r="K257" t="n">
        <v>0</v>
      </c>
      <c r="L257" t="n">
        <v>0</v>
      </c>
      <c r="M257" t="n">
        <v>0</v>
      </c>
      <c r="N257" t="n">
        <v>0</v>
      </c>
      <c r="O257" t="n">
        <v>1</v>
      </c>
      <c r="P257" t="n">
        <v>0</v>
      </c>
      <c r="Q257" t="n">
        <v>2</v>
      </c>
      <c r="R257" s="2" t="inlineStr">
        <is>
          <t>Spillkråka
Jättesvampmal</t>
        </is>
      </c>
      <c r="S257">
        <f>HYPERLINK("https://klasma.github.io/Logging_2104/artfynd/A 38862-2022 artfynd.xlsx", "A 38862-2022")</f>
        <v/>
      </c>
      <c r="T257">
        <f>HYPERLINK("https://klasma.github.io/Logging_2104/kartor/A 38862-2022 karta.png", "A 38862-2022")</f>
        <v/>
      </c>
      <c r="V257">
        <f>HYPERLINK("https://klasma.github.io/Logging_2104/klagomål/A 38862-2022 FSC-klagomål.docx", "A 38862-2022")</f>
        <v/>
      </c>
      <c r="W257">
        <f>HYPERLINK("https://klasma.github.io/Logging_2104/klagomålsmail/A 38862-2022 FSC-klagomål mail.docx", "A 38862-2022")</f>
        <v/>
      </c>
      <c r="X257">
        <f>HYPERLINK("https://klasma.github.io/Logging_2104/tillsyn/A 38862-2022 tillsynsbegäran.docx", "A 38862-2022")</f>
        <v/>
      </c>
      <c r="Y257">
        <f>HYPERLINK("https://klasma.github.io/Logging_2104/tillsynsmail/A 38862-2022 tillsynsbegäran mail.docx", "A 38862-2022")</f>
        <v/>
      </c>
      <c r="Z257">
        <f>HYPERLINK("https://klasma.github.io/Logging_2104/fåglar/A 38862-2022 prioriterade fågelarter.docx", "A 38862-2022")</f>
        <v/>
      </c>
    </row>
    <row r="258" ht="15" customHeight="1">
      <c r="A258" t="inlineStr">
        <is>
          <t>A 41214-2022</t>
        </is>
      </c>
      <c r="B258" s="1" t="n">
        <v>44826</v>
      </c>
      <c r="C258" s="1" t="n">
        <v>45587</v>
      </c>
      <c r="D258" t="inlineStr">
        <is>
          <t>GÄVLEBORGS LÄN</t>
        </is>
      </c>
      <c r="E258" t="inlineStr">
        <is>
          <t>LJUSDAL</t>
        </is>
      </c>
      <c r="F258" t="inlineStr">
        <is>
          <t>Sveaskog</t>
        </is>
      </c>
      <c r="G258" t="n">
        <v>6.1</v>
      </c>
      <c r="H258" t="n">
        <v>0</v>
      </c>
      <c r="I258" t="n">
        <v>0</v>
      </c>
      <c r="J258" t="n">
        <v>2</v>
      </c>
      <c r="K258" t="n">
        <v>0</v>
      </c>
      <c r="L258" t="n">
        <v>0</v>
      </c>
      <c r="M258" t="n">
        <v>0</v>
      </c>
      <c r="N258" t="n">
        <v>0</v>
      </c>
      <c r="O258" t="n">
        <v>2</v>
      </c>
      <c r="P258" t="n">
        <v>0</v>
      </c>
      <c r="Q258" t="n">
        <v>2</v>
      </c>
      <c r="R258" s="2" t="inlineStr">
        <is>
          <t>Kolflarnlav
Lunglav</t>
        </is>
      </c>
      <c r="S258">
        <f>HYPERLINK("https://klasma.github.io/Logging_2161/artfynd/A 41214-2022 artfynd.xlsx", "A 41214-2022")</f>
        <v/>
      </c>
      <c r="T258">
        <f>HYPERLINK("https://klasma.github.io/Logging_2161/kartor/A 41214-2022 karta.png", "A 41214-2022")</f>
        <v/>
      </c>
      <c r="V258">
        <f>HYPERLINK("https://klasma.github.io/Logging_2161/klagomål/A 41214-2022 FSC-klagomål.docx", "A 41214-2022")</f>
        <v/>
      </c>
      <c r="W258">
        <f>HYPERLINK("https://klasma.github.io/Logging_2161/klagomålsmail/A 41214-2022 FSC-klagomål mail.docx", "A 41214-2022")</f>
        <v/>
      </c>
      <c r="X258">
        <f>HYPERLINK("https://klasma.github.io/Logging_2161/tillsyn/A 41214-2022 tillsynsbegäran.docx", "A 41214-2022")</f>
        <v/>
      </c>
      <c r="Y258">
        <f>HYPERLINK("https://klasma.github.io/Logging_2161/tillsynsmail/A 41214-2022 tillsynsbegäran mail.docx", "A 41214-2022")</f>
        <v/>
      </c>
    </row>
    <row r="259" ht="15" customHeight="1">
      <c r="A259" t="inlineStr">
        <is>
          <t>A 42203-2022</t>
        </is>
      </c>
      <c r="B259" s="1" t="n">
        <v>44830</v>
      </c>
      <c r="C259" s="1" t="n">
        <v>45587</v>
      </c>
      <c r="D259" t="inlineStr">
        <is>
          <t>GÄVLEBORGS LÄN</t>
        </is>
      </c>
      <c r="E259" t="inlineStr">
        <is>
          <t>HUDIKSVALL</t>
        </is>
      </c>
      <c r="G259" t="n">
        <v>2.3</v>
      </c>
      <c r="H259" t="n">
        <v>2</v>
      </c>
      <c r="I259" t="n">
        <v>0</v>
      </c>
      <c r="J259" t="n">
        <v>0</v>
      </c>
      <c r="K259" t="n">
        <v>0</v>
      </c>
      <c r="L259" t="n">
        <v>0</v>
      </c>
      <c r="M259" t="n">
        <v>0</v>
      </c>
      <c r="N259" t="n">
        <v>0</v>
      </c>
      <c r="O259" t="n">
        <v>0</v>
      </c>
      <c r="P259" t="n">
        <v>0</v>
      </c>
      <c r="Q259" t="n">
        <v>2</v>
      </c>
      <c r="R259" s="2" t="inlineStr">
        <is>
          <t>Fläcknycklar
Revlummer</t>
        </is>
      </c>
      <c r="S259">
        <f>HYPERLINK("https://klasma.github.io/Logging_2184/artfynd/A 42203-2022 artfynd.xlsx", "A 42203-2022")</f>
        <v/>
      </c>
      <c r="T259">
        <f>HYPERLINK("https://klasma.github.io/Logging_2184/kartor/A 42203-2022 karta.png", "A 42203-2022")</f>
        <v/>
      </c>
      <c r="V259">
        <f>HYPERLINK("https://klasma.github.io/Logging_2184/klagomål/A 42203-2022 FSC-klagomål.docx", "A 42203-2022")</f>
        <v/>
      </c>
      <c r="W259">
        <f>HYPERLINK("https://klasma.github.io/Logging_2184/klagomålsmail/A 42203-2022 FSC-klagomål mail.docx", "A 42203-2022")</f>
        <v/>
      </c>
      <c r="X259">
        <f>HYPERLINK("https://klasma.github.io/Logging_2184/tillsyn/A 42203-2022 tillsynsbegäran.docx", "A 42203-2022")</f>
        <v/>
      </c>
      <c r="Y259">
        <f>HYPERLINK("https://klasma.github.io/Logging_2184/tillsynsmail/A 42203-2022 tillsynsbegäran mail.docx", "A 42203-2022")</f>
        <v/>
      </c>
    </row>
    <row r="260" ht="15" customHeight="1">
      <c r="A260" t="inlineStr">
        <is>
          <t>A 44116-2022</t>
        </is>
      </c>
      <c r="B260" s="1" t="n">
        <v>44839</v>
      </c>
      <c r="C260" s="1" t="n">
        <v>45587</v>
      </c>
      <c r="D260" t="inlineStr">
        <is>
          <t>GÄVLEBORGS LÄN</t>
        </is>
      </c>
      <c r="E260" t="inlineStr">
        <is>
          <t>LJUSDAL</t>
        </is>
      </c>
      <c r="F260" t="inlineStr">
        <is>
          <t>Sveaskog</t>
        </is>
      </c>
      <c r="G260" t="n">
        <v>9.199999999999999</v>
      </c>
      <c r="H260" t="n">
        <v>0</v>
      </c>
      <c r="I260" t="n">
        <v>0</v>
      </c>
      <c r="J260" t="n">
        <v>2</v>
      </c>
      <c r="K260" t="n">
        <v>0</v>
      </c>
      <c r="L260" t="n">
        <v>0</v>
      </c>
      <c r="M260" t="n">
        <v>0</v>
      </c>
      <c r="N260" t="n">
        <v>0</v>
      </c>
      <c r="O260" t="n">
        <v>2</v>
      </c>
      <c r="P260" t="n">
        <v>0</v>
      </c>
      <c r="Q260" t="n">
        <v>2</v>
      </c>
      <c r="R260" s="2" t="inlineStr">
        <is>
          <t>Kolflarnlav
Lunglav</t>
        </is>
      </c>
      <c r="S260">
        <f>HYPERLINK("https://klasma.github.io/Logging_2161/artfynd/A 44116-2022 artfynd.xlsx", "A 44116-2022")</f>
        <v/>
      </c>
      <c r="T260">
        <f>HYPERLINK("https://klasma.github.io/Logging_2161/kartor/A 44116-2022 karta.png", "A 44116-2022")</f>
        <v/>
      </c>
      <c r="V260">
        <f>HYPERLINK("https://klasma.github.io/Logging_2161/klagomål/A 44116-2022 FSC-klagomål.docx", "A 44116-2022")</f>
        <v/>
      </c>
      <c r="W260">
        <f>HYPERLINK("https://klasma.github.io/Logging_2161/klagomålsmail/A 44116-2022 FSC-klagomål mail.docx", "A 44116-2022")</f>
        <v/>
      </c>
      <c r="X260">
        <f>HYPERLINK("https://klasma.github.io/Logging_2161/tillsyn/A 44116-2022 tillsynsbegäran.docx", "A 44116-2022")</f>
        <v/>
      </c>
      <c r="Y260">
        <f>HYPERLINK("https://klasma.github.io/Logging_2161/tillsynsmail/A 44116-2022 tillsynsbegäran mail.docx", "A 44116-2022")</f>
        <v/>
      </c>
    </row>
    <row r="261" ht="15" customHeight="1">
      <c r="A261" t="inlineStr">
        <is>
          <t>A 52104-2022</t>
        </is>
      </c>
      <c r="B261" s="1" t="n">
        <v>44873</v>
      </c>
      <c r="C261" s="1" t="n">
        <v>45587</v>
      </c>
      <c r="D261" t="inlineStr">
        <is>
          <t>GÄVLEBORGS LÄN</t>
        </is>
      </c>
      <c r="E261" t="inlineStr">
        <is>
          <t>HUDIKSVALL</t>
        </is>
      </c>
      <c r="F261" t="inlineStr">
        <is>
          <t>Holmen skog AB</t>
        </is>
      </c>
      <c r="G261" t="n">
        <v>3.4</v>
      </c>
      <c r="H261" t="n">
        <v>1</v>
      </c>
      <c r="I261" t="n">
        <v>1</v>
      </c>
      <c r="J261" t="n">
        <v>0</v>
      </c>
      <c r="K261" t="n">
        <v>0</v>
      </c>
      <c r="L261" t="n">
        <v>0</v>
      </c>
      <c r="M261" t="n">
        <v>0</v>
      </c>
      <c r="N261" t="n">
        <v>0</v>
      </c>
      <c r="O261" t="n">
        <v>0</v>
      </c>
      <c r="P261" t="n">
        <v>0</v>
      </c>
      <c r="Q261" t="n">
        <v>2</v>
      </c>
      <c r="R261" s="2" t="inlineStr">
        <is>
          <t>Svart trolldruva
Lopplummer</t>
        </is>
      </c>
      <c r="S261">
        <f>HYPERLINK("https://klasma.github.io/Logging_2184/artfynd/A 52104-2022 artfynd.xlsx", "A 52104-2022")</f>
        <v/>
      </c>
      <c r="T261">
        <f>HYPERLINK("https://klasma.github.io/Logging_2184/kartor/A 52104-2022 karta.png", "A 52104-2022")</f>
        <v/>
      </c>
      <c r="V261">
        <f>HYPERLINK("https://klasma.github.io/Logging_2184/klagomål/A 52104-2022 FSC-klagomål.docx", "A 52104-2022")</f>
        <v/>
      </c>
      <c r="W261">
        <f>HYPERLINK("https://klasma.github.io/Logging_2184/klagomålsmail/A 52104-2022 FSC-klagomål mail.docx", "A 52104-2022")</f>
        <v/>
      </c>
      <c r="X261">
        <f>HYPERLINK("https://klasma.github.io/Logging_2184/tillsyn/A 52104-2022 tillsynsbegäran.docx", "A 52104-2022")</f>
        <v/>
      </c>
      <c r="Y261">
        <f>HYPERLINK("https://klasma.github.io/Logging_2184/tillsynsmail/A 52104-2022 tillsynsbegäran mail.docx", "A 52104-2022")</f>
        <v/>
      </c>
    </row>
    <row r="262" ht="15" customHeight="1">
      <c r="A262" t="inlineStr">
        <is>
          <t>A 54108-2022</t>
        </is>
      </c>
      <c r="B262" s="1" t="n">
        <v>44881</v>
      </c>
      <c r="C262" s="1" t="n">
        <v>45587</v>
      </c>
      <c r="D262" t="inlineStr">
        <is>
          <t>GÄVLEBORGS LÄN</t>
        </is>
      </c>
      <c r="E262" t="inlineStr">
        <is>
          <t>LJUSDAL</t>
        </is>
      </c>
      <c r="F262" t="inlineStr">
        <is>
          <t>Sveaskog</t>
        </is>
      </c>
      <c r="G262" t="n">
        <v>7.9</v>
      </c>
      <c r="H262" t="n">
        <v>0</v>
      </c>
      <c r="I262" t="n">
        <v>1</v>
      </c>
      <c r="J262" t="n">
        <v>1</v>
      </c>
      <c r="K262" t="n">
        <v>0</v>
      </c>
      <c r="L262" t="n">
        <v>0</v>
      </c>
      <c r="M262" t="n">
        <v>0</v>
      </c>
      <c r="N262" t="n">
        <v>0</v>
      </c>
      <c r="O262" t="n">
        <v>1</v>
      </c>
      <c r="P262" t="n">
        <v>0</v>
      </c>
      <c r="Q262" t="n">
        <v>2</v>
      </c>
      <c r="R262" s="2" t="inlineStr">
        <is>
          <t>Kolflarnlav
Dropptaggsvamp</t>
        </is>
      </c>
      <c r="S262">
        <f>HYPERLINK("https://klasma.github.io/Logging_2161/artfynd/A 54108-2022 artfynd.xlsx", "A 54108-2022")</f>
        <v/>
      </c>
      <c r="T262">
        <f>HYPERLINK("https://klasma.github.io/Logging_2161/kartor/A 54108-2022 karta.png", "A 54108-2022")</f>
        <v/>
      </c>
      <c r="V262">
        <f>HYPERLINK("https://klasma.github.io/Logging_2161/klagomål/A 54108-2022 FSC-klagomål.docx", "A 54108-2022")</f>
        <v/>
      </c>
      <c r="W262">
        <f>HYPERLINK("https://klasma.github.io/Logging_2161/klagomålsmail/A 54108-2022 FSC-klagomål mail.docx", "A 54108-2022")</f>
        <v/>
      </c>
      <c r="X262">
        <f>HYPERLINK("https://klasma.github.io/Logging_2161/tillsyn/A 54108-2022 tillsynsbegäran.docx", "A 54108-2022")</f>
        <v/>
      </c>
      <c r="Y262">
        <f>HYPERLINK("https://klasma.github.io/Logging_2161/tillsynsmail/A 54108-2022 tillsynsbegäran mail.docx", "A 54108-2022")</f>
        <v/>
      </c>
    </row>
    <row r="263" ht="15" customHeight="1">
      <c r="A263" t="inlineStr">
        <is>
          <t>A 7608-2023</t>
        </is>
      </c>
      <c r="B263" s="1" t="n">
        <v>44972</v>
      </c>
      <c r="C263" s="1" t="n">
        <v>45587</v>
      </c>
      <c r="D263" t="inlineStr">
        <is>
          <t>GÄVLEBORGS LÄN</t>
        </is>
      </c>
      <c r="E263" t="inlineStr">
        <is>
          <t>NORDANSTIG</t>
        </is>
      </c>
      <c r="F263" t="inlineStr">
        <is>
          <t>Holmen skog AB</t>
        </is>
      </c>
      <c r="G263" t="n">
        <v>13</v>
      </c>
      <c r="H263" t="n">
        <v>0</v>
      </c>
      <c r="I263" t="n">
        <v>1</v>
      </c>
      <c r="J263" t="n">
        <v>1</v>
      </c>
      <c r="K263" t="n">
        <v>0</v>
      </c>
      <c r="L263" t="n">
        <v>0</v>
      </c>
      <c r="M263" t="n">
        <v>0</v>
      </c>
      <c r="N263" t="n">
        <v>0</v>
      </c>
      <c r="O263" t="n">
        <v>1</v>
      </c>
      <c r="P263" t="n">
        <v>0</v>
      </c>
      <c r="Q263" t="n">
        <v>2</v>
      </c>
      <c r="R263" s="2" t="inlineStr">
        <is>
          <t>Tallticka
Mindre märgborre</t>
        </is>
      </c>
      <c r="S263">
        <f>HYPERLINK("https://klasma.github.io/Logging_2132/artfynd/A 7608-2023 artfynd.xlsx", "A 7608-2023")</f>
        <v/>
      </c>
      <c r="T263">
        <f>HYPERLINK("https://klasma.github.io/Logging_2132/kartor/A 7608-2023 karta.png", "A 7608-2023")</f>
        <v/>
      </c>
      <c r="V263">
        <f>HYPERLINK("https://klasma.github.io/Logging_2132/klagomål/A 7608-2023 FSC-klagomål.docx", "A 7608-2023")</f>
        <v/>
      </c>
      <c r="W263">
        <f>HYPERLINK("https://klasma.github.io/Logging_2132/klagomålsmail/A 7608-2023 FSC-klagomål mail.docx", "A 7608-2023")</f>
        <v/>
      </c>
      <c r="X263">
        <f>HYPERLINK("https://klasma.github.io/Logging_2132/tillsyn/A 7608-2023 tillsynsbegäran.docx", "A 7608-2023")</f>
        <v/>
      </c>
      <c r="Y263">
        <f>HYPERLINK("https://klasma.github.io/Logging_2132/tillsynsmail/A 7608-2023 tillsynsbegäran mail.docx", "A 7608-2023")</f>
        <v/>
      </c>
    </row>
    <row r="264" ht="15" customHeight="1">
      <c r="A264" t="inlineStr">
        <is>
          <t>A 10637-2023</t>
        </is>
      </c>
      <c r="B264" s="1" t="n">
        <v>44988</v>
      </c>
      <c r="C264" s="1" t="n">
        <v>45587</v>
      </c>
      <c r="D264" t="inlineStr">
        <is>
          <t>GÄVLEBORGS LÄN</t>
        </is>
      </c>
      <c r="E264" t="inlineStr">
        <is>
          <t>LJUSDAL</t>
        </is>
      </c>
      <c r="G264" t="n">
        <v>8.9</v>
      </c>
      <c r="H264" t="n">
        <v>0</v>
      </c>
      <c r="I264" t="n">
        <v>0</v>
      </c>
      <c r="J264" t="n">
        <v>2</v>
      </c>
      <c r="K264" t="n">
        <v>0</v>
      </c>
      <c r="L264" t="n">
        <v>0</v>
      </c>
      <c r="M264" t="n">
        <v>0</v>
      </c>
      <c r="N264" t="n">
        <v>0</v>
      </c>
      <c r="O264" t="n">
        <v>2</v>
      </c>
      <c r="P264" t="n">
        <v>0</v>
      </c>
      <c r="Q264" t="n">
        <v>2</v>
      </c>
      <c r="R264" s="2" t="inlineStr">
        <is>
          <t>Garnlav
Lunglav</t>
        </is>
      </c>
      <c r="S264">
        <f>HYPERLINK("https://klasma.github.io/Logging_2161/artfynd/A 10637-2023 artfynd.xlsx", "A 10637-2023")</f>
        <v/>
      </c>
      <c r="T264">
        <f>HYPERLINK("https://klasma.github.io/Logging_2161/kartor/A 10637-2023 karta.png", "A 10637-2023")</f>
        <v/>
      </c>
      <c r="V264">
        <f>HYPERLINK("https://klasma.github.io/Logging_2161/klagomål/A 10637-2023 FSC-klagomål.docx", "A 10637-2023")</f>
        <v/>
      </c>
      <c r="W264">
        <f>HYPERLINK("https://klasma.github.io/Logging_2161/klagomålsmail/A 10637-2023 FSC-klagomål mail.docx", "A 10637-2023")</f>
        <v/>
      </c>
      <c r="X264">
        <f>HYPERLINK("https://klasma.github.io/Logging_2161/tillsyn/A 10637-2023 tillsynsbegäran.docx", "A 10637-2023")</f>
        <v/>
      </c>
      <c r="Y264">
        <f>HYPERLINK("https://klasma.github.io/Logging_2161/tillsynsmail/A 10637-2023 tillsynsbegäran mail.docx", "A 10637-2023")</f>
        <v/>
      </c>
    </row>
    <row r="265" ht="15" customHeight="1">
      <c r="A265" t="inlineStr">
        <is>
          <t>A 15365-2023</t>
        </is>
      </c>
      <c r="B265" s="1" t="n">
        <v>45019</v>
      </c>
      <c r="C265" s="1" t="n">
        <v>45587</v>
      </c>
      <c r="D265" t="inlineStr">
        <is>
          <t>GÄVLEBORGS LÄN</t>
        </is>
      </c>
      <c r="E265" t="inlineStr">
        <is>
          <t>GÄVLE</t>
        </is>
      </c>
      <c r="G265" t="n">
        <v>55.2</v>
      </c>
      <c r="H265" t="n">
        <v>2</v>
      </c>
      <c r="I265" t="n">
        <v>0</v>
      </c>
      <c r="J265" t="n">
        <v>0</v>
      </c>
      <c r="K265" t="n">
        <v>1</v>
      </c>
      <c r="L265" t="n">
        <v>0</v>
      </c>
      <c r="M265" t="n">
        <v>0</v>
      </c>
      <c r="N265" t="n">
        <v>0</v>
      </c>
      <c r="O265" t="n">
        <v>1</v>
      </c>
      <c r="P265" t="n">
        <v>1</v>
      </c>
      <c r="Q265" t="n">
        <v>2</v>
      </c>
      <c r="R265" s="2" t="inlineStr">
        <is>
          <t>Knärot
Kopparödla</t>
        </is>
      </c>
      <c r="S265">
        <f>HYPERLINK("https://klasma.github.io/Logging_2180/artfynd/A 15365-2023 artfynd.xlsx", "A 15365-2023")</f>
        <v/>
      </c>
      <c r="T265">
        <f>HYPERLINK("https://klasma.github.io/Logging_2180/kartor/A 15365-2023 karta.png", "A 15365-2023")</f>
        <v/>
      </c>
      <c r="U265">
        <f>HYPERLINK("https://klasma.github.io/Logging_2180/knärot/A 15365-2023 karta knärot.png", "A 15365-2023")</f>
        <v/>
      </c>
      <c r="V265">
        <f>HYPERLINK("https://klasma.github.io/Logging_2180/klagomål/A 15365-2023 FSC-klagomål.docx", "A 15365-2023")</f>
        <v/>
      </c>
      <c r="W265">
        <f>HYPERLINK("https://klasma.github.io/Logging_2180/klagomålsmail/A 15365-2023 FSC-klagomål mail.docx", "A 15365-2023")</f>
        <v/>
      </c>
      <c r="X265">
        <f>HYPERLINK("https://klasma.github.io/Logging_2180/tillsyn/A 15365-2023 tillsynsbegäran.docx", "A 15365-2023")</f>
        <v/>
      </c>
      <c r="Y265">
        <f>HYPERLINK("https://klasma.github.io/Logging_2180/tillsynsmail/A 15365-2023 tillsynsbegäran mail.docx", "A 15365-2023")</f>
        <v/>
      </c>
    </row>
    <row r="266" ht="15" customHeight="1">
      <c r="A266" t="inlineStr">
        <is>
          <t>A 15573-2023</t>
        </is>
      </c>
      <c r="B266" s="1" t="n">
        <v>45020</v>
      </c>
      <c r="C266" s="1" t="n">
        <v>45587</v>
      </c>
      <c r="D266" t="inlineStr">
        <is>
          <t>GÄVLEBORGS LÄN</t>
        </is>
      </c>
      <c r="E266" t="inlineStr">
        <is>
          <t>SANDVIKEN</t>
        </is>
      </c>
      <c r="G266" t="n">
        <v>1.5</v>
      </c>
      <c r="H266" t="n">
        <v>1</v>
      </c>
      <c r="I266" t="n">
        <v>1</v>
      </c>
      <c r="J266" t="n">
        <v>0</v>
      </c>
      <c r="K266" t="n">
        <v>1</v>
      </c>
      <c r="L266" t="n">
        <v>0</v>
      </c>
      <c r="M266" t="n">
        <v>0</v>
      </c>
      <c r="N266" t="n">
        <v>0</v>
      </c>
      <c r="O266" t="n">
        <v>1</v>
      </c>
      <c r="P266" t="n">
        <v>1</v>
      </c>
      <c r="Q266" t="n">
        <v>2</v>
      </c>
      <c r="R266" s="2" t="inlineStr">
        <is>
          <t>Knärot
Grönpyrola</t>
        </is>
      </c>
      <c r="S266">
        <f>HYPERLINK("https://klasma.github.io/Logging_2181/artfynd/A 15573-2023 artfynd.xlsx", "A 15573-2023")</f>
        <v/>
      </c>
      <c r="T266">
        <f>HYPERLINK("https://klasma.github.io/Logging_2181/kartor/A 15573-2023 karta.png", "A 15573-2023")</f>
        <v/>
      </c>
      <c r="U266">
        <f>HYPERLINK("https://klasma.github.io/Logging_2181/knärot/A 15573-2023 karta knärot.png", "A 15573-2023")</f>
        <v/>
      </c>
      <c r="V266">
        <f>HYPERLINK("https://klasma.github.io/Logging_2181/klagomål/A 15573-2023 FSC-klagomål.docx", "A 15573-2023")</f>
        <v/>
      </c>
      <c r="W266">
        <f>HYPERLINK("https://klasma.github.io/Logging_2181/klagomålsmail/A 15573-2023 FSC-klagomål mail.docx", "A 15573-2023")</f>
        <v/>
      </c>
      <c r="X266">
        <f>HYPERLINK("https://klasma.github.io/Logging_2181/tillsyn/A 15573-2023 tillsynsbegäran.docx", "A 15573-2023")</f>
        <v/>
      </c>
      <c r="Y266">
        <f>HYPERLINK("https://klasma.github.io/Logging_2181/tillsynsmail/A 15573-2023 tillsynsbegäran mail.docx", "A 15573-2023")</f>
        <v/>
      </c>
    </row>
    <row r="267" ht="15" customHeight="1">
      <c r="A267" t="inlineStr">
        <is>
          <t>A 16499-2023</t>
        </is>
      </c>
      <c r="B267" s="1" t="n">
        <v>45029</v>
      </c>
      <c r="C267" s="1" t="n">
        <v>45587</v>
      </c>
      <c r="D267" t="inlineStr">
        <is>
          <t>GÄVLEBORGS LÄN</t>
        </is>
      </c>
      <c r="E267" t="inlineStr">
        <is>
          <t>GÄVLE</t>
        </is>
      </c>
      <c r="F267" t="inlineStr">
        <is>
          <t>Bergvik skog öst AB</t>
        </is>
      </c>
      <c r="G267" t="n">
        <v>41.8</v>
      </c>
      <c r="H267" t="n">
        <v>1</v>
      </c>
      <c r="I267" t="n">
        <v>1</v>
      </c>
      <c r="J267" t="n">
        <v>0</v>
      </c>
      <c r="K267" t="n">
        <v>0</v>
      </c>
      <c r="L267" t="n">
        <v>1</v>
      </c>
      <c r="M267" t="n">
        <v>0</v>
      </c>
      <c r="N267" t="n">
        <v>0</v>
      </c>
      <c r="O267" t="n">
        <v>1</v>
      </c>
      <c r="P267" t="n">
        <v>1</v>
      </c>
      <c r="Q267" t="n">
        <v>2</v>
      </c>
      <c r="R267" s="2" t="inlineStr">
        <is>
          <t>Bredgentiana
Granbräken</t>
        </is>
      </c>
      <c r="S267">
        <f>HYPERLINK("https://klasma.github.io/Logging_2180/artfynd/A 16499-2023 artfynd.xlsx", "A 16499-2023")</f>
        <v/>
      </c>
      <c r="T267">
        <f>HYPERLINK("https://klasma.github.io/Logging_2180/kartor/A 16499-2023 karta.png", "A 16499-2023")</f>
        <v/>
      </c>
      <c r="V267">
        <f>HYPERLINK("https://klasma.github.io/Logging_2180/klagomål/A 16499-2023 FSC-klagomål.docx", "A 16499-2023")</f>
        <v/>
      </c>
      <c r="W267">
        <f>HYPERLINK("https://klasma.github.io/Logging_2180/klagomålsmail/A 16499-2023 FSC-klagomål mail.docx", "A 16499-2023")</f>
        <v/>
      </c>
      <c r="X267">
        <f>HYPERLINK("https://klasma.github.io/Logging_2180/tillsyn/A 16499-2023 tillsynsbegäran.docx", "A 16499-2023")</f>
        <v/>
      </c>
      <c r="Y267">
        <f>HYPERLINK("https://klasma.github.io/Logging_2180/tillsynsmail/A 16499-2023 tillsynsbegäran mail.docx", "A 16499-2023")</f>
        <v/>
      </c>
    </row>
    <row r="268" ht="15" customHeight="1">
      <c r="A268" t="inlineStr">
        <is>
          <t>A 18332-2023</t>
        </is>
      </c>
      <c r="B268" s="1" t="n">
        <v>45041</v>
      </c>
      <c r="C268" s="1" t="n">
        <v>45587</v>
      </c>
      <c r="D268" t="inlineStr">
        <is>
          <t>GÄVLEBORGS LÄN</t>
        </is>
      </c>
      <c r="E268" t="inlineStr">
        <is>
          <t>GÄVLE</t>
        </is>
      </c>
      <c r="F268" t="inlineStr">
        <is>
          <t>Bergvik skog öst AB</t>
        </is>
      </c>
      <c r="G268" t="n">
        <v>16.1</v>
      </c>
      <c r="H268" t="n">
        <v>0</v>
      </c>
      <c r="I268" t="n">
        <v>0</v>
      </c>
      <c r="J268" t="n">
        <v>1</v>
      </c>
      <c r="K268" t="n">
        <v>0</v>
      </c>
      <c r="L268" t="n">
        <v>1</v>
      </c>
      <c r="M268" t="n">
        <v>0</v>
      </c>
      <c r="N268" t="n">
        <v>0</v>
      </c>
      <c r="O268" t="n">
        <v>2</v>
      </c>
      <c r="P268" t="n">
        <v>1</v>
      </c>
      <c r="Q268" t="n">
        <v>2</v>
      </c>
      <c r="R268" s="2" t="inlineStr">
        <is>
          <t>Ryl
Skogsklocka</t>
        </is>
      </c>
      <c r="S268">
        <f>HYPERLINK("https://klasma.github.io/Logging_2180/artfynd/A 18332-2023 artfynd.xlsx", "A 18332-2023")</f>
        <v/>
      </c>
      <c r="T268">
        <f>HYPERLINK("https://klasma.github.io/Logging_2180/kartor/A 18332-2023 karta.png", "A 18332-2023")</f>
        <v/>
      </c>
      <c r="V268">
        <f>HYPERLINK("https://klasma.github.io/Logging_2180/klagomål/A 18332-2023 FSC-klagomål.docx", "A 18332-2023")</f>
        <v/>
      </c>
      <c r="W268">
        <f>HYPERLINK("https://klasma.github.io/Logging_2180/klagomålsmail/A 18332-2023 FSC-klagomål mail.docx", "A 18332-2023")</f>
        <v/>
      </c>
      <c r="X268">
        <f>HYPERLINK("https://klasma.github.io/Logging_2180/tillsyn/A 18332-2023 tillsynsbegäran.docx", "A 18332-2023")</f>
        <v/>
      </c>
      <c r="Y268">
        <f>HYPERLINK("https://klasma.github.io/Logging_2180/tillsynsmail/A 18332-2023 tillsynsbegäran mail.docx", "A 18332-2023")</f>
        <v/>
      </c>
    </row>
    <row r="269" ht="15" customHeight="1">
      <c r="A269" t="inlineStr">
        <is>
          <t>A 19549-2023</t>
        </is>
      </c>
      <c r="B269" s="1" t="n">
        <v>45050</v>
      </c>
      <c r="C269" s="1" t="n">
        <v>45587</v>
      </c>
      <c r="D269" t="inlineStr">
        <is>
          <t>GÄVLEBORGS LÄN</t>
        </is>
      </c>
      <c r="E269" t="inlineStr">
        <is>
          <t>HOFORS</t>
        </is>
      </c>
      <c r="G269" t="n">
        <v>3.2</v>
      </c>
      <c r="H269" t="n">
        <v>1</v>
      </c>
      <c r="I269" t="n">
        <v>1</v>
      </c>
      <c r="J269" t="n">
        <v>0</v>
      </c>
      <c r="K269" t="n">
        <v>0</v>
      </c>
      <c r="L269" t="n">
        <v>0</v>
      </c>
      <c r="M269" t="n">
        <v>0</v>
      </c>
      <c r="N269" t="n">
        <v>0</v>
      </c>
      <c r="O269" t="n">
        <v>0</v>
      </c>
      <c r="P269" t="n">
        <v>0</v>
      </c>
      <c r="Q269" t="n">
        <v>2</v>
      </c>
      <c r="R269" s="2" t="inlineStr">
        <is>
          <t>Svavelriska
Blåsippa</t>
        </is>
      </c>
      <c r="S269">
        <f>HYPERLINK("https://klasma.github.io/Logging_2104/artfynd/A 19549-2023 artfynd.xlsx", "A 19549-2023")</f>
        <v/>
      </c>
      <c r="T269">
        <f>HYPERLINK("https://klasma.github.io/Logging_2104/kartor/A 19549-2023 karta.png", "A 19549-2023")</f>
        <v/>
      </c>
      <c r="V269">
        <f>HYPERLINK("https://klasma.github.io/Logging_2104/klagomål/A 19549-2023 FSC-klagomål.docx", "A 19549-2023")</f>
        <v/>
      </c>
      <c r="W269">
        <f>HYPERLINK("https://klasma.github.io/Logging_2104/klagomålsmail/A 19549-2023 FSC-klagomål mail.docx", "A 19549-2023")</f>
        <v/>
      </c>
      <c r="X269">
        <f>HYPERLINK("https://klasma.github.io/Logging_2104/tillsyn/A 19549-2023 tillsynsbegäran.docx", "A 19549-2023")</f>
        <v/>
      </c>
      <c r="Y269">
        <f>HYPERLINK("https://klasma.github.io/Logging_2104/tillsynsmail/A 19549-2023 tillsynsbegäran mail.docx", "A 19549-2023")</f>
        <v/>
      </c>
    </row>
    <row r="270" ht="15" customHeight="1">
      <c r="A270" t="inlineStr">
        <is>
          <t>A 20232-2023</t>
        </is>
      </c>
      <c r="B270" s="1" t="n">
        <v>45055</v>
      </c>
      <c r="C270" s="1" t="n">
        <v>45587</v>
      </c>
      <c r="D270" t="inlineStr">
        <is>
          <t>GÄVLEBORGS LÄN</t>
        </is>
      </c>
      <c r="E270" t="inlineStr">
        <is>
          <t>GÄVLE</t>
        </is>
      </c>
      <c r="F270" t="inlineStr">
        <is>
          <t>Bergvik skog öst AB</t>
        </is>
      </c>
      <c r="G270" t="n">
        <v>12.7</v>
      </c>
      <c r="H270" t="n">
        <v>2</v>
      </c>
      <c r="I270" t="n">
        <v>0</v>
      </c>
      <c r="J270" t="n">
        <v>0</v>
      </c>
      <c r="K270" t="n">
        <v>1</v>
      </c>
      <c r="L270" t="n">
        <v>0</v>
      </c>
      <c r="M270" t="n">
        <v>0</v>
      </c>
      <c r="N270" t="n">
        <v>0</v>
      </c>
      <c r="O270" t="n">
        <v>1</v>
      </c>
      <c r="P270" t="n">
        <v>1</v>
      </c>
      <c r="Q270" t="n">
        <v>2</v>
      </c>
      <c r="R270" s="2" t="inlineStr">
        <is>
          <t>Stor låsbräken
Sparvuggla</t>
        </is>
      </c>
      <c r="S270">
        <f>HYPERLINK("https://klasma.github.io/Logging_2180/artfynd/A 20232-2023 artfynd.xlsx", "A 20232-2023")</f>
        <v/>
      </c>
      <c r="T270">
        <f>HYPERLINK("https://klasma.github.io/Logging_2180/kartor/A 20232-2023 karta.png", "A 20232-2023")</f>
        <v/>
      </c>
      <c r="V270">
        <f>HYPERLINK("https://klasma.github.io/Logging_2180/klagomål/A 20232-2023 FSC-klagomål.docx", "A 20232-2023")</f>
        <v/>
      </c>
      <c r="W270">
        <f>HYPERLINK("https://klasma.github.io/Logging_2180/klagomålsmail/A 20232-2023 FSC-klagomål mail.docx", "A 20232-2023")</f>
        <v/>
      </c>
      <c r="X270">
        <f>HYPERLINK("https://klasma.github.io/Logging_2180/tillsyn/A 20232-2023 tillsynsbegäran.docx", "A 20232-2023")</f>
        <v/>
      </c>
      <c r="Y270">
        <f>HYPERLINK("https://klasma.github.io/Logging_2180/tillsynsmail/A 20232-2023 tillsynsbegäran mail.docx", "A 20232-2023")</f>
        <v/>
      </c>
      <c r="Z270">
        <f>HYPERLINK("https://klasma.github.io/Logging_2180/fåglar/A 20232-2023 prioriterade fågelarter.docx", "A 20232-2023")</f>
        <v/>
      </c>
    </row>
    <row r="271" ht="15" customHeight="1">
      <c r="A271" t="inlineStr">
        <is>
          <t>A 20710-2023</t>
        </is>
      </c>
      <c r="B271" s="1" t="n">
        <v>45058</v>
      </c>
      <c r="C271" s="1" t="n">
        <v>45587</v>
      </c>
      <c r="D271" t="inlineStr">
        <is>
          <t>GÄVLEBORGS LÄN</t>
        </is>
      </c>
      <c r="E271" t="inlineStr">
        <is>
          <t>BOLLNÄS</t>
        </is>
      </c>
      <c r="G271" t="n">
        <v>8.800000000000001</v>
      </c>
      <c r="H271" t="n">
        <v>2</v>
      </c>
      <c r="I271" t="n">
        <v>0</v>
      </c>
      <c r="J271" t="n">
        <v>0</v>
      </c>
      <c r="K271" t="n">
        <v>1</v>
      </c>
      <c r="L271" t="n">
        <v>0</v>
      </c>
      <c r="M271" t="n">
        <v>0</v>
      </c>
      <c r="N271" t="n">
        <v>0</v>
      </c>
      <c r="O271" t="n">
        <v>1</v>
      </c>
      <c r="P271" t="n">
        <v>1</v>
      </c>
      <c r="Q271" t="n">
        <v>2</v>
      </c>
      <c r="R271" s="2" t="inlineStr">
        <is>
          <t>Knärot
Lavskrika</t>
        </is>
      </c>
      <c r="S271">
        <f>HYPERLINK("https://klasma.github.io/Logging_2183/artfynd/A 20710-2023 artfynd.xlsx", "A 20710-2023")</f>
        <v/>
      </c>
      <c r="T271">
        <f>HYPERLINK("https://klasma.github.io/Logging_2183/kartor/A 20710-2023 karta.png", "A 20710-2023")</f>
        <v/>
      </c>
      <c r="U271">
        <f>HYPERLINK("https://klasma.github.io/Logging_2183/knärot/A 20710-2023 karta knärot.png", "A 20710-2023")</f>
        <v/>
      </c>
      <c r="V271">
        <f>HYPERLINK("https://klasma.github.io/Logging_2183/klagomål/A 20710-2023 FSC-klagomål.docx", "A 20710-2023")</f>
        <v/>
      </c>
      <c r="W271">
        <f>HYPERLINK("https://klasma.github.io/Logging_2183/klagomålsmail/A 20710-2023 FSC-klagomål mail.docx", "A 20710-2023")</f>
        <v/>
      </c>
      <c r="X271">
        <f>HYPERLINK("https://klasma.github.io/Logging_2183/tillsyn/A 20710-2023 tillsynsbegäran.docx", "A 20710-2023")</f>
        <v/>
      </c>
      <c r="Y271">
        <f>HYPERLINK("https://klasma.github.io/Logging_2183/tillsynsmail/A 20710-2023 tillsynsbegäran mail.docx", "A 20710-2023")</f>
        <v/>
      </c>
      <c r="Z271">
        <f>HYPERLINK("https://klasma.github.io/Logging_2183/fåglar/A 20710-2023 prioriterade fågelarter.docx", "A 20710-2023")</f>
        <v/>
      </c>
    </row>
    <row r="272" ht="15" customHeight="1">
      <c r="A272" t="inlineStr">
        <is>
          <t>A 21956-2023</t>
        </is>
      </c>
      <c r="B272" s="1" t="n">
        <v>45068</v>
      </c>
      <c r="C272" s="1" t="n">
        <v>45587</v>
      </c>
      <c r="D272" t="inlineStr">
        <is>
          <t>GÄVLEBORGS LÄN</t>
        </is>
      </c>
      <c r="E272" t="inlineStr">
        <is>
          <t>OCKELBO</t>
        </is>
      </c>
      <c r="F272" t="inlineStr">
        <is>
          <t>Bergvik skog väst AB</t>
        </is>
      </c>
      <c r="G272" t="n">
        <v>12.2</v>
      </c>
      <c r="H272" t="n">
        <v>1</v>
      </c>
      <c r="I272" t="n">
        <v>1</v>
      </c>
      <c r="J272" t="n">
        <v>0</v>
      </c>
      <c r="K272" t="n">
        <v>0</v>
      </c>
      <c r="L272" t="n">
        <v>0</v>
      </c>
      <c r="M272" t="n">
        <v>0</v>
      </c>
      <c r="N272" t="n">
        <v>0</v>
      </c>
      <c r="O272" t="n">
        <v>0</v>
      </c>
      <c r="P272" t="n">
        <v>0</v>
      </c>
      <c r="Q272" t="n">
        <v>2</v>
      </c>
      <c r="R272" s="2" t="inlineStr">
        <is>
          <t>Grönpyrola
Mattlummer</t>
        </is>
      </c>
      <c r="S272">
        <f>HYPERLINK("https://klasma.github.io/Logging_2101/artfynd/A 21956-2023 artfynd.xlsx", "A 21956-2023")</f>
        <v/>
      </c>
      <c r="T272">
        <f>HYPERLINK("https://klasma.github.io/Logging_2101/kartor/A 21956-2023 karta.png", "A 21956-2023")</f>
        <v/>
      </c>
      <c r="V272">
        <f>HYPERLINK("https://klasma.github.io/Logging_2101/klagomål/A 21956-2023 FSC-klagomål.docx", "A 21956-2023")</f>
        <v/>
      </c>
      <c r="W272">
        <f>HYPERLINK("https://klasma.github.io/Logging_2101/klagomålsmail/A 21956-2023 FSC-klagomål mail.docx", "A 21956-2023")</f>
        <v/>
      </c>
      <c r="X272">
        <f>HYPERLINK("https://klasma.github.io/Logging_2101/tillsyn/A 21956-2023 tillsynsbegäran.docx", "A 21956-2023")</f>
        <v/>
      </c>
      <c r="Y272">
        <f>HYPERLINK("https://klasma.github.io/Logging_2101/tillsynsmail/A 21956-2023 tillsynsbegäran mail.docx", "A 21956-2023")</f>
        <v/>
      </c>
    </row>
    <row r="273" ht="15" customHeight="1">
      <c r="A273" t="inlineStr">
        <is>
          <t>A 23161-2023</t>
        </is>
      </c>
      <c r="B273" s="1" t="n">
        <v>45075</v>
      </c>
      <c r="C273" s="1" t="n">
        <v>45587</v>
      </c>
      <c r="D273" t="inlineStr">
        <is>
          <t>GÄVLEBORGS LÄN</t>
        </is>
      </c>
      <c r="E273" t="inlineStr">
        <is>
          <t>SANDVIKEN</t>
        </is>
      </c>
      <c r="F273" t="inlineStr">
        <is>
          <t>Bergvik skog öst AB</t>
        </is>
      </c>
      <c r="G273" t="n">
        <v>6.1</v>
      </c>
      <c r="H273" t="n">
        <v>0</v>
      </c>
      <c r="I273" t="n">
        <v>2</v>
      </c>
      <c r="J273" t="n">
        <v>0</v>
      </c>
      <c r="K273" t="n">
        <v>0</v>
      </c>
      <c r="L273" t="n">
        <v>0</v>
      </c>
      <c r="M273" t="n">
        <v>0</v>
      </c>
      <c r="N273" t="n">
        <v>0</v>
      </c>
      <c r="O273" t="n">
        <v>0</v>
      </c>
      <c r="P273" t="n">
        <v>0</v>
      </c>
      <c r="Q273" t="n">
        <v>2</v>
      </c>
      <c r="R273" s="2" t="inlineStr">
        <is>
          <t>Slanklav
Stubbspretmossa</t>
        </is>
      </c>
      <c r="S273">
        <f>HYPERLINK("https://klasma.github.io/Logging_2181/artfynd/A 23161-2023 artfynd.xlsx", "A 23161-2023")</f>
        <v/>
      </c>
      <c r="T273">
        <f>HYPERLINK("https://klasma.github.io/Logging_2181/kartor/A 23161-2023 karta.png", "A 23161-2023")</f>
        <v/>
      </c>
      <c r="V273">
        <f>HYPERLINK("https://klasma.github.io/Logging_2181/klagomål/A 23161-2023 FSC-klagomål.docx", "A 23161-2023")</f>
        <v/>
      </c>
      <c r="W273">
        <f>HYPERLINK("https://klasma.github.io/Logging_2181/klagomålsmail/A 23161-2023 FSC-klagomål mail.docx", "A 23161-2023")</f>
        <v/>
      </c>
      <c r="X273">
        <f>HYPERLINK("https://klasma.github.io/Logging_2181/tillsyn/A 23161-2023 tillsynsbegäran.docx", "A 23161-2023")</f>
        <v/>
      </c>
      <c r="Y273">
        <f>HYPERLINK("https://klasma.github.io/Logging_2181/tillsynsmail/A 23161-2023 tillsynsbegäran mail.docx", "A 23161-2023")</f>
        <v/>
      </c>
    </row>
    <row r="274" ht="15" customHeight="1">
      <c r="A274" t="inlineStr">
        <is>
          <t>A 23504-2023</t>
        </is>
      </c>
      <c r="B274" s="1" t="n">
        <v>45076</v>
      </c>
      <c r="C274" s="1" t="n">
        <v>45587</v>
      </c>
      <c r="D274" t="inlineStr">
        <is>
          <t>GÄVLEBORGS LÄN</t>
        </is>
      </c>
      <c r="E274" t="inlineStr">
        <is>
          <t>BOLLNÄS</t>
        </is>
      </c>
      <c r="F274" t="inlineStr">
        <is>
          <t>Sveaskog</t>
        </is>
      </c>
      <c r="G274" t="n">
        <v>11.6</v>
      </c>
      <c r="H274" t="n">
        <v>2</v>
      </c>
      <c r="I274" t="n">
        <v>0</v>
      </c>
      <c r="J274" t="n">
        <v>0</v>
      </c>
      <c r="K274" t="n">
        <v>0</v>
      </c>
      <c r="L274" t="n">
        <v>0</v>
      </c>
      <c r="M274" t="n">
        <v>0</v>
      </c>
      <c r="N274" t="n">
        <v>0</v>
      </c>
      <c r="O274" t="n">
        <v>0</v>
      </c>
      <c r="P274" t="n">
        <v>0</v>
      </c>
      <c r="Q274" t="n">
        <v>2</v>
      </c>
      <c r="R274" s="2" t="inlineStr">
        <is>
          <t>Lavskrika
Fläcknycklar</t>
        </is>
      </c>
      <c r="S274">
        <f>HYPERLINK("https://klasma.github.io/Logging_2183/artfynd/A 23504-2023 artfynd.xlsx", "A 23504-2023")</f>
        <v/>
      </c>
      <c r="T274">
        <f>HYPERLINK("https://klasma.github.io/Logging_2183/kartor/A 23504-2023 karta.png", "A 23504-2023")</f>
        <v/>
      </c>
      <c r="V274">
        <f>HYPERLINK("https://klasma.github.io/Logging_2183/klagomål/A 23504-2023 FSC-klagomål.docx", "A 23504-2023")</f>
        <v/>
      </c>
      <c r="W274">
        <f>HYPERLINK("https://klasma.github.io/Logging_2183/klagomålsmail/A 23504-2023 FSC-klagomål mail.docx", "A 23504-2023")</f>
        <v/>
      </c>
      <c r="X274">
        <f>HYPERLINK("https://klasma.github.io/Logging_2183/tillsyn/A 23504-2023 tillsynsbegäran.docx", "A 23504-2023")</f>
        <v/>
      </c>
      <c r="Y274">
        <f>HYPERLINK("https://klasma.github.io/Logging_2183/tillsynsmail/A 23504-2023 tillsynsbegäran mail.docx", "A 23504-2023")</f>
        <v/>
      </c>
      <c r="Z274">
        <f>HYPERLINK("https://klasma.github.io/Logging_2183/fåglar/A 23504-2023 prioriterade fågelarter.docx", "A 23504-2023")</f>
        <v/>
      </c>
    </row>
    <row r="275" ht="15" customHeight="1">
      <c r="A275" t="inlineStr">
        <is>
          <t>A 23838-2023</t>
        </is>
      </c>
      <c r="B275" s="1" t="n">
        <v>45078</v>
      </c>
      <c r="C275" s="1" t="n">
        <v>45587</v>
      </c>
      <c r="D275" t="inlineStr">
        <is>
          <t>GÄVLEBORGS LÄN</t>
        </is>
      </c>
      <c r="E275" t="inlineStr">
        <is>
          <t>HUDIKSVALL</t>
        </is>
      </c>
      <c r="F275" t="inlineStr">
        <is>
          <t>Holmen skog AB</t>
        </is>
      </c>
      <c r="G275" t="n">
        <v>2.7</v>
      </c>
      <c r="H275" t="n">
        <v>0</v>
      </c>
      <c r="I275" t="n">
        <v>2</v>
      </c>
      <c r="J275" t="n">
        <v>0</v>
      </c>
      <c r="K275" t="n">
        <v>0</v>
      </c>
      <c r="L275" t="n">
        <v>0</v>
      </c>
      <c r="M275" t="n">
        <v>0</v>
      </c>
      <c r="N275" t="n">
        <v>0</v>
      </c>
      <c r="O275" t="n">
        <v>0</v>
      </c>
      <c r="P275" t="n">
        <v>0</v>
      </c>
      <c r="Q275" t="n">
        <v>2</v>
      </c>
      <c r="R275" s="2" t="inlineStr">
        <is>
          <t>Skinnlav
Stor aspticka</t>
        </is>
      </c>
      <c r="S275">
        <f>HYPERLINK("https://klasma.github.io/Logging_2184/artfynd/A 23838-2023 artfynd.xlsx", "A 23838-2023")</f>
        <v/>
      </c>
      <c r="T275">
        <f>HYPERLINK("https://klasma.github.io/Logging_2184/kartor/A 23838-2023 karta.png", "A 23838-2023")</f>
        <v/>
      </c>
      <c r="V275">
        <f>HYPERLINK("https://klasma.github.io/Logging_2184/klagomål/A 23838-2023 FSC-klagomål.docx", "A 23838-2023")</f>
        <v/>
      </c>
      <c r="W275">
        <f>HYPERLINK("https://klasma.github.io/Logging_2184/klagomålsmail/A 23838-2023 FSC-klagomål mail.docx", "A 23838-2023")</f>
        <v/>
      </c>
      <c r="X275">
        <f>HYPERLINK("https://klasma.github.io/Logging_2184/tillsyn/A 23838-2023 tillsynsbegäran.docx", "A 23838-2023")</f>
        <v/>
      </c>
      <c r="Y275">
        <f>HYPERLINK("https://klasma.github.io/Logging_2184/tillsynsmail/A 23838-2023 tillsynsbegäran mail.docx", "A 23838-2023")</f>
        <v/>
      </c>
    </row>
    <row r="276" ht="15" customHeight="1">
      <c r="A276" t="inlineStr">
        <is>
          <t>A 24802-2023</t>
        </is>
      </c>
      <c r="B276" s="1" t="n">
        <v>45084</v>
      </c>
      <c r="C276" s="1" t="n">
        <v>45587</v>
      </c>
      <c r="D276" t="inlineStr">
        <is>
          <t>GÄVLEBORGS LÄN</t>
        </is>
      </c>
      <c r="E276" t="inlineStr">
        <is>
          <t>SANDVIKEN</t>
        </is>
      </c>
      <c r="F276" t="inlineStr">
        <is>
          <t>Bergvik skog öst AB</t>
        </is>
      </c>
      <c r="G276" t="n">
        <v>3</v>
      </c>
      <c r="H276" t="n">
        <v>0</v>
      </c>
      <c r="I276" t="n">
        <v>1</v>
      </c>
      <c r="J276" t="n">
        <v>1</v>
      </c>
      <c r="K276" t="n">
        <v>0</v>
      </c>
      <c r="L276" t="n">
        <v>0</v>
      </c>
      <c r="M276" t="n">
        <v>0</v>
      </c>
      <c r="N276" t="n">
        <v>0</v>
      </c>
      <c r="O276" t="n">
        <v>1</v>
      </c>
      <c r="P276" t="n">
        <v>0</v>
      </c>
      <c r="Q276" t="n">
        <v>2</v>
      </c>
      <c r="R276" s="2" t="inlineStr">
        <is>
          <t>Koralltaggsvamp
Svart trolldruva</t>
        </is>
      </c>
      <c r="S276">
        <f>HYPERLINK("https://klasma.github.io/Logging_2181/artfynd/A 24802-2023 artfynd.xlsx", "A 24802-2023")</f>
        <v/>
      </c>
      <c r="T276">
        <f>HYPERLINK("https://klasma.github.io/Logging_2181/kartor/A 24802-2023 karta.png", "A 24802-2023")</f>
        <v/>
      </c>
      <c r="V276">
        <f>HYPERLINK("https://klasma.github.io/Logging_2181/klagomål/A 24802-2023 FSC-klagomål.docx", "A 24802-2023")</f>
        <v/>
      </c>
      <c r="W276">
        <f>HYPERLINK("https://klasma.github.io/Logging_2181/klagomålsmail/A 24802-2023 FSC-klagomål mail.docx", "A 24802-2023")</f>
        <v/>
      </c>
      <c r="X276">
        <f>HYPERLINK("https://klasma.github.io/Logging_2181/tillsyn/A 24802-2023 tillsynsbegäran.docx", "A 24802-2023")</f>
        <v/>
      </c>
      <c r="Y276">
        <f>HYPERLINK("https://klasma.github.io/Logging_2181/tillsynsmail/A 24802-2023 tillsynsbegäran mail.docx", "A 24802-2023")</f>
        <v/>
      </c>
    </row>
    <row r="277" ht="15" customHeight="1">
      <c r="A277" t="inlineStr">
        <is>
          <t>A 26325-2023</t>
        </is>
      </c>
      <c r="B277" s="1" t="n">
        <v>45091</v>
      </c>
      <c r="C277" s="1" t="n">
        <v>45587</v>
      </c>
      <c r="D277" t="inlineStr">
        <is>
          <t>GÄVLEBORGS LÄN</t>
        </is>
      </c>
      <c r="E277" t="inlineStr">
        <is>
          <t>NORDANSTIG</t>
        </is>
      </c>
      <c r="F277" t="inlineStr">
        <is>
          <t>Holmen skog AB</t>
        </is>
      </c>
      <c r="G277" t="n">
        <v>9.9</v>
      </c>
      <c r="H277" t="n">
        <v>0</v>
      </c>
      <c r="I277" t="n">
        <v>0</v>
      </c>
      <c r="J277" t="n">
        <v>1</v>
      </c>
      <c r="K277" t="n">
        <v>1</v>
      </c>
      <c r="L277" t="n">
        <v>0</v>
      </c>
      <c r="M277" t="n">
        <v>0</v>
      </c>
      <c r="N277" t="n">
        <v>0</v>
      </c>
      <c r="O277" t="n">
        <v>2</v>
      </c>
      <c r="P277" t="n">
        <v>1</v>
      </c>
      <c r="Q277" t="n">
        <v>2</v>
      </c>
      <c r="R277" s="2" t="inlineStr">
        <is>
          <t>Ringlav
Rosenticka</t>
        </is>
      </c>
      <c r="S277">
        <f>HYPERLINK("https://klasma.github.io/Logging_2132/artfynd/A 26325-2023 artfynd.xlsx", "A 26325-2023")</f>
        <v/>
      </c>
      <c r="T277">
        <f>HYPERLINK("https://klasma.github.io/Logging_2132/kartor/A 26325-2023 karta.png", "A 26325-2023")</f>
        <v/>
      </c>
      <c r="V277">
        <f>HYPERLINK("https://klasma.github.io/Logging_2132/klagomål/A 26325-2023 FSC-klagomål.docx", "A 26325-2023")</f>
        <v/>
      </c>
      <c r="W277">
        <f>HYPERLINK("https://klasma.github.io/Logging_2132/klagomålsmail/A 26325-2023 FSC-klagomål mail.docx", "A 26325-2023")</f>
        <v/>
      </c>
      <c r="X277">
        <f>HYPERLINK("https://klasma.github.io/Logging_2132/tillsyn/A 26325-2023 tillsynsbegäran.docx", "A 26325-2023")</f>
        <v/>
      </c>
      <c r="Y277">
        <f>HYPERLINK("https://klasma.github.io/Logging_2132/tillsynsmail/A 26325-2023 tillsynsbegäran mail.docx", "A 26325-2023")</f>
        <v/>
      </c>
    </row>
    <row r="278" ht="15" customHeight="1">
      <c r="A278" t="inlineStr">
        <is>
          <t>A 26487-2023</t>
        </is>
      </c>
      <c r="B278" s="1" t="n">
        <v>45092</v>
      </c>
      <c r="C278" s="1" t="n">
        <v>45587</v>
      </c>
      <c r="D278" t="inlineStr">
        <is>
          <t>GÄVLEBORGS LÄN</t>
        </is>
      </c>
      <c r="E278" t="inlineStr">
        <is>
          <t>LJUSDAL</t>
        </is>
      </c>
      <c r="F278" t="inlineStr">
        <is>
          <t>Sveaskog</t>
        </is>
      </c>
      <c r="G278" t="n">
        <v>11.2</v>
      </c>
      <c r="H278" t="n">
        <v>0</v>
      </c>
      <c r="I278" t="n">
        <v>0</v>
      </c>
      <c r="J278" t="n">
        <v>2</v>
      </c>
      <c r="K278" t="n">
        <v>0</v>
      </c>
      <c r="L278" t="n">
        <v>0</v>
      </c>
      <c r="M278" t="n">
        <v>0</v>
      </c>
      <c r="N278" t="n">
        <v>0</v>
      </c>
      <c r="O278" t="n">
        <v>2</v>
      </c>
      <c r="P278" t="n">
        <v>0</v>
      </c>
      <c r="Q278" t="n">
        <v>2</v>
      </c>
      <c r="R278" s="2" t="inlineStr">
        <is>
          <t>Lunglav
Skrovellav</t>
        </is>
      </c>
      <c r="S278">
        <f>HYPERLINK("https://klasma.github.io/Logging_2161/artfynd/A 26487-2023 artfynd.xlsx", "A 26487-2023")</f>
        <v/>
      </c>
      <c r="T278">
        <f>HYPERLINK("https://klasma.github.io/Logging_2161/kartor/A 26487-2023 karta.png", "A 26487-2023")</f>
        <v/>
      </c>
      <c r="V278">
        <f>HYPERLINK("https://klasma.github.io/Logging_2161/klagomål/A 26487-2023 FSC-klagomål.docx", "A 26487-2023")</f>
        <v/>
      </c>
      <c r="W278">
        <f>HYPERLINK("https://klasma.github.io/Logging_2161/klagomålsmail/A 26487-2023 FSC-klagomål mail.docx", "A 26487-2023")</f>
        <v/>
      </c>
      <c r="X278">
        <f>HYPERLINK("https://klasma.github.io/Logging_2161/tillsyn/A 26487-2023 tillsynsbegäran.docx", "A 26487-2023")</f>
        <v/>
      </c>
      <c r="Y278">
        <f>HYPERLINK("https://klasma.github.io/Logging_2161/tillsynsmail/A 26487-2023 tillsynsbegäran mail.docx", "A 26487-2023")</f>
        <v/>
      </c>
    </row>
    <row r="279" ht="15" customHeight="1">
      <c r="A279" t="inlineStr">
        <is>
          <t>A 26522-2023</t>
        </is>
      </c>
      <c r="B279" s="1" t="n">
        <v>45092</v>
      </c>
      <c r="C279" s="1" t="n">
        <v>45587</v>
      </c>
      <c r="D279" t="inlineStr">
        <is>
          <t>GÄVLEBORGS LÄN</t>
        </is>
      </c>
      <c r="E279" t="inlineStr">
        <is>
          <t>BOLLNÄS</t>
        </is>
      </c>
      <c r="F279" t="inlineStr">
        <is>
          <t>Bergvik skog väst AB</t>
        </is>
      </c>
      <c r="G279" t="n">
        <v>8.6</v>
      </c>
      <c r="H279" t="n">
        <v>2</v>
      </c>
      <c r="I279" t="n">
        <v>0</v>
      </c>
      <c r="J279" t="n">
        <v>1</v>
      </c>
      <c r="K279" t="n">
        <v>0</v>
      </c>
      <c r="L279" t="n">
        <v>0</v>
      </c>
      <c r="M279" t="n">
        <v>0</v>
      </c>
      <c r="N279" t="n">
        <v>0</v>
      </c>
      <c r="O279" t="n">
        <v>1</v>
      </c>
      <c r="P279" t="n">
        <v>0</v>
      </c>
      <c r="Q279" t="n">
        <v>2</v>
      </c>
      <c r="R279" s="2" t="inlineStr">
        <is>
          <t>Smålom
Huggorm</t>
        </is>
      </c>
      <c r="S279">
        <f>HYPERLINK("https://klasma.github.io/Logging_2183/artfynd/A 26522-2023 artfynd.xlsx", "A 26522-2023")</f>
        <v/>
      </c>
      <c r="T279">
        <f>HYPERLINK("https://klasma.github.io/Logging_2183/kartor/A 26522-2023 karta.png", "A 26522-2023")</f>
        <v/>
      </c>
      <c r="V279">
        <f>HYPERLINK("https://klasma.github.io/Logging_2183/klagomål/A 26522-2023 FSC-klagomål.docx", "A 26522-2023")</f>
        <v/>
      </c>
      <c r="W279">
        <f>HYPERLINK("https://klasma.github.io/Logging_2183/klagomålsmail/A 26522-2023 FSC-klagomål mail.docx", "A 26522-2023")</f>
        <v/>
      </c>
      <c r="X279">
        <f>HYPERLINK("https://klasma.github.io/Logging_2183/tillsyn/A 26522-2023 tillsynsbegäran.docx", "A 26522-2023")</f>
        <v/>
      </c>
      <c r="Y279">
        <f>HYPERLINK("https://klasma.github.io/Logging_2183/tillsynsmail/A 26522-2023 tillsynsbegäran mail.docx", "A 26522-2023")</f>
        <v/>
      </c>
      <c r="Z279">
        <f>HYPERLINK("https://klasma.github.io/Logging_2183/fåglar/A 26522-2023 prioriterade fågelarter.docx", "A 26522-2023")</f>
        <v/>
      </c>
    </row>
    <row r="280" ht="15" customHeight="1">
      <c r="A280" t="inlineStr">
        <is>
          <t>A 30237-2023</t>
        </is>
      </c>
      <c r="B280" s="1" t="n">
        <v>45110</v>
      </c>
      <c r="C280" s="1" t="n">
        <v>45587</v>
      </c>
      <c r="D280" t="inlineStr">
        <is>
          <t>GÄVLEBORGS LÄN</t>
        </is>
      </c>
      <c r="E280" t="inlineStr">
        <is>
          <t>LJUSDAL</t>
        </is>
      </c>
      <c r="F280" t="inlineStr">
        <is>
          <t>Sveaskog</t>
        </is>
      </c>
      <c r="G280" t="n">
        <v>1.7</v>
      </c>
      <c r="H280" t="n">
        <v>0</v>
      </c>
      <c r="I280" t="n">
        <v>0</v>
      </c>
      <c r="J280" t="n">
        <v>2</v>
      </c>
      <c r="K280" t="n">
        <v>0</v>
      </c>
      <c r="L280" t="n">
        <v>0</v>
      </c>
      <c r="M280" t="n">
        <v>0</v>
      </c>
      <c r="N280" t="n">
        <v>0</v>
      </c>
      <c r="O280" t="n">
        <v>2</v>
      </c>
      <c r="P280" t="n">
        <v>0</v>
      </c>
      <c r="Q280" t="n">
        <v>2</v>
      </c>
      <c r="R280" s="2" t="inlineStr">
        <is>
          <t>Kolflarnlav
Lunglav</t>
        </is>
      </c>
      <c r="S280">
        <f>HYPERLINK("https://klasma.github.io/Logging_2161/artfynd/A 30237-2023 artfynd.xlsx", "A 30237-2023")</f>
        <v/>
      </c>
      <c r="T280">
        <f>HYPERLINK("https://klasma.github.io/Logging_2161/kartor/A 30237-2023 karta.png", "A 30237-2023")</f>
        <v/>
      </c>
      <c r="V280">
        <f>HYPERLINK("https://klasma.github.io/Logging_2161/klagomål/A 30237-2023 FSC-klagomål.docx", "A 30237-2023")</f>
        <v/>
      </c>
      <c r="W280">
        <f>HYPERLINK("https://klasma.github.io/Logging_2161/klagomålsmail/A 30237-2023 FSC-klagomål mail.docx", "A 30237-2023")</f>
        <v/>
      </c>
      <c r="X280">
        <f>HYPERLINK("https://klasma.github.io/Logging_2161/tillsyn/A 30237-2023 tillsynsbegäran.docx", "A 30237-2023")</f>
        <v/>
      </c>
      <c r="Y280">
        <f>HYPERLINK("https://klasma.github.io/Logging_2161/tillsynsmail/A 30237-2023 tillsynsbegäran mail.docx", "A 30237-2023")</f>
        <v/>
      </c>
    </row>
    <row r="281" ht="15" customHeight="1">
      <c r="A281" t="inlineStr">
        <is>
          <t>A 31123-2023</t>
        </is>
      </c>
      <c r="B281" s="1" t="n">
        <v>45113</v>
      </c>
      <c r="C281" s="1" t="n">
        <v>45587</v>
      </c>
      <c r="D281" t="inlineStr">
        <is>
          <t>GÄVLEBORGS LÄN</t>
        </is>
      </c>
      <c r="E281" t="inlineStr">
        <is>
          <t>LJUSDAL</t>
        </is>
      </c>
      <c r="F281" t="inlineStr">
        <is>
          <t>Sveaskog</t>
        </is>
      </c>
      <c r="G281" t="n">
        <v>10.2</v>
      </c>
      <c r="H281" t="n">
        <v>0</v>
      </c>
      <c r="I281" t="n">
        <v>0</v>
      </c>
      <c r="J281" t="n">
        <v>1</v>
      </c>
      <c r="K281" t="n">
        <v>1</v>
      </c>
      <c r="L281" t="n">
        <v>0</v>
      </c>
      <c r="M281" t="n">
        <v>0</v>
      </c>
      <c r="N281" t="n">
        <v>0</v>
      </c>
      <c r="O281" t="n">
        <v>2</v>
      </c>
      <c r="P281" t="n">
        <v>1</v>
      </c>
      <c r="Q281" t="n">
        <v>2</v>
      </c>
      <c r="R281" s="2" t="inlineStr">
        <is>
          <t>Norsk näverlav
Kolflarnlav</t>
        </is>
      </c>
      <c r="S281">
        <f>HYPERLINK("https://klasma.github.io/Logging_2161/artfynd/A 31123-2023 artfynd.xlsx", "A 31123-2023")</f>
        <v/>
      </c>
      <c r="T281">
        <f>HYPERLINK("https://klasma.github.io/Logging_2161/kartor/A 31123-2023 karta.png", "A 31123-2023")</f>
        <v/>
      </c>
      <c r="V281">
        <f>HYPERLINK("https://klasma.github.io/Logging_2161/klagomål/A 31123-2023 FSC-klagomål.docx", "A 31123-2023")</f>
        <v/>
      </c>
      <c r="W281">
        <f>HYPERLINK("https://klasma.github.io/Logging_2161/klagomålsmail/A 31123-2023 FSC-klagomål mail.docx", "A 31123-2023")</f>
        <v/>
      </c>
      <c r="X281">
        <f>HYPERLINK("https://klasma.github.io/Logging_2161/tillsyn/A 31123-2023 tillsynsbegäran.docx", "A 31123-2023")</f>
        <v/>
      </c>
      <c r="Y281">
        <f>HYPERLINK("https://klasma.github.io/Logging_2161/tillsynsmail/A 31123-2023 tillsynsbegäran mail.docx", "A 31123-2023")</f>
        <v/>
      </c>
    </row>
    <row r="282" ht="15" customHeight="1">
      <c r="A282" t="inlineStr">
        <is>
          <t>A 31541-2023</t>
        </is>
      </c>
      <c r="B282" s="1" t="n">
        <v>45117</v>
      </c>
      <c r="C282" s="1" t="n">
        <v>45587</v>
      </c>
      <c r="D282" t="inlineStr">
        <is>
          <t>GÄVLEBORGS LÄN</t>
        </is>
      </c>
      <c r="E282" t="inlineStr">
        <is>
          <t>GÄVLE</t>
        </is>
      </c>
      <c r="F282" t="inlineStr">
        <is>
          <t>Bergvik skog väst AB</t>
        </is>
      </c>
      <c r="G282" t="n">
        <v>8.300000000000001</v>
      </c>
      <c r="H282" t="n">
        <v>1</v>
      </c>
      <c r="I282" t="n">
        <v>1</v>
      </c>
      <c r="J282" t="n">
        <v>0</v>
      </c>
      <c r="K282" t="n">
        <v>0</v>
      </c>
      <c r="L282" t="n">
        <v>0</v>
      </c>
      <c r="M282" t="n">
        <v>0</v>
      </c>
      <c r="N282" t="n">
        <v>0</v>
      </c>
      <c r="O282" t="n">
        <v>0</v>
      </c>
      <c r="P282" t="n">
        <v>0</v>
      </c>
      <c r="Q282" t="n">
        <v>2</v>
      </c>
      <c r="R282" s="2" t="inlineStr">
        <is>
          <t>Vårärt
Mattlummer</t>
        </is>
      </c>
      <c r="S282">
        <f>HYPERLINK("https://klasma.github.io/Logging_2180/artfynd/A 31541-2023 artfynd.xlsx", "A 31541-2023")</f>
        <v/>
      </c>
      <c r="T282">
        <f>HYPERLINK("https://klasma.github.io/Logging_2180/kartor/A 31541-2023 karta.png", "A 31541-2023")</f>
        <v/>
      </c>
      <c r="V282">
        <f>HYPERLINK("https://klasma.github.io/Logging_2180/klagomål/A 31541-2023 FSC-klagomål.docx", "A 31541-2023")</f>
        <v/>
      </c>
      <c r="W282">
        <f>HYPERLINK("https://klasma.github.io/Logging_2180/klagomålsmail/A 31541-2023 FSC-klagomål mail.docx", "A 31541-2023")</f>
        <v/>
      </c>
      <c r="X282">
        <f>HYPERLINK("https://klasma.github.io/Logging_2180/tillsyn/A 31541-2023 tillsynsbegäran.docx", "A 31541-2023")</f>
        <v/>
      </c>
      <c r="Y282">
        <f>HYPERLINK("https://klasma.github.io/Logging_2180/tillsynsmail/A 31541-2023 tillsynsbegäran mail.docx", "A 31541-2023")</f>
        <v/>
      </c>
    </row>
    <row r="283" ht="15" customHeight="1">
      <c r="A283" t="inlineStr">
        <is>
          <t>A 32502-2023</t>
        </is>
      </c>
      <c r="B283" s="1" t="n">
        <v>45121</v>
      </c>
      <c r="C283" s="1" t="n">
        <v>45587</v>
      </c>
      <c r="D283" t="inlineStr">
        <is>
          <t>GÄVLEBORGS LÄN</t>
        </is>
      </c>
      <c r="E283" t="inlineStr">
        <is>
          <t>LJUSDAL</t>
        </is>
      </c>
      <c r="F283" t="inlineStr">
        <is>
          <t>Sveaskog</t>
        </is>
      </c>
      <c r="G283" t="n">
        <v>9.199999999999999</v>
      </c>
      <c r="H283" t="n">
        <v>0</v>
      </c>
      <c r="I283" t="n">
        <v>1</v>
      </c>
      <c r="J283" t="n">
        <v>1</v>
      </c>
      <c r="K283" t="n">
        <v>0</v>
      </c>
      <c r="L283" t="n">
        <v>0</v>
      </c>
      <c r="M283" t="n">
        <v>0</v>
      </c>
      <c r="N283" t="n">
        <v>0</v>
      </c>
      <c r="O283" t="n">
        <v>1</v>
      </c>
      <c r="P283" t="n">
        <v>0</v>
      </c>
      <c r="Q283" t="n">
        <v>2</v>
      </c>
      <c r="R283" s="2" t="inlineStr">
        <is>
          <t>Garnlav
Dropptaggsvamp</t>
        </is>
      </c>
      <c r="S283">
        <f>HYPERLINK("https://klasma.github.io/Logging_2161/artfynd/A 32502-2023 artfynd.xlsx", "A 32502-2023")</f>
        <v/>
      </c>
      <c r="T283">
        <f>HYPERLINK("https://klasma.github.io/Logging_2161/kartor/A 32502-2023 karta.png", "A 32502-2023")</f>
        <v/>
      </c>
      <c r="V283">
        <f>HYPERLINK("https://klasma.github.io/Logging_2161/klagomål/A 32502-2023 FSC-klagomål.docx", "A 32502-2023")</f>
        <v/>
      </c>
      <c r="W283">
        <f>HYPERLINK("https://klasma.github.io/Logging_2161/klagomålsmail/A 32502-2023 FSC-klagomål mail.docx", "A 32502-2023")</f>
        <v/>
      </c>
      <c r="X283">
        <f>HYPERLINK("https://klasma.github.io/Logging_2161/tillsyn/A 32502-2023 tillsynsbegäran.docx", "A 32502-2023")</f>
        <v/>
      </c>
      <c r="Y283">
        <f>HYPERLINK("https://klasma.github.io/Logging_2161/tillsynsmail/A 32502-2023 tillsynsbegäran mail.docx", "A 32502-2023")</f>
        <v/>
      </c>
    </row>
    <row r="284" ht="15" customHeight="1">
      <c r="A284" t="inlineStr">
        <is>
          <t>A 36586-2023</t>
        </is>
      </c>
      <c r="B284" s="1" t="n">
        <v>45153</v>
      </c>
      <c r="C284" s="1" t="n">
        <v>45587</v>
      </c>
      <c r="D284" t="inlineStr">
        <is>
          <t>GÄVLEBORGS LÄN</t>
        </is>
      </c>
      <c r="E284" t="inlineStr">
        <is>
          <t>LJUSDAL</t>
        </is>
      </c>
      <c r="F284" t="inlineStr">
        <is>
          <t>Bergvik skog väst AB</t>
        </is>
      </c>
      <c r="G284" t="n">
        <v>27</v>
      </c>
      <c r="H284" t="n">
        <v>1</v>
      </c>
      <c r="I284" t="n">
        <v>0</v>
      </c>
      <c r="J284" t="n">
        <v>2</v>
      </c>
      <c r="K284" t="n">
        <v>0</v>
      </c>
      <c r="L284" t="n">
        <v>0</v>
      </c>
      <c r="M284" t="n">
        <v>0</v>
      </c>
      <c r="N284" t="n">
        <v>0</v>
      </c>
      <c r="O284" t="n">
        <v>2</v>
      </c>
      <c r="P284" t="n">
        <v>0</v>
      </c>
      <c r="Q284" t="n">
        <v>2</v>
      </c>
      <c r="R284" s="2" t="inlineStr">
        <is>
          <t>Lunglav
Tretåig hackspett</t>
        </is>
      </c>
      <c r="S284">
        <f>HYPERLINK("https://klasma.github.io/Logging_2161/artfynd/A 36586-2023 artfynd.xlsx", "A 36586-2023")</f>
        <v/>
      </c>
      <c r="T284">
        <f>HYPERLINK("https://klasma.github.io/Logging_2161/kartor/A 36586-2023 karta.png", "A 36586-2023")</f>
        <v/>
      </c>
      <c r="U284">
        <f>HYPERLINK("https://klasma.github.io/Logging_2161/knärot/A 36586-2023 karta knärot.png", "A 36586-2023")</f>
        <v/>
      </c>
      <c r="V284">
        <f>HYPERLINK("https://klasma.github.io/Logging_2161/klagomål/A 36586-2023 FSC-klagomål.docx", "A 36586-2023")</f>
        <v/>
      </c>
      <c r="W284">
        <f>HYPERLINK("https://klasma.github.io/Logging_2161/klagomålsmail/A 36586-2023 FSC-klagomål mail.docx", "A 36586-2023")</f>
        <v/>
      </c>
      <c r="X284">
        <f>HYPERLINK("https://klasma.github.io/Logging_2161/tillsyn/A 36586-2023 tillsynsbegäran.docx", "A 36586-2023")</f>
        <v/>
      </c>
      <c r="Y284">
        <f>HYPERLINK("https://klasma.github.io/Logging_2161/tillsynsmail/A 36586-2023 tillsynsbegäran mail.docx", "A 36586-2023")</f>
        <v/>
      </c>
      <c r="Z284">
        <f>HYPERLINK("https://klasma.github.io/Logging_2161/fåglar/A 36586-2023 prioriterade fågelarter.docx", "A 36586-2023")</f>
        <v/>
      </c>
    </row>
    <row r="285" ht="15" customHeight="1">
      <c r="A285" t="inlineStr">
        <is>
          <t>A 39002-2023</t>
        </is>
      </c>
      <c r="B285" s="1" t="n">
        <v>45163</v>
      </c>
      <c r="C285" s="1" t="n">
        <v>45587</v>
      </c>
      <c r="D285" t="inlineStr">
        <is>
          <t>GÄVLEBORGS LÄN</t>
        </is>
      </c>
      <c r="E285" t="inlineStr">
        <is>
          <t>HOFORS</t>
        </is>
      </c>
      <c r="F285" t="inlineStr">
        <is>
          <t>Sveaskog</t>
        </is>
      </c>
      <c r="G285" t="n">
        <v>2.5</v>
      </c>
      <c r="H285" t="n">
        <v>1</v>
      </c>
      <c r="I285" t="n">
        <v>1</v>
      </c>
      <c r="J285" t="n">
        <v>0</v>
      </c>
      <c r="K285" t="n">
        <v>0</v>
      </c>
      <c r="L285" t="n">
        <v>0</v>
      </c>
      <c r="M285" t="n">
        <v>0</v>
      </c>
      <c r="N285" t="n">
        <v>0</v>
      </c>
      <c r="O285" t="n">
        <v>0</v>
      </c>
      <c r="P285" t="n">
        <v>0</v>
      </c>
      <c r="Q285" t="n">
        <v>2</v>
      </c>
      <c r="R285" s="2" t="inlineStr">
        <is>
          <t>Gräsull
Blåsippa</t>
        </is>
      </c>
      <c r="S285">
        <f>HYPERLINK("https://klasma.github.io/Logging_2104/artfynd/A 39002-2023 artfynd.xlsx", "A 39002-2023")</f>
        <v/>
      </c>
      <c r="T285">
        <f>HYPERLINK("https://klasma.github.io/Logging_2104/kartor/A 39002-2023 karta.png", "A 39002-2023")</f>
        <v/>
      </c>
      <c r="V285">
        <f>HYPERLINK("https://klasma.github.io/Logging_2104/klagomål/A 39002-2023 FSC-klagomål.docx", "A 39002-2023")</f>
        <v/>
      </c>
      <c r="W285">
        <f>HYPERLINK("https://klasma.github.io/Logging_2104/klagomålsmail/A 39002-2023 FSC-klagomål mail.docx", "A 39002-2023")</f>
        <v/>
      </c>
      <c r="X285">
        <f>HYPERLINK("https://klasma.github.io/Logging_2104/tillsyn/A 39002-2023 tillsynsbegäran.docx", "A 39002-2023")</f>
        <v/>
      </c>
      <c r="Y285">
        <f>HYPERLINK("https://klasma.github.io/Logging_2104/tillsynsmail/A 39002-2023 tillsynsbegäran mail.docx", "A 39002-2023")</f>
        <v/>
      </c>
    </row>
    <row r="286" ht="15" customHeight="1">
      <c r="A286" t="inlineStr">
        <is>
          <t>A 40743-2023</t>
        </is>
      </c>
      <c r="B286" s="1" t="n">
        <v>45170</v>
      </c>
      <c r="C286" s="1" t="n">
        <v>45587</v>
      </c>
      <c r="D286" t="inlineStr">
        <is>
          <t>GÄVLEBORGS LÄN</t>
        </is>
      </c>
      <c r="E286" t="inlineStr">
        <is>
          <t>LJUSDAL</t>
        </is>
      </c>
      <c r="F286" t="inlineStr">
        <is>
          <t>Sveaskog</t>
        </is>
      </c>
      <c r="G286" t="n">
        <v>12.2</v>
      </c>
      <c r="H286" t="n">
        <v>0</v>
      </c>
      <c r="I286" t="n">
        <v>0</v>
      </c>
      <c r="J286" t="n">
        <v>2</v>
      </c>
      <c r="K286" t="n">
        <v>0</v>
      </c>
      <c r="L286" t="n">
        <v>0</v>
      </c>
      <c r="M286" t="n">
        <v>0</v>
      </c>
      <c r="N286" t="n">
        <v>0</v>
      </c>
      <c r="O286" t="n">
        <v>2</v>
      </c>
      <c r="P286" t="n">
        <v>0</v>
      </c>
      <c r="Q286" t="n">
        <v>2</v>
      </c>
      <c r="R286" s="2" t="inlineStr">
        <is>
          <t>Kolflarnlav
Lunglav</t>
        </is>
      </c>
      <c r="S286">
        <f>HYPERLINK("https://klasma.github.io/Logging_2161/artfynd/A 40743-2023 artfynd.xlsx", "A 40743-2023")</f>
        <v/>
      </c>
      <c r="T286">
        <f>HYPERLINK("https://klasma.github.io/Logging_2161/kartor/A 40743-2023 karta.png", "A 40743-2023")</f>
        <v/>
      </c>
      <c r="V286">
        <f>HYPERLINK("https://klasma.github.io/Logging_2161/klagomål/A 40743-2023 FSC-klagomål.docx", "A 40743-2023")</f>
        <v/>
      </c>
      <c r="W286">
        <f>HYPERLINK("https://klasma.github.io/Logging_2161/klagomålsmail/A 40743-2023 FSC-klagomål mail.docx", "A 40743-2023")</f>
        <v/>
      </c>
      <c r="X286">
        <f>HYPERLINK("https://klasma.github.io/Logging_2161/tillsyn/A 40743-2023 tillsynsbegäran.docx", "A 40743-2023")</f>
        <v/>
      </c>
      <c r="Y286">
        <f>HYPERLINK("https://klasma.github.io/Logging_2161/tillsynsmail/A 40743-2023 tillsynsbegäran mail.docx", "A 40743-2023")</f>
        <v/>
      </c>
    </row>
    <row r="287" ht="15" customHeight="1">
      <c r="A287" t="inlineStr">
        <is>
          <t>A 41221-2023</t>
        </is>
      </c>
      <c r="B287" s="1" t="n">
        <v>45174</v>
      </c>
      <c r="C287" s="1" t="n">
        <v>45587</v>
      </c>
      <c r="D287" t="inlineStr">
        <is>
          <t>GÄVLEBORGS LÄN</t>
        </is>
      </c>
      <c r="E287" t="inlineStr">
        <is>
          <t>NORDANSTIG</t>
        </is>
      </c>
      <c r="F287" t="inlineStr">
        <is>
          <t>Holmen skog AB</t>
        </is>
      </c>
      <c r="G287" t="n">
        <v>13.1</v>
      </c>
      <c r="H287" t="n">
        <v>0</v>
      </c>
      <c r="I287" t="n">
        <v>1</v>
      </c>
      <c r="J287" t="n">
        <v>1</v>
      </c>
      <c r="K287" t="n">
        <v>0</v>
      </c>
      <c r="L287" t="n">
        <v>0</v>
      </c>
      <c r="M287" t="n">
        <v>0</v>
      </c>
      <c r="N287" t="n">
        <v>0</v>
      </c>
      <c r="O287" t="n">
        <v>1</v>
      </c>
      <c r="P287" t="n">
        <v>0</v>
      </c>
      <c r="Q287" t="n">
        <v>2</v>
      </c>
      <c r="R287" s="2" t="inlineStr">
        <is>
          <t>Lunglav
Dropptaggsvamp</t>
        </is>
      </c>
      <c r="S287">
        <f>HYPERLINK("https://klasma.github.io/Logging_2132/artfynd/A 41221-2023 artfynd.xlsx", "A 41221-2023")</f>
        <v/>
      </c>
      <c r="T287">
        <f>HYPERLINK("https://klasma.github.io/Logging_2132/kartor/A 41221-2023 karta.png", "A 41221-2023")</f>
        <v/>
      </c>
      <c r="V287">
        <f>HYPERLINK("https://klasma.github.io/Logging_2132/klagomål/A 41221-2023 FSC-klagomål.docx", "A 41221-2023")</f>
        <v/>
      </c>
      <c r="W287">
        <f>HYPERLINK("https://klasma.github.io/Logging_2132/klagomålsmail/A 41221-2023 FSC-klagomål mail.docx", "A 41221-2023")</f>
        <v/>
      </c>
      <c r="X287">
        <f>HYPERLINK("https://klasma.github.io/Logging_2132/tillsyn/A 41221-2023 tillsynsbegäran.docx", "A 41221-2023")</f>
        <v/>
      </c>
      <c r="Y287">
        <f>HYPERLINK("https://klasma.github.io/Logging_2132/tillsynsmail/A 41221-2023 tillsynsbegäran mail.docx", "A 41221-2023")</f>
        <v/>
      </c>
    </row>
    <row r="288" ht="15" customHeight="1">
      <c r="A288" t="inlineStr">
        <is>
          <t>A 42123-2023</t>
        </is>
      </c>
      <c r="B288" s="1" t="n">
        <v>45177</v>
      </c>
      <c r="C288" s="1" t="n">
        <v>45587</v>
      </c>
      <c r="D288" t="inlineStr">
        <is>
          <t>GÄVLEBORGS LÄN</t>
        </is>
      </c>
      <c r="E288" t="inlineStr">
        <is>
          <t>LJUSDAL</t>
        </is>
      </c>
      <c r="F288" t="inlineStr">
        <is>
          <t>Sveaskog</t>
        </is>
      </c>
      <c r="G288" t="n">
        <v>19.7</v>
      </c>
      <c r="H288" t="n">
        <v>0</v>
      </c>
      <c r="I288" t="n">
        <v>0</v>
      </c>
      <c r="J288" t="n">
        <v>2</v>
      </c>
      <c r="K288" t="n">
        <v>0</v>
      </c>
      <c r="L288" t="n">
        <v>0</v>
      </c>
      <c r="M288" t="n">
        <v>0</v>
      </c>
      <c r="N288" t="n">
        <v>0</v>
      </c>
      <c r="O288" t="n">
        <v>2</v>
      </c>
      <c r="P288" t="n">
        <v>0</v>
      </c>
      <c r="Q288" t="n">
        <v>2</v>
      </c>
      <c r="R288" s="2" t="inlineStr">
        <is>
          <t>Kolflarnlav
Mörk kolflarnlav</t>
        </is>
      </c>
      <c r="S288">
        <f>HYPERLINK("https://klasma.github.io/Logging_2161/artfynd/A 42123-2023 artfynd.xlsx", "A 42123-2023")</f>
        <v/>
      </c>
      <c r="T288">
        <f>HYPERLINK("https://klasma.github.io/Logging_2161/kartor/A 42123-2023 karta.png", "A 42123-2023")</f>
        <v/>
      </c>
      <c r="V288">
        <f>HYPERLINK("https://klasma.github.io/Logging_2161/klagomål/A 42123-2023 FSC-klagomål.docx", "A 42123-2023")</f>
        <v/>
      </c>
      <c r="W288">
        <f>HYPERLINK("https://klasma.github.io/Logging_2161/klagomålsmail/A 42123-2023 FSC-klagomål mail.docx", "A 42123-2023")</f>
        <v/>
      </c>
      <c r="X288">
        <f>HYPERLINK("https://klasma.github.io/Logging_2161/tillsyn/A 42123-2023 tillsynsbegäran.docx", "A 42123-2023")</f>
        <v/>
      </c>
      <c r="Y288">
        <f>HYPERLINK("https://klasma.github.io/Logging_2161/tillsynsmail/A 42123-2023 tillsynsbegäran mail.docx", "A 42123-2023")</f>
        <v/>
      </c>
    </row>
    <row r="289" ht="15" customHeight="1">
      <c r="A289" t="inlineStr">
        <is>
          <t>A 42056-2023</t>
        </is>
      </c>
      <c r="B289" s="1" t="n">
        <v>45177</v>
      </c>
      <c r="C289" s="1" t="n">
        <v>45587</v>
      </c>
      <c r="D289" t="inlineStr">
        <is>
          <t>GÄVLEBORGS LÄN</t>
        </is>
      </c>
      <c r="E289" t="inlineStr">
        <is>
          <t>OVANÅKER</t>
        </is>
      </c>
      <c r="G289" t="n">
        <v>14.7</v>
      </c>
      <c r="H289" t="n">
        <v>0</v>
      </c>
      <c r="I289" t="n">
        <v>1</v>
      </c>
      <c r="J289" t="n">
        <v>1</v>
      </c>
      <c r="K289" t="n">
        <v>0</v>
      </c>
      <c r="L289" t="n">
        <v>0</v>
      </c>
      <c r="M289" t="n">
        <v>0</v>
      </c>
      <c r="N289" t="n">
        <v>0</v>
      </c>
      <c r="O289" t="n">
        <v>1</v>
      </c>
      <c r="P289" t="n">
        <v>0</v>
      </c>
      <c r="Q289" t="n">
        <v>2</v>
      </c>
      <c r="R289" s="2" t="inlineStr">
        <is>
          <t>Lunglav
Korallblylav</t>
        </is>
      </c>
      <c r="S289">
        <f>HYPERLINK("https://klasma.github.io/Logging_2121/artfynd/A 42056-2023 artfynd.xlsx", "A 42056-2023")</f>
        <v/>
      </c>
      <c r="T289">
        <f>HYPERLINK("https://klasma.github.io/Logging_2121/kartor/A 42056-2023 karta.png", "A 42056-2023")</f>
        <v/>
      </c>
      <c r="V289">
        <f>HYPERLINK("https://klasma.github.io/Logging_2121/klagomål/A 42056-2023 FSC-klagomål.docx", "A 42056-2023")</f>
        <v/>
      </c>
      <c r="W289">
        <f>HYPERLINK("https://klasma.github.io/Logging_2121/klagomålsmail/A 42056-2023 FSC-klagomål mail.docx", "A 42056-2023")</f>
        <v/>
      </c>
      <c r="X289">
        <f>HYPERLINK("https://klasma.github.io/Logging_2121/tillsyn/A 42056-2023 tillsynsbegäran.docx", "A 42056-2023")</f>
        <v/>
      </c>
      <c r="Y289">
        <f>HYPERLINK("https://klasma.github.io/Logging_2121/tillsynsmail/A 42056-2023 tillsynsbegäran mail.docx", "A 42056-2023")</f>
        <v/>
      </c>
    </row>
    <row r="290" ht="15" customHeight="1">
      <c r="A290" t="inlineStr">
        <is>
          <t>A 43723-2023</t>
        </is>
      </c>
      <c r="B290" s="1" t="n">
        <v>45187</v>
      </c>
      <c r="C290" s="1" t="n">
        <v>45587</v>
      </c>
      <c r="D290" t="inlineStr">
        <is>
          <t>GÄVLEBORGS LÄN</t>
        </is>
      </c>
      <c r="E290" t="inlineStr">
        <is>
          <t>LJUSDAL</t>
        </is>
      </c>
      <c r="F290" t="inlineStr">
        <is>
          <t>Sveaskog</t>
        </is>
      </c>
      <c r="G290" t="n">
        <v>5.1</v>
      </c>
      <c r="H290" t="n">
        <v>0</v>
      </c>
      <c r="I290" t="n">
        <v>0</v>
      </c>
      <c r="J290" t="n">
        <v>2</v>
      </c>
      <c r="K290" t="n">
        <v>0</v>
      </c>
      <c r="L290" t="n">
        <v>0</v>
      </c>
      <c r="M290" t="n">
        <v>0</v>
      </c>
      <c r="N290" t="n">
        <v>0</v>
      </c>
      <c r="O290" t="n">
        <v>2</v>
      </c>
      <c r="P290" t="n">
        <v>0</v>
      </c>
      <c r="Q290" t="n">
        <v>2</v>
      </c>
      <c r="R290" s="2" t="inlineStr">
        <is>
          <t>Kolflarnlav
Mörk kolflarnlav</t>
        </is>
      </c>
      <c r="S290">
        <f>HYPERLINK("https://klasma.github.io/Logging_2161/artfynd/A 43723-2023 artfynd.xlsx", "A 43723-2023")</f>
        <v/>
      </c>
      <c r="T290">
        <f>HYPERLINK("https://klasma.github.io/Logging_2161/kartor/A 43723-2023 karta.png", "A 43723-2023")</f>
        <v/>
      </c>
      <c r="V290">
        <f>HYPERLINK("https://klasma.github.io/Logging_2161/klagomål/A 43723-2023 FSC-klagomål.docx", "A 43723-2023")</f>
        <v/>
      </c>
      <c r="W290">
        <f>HYPERLINK("https://klasma.github.io/Logging_2161/klagomålsmail/A 43723-2023 FSC-klagomål mail.docx", "A 43723-2023")</f>
        <v/>
      </c>
      <c r="X290">
        <f>HYPERLINK("https://klasma.github.io/Logging_2161/tillsyn/A 43723-2023 tillsynsbegäran.docx", "A 43723-2023")</f>
        <v/>
      </c>
      <c r="Y290">
        <f>HYPERLINK("https://klasma.github.io/Logging_2161/tillsynsmail/A 43723-2023 tillsynsbegäran mail.docx", "A 43723-2023")</f>
        <v/>
      </c>
    </row>
    <row r="291" ht="15" customHeight="1">
      <c r="A291" t="inlineStr">
        <is>
          <t>A 45153-2023</t>
        </is>
      </c>
      <c r="B291" s="1" t="n">
        <v>45191</v>
      </c>
      <c r="C291" s="1" t="n">
        <v>45587</v>
      </c>
      <c r="D291" t="inlineStr">
        <is>
          <t>GÄVLEBORGS LÄN</t>
        </is>
      </c>
      <c r="E291" t="inlineStr">
        <is>
          <t>HUDIKSVALL</t>
        </is>
      </c>
      <c r="G291" t="n">
        <v>0.6</v>
      </c>
      <c r="H291" t="n">
        <v>1</v>
      </c>
      <c r="I291" t="n">
        <v>1</v>
      </c>
      <c r="J291" t="n">
        <v>0</v>
      </c>
      <c r="K291" t="n">
        <v>0</v>
      </c>
      <c r="L291" t="n">
        <v>0</v>
      </c>
      <c r="M291" t="n">
        <v>0</v>
      </c>
      <c r="N291" t="n">
        <v>0</v>
      </c>
      <c r="O291" t="n">
        <v>0</v>
      </c>
      <c r="P291" t="n">
        <v>0</v>
      </c>
      <c r="Q291" t="n">
        <v>2</v>
      </c>
      <c r="R291" s="2" t="inlineStr">
        <is>
          <t>Tibast
Skogsödla</t>
        </is>
      </c>
      <c r="S291">
        <f>HYPERLINK("https://klasma.github.io/Logging_2184/artfynd/A 45153-2023 artfynd.xlsx", "A 45153-2023")</f>
        <v/>
      </c>
      <c r="T291">
        <f>HYPERLINK("https://klasma.github.io/Logging_2184/kartor/A 45153-2023 karta.png", "A 45153-2023")</f>
        <v/>
      </c>
      <c r="V291">
        <f>HYPERLINK("https://klasma.github.io/Logging_2184/klagomål/A 45153-2023 FSC-klagomål.docx", "A 45153-2023")</f>
        <v/>
      </c>
      <c r="W291">
        <f>HYPERLINK("https://klasma.github.io/Logging_2184/klagomålsmail/A 45153-2023 FSC-klagomål mail.docx", "A 45153-2023")</f>
        <v/>
      </c>
      <c r="X291">
        <f>HYPERLINK("https://klasma.github.io/Logging_2184/tillsyn/A 45153-2023 tillsynsbegäran.docx", "A 45153-2023")</f>
        <v/>
      </c>
      <c r="Y291">
        <f>HYPERLINK("https://klasma.github.io/Logging_2184/tillsynsmail/A 45153-2023 tillsynsbegäran mail.docx", "A 45153-2023")</f>
        <v/>
      </c>
    </row>
    <row r="292" ht="15" customHeight="1">
      <c r="A292" t="inlineStr">
        <is>
          <t>A 45876-2023</t>
        </is>
      </c>
      <c r="B292" s="1" t="n">
        <v>45195</v>
      </c>
      <c r="C292" s="1" t="n">
        <v>45587</v>
      </c>
      <c r="D292" t="inlineStr">
        <is>
          <t>GÄVLEBORGS LÄN</t>
        </is>
      </c>
      <c r="E292" t="inlineStr">
        <is>
          <t>HUDIKSVALL</t>
        </is>
      </c>
      <c r="G292" t="n">
        <v>3.9</v>
      </c>
      <c r="H292" t="n">
        <v>2</v>
      </c>
      <c r="I292" t="n">
        <v>0</v>
      </c>
      <c r="J292" t="n">
        <v>0</v>
      </c>
      <c r="K292" t="n">
        <v>0</v>
      </c>
      <c r="L292" t="n">
        <v>0</v>
      </c>
      <c r="M292" t="n">
        <v>0</v>
      </c>
      <c r="N292" t="n">
        <v>0</v>
      </c>
      <c r="O292" t="n">
        <v>0</v>
      </c>
      <c r="P292" t="n">
        <v>0</v>
      </c>
      <c r="Q292" t="n">
        <v>2</v>
      </c>
      <c r="R292" s="2" t="inlineStr">
        <is>
          <t>Blåsippa
Revlummer</t>
        </is>
      </c>
      <c r="S292">
        <f>HYPERLINK("https://klasma.github.io/Logging_2184/artfynd/A 45876-2023 artfynd.xlsx", "A 45876-2023")</f>
        <v/>
      </c>
      <c r="T292">
        <f>HYPERLINK("https://klasma.github.io/Logging_2184/kartor/A 45876-2023 karta.png", "A 45876-2023")</f>
        <v/>
      </c>
      <c r="V292">
        <f>HYPERLINK("https://klasma.github.io/Logging_2184/klagomål/A 45876-2023 FSC-klagomål.docx", "A 45876-2023")</f>
        <v/>
      </c>
      <c r="W292">
        <f>HYPERLINK("https://klasma.github.io/Logging_2184/klagomålsmail/A 45876-2023 FSC-klagomål mail.docx", "A 45876-2023")</f>
        <v/>
      </c>
      <c r="X292">
        <f>HYPERLINK("https://klasma.github.io/Logging_2184/tillsyn/A 45876-2023 tillsynsbegäran.docx", "A 45876-2023")</f>
        <v/>
      </c>
      <c r="Y292">
        <f>HYPERLINK("https://klasma.github.io/Logging_2184/tillsynsmail/A 45876-2023 tillsynsbegäran mail.docx", "A 45876-2023")</f>
        <v/>
      </c>
    </row>
    <row r="293" ht="15" customHeight="1">
      <c r="A293" t="inlineStr">
        <is>
          <t>A 47719-2023</t>
        </is>
      </c>
      <c r="B293" s="1" t="n">
        <v>45203</v>
      </c>
      <c r="C293" s="1" t="n">
        <v>45587</v>
      </c>
      <c r="D293" t="inlineStr">
        <is>
          <t>GÄVLEBORGS LÄN</t>
        </is>
      </c>
      <c r="E293" t="inlineStr">
        <is>
          <t>LJUSDAL</t>
        </is>
      </c>
      <c r="F293" t="inlineStr">
        <is>
          <t>Sveaskog</t>
        </is>
      </c>
      <c r="G293" t="n">
        <v>5.1</v>
      </c>
      <c r="H293" t="n">
        <v>0</v>
      </c>
      <c r="I293" t="n">
        <v>0</v>
      </c>
      <c r="J293" t="n">
        <v>2</v>
      </c>
      <c r="K293" t="n">
        <v>0</v>
      </c>
      <c r="L293" t="n">
        <v>0</v>
      </c>
      <c r="M293" t="n">
        <v>0</v>
      </c>
      <c r="N293" t="n">
        <v>0</v>
      </c>
      <c r="O293" t="n">
        <v>2</v>
      </c>
      <c r="P293" t="n">
        <v>0</v>
      </c>
      <c r="Q293" t="n">
        <v>2</v>
      </c>
      <c r="R293" s="2" t="inlineStr">
        <is>
          <t>Kolflarnlav
Orange taggsvamp</t>
        </is>
      </c>
      <c r="S293">
        <f>HYPERLINK("https://klasma.github.io/Logging_2161/artfynd/A 47719-2023 artfynd.xlsx", "A 47719-2023")</f>
        <v/>
      </c>
      <c r="T293">
        <f>HYPERLINK("https://klasma.github.io/Logging_2161/kartor/A 47719-2023 karta.png", "A 47719-2023")</f>
        <v/>
      </c>
      <c r="V293">
        <f>HYPERLINK("https://klasma.github.io/Logging_2161/klagomål/A 47719-2023 FSC-klagomål.docx", "A 47719-2023")</f>
        <v/>
      </c>
      <c r="W293">
        <f>HYPERLINK("https://klasma.github.io/Logging_2161/klagomålsmail/A 47719-2023 FSC-klagomål mail.docx", "A 47719-2023")</f>
        <v/>
      </c>
      <c r="X293">
        <f>HYPERLINK("https://klasma.github.io/Logging_2161/tillsyn/A 47719-2023 tillsynsbegäran.docx", "A 47719-2023")</f>
        <v/>
      </c>
      <c r="Y293">
        <f>HYPERLINK("https://klasma.github.io/Logging_2161/tillsynsmail/A 47719-2023 tillsynsbegäran mail.docx", "A 47719-2023")</f>
        <v/>
      </c>
    </row>
    <row r="294" ht="15" customHeight="1">
      <c r="A294" t="inlineStr">
        <is>
          <t>A 51410-2023</t>
        </is>
      </c>
      <c r="B294" s="1" t="n">
        <v>45219</v>
      </c>
      <c r="C294" s="1" t="n">
        <v>45587</v>
      </c>
      <c r="D294" t="inlineStr">
        <is>
          <t>GÄVLEBORGS LÄN</t>
        </is>
      </c>
      <c r="E294" t="inlineStr">
        <is>
          <t>LJUSDAL</t>
        </is>
      </c>
      <c r="F294" t="inlineStr">
        <is>
          <t>Sveaskog</t>
        </is>
      </c>
      <c r="G294" t="n">
        <v>12.9</v>
      </c>
      <c r="H294" t="n">
        <v>0</v>
      </c>
      <c r="I294" t="n">
        <v>0</v>
      </c>
      <c r="J294" t="n">
        <v>2</v>
      </c>
      <c r="K294" t="n">
        <v>0</v>
      </c>
      <c r="L294" t="n">
        <v>0</v>
      </c>
      <c r="M294" t="n">
        <v>0</v>
      </c>
      <c r="N294" t="n">
        <v>0</v>
      </c>
      <c r="O294" t="n">
        <v>2</v>
      </c>
      <c r="P294" t="n">
        <v>0</v>
      </c>
      <c r="Q294" t="n">
        <v>2</v>
      </c>
      <c r="R294" s="2" t="inlineStr">
        <is>
          <t>Kolflarnlav
Lunglav</t>
        </is>
      </c>
      <c r="S294">
        <f>HYPERLINK("https://klasma.github.io/Logging_2161/artfynd/A 51410-2023 artfynd.xlsx", "A 51410-2023")</f>
        <v/>
      </c>
      <c r="T294">
        <f>HYPERLINK("https://klasma.github.io/Logging_2161/kartor/A 51410-2023 karta.png", "A 51410-2023")</f>
        <v/>
      </c>
      <c r="V294">
        <f>HYPERLINK("https://klasma.github.io/Logging_2161/klagomål/A 51410-2023 FSC-klagomål.docx", "A 51410-2023")</f>
        <v/>
      </c>
      <c r="W294">
        <f>HYPERLINK("https://klasma.github.io/Logging_2161/klagomålsmail/A 51410-2023 FSC-klagomål mail.docx", "A 51410-2023")</f>
        <v/>
      </c>
      <c r="X294">
        <f>HYPERLINK("https://klasma.github.io/Logging_2161/tillsyn/A 51410-2023 tillsynsbegäran.docx", "A 51410-2023")</f>
        <v/>
      </c>
      <c r="Y294">
        <f>HYPERLINK("https://klasma.github.io/Logging_2161/tillsynsmail/A 51410-2023 tillsynsbegäran mail.docx", "A 51410-2023")</f>
        <v/>
      </c>
    </row>
    <row r="295" ht="15" customHeight="1">
      <c r="A295" t="inlineStr">
        <is>
          <t>A 51222-2023</t>
        </is>
      </c>
      <c r="B295" s="1" t="n">
        <v>45219</v>
      </c>
      <c r="C295" s="1" t="n">
        <v>45587</v>
      </c>
      <c r="D295" t="inlineStr">
        <is>
          <t>GÄVLEBORGS LÄN</t>
        </is>
      </c>
      <c r="E295" t="inlineStr">
        <is>
          <t>LJUSDAL</t>
        </is>
      </c>
      <c r="F295" t="inlineStr">
        <is>
          <t>Sveaskog</t>
        </is>
      </c>
      <c r="G295" t="n">
        <v>6.5</v>
      </c>
      <c r="H295" t="n">
        <v>1</v>
      </c>
      <c r="I295" t="n">
        <v>0</v>
      </c>
      <c r="J295" t="n">
        <v>1</v>
      </c>
      <c r="K295" t="n">
        <v>0</v>
      </c>
      <c r="L295" t="n">
        <v>0</v>
      </c>
      <c r="M295" t="n">
        <v>0</v>
      </c>
      <c r="N295" t="n">
        <v>0</v>
      </c>
      <c r="O295" t="n">
        <v>1</v>
      </c>
      <c r="P295" t="n">
        <v>0</v>
      </c>
      <c r="Q295" t="n">
        <v>2</v>
      </c>
      <c r="R295" s="2" t="inlineStr">
        <is>
          <t>Lunglav
Lavskrika</t>
        </is>
      </c>
      <c r="S295">
        <f>HYPERLINK("https://klasma.github.io/Logging_2161/artfynd/A 51222-2023 artfynd.xlsx", "A 51222-2023")</f>
        <v/>
      </c>
      <c r="T295">
        <f>HYPERLINK("https://klasma.github.io/Logging_2161/kartor/A 51222-2023 karta.png", "A 51222-2023")</f>
        <v/>
      </c>
      <c r="V295">
        <f>HYPERLINK("https://klasma.github.io/Logging_2161/klagomål/A 51222-2023 FSC-klagomål.docx", "A 51222-2023")</f>
        <v/>
      </c>
      <c r="W295">
        <f>HYPERLINK("https://klasma.github.io/Logging_2161/klagomålsmail/A 51222-2023 FSC-klagomål mail.docx", "A 51222-2023")</f>
        <v/>
      </c>
      <c r="X295">
        <f>HYPERLINK("https://klasma.github.io/Logging_2161/tillsyn/A 51222-2023 tillsynsbegäran.docx", "A 51222-2023")</f>
        <v/>
      </c>
      <c r="Y295">
        <f>HYPERLINK("https://klasma.github.io/Logging_2161/tillsynsmail/A 51222-2023 tillsynsbegäran mail.docx", "A 51222-2023")</f>
        <v/>
      </c>
      <c r="Z295">
        <f>HYPERLINK("https://klasma.github.io/Logging_2161/fåglar/A 51222-2023 prioriterade fågelarter.docx", "A 51222-2023")</f>
        <v/>
      </c>
    </row>
    <row r="296" ht="15" customHeight="1">
      <c r="A296" t="inlineStr">
        <is>
          <t>A 58349-2023</t>
        </is>
      </c>
      <c r="B296" s="1" t="n">
        <v>45250</v>
      </c>
      <c r="C296" s="1" t="n">
        <v>45587</v>
      </c>
      <c r="D296" t="inlineStr">
        <is>
          <t>GÄVLEBORGS LÄN</t>
        </is>
      </c>
      <c r="E296" t="inlineStr">
        <is>
          <t>OCKELBO</t>
        </is>
      </c>
      <c r="F296" t="inlineStr">
        <is>
          <t>Bergvik skog väst AB</t>
        </is>
      </c>
      <c r="G296" t="n">
        <v>2.9</v>
      </c>
      <c r="H296" t="n">
        <v>1</v>
      </c>
      <c r="I296" t="n">
        <v>0</v>
      </c>
      <c r="J296" t="n">
        <v>1</v>
      </c>
      <c r="K296" t="n">
        <v>0</v>
      </c>
      <c r="L296" t="n">
        <v>0</v>
      </c>
      <c r="M296" t="n">
        <v>0</v>
      </c>
      <c r="N296" t="n">
        <v>0</v>
      </c>
      <c r="O296" t="n">
        <v>1</v>
      </c>
      <c r="P296" t="n">
        <v>0</v>
      </c>
      <c r="Q296" t="n">
        <v>2</v>
      </c>
      <c r="R296" s="2" t="inlineStr">
        <is>
          <t>Blanksvart spiklav
Revlummer</t>
        </is>
      </c>
      <c r="S296">
        <f>HYPERLINK("https://klasma.github.io/Logging_2101/artfynd/A 58349-2023 artfynd.xlsx", "A 58349-2023")</f>
        <v/>
      </c>
      <c r="T296">
        <f>HYPERLINK("https://klasma.github.io/Logging_2101/kartor/A 58349-2023 karta.png", "A 58349-2023")</f>
        <v/>
      </c>
      <c r="V296">
        <f>HYPERLINK("https://klasma.github.io/Logging_2101/klagomål/A 58349-2023 FSC-klagomål.docx", "A 58349-2023")</f>
        <v/>
      </c>
      <c r="W296">
        <f>HYPERLINK("https://klasma.github.io/Logging_2101/klagomålsmail/A 58349-2023 FSC-klagomål mail.docx", "A 58349-2023")</f>
        <v/>
      </c>
      <c r="X296">
        <f>HYPERLINK("https://klasma.github.io/Logging_2101/tillsyn/A 58349-2023 tillsynsbegäran.docx", "A 58349-2023")</f>
        <v/>
      </c>
      <c r="Y296">
        <f>HYPERLINK("https://klasma.github.io/Logging_2101/tillsynsmail/A 58349-2023 tillsynsbegäran mail.docx", "A 58349-2023")</f>
        <v/>
      </c>
    </row>
    <row r="297" ht="15" customHeight="1">
      <c r="A297" t="inlineStr">
        <is>
          <t>A 60875-2023</t>
        </is>
      </c>
      <c r="B297" s="1" t="n">
        <v>45261</v>
      </c>
      <c r="C297" s="1" t="n">
        <v>45587</v>
      </c>
      <c r="D297" t="inlineStr">
        <is>
          <t>GÄVLEBORGS LÄN</t>
        </is>
      </c>
      <c r="E297" t="inlineStr">
        <is>
          <t>NORDANSTIG</t>
        </is>
      </c>
      <c r="F297" t="inlineStr">
        <is>
          <t>Holmen skog AB</t>
        </is>
      </c>
      <c r="G297" t="n">
        <v>1.3</v>
      </c>
      <c r="H297" t="n">
        <v>0</v>
      </c>
      <c r="I297" t="n">
        <v>2</v>
      </c>
      <c r="J297" t="n">
        <v>0</v>
      </c>
      <c r="K297" t="n">
        <v>0</v>
      </c>
      <c r="L297" t="n">
        <v>0</v>
      </c>
      <c r="M297" t="n">
        <v>0</v>
      </c>
      <c r="N297" t="n">
        <v>0</v>
      </c>
      <c r="O297" t="n">
        <v>0</v>
      </c>
      <c r="P297" t="n">
        <v>0</v>
      </c>
      <c r="Q297" t="n">
        <v>2</v>
      </c>
      <c r="R297" s="2" t="inlineStr">
        <is>
          <t>Skogshakmossa
Strutbräken</t>
        </is>
      </c>
      <c r="S297">
        <f>HYPERLINK("https://klasma.github.io/Logging_2132/artfynd/A 60875-2023 artfynd.xlsx", "A 60875-2023")</f>
        <v/>
      </c>
      <c r="T297">
        <f>HYPERLINK("https://klasma.github.io/Logging_2132/kartor/A 60875-2023 karta.png", "A 60875-2023")</f>
        <v/>
      </c>
      <c r="V297">
        <f>HYPERLINK("https://klasma.github.io/Logging_2132/klagomål/A 60875-2023 FSC-klagomål.docx", "A 60875-2023")</f>
        <v/>
      </c>
      <c r="W297">
        <f>HYPERLINK("https://klasma.github.io/Logging_2132/klagomålsmail/A 60875-2023 FSC-klagomål mail.docx", "A 60875-2023")</f>
        <v/>
      </c>
      <c r="X297">
        <f>HYPERLINK("https://klasma.github.io/Logging_2132/tillsyn/A 60875-2023 tillsynsbegäran.docx", "A 60875-2023")</f>
        <v/>
      </c>
      <c r="Y297">
        <f>HYPERLINK("https://klasma.github.io/Logging_2132/tillsynsmail/A 60875-2023 tillsynsbegäran mail.docx", "A 60875-2023")</f>
        <v/>
      </c>
    </row>
    <row r="298" ht="15" customHeight="1">
      <c r="A298" t="inlineStr">
        <is>
          <t>A 61554-2023</t>
        </is>
      </c>
      <c r="B298" s="1" t="n">
        <v>45265</v>
      </c>
      <c r="C298" s="1" t="n">
        <v>45587</v>
      </c>
      <c r="D298" t="inlineStr">
        <is>
          <t>GÄVLEBORGS LÄN</t>
        </is>
      </c>
      <c r="E298" t="inlineStr">
        <is>
          <t>SANDVIKEN</t>
        </is>
      </c>
      <c r="G298" t="n">
        <v>4.5</v>
      </c>
      <c r="H298" t="n">
        <v>0</v>
      </c>
      <c r="I298" t="n">
        <v>1</v>
      </c>
      <c r="J298" t="n">
        <v>1</v>
      </c>
      <c r="K298" t="n">
        <v>0</v>
      </c>
      <c r="L298" t="n">
        <v>0</v>
      </c>
      <c r="M298" t="n">
        <v>0</v>
      </c>
      <c r="N298" t="n">
        <v>0</v>
      </c>
      <c r="O298" t="n">
        <v>1</v>
      </c>
      <c r="P298" t="n">
        <v>0</v>
      </c>
      <c r="Q298" t="n">
        <v>2</v>
      </c>
      <c r="R298" s="2" t="inlineStr">
        <is>
          <t>Garnlav
Nästlav</t>
        </is>
      </c>
      <c r="S298">
        <f>HYPERLINK("https://klasma.github.io/Logging_2181/artfynd/A 61554-2023 artfynd.xlsx", "A 61554-2023")</f>
        <v/>
      </c>
      <c r="T298">
        <f>HYPERLINK("https://klasma.github.io/Logging_2181/kartor/A 61554-2023 karta.png", "A 61554-2023")</f>
        <v/>
      </c>
      <c r="V298">
        <f>HYPERLINK("https://klasma.github.io/Logging_2181/klagomål/A 61554-2023 FSC-klagomål.docx", "A 61554-2023")</f>
        <v/>
      </c>
      <c r="W298">
        <f>HYPERLINK("https://klasma.github.io/Logging_2181/klagomålsmail/A 61554-2023 FSC-klagomål mail.docx", "A 61554-2023")</f>
        <v/>
      </c>
      <c r="X298">
        <f>HYPERLINK("https://klasma.github.io/Logging_2181/tillsyn/A 61554-2023 tillsynsbegäran.docx", "A 61554-2023")</f>
        <v/>
      </c>
      <c r="Y298">
        <f>HYPERLINK("https://klasma.github.io/Logging_2181/tillsynsmail/A 61554-2023 tillsynsbegäran mail.docx", "A 61554-2023")</f>
        <v/>
      </c>
    </row>
    <row r="299" ht="15" customHeight="1">
      <c r="A299" t="inlineStr">
        <is>
          <t>A 64567-2023</t>
        </is>
      </c>
      <c r="B299" s="1" t="n">
        <v>45281</v>
      </c>
      <c r="C299" s="1" t="n">
        <v>45587</v>
      </c>
      <c r="D299" t="inlineStr">
        <is>
          <t>GÄVLEBORGS LÄN</t>
        </is>
      </c>
      <c r="E299" t="inlineStr">
        <is>
          <t>GÄVLE</t>
        </is>
      </c>
      <c r="G299" t="n">
        <v>2.6</v>
      </c>
      <c r="H299" t="n">
        <v>0</v>
      </c>
      <c r="I299" t="n">
        <v>1</v>
      </c>
      <c r="J299" t="n">
        <v>0</v>
      </c>
      <c r="K299" t="n">
        <v>0</v>
      </c>
      <c r="L299" t="n">
        <v>1</v>
      </c>
      <c r="M299" t="n">
        <v>0</v>
      </c>
      <c r="N299" t="n">
        <v>0</v>
      </c>
      <c r="O299" t="n">
        <v>1</v>
      </c>
      <c r="P299" t="n">
        <v>1</v>
      </c>
      <c r="Q299" t="n">
        <v>2</v>
      </c>
      <c r="R299" s="2" t="inlineStr">
        <is>
          <t>Ask
Jättesvampmal</t>
        </is>
      </c>
      <c r="S299">
        <f>HYPERLINK("https://klasma.github.io/Logging_2180/artfynd/A 64567-2023 artfynd.xlsx", "A 64567-2023")</f>
        <v/>
      </c>
      <c r="T299">
        <f>HYPERLINK("https://klasma.github.io/Logging_2180/kartor/A 64567-2023 karta.png", "A 64567-2023")</f>
        <v/>
      </c>
      <c r="V299">
        <f>HYPERLINK("https://klasma.github.io/Logging_2180/klagomål/A 64567-2023 FSC-klagomål.docx", "A 64567-2023")</f>
        <v/>
      </c>
      <c r="W299">
        <f>HYPERLINK("https://klasma.github.io/Logging_2180/klagomålsmail/A 64567-2023 FSC-klagomål mail.docx", "A 64567-2023")</f>
        <v/>
      </c>
      <c r="X299">
        <f>HYPERLINK("https://klasma.github.io/Logging_2180/tillsyn/A 64567-2023 tillsynsbegäran.docx", "A 64567-2023")</f>
        <v/>
      </c>
      <c r="Y299">
        <f>HYPERLINK("https://klasma.github.io/Logging_2180/tillsynsmail/A 64567-2023 tillsynsbegäran mail.docx", "A 64567-2023")</f>
        <v/>
      </c>
    </row>
    <row r="300" ht="15" customHeight="1">
      <c r="A300" t="inlineStr">
        <is>
          <t>A 1196-2024</t>
        </is>
      </c>
      <c r="B300" s="1" t="n">
        <v>45302</v>
      </c>
      <c r="C300" s="1" t="n">
        <v>45587</v>
      </c>
      <c r="D300" t="inlineStr">
        <is>
          <t>GÄVLEBORGS LÄN</t>
        </is>
      </c>
      <c r="E300" t="inlineStr">
        <is>
          <t>OVANÅKER</t>
        </is>
      </c>
      <c r="F300" t="inlineStr">
        <is>
          <t>Bergvik skog väst AB</t>
        </is>
      </c>
      <c r="G300" t="n">
        <v>3.7</v>
      </c>
      <c r="H300" t="n">
        <v>1</v>
      </c>
      <c r="I300" t="n">
        <v>1</v>
      </c>
      <c r="J300" t="n">
        <v>0</v>
      </c>
      <c r="K300" t="n">
        <v>0</v>
      </c>
      <c r="L300" t="n">
        <v>0</v>
      </c>
      <c r="M300" t="n">
        <v>0</v>
      </c>
      <c r="N300" t="n">
        <v>0</v>
      </c>
      <c r="O300" t="n">
        <v>0</v>
      </c>
      <c r="P300" t="n">
        <v>0</v>
      </c>
      <c r="Q300" t="n">
        <v>2</v>
      </c>
      <c r="R300" s="2" t="inlineStr">
        <is>
          <t>Mörk husmossa
Blåsippa</t>
        </is>
      </c>
      <c r="S300">
        <f>HYPERLINK("https://klasma.github.io/Logging_2121/artfynd/A 1196-2024 artfynd.xlsx", "A 1196-2024")</f>
        <v/>
      </c>
      <c r="T300">
        <f>HYPERLINK("https://klasma.github.io/Logging_2121/kartor/A 1196-2024 karta.png", "A 1196-2024")</f>
        <v/>
      </c>
      <c r="V300">
        <f>HYPERLINK("https://klasma.github.io/Logging_2121/klagomål/A 1196-2024 FSC-klagomål.docx", "A 1196-2024")</f>
        <v/>
      </c>
      <c r="W300">
        <f>HYPERLINK("https://klasma.github.io/Logging_2121/klagomålsmail/A 1196-2024 FSC-klagomål mail.docx", "A 1196-2024")</f>
        <v/>
      </c>
      <c r="X300">
        <f>HYPERLINK("https://klasma.github.io/Logging_2121/tillsyn/A 1196-2024 tillsynsbegäran.docx", "A 1196-2024")</f>
        <v/>
      </c>
      <c r="Y300">
        <f>HYPERLINK("https://klasma.github.io/Logging_2121/tillsynsmail/A 1196-2024 tillsynsbegäran mail.docx", "A 1196-2024")</f>
        <v/>
      </c>
    </row>
    <row r="301" ht="15" customHeight="1">
      <c r="A301" t="inlineStr">
        <is>
          <t>A 4081-2024</t>
        </is>
      </c>
      <c r="B301" s="1" t="n">
        <v>45323</v>
      </c>
      <c r="C301" s="1" t="n">
        <v>45587</v>
      </c>
      <c r="D301" t="inlineStr">
        <is>
          <t>GÄVLEBORGS LÄN</t>
        </is>
      </c>
      <c r="E301" t="inlineStr">
        <is>
          <t>OVANÅKER</t>
        </is>
      </c>
      <c r="G301" t="n">
        <v>3.3</v>
      </c>
      <c r="H301" t="n">
        <v>0</v>
      </c>
      <c r="I301" t="n">
        <v>0</v>
      </c>
      <c r="J301" t="n">
        <v>2</v>
      </c>
      <c r="K301" t="n">
        <v>0</v>
      </c>
      <c r="L301" t="n">
        <v>0</v>
      </c>
      <c r="M301" t="n">
        <v>0</v>
      </c>
      <c r="N301" t="n">
        <v>0</v>
      </c>
      <c r="O301" t="n">
        <v>2</v>
      </c>
      <c r="P301" t="n">
        <v>0</v>
      </c>
      <c r="Q301" t="n">
        <v>2</v>
      </c>
      <c r="R301" s="2" t="inlineStr">
        <is>
          <t>Rosenticka
Ullticka</t>
        </is>
      </c>
      <c r="S301">
        <f>HYPERLINK("https://klasma.github.io/Logging_2121/artfynd/A 4081-2024 artfynd.xlsx", "A 4081-2024")</f>
        <v/>
      </c>
      <c r="T301">
        <f>HYPERLINK("https://klasma.github.io/Logging_2121/kartor/A 4081-2024 karta.png", "A 4081-2024")</f>
        <v/>
      </c>
      <c r="V301">
        <f>HYPERLINK("https://klasma.github.io/Logging_2121/klagomål/A 4081-2024 FSC-klagomål.docx", "A 4081-2024")</f>
        <v/>
      </c>
      <c r="W301">
        <f>HYPERLINK("https://klasma.github.io/Logging_2121/klagomålsmail/A 4081-2024 FSC-klagomål mail.docx", "A 4081-2024")</f>
        <v/>
      </c>
      <c r="X301">
        <f>HYPERLINK("https://klasma.github.io/Logging_2121/tillsyn/A 4081-2024 tillsynsbegäran.docx", "A 4081-2024")</f>
        <v/>
      </c>
      <c r="Y301">
        <f>HYPERLINK("https://klasma.github.io/Logging_2121/tillsynsmail/A 4081-2024 tillsynsbegäran mail.docx", "A 4081-2024")</f>
        <v/>
      </c>
    </row>
    <row r="302" ht="15" customHeight="1">
      <c r="A302" t="inlineStr">
        <is>
          <t>A 6473-2024</t>
        </is>
      </c>
      <c r="B302" s="1" t="n">
        <v>45338</v>
      </c>
      <c r="C302" s="1" t="n">
        <v>45587</v>
      </c>
      <c r="D302" t="inlineStr">
        <is>
          <t>GÄVLEBORGS LÄN</t>
        </is>
      </c>
      <c r="E302" t="inlineStr">
        <is>
          <t>GÄVLE</t>
        </is>
      </c>
      <c r="G302" t="n">
        <v>4</v>
      </c>
      <c r="H302" t="n">
        <v>1</v>
      </c>
      <c r="I302" t="n">
        <v>1</v>
      </c>
      <c r="J302" t="n">
        <v>0</v>
      </c>
      <c r="K302" t="n">
        <v>0</v>
      </c>
      <c r="L302" t="n">
        <v>0</v>
      </c>
      <c r="M302" t="n">
        <v>0</v>
      </c>
      <c r="N302" t="n">
        <v>0</v>
      </c>
      <c r="O302" t="n">
        <v>0</v>
      </c>
      <c r="P302" t="n">
        <v>0</v>
      </c>
      <c r="Q302" t="n">
        <v>2</v>
      </c>
      <c r="R302" s="2" t="inlineStr">
        <is>
          <t>Tibast
Nattviol</t>
        </is>
      </c>
      <c r="S302">
        <f>HYPERLINK("https://klasma.github.io/Logging_2180/artfynd/A 6473-2024 artfynd.xlsx", "A 6473-2024")</f>
        <v/>
      </c>
      <c r="T302">
        <f>HYPERLINK("https://klasma.github.io/Logging_2180/kartor/A 6473-2024 karta.png", "A 6473-2024")</f>
        <v/>
      </c>
      <c r="V302">
        <f>HYPERLINK("https://klasma.github.io/Logging_2180/klagomål/A 6473-2024 FSC-klagomål.docx", "A 6473-2024")</f>
        <v/>
      </c>
      <c r="W302">
        <f>HYPERLINK("https://klasma.github.io/Logging_2180/klagomålsmail/A 6473-2024 FSC-klagomål mail.docx", "A 6473-2024")</f>
        <v/>
      </c>
      <c r="X302">
        <f>HYPERLINK("https://klasma.github.io/Logging_2180/tillsyn/A 6473-2024 tillsynsbegäran.docx", "A 6473-2024")</f>
        <v/>
      </c>
      <c r="Y302">
        <f>HYPERLINK("https://klasma.github.io/Logging_2180/tillsynsmail/A 6473-2024 tillsynsbegäran mail.docx", "A 6473-2024")</f>
        <v/>
      </c>
    </row>
    <row r="303" ht="15" customHeight="1">
      <c r="A303" t="inlineStr">
        <is>
          <t>A 7322-2024</t>
        </is>
      </c>
      <c r="B303" s="1" t="n">
        <v>45345</v>
      </c>
      <c r="C303" s="1" t="n">
        <v>45587</v>
      </c>
      <c r="D303" t="inlineStr">
        <is>
          <t>GÄVLEBORGS LÄN</t>
        </is>
      </c>
      <c r="E303" t="inlineStr">
        <is>
          <t>HUDIKSVALL</t>
        </is>
      </c>
      <c r="F303" t="inlineStr">
        <is>
          <t>Holmen skog AB</t>
        </is>
      </c>
      <c r="G303" t="n">
        <v>5.3</v>
      </c>
      <c r="H303" t="n">
        <v>0</v>
      </c>
      <c r="I303" t="n">
        <v>0</v>
      </c>
      <c r="J303" t="n">
        <v>2</v>
      </c>
      <c r="K303" t="n">
        <v>0</v>
      </c>
      <c r="L303" t="n">
        <v>0</v>
      </c>
      <c r="M303" t="n">
        <v>0</v>
      </c>
      <c r="N303" t="n">
        <v>0</v>
      </c>
      <c r="O303" t="n">
        <v>2</v>
      </c>
      <c r="P303" t="n">
        <v>0</v>
      </c>
      <c r="Q303" t="n">
        <v>2</v>
      </c>
      <c r="R303" s="2" t="inlineStr">
        <is>
          <t>Garnlav
Kolflarnlav</t>
        </is>
      </c>
      <c r="S303">
        <f>HYPERLINK("https://klasma.github.io/Logging_2184/artfynd/A 7322-2024 artfynd.xlsx", "A 7322-2024")</f>
        <v/>
      </c>
      <c r="T303">
        <f>HYPERLINK("https://klasma.github.io/Logging_2184/kartor/A 7322-2024 karta.png", "A 7322-2024")</f>
        <v/>
      </c>
      <c r="V303">
        <f>HYPERLINK("https://klasma.github.io/Logging_2184/klagomål/A 7322-2024 FSC-klagomål.docx", "A 7322-2024")</f>
        <v/>
      </c>
      <c r="W303">
        <f>HYPERLINK("https://klasma.github.io/Logging_2184/klagomålsmail/A 7322-2024 FSC-klagomål mail.docx", "A 7322-2024")</f>
        <v/>
      </c>
      <c r="X303">
        <f>HYPERLINK("https://klasma.github.io/Logging_2184/tillsyn/A 7322-2024 tillsynsbegäran.docx", "A 7322-2024")</f>
        <v/>
      </c>
      <c r="Y303">
        <f>HYPERLINK("https://klasma.github.io/Logging_2184/tillsynsmail/A 7322-2024 tillsynsbegäran mail.docx", "A 7322-2024")</f>
        <v/>
      </c>
    </row>
    <row r="304" ht="15" customHeight="1">
      <c r="A304" t="inlineStr">
        <is>
          <t>A 16623-2024</t>
        </is>
      </c>
      <c r="B304" s="1" t="n">
        <v>45408</v>
      </c>
      <c r="C304" s="1" t="n">
        <v>45587</v>
      </c>
      <c r="D304" t="inlineStr">
        <is>
          <t>GÄVLEBORGS LÄN</t>
        </is>
      </c>
      <c r="E304" t="inlineStr">
        <is>
          <t>OCKELBO</t>
        </is>
      </c>
      <c r="F304" t="inlineStr">
        <is>
          <t>Bergvik skog väst AB</t>
        </is>
      </c>
      <c r="G304" t="n">
        <v>4.8</v>
      </c>
      <c r="H304" t="n">
        <v>2</v>
      </c>
      <c r="I304" t="n">
        <v>0</v>
      </c>
      <c r="J304" t="n">
        <v>0</v>
      </c>
      <c r="K304" t="n">
        <v>0</v>
      </c>
      <c r="L304" t="n">
        <v>0</v>
      </c>
      <c r="M304" t="n">
        <v>0</v>
      </c>
      <c r="N304" t="n">
        <v>0</v>
      </c>
      <c r="O304" t="n">
        <v>0</v>
      </c>
      <c r="P304" t="n">
        <v>0</v>
      </c>
      <c r="Q304" t="n">
        <v>2</v>
      </c>
      <c r="R304" s="2" t="inlineStr">
        <is>
          <t>Fläcknycklar
Revlummer</t>
        </is>
      </c>
      <c r="S304">
        <f>HYPERLINK("https://klasma.github.io/Logging_2101/artfynd/A 16623-2024 artfynd.xlsx", "A 16623-2024")</f>
        <v/>
      </c>
      <c r="T304">
        <f>HYPERLINK("https://klasma.github.io/Logging_2101/kartor/A 16623-2024 karta.png", "A 16623-2024")</f>
        <v/>
      </c>
      <c r="V304">
        <f>HYPERLINK("https://klasma.github.io/Logging_2101/klagomål/A 16623-2024 FSC-klagomål.docx", "A 16623-2024")</f>
        <v/>
      </c>
      <c r="W304">
        <f>HYPERLINK("https://klasma.github.io/Logging_2101/klagomålsmail/A 16623-2024 FSC-klagomål mail.docx", "A 16623-2024")</f>
        <v/>
      </c>
      <c r="X304">
        <f>HYPERLINK("https://klasma.github.io/Logging_2101/tillsyn/A 16623-2024 tillsynsbegäran.docx", "A 16623-2024")</f>
        <v/>
      </c>
      <c r="Y304">
        <f>HYPERLINK("https://klasma.github.io/Logging_2101/tillsynsmail/A 16623-2024 tillsynsbegäran mail.docx", "A 16623-2024")</f>
        <v/>
      </c>
    </row>
    <row r="305" ht="15" customHeight="1">
      <c r="A305" t="inlineStr">
        <is>
          <t>A 18098-2024</t>
        </is>
      </c>
      <c r="B305" s="1" t="n">
        <v>45420</v>
      </c>
      <c r="C305" s="1" t="n">
        <v>45587</v>
      </c>
      <c r="D305" t="inlineStr">
        <is>
          <t>GÄVLEBORGS LÄN</t>
        </is>
      </c>
      <c r="E305" t="inlineStr">
        <is>
          <t>LJUSDAL</t>
        </is>
      </c>
      <c r="F305" t="inlineStr">
        <is>
          <t>Sveaskog</t>
        </is>
      </c>
      <c r="G305" t="n">
        <v>3.3</v>
      </c>
      <c r="H305" t="n">
        <v>1</v>
      </c>
      <c r="I305" t="n">
        <v>0</v>
      </c>
      <c r="J305" t="n">
        <v>2</v>
      </c>
      <c r="K305" t="n">
        <v>0</v>
      </c>
      <c r="L305" t="n">
        <v>0</v>
      </c>
      <c r="M305" t="n">
        <v>0</v>
      </c>
      <c r="N305" t="n">
        <v>0</v>
      </c>
      <c r="O305" t="n">
        <v>2</v>
      </c>
      <c r="P305" t="n">
        <v>0</v>
      </c>
      <c r="Q305" t="n">
        <v>2</v>
      </c>
      <c r="R305" s="2" t="inlineStr">
        <is>
          <t>Kolflarnlav
Varglav</t>
        </is>
      </c>
      <c r="S305">
        <f>HYPERLINK("https://klasma.github.io/Logging_2161/artfynd/A 18098-2024 artfynd.xlsx", "A 18098-2024")</f>
        <v/>
      </c>
      <c r="T305">
        <f>HYPERLINK("https://klasma.github.io/Logging_2161/kartor/A 18098-2024 karta.png", "A 18098-2024")</f>
        <v/>
      </c>
      <c r="V305">
        <f>HYPERLINK("https://klasma.github.io/Logging_2161/klagomål/A 18098-2024 FSC-klagomål.docx", "A 18098-2024")</f>
        <v/>
      </c>
      <c r="W305">
        <f>HYPERLINK("https://klasma.github.io/Logging_2161/klagomålsmail/A 18098-2024 FSC-klagomål mail.docx", "A 18098-2024")</f>
        <v/>
      </c>
      <c r="X305">
        <f>HYPERLINK("https://klasma.github.io/Logging_2161/tillsyn/A 18098-2024 tillsynsbegäran.docx", "A 18098-2024")</f>
        <v/>
      </c>
      <c r="Y305">
        <f>HYPERLINK("https://klasma.github.io/Logging_2161/tillsynsmail/A 18098-2024 tillsynsbegäran mail.docx", "A 18098-2024")</f>
        <v/>
      </c>
    </row>
    <row r="306" ht="15" customHeight="1">
      <c r="A306" t="inlineStr">
        <is>
          <t>A 18101-2024</t>
        </is>
      </c>
      <c r="B306" s="1" t="n">
        <v>45420</v>
      </c>
      <c r="C306" s="1" t="n">
        <v>45587</v>
      </c>
      <c r="D306" t="inlineStr">
        <is>
          <t>GÄVLEBORGS LÄN</t>
        </is>
      </c>
      <c r="E306" t="inlineStr">
        <is>
          <t>LJUSDAL</t>
        </is>
      </c>
      <c r="F306" t="inlineStr">
        <is>
          <t>Sveaskog</t>
        </is>
      </c>
      <c r="G306" t="n">
        <v>2.8</v>
      </c>
      <c r="H306" t="n">
        <v>0</v>
      </c>
      <c r="I306" t="n">
        <v>0</v>
      </c>
      <c r="J306" t="n">
        <v>2</v>
      </c>
      <c r="K306" t="n">
        <v>0</v>
      </c>
      <c r="L306" t="n">
        <v>0</v>
      </c>
      <c r="M306" t="n">
        <v>0</v>
      </c>
      <c r="N306" t="n">
        <v>0</v>
      </c>
      <c r="O306" t="n">
        <v>2</v>
      </c>
      <c r="P306" t="n">
        <v>0</v>
      </c>
      <c r="Q306" t="n">
        <v>2</v>
      </c>
      <c r="R306" s="2" t="inlineStr">
        <is>
          <t>Kolflarnlav
Mörk kolflarnlav</t>
        </is>
      </c>
      <c r="S306">
        <f>HYPERLINK("https://klasma.github.io/Logging_2161/artfynd/A 18101-2024 artfynd.xlsx", "A 18101-2024")</f>
        <v/>
      </c>
      <c r="T306">
        <f>HYPERLINK("https://klasma.github.io/Logging_2161/kartor/A 18101-2024 karta.png", "A 18101-2024")</f>
        <v/>
      </c>
      <c r="V306">
        <f>HYPERLINK("https://klasma.github.io/Logging_2161/klagomål/A 18101-2024 FSC-klagomål.docx", "A 18101-2024")</f>
        <v/>
      </c>
      <c r="W306">
        <f>HYPERLINK("https://klasma.github.io/Logging_2161/klagomålsmail/A 18101-2024 FSC-klagomål mail.docx", "A 18101-2024")</f>
        <v/>
      </c>
      <c r="X306">
        <f>HYPERLINK("https://klasma.github.io/Logging_2161/tillsyn/A 18101-2024 tillsynsbegäran.docx", "A 18101-2024")</f>
        <v/>
      </c>
      <c r="Y306">
        <f>HYPERLINK("https://klasma.github.io/Logging_2161/tillsynsmail/A 18101-2024 tillsynsbegäran mail.docx", "A 18101-2024")</f>
        <v/>
      </c>
    </row>
    <row r="307" ht="15" customHeight="1">
      <c r="A307" t="inlineStr">
        <is>
          <t>A 18108-2024</t>
        </is>
      </c>
      <c r="B307" s="1" t="n">
        <v>45420</v>
      </c>
      <c r="C307" s="1" t="n">
        <v>45587</v>
      </c>
      <c r="D307" t="inlineStr">
        <is>
          <t>GÄVLEBORGS LÄN</t>
        </is>
      </c>
      <c r="E307" t="inlineStr">
        <is>
          <t>LJUSDAL</t>
        </is>
      </c>
      <c r="F307" t="inlineStr">
        <is>
          <t>Sveaskog</t>
        </is>
      </c>
      <c r="G307" t="n">
        <v>2.2</v>
      </c>
      <c r="H307" t="n">
        <v>0</v>
      </c>
      <c r="I307" t="n">
        <v>0</v>
      </c>
      <c r="J307" t="n">
        <v>2</v>
      </c>
      <c r="K307" t="n">
        <v>0</v>
      </c>
      <c r="L307" t="n">
        <v>0</v>
      </c>
      <c r="M307" t="n">
        <v>0</v>
      </c>
      <c r="N307" t="n">
        <v>0</v>
      </c>
      <c r="O307" t="n">
        <v>2</v>
      </c>
      <c r="P307" t="n">
        <v>0</v>
      </c>
      <c r="Q307" t="n">
        <v>2</v>
      </c>
      <c r="R307" s="2" t="inlineStr">
        <is>
          <t>Kolflarnlav
Lunglav</t>
        </is>
      </c>
      <c r="S307">
        <f>HYPERLINK("https://klasma.github.io/Logging_2161/artfynd/A 18108-2024 artfynd.xlsx", "A 18108-2024")</f>
        <v/>
      </c>
      <c r="T307">
        <f>HYPERLINK("https://klasma.github.io/Logging_2161/kartor/A 18108-2024 karta.png", "A 18108-2024")</f>
        <v/>
      </c>
      <c r="V307">
        <f>HYPERLINK("https://klasma.github.io/Logging_2161/klagomål/A 18108-2024 FSC-klagomål.docx", "A 18108-2024")</f>
        <v/>
      </c>
      <c r="W307">
        <f>HYPERLINK("https://klasma.github.io/Logging_2161/klagomålsmail/A 18108-2024 FSC-klagomål mail.docx", "A 18108-2024")</f>
        <v/>
      </c>
      <c r="X307">
        <f>HYPERLINK("https://klasma.github.io/Logging_2161/tillsyn/A 18108-2024 tillsynsbegäran.docx", "A 18108-2024")</f>
        <v/>
      </c>
      <c r="Y307">
        <f>HYPERLINK("https://klasma.github.io/Logging_2161/tillsynsmail/A 18108-2024 tillsynsbegäran mail.docx", "A 18108-2024")</f>
        <v/>
      </c>
    </row>
    <row r="308" ht="15" customHeight="1">
      <c r="A308" t="inlineStr">
        <is>
          <t>A 18103-2024</t>
        </is>
      </c>
      <c r="B308" s="1" t="n">
        <v>45420</v>
      </c>
      <c r="C308" s="1" t="n">
        <v>45587</v>
      </c>
      <c r="D308" t="inlineStr">
        <is>
          <t>GÄVLEBORGS LÄN</t>
        </is>
      </c>
      <c r="E308" t="inlineStr">
        <is>
          <t>LJUSDAL</t>
        </is>
      </c>
      <c r="F308" t="inlineStr">
        <is>
          <t>Sveaskog</t>
        </is>
      </c>
      <c r="G308" t="n">
        <v>3.9</v>
      </c>
      <c r="H308" t="n">
        <v>0</v>
      </c>
      <c r="I308" t="n">
        <v>0</v>
      </c>
      <c r="J308" t="n">
        <v>2</v>
      </c>
      <c r="K308" t="n">
        <v>0</v>
      </c>
      <c r="L308" t="n">
        <v>0</v>
      </c>
      <c r="M308" t="n">
        <v>0</v>
      </c>
      <c r="N308" t="n">
        <v>0</v>
      </c>
      <c r="O308" t="n">
        <v>2</v>
      </c>
      <c r="P308" t="n">
        <v>0</v>
      </c>
      <c r="Q308" t="n">
        <v>2</v>
      </c>
      <c r="R308" s="2" t="inlineStr">
        <is>
          <t>Kolflarnlav
Mörk kolflarnlav</t>
        </is>
      </c>
      <c r="S308">
        <f>HYPERLINK("https://klasma.github.io/Logging_2161/artfynd/A 18103-2024 artfynd.xlsx", "A 18103-2024")</f>
        <v/>
      </c>
      <c r="T308">
        <f>HYPERLINK("https://klasma.github.io/Logging_2161/kartor/A 18103-2024 karta.png", "A 18103-2024")</f>
        <v/>
      </c>
      <c r="V308">
        <f>HYPERLINK("https://klasma.github.io/Logging_2161/klagomål/A 18103-2024 FSC-klagomål.docx", "A 18103-2024")</f>
        <v/>
      </c>
      <c r="W308">
        <f>HYPERLINK("https://klasma.github.io/Logging_2161/klagomålsmail/A 18103-2024 FSC-klagomål mail.docx", "A 18103-2024")</f>
        <v/>
      </c>
      <c r="X308">
        <f>HYPERLINK("https://klasma.github.io/Logging_2161/tillsyn/A 18103-2024 tillsynsbegäran.docx", "A 18103-2024")</f>
        <v/>
      </c>
      <c r="Y308">
        <f>HYPERLINK("https://klasma.github.io/Logging_2161/tillsynsmail/A 18103-2024 tillsynsbegäran mail.docx", "A 18103-2024")</f>
        <v/>
      </c>
    </row>
    <row r="309" ht="15" customHeight="1">
      <c r="A309" t="inlineStr">
        <is>
          <t>A 18986-2024</t>
        </is>
      </c>
      <c r="B309" s="1" t="n">
        <v>45427</v>
      </c>
      <c r="C309" s="1" t="n">
        <v>45587</v>
      </c>
      <c r="D309" t="inlineStr">
        <is>
          <t>GÄVLEBORGS LÄN</t>
        </is>
      </c>
      <c r="E309" t="inlineStr">
        <is>
          <t>LJUSDAL</t>
        </is>
      </c>
      <c r="F309" t="inlineStr">
        <is>
          <t>Sveaskog</t>
        </is>
      </c>
      <c r="G309" t="n">
        <v>5.7</v>
      </c>
      <c r="H309" t="n">
        <v>0</v>
      </c>
      <c r="I309" t="n">
        <v>0</v>
      </c>
      <c r="J309" t="n">
        <v>2</v>
      </c>
      <c r="K309" t="n">
        <v>0</v>
      </c>
      <c r="L309" t="n">
        <v>0</v>
      </c>
      <c r="M309" t="n">
        <v>0</v>
      </c>
      <c r="N309" t="n">
        <v>0</v>
      </c>
      <c r="O309" t="n">
        <v>2</v>
      </c>
      <c r="P309" t="n">
        <v>0</v>
      </c>
      <c r="Q309" t="n">
        <v>2</v>
      </c>
      <c r="R309" s="2" t="inlineStr">
        <is>
          <t>Kolflarnlav
Mörk kolflarnlav</t>
        </is>
      </c>
      <c r="S309">
        <f>HYPERLINK("https://klasma.github.io/Logging_2161/artfynd/A 18986-2024 artfynd.xlsx", "A 18986-2024")</f>
        <v/>
      </c>
      <c r="T309">
        <f>HYPERLINK("https://klasma.github.io/Logging_2161/kartor/A 18986-2024 karta.png", "A 18986-2024")</f>
        <v/>
      </c>
      <c r="V309">
        <f>HYPERLINK("https://klasma.github.io/Logging_2161/klagomål/A 18986-2024 FSC-klagomål.docx", "A 18986-2024")</f>
        <v/>
      </c>
      <c r="W309">
        <f>HYPERLINK("https://klasma.github.io/Logging_2161/klagomålsmail/A 18986-2024 FSC-klagomål mail.docx", "A 18986-2024")</f>
        <v/>
      </c>
      <c r="X309">
        <f>HYPERLINK("https://klasma.github.io/Logging_2161/tillsyn/A 18986-2024 tillsynsbegäran.docx", "A 18986-2024")</f>
        <v/>
      </c>
      <c r="Y309">
        <f>HYPERLINK("https://klasma.github.io/Logging_2161/tillsynsmail/A 18986-2024 tillsynsbegäran mail.docx", "A 18986-2024")</f>
        <v/>
      </c>
    </row>
    <row r="310" ht="15" customHeight="1">
      <c r="A310" t="inlineStr">
        <is>
          <t>A 19180-2024</t>
        </is>
      </c>
      <c r="B310" s="1" t="n">
        <v>45428</v>
      </c>
      <c r="C310" s="1" t="n">
        <v>45587</v>
      </c>
      <c r="D310" t="inlineStr">
        <is>
          <t>GÄVLEBORGS LÄN</t>
        </is>
      </c>
      <c r="E310" t="inlineStr">
        <is>
          <t>OVANÅKER</t>
        </is>
      </c>
      <c r="G310" t="n">
        <v>4.1</v>
      </c>
      <c r="H310" t="n">
        <v>0</v>
      </c>
      <c r="I310" t="n">
        <v>0</v>
      </c>
      <c r="J310" t="n">
        <v>2</v>
      </c>
      <c r="K310" t="n">
        <v>0</v>
      </c>
      <c r="L310" t="n">
        <v>0</v>
      </c>
      <c r="M310" t="n">
        <v>0</v>
      </c>
      <c r="N310" t="n">
        <v>0</v>
      </c>
      <c r="O310" t="n">
        <v>2</v>
      </c>
      <c r="P310" t="n">
        <v>0</v>
      </c>
      <c r="Q310" t="n">
        <v>2</v>
      </c>
      <c r="R310" s="2" t="inlineStr">
        <is>
          <t>Kolflarnlav
Vedskivlav</t>
        </is>
      </c>
      <c r="S310">
        <f>HYPERLINK("https://klasma.github.io/Logging_2121/artfynd/A 19180-2024 artfynd.xlsx", "A 19180-2024")</f>
        <v/>
      </c>
      <c r="T310">
        <f>HYPERLINK("https://klasma.github.io/Logging_2121/kartor/A 19180-2024 karta.png", "A 19180-2024")</f>
        <v/>
      </c>
      <c r="V310">
        <f>HYPERLINK("https://klasma.github.io/Logging_2121/klagomål/A 19180-2024 FSC-klagomål.docx", "A 19180-2024")</f>
        <v/>
      </c>
      <c r="W310">
        <f>HYPERLINK("https://klasma.github.io/Logging_2121/klagomålsmail/A 19180-2024 FSC-klagomål mail.docx", "A 19180-2024")</f>
        <v/>
      </c>
      <c r="X310">
        <f>HYPERLINK("https://klasma.github.io/Logging_2121/tillsyn/A 19180-2024 tillsynsbegäran.docx", "A 19180-2024")</f>
        <v/>
      </c>
      <c r="Y310">
        <f>HYPERLINK("https://klasma.github.io/Logging_2121/tillsynsmail/A 19180-2024 tillsynsbegäran mail.docx", "A 19180-2024")</f>
        <v/>
      </c>
    </row>
    <row r="311" ht="15" customHeight="1">
      <c r="A311" t="inlineStr">
        <is>
          <t>A 19848-2024</t>
        </is>
      </c>
      <c r="B311" s="1" t="n">
        <v>45433</v>
      </c>
      <c r="C311" s="1" t="n">
        <v>45587</v>
      </c>
      <c r="D311" t="inlineStr">
        <is>
          <t>GÄVLEBORGS LÄN</t>
        </is>
      </c>
      <c r="E311" t="inlineStr">
        <is>
          <t>LJUSDAL</t>
        </is>
      </c>
      <c r="F311" t="inlineStr">
        <is>
          <t>Sveaskog</t>
        </is>
      </c>
      <c r="G311" t="n">
        <v>3.1</v>
      </c>
      <c r="H311" t="n">
        <v>0</v>
      </c>
      <c r="I311" t="n">
        <v>0</v>
      </c>
      <c r="J311" t="n">
        <v>2</v>
      </c>
      <c r="K311" t="n">
        <v>0</v>
      </c>
      <c r="L311" t="n">
        <v>0</v>
      </c>
      <c r="M311" t="n">
        <v>0</v>
      </c>
      <c r="N311" t="n">
        <v>0</v>
      </c>
      <c r="O311" t="n">
        <v>2</v>
      </c>
      <c r="P311" t="n">
        <v>0</v>
      </c>
      <c r="Q311" t="n">
        <v>2</v>
      </c>
      <c r="R311" s="2" t="inlineStr">
        <is>
          <t>Kolflarnlav
Lunglav</t>
        </is>
      </c>
      <c r="S311">
        <f>HYPERLINK("https://klasma.github.io/Logging_2161/artfynd/A 19848-2024 artfynd.xlsx", "A 19848-2024")</f>
        <v/>
      </c>
      <c r="T311">
        <f>HYPERLINK("https://klasma.github.io/Logging_2161/kartor/A 19848-2024 karta.png", "A 19848-2024")</f>
        <v/>
      </c>
      <c r="V311">
        <f>HYPERLINK("https://klasma.github.io/Logging_2161/klagomål/A 19848-2024 FSC-klagomål.docx", "A 19848-2024")</f>
        <v/>
      </c>
      <c r="W311">
        <f>HYPERLINK("https://klasma.github.io/Logging_2161/klagomålsmail/A 19848-2024 FSC-klagomål mail.docx", "A 19848-2024")</f>
        <v/>
      </c>
      <c r="X311">
        <f>HYPERLINK("https://klasma.github.io/Logging_2161/tillsyn/A 19848-2024 tillsynsbegäran.docx", "A 19848-2024")</f>
        <v/>
      </c>
      <c r="Y311">
        <f>HYPERLINK("https://klasma.github.io/Logging_2161/tillsynsmail/A 19848-2024 tillsynsbegäran mail.docx", "A 19848-2024")</f>
        <v/>
      </c>
    </row>
    <row r="312" ht="15" customHeight="1">
      <c r="A312" t="inlineStr">
        <is>
          <t>A 19847-2024</t>
        </is>
      </c>
      <c r="B312" s="1" t="n">
        <v>45433</v>
      </c>
      <c r="C312" s="1" t="n">
        <v>45587</v>
      </c>
      <c r="D312" t="inlineStr">
        <is>
          <t>GÄVLEBORGS LÄN</t>
        </is>
      </c>
      <c r="E312" t="inlineStr">
        <is>
          <t>LJUSDAL</t>
        </is>
      </c>
      <c r="F312" t="inlineStr">
        <is>
          <t>Sveaskog</t>
        </is>
      </c>
      <c r="G312" t="n">
        <v>10.3</v>
      </c>
      <c r="H312" t="n">
        <v>0</v>
      </c>
      <c r="I312" t="n">
        <v>0</v>
      </c>
      <c r="J312" t="n">
        <v>2</v>
      </c>
      <c r="K312" t="n">
        <v>0</v>
      </c>
      <c r="L312" t="n">
        <v>0</v>
      </c>
      <c r="M312" t="n">
        <v>0</v>
      </c>
      <c r="N312" t="n">
        <v>0</v>
      </c>
      <c r="O312" t="n">
        <v>2</v>
      </c>
      <c r="P312" t="n">
        <v>0</v>
      </c>
      <c r="Q312" t="n">
        <v>2</v>
      </c>
      <c r="R312" s="2" t="inlineStr">
        <is>
          <t>Lunglav
Mörk kolflarnlav</t>
        </is>
      </c>
      <c r="S312">
        <f>HYPERLINK("https://klasma.github.io/Logging_2161/artfynd/A 19847-2024 artfynd.xlsx", "A 19847-2024")</f>
        <v/>
      </c>
      <c r="T312">
        <f>HYPERLINK("https://klasma.github.io/Logging_2161/kartor/A 19847-2024 karta.png", "A 19847-2024")</f>
        <v/>
      </c>
      <c r="V312">
        <f>HYPERLINK("https://klasma.github.io/Logging_2161/klagomål/A 19847-2024 FSC-klagomål.docx", "A 19847-2024")</f>
        <v/>
      </c>
      <c r="W312">
        <f>HYPERLINK("https://klasma.github.io/Logging_2161/klagomålsmail/A 19847-2024 FSC-klagomål mail.docx", "A 19847-2024")</f>
        <v/>
      </c>
      <c r="X312">
        <f>HYPERLINK("https://klasma.github.io/Logging_2161/tillsyn/A 19847-2024 tillsynsbegäran.docx", "A 19847-2024")</f>
        <v/>
      </c>
      <c r="Y312">
        <f>HYPERLINK("https://klasma.github.io/Logging_2161/tillsynsmail/A 19847-2024 tillsynsbegäran mail.docx", "A 19847-2024")</f>
        <v/>
      </c>
    </row>
    <row r="313" ht="15" customHeight="1">
      <c r="A313" t="inlineStr">
        <is>
          <t>A 21192-2024</t>
        </is>
      </c>
      <c r="B313" s="1" t="n">
        <v>45440</v>
      </c>
      <c r="C313" s="1" t="n">
        <v>45587</v>
      </c>
      <c r="D313" t="inlineStr">
        <is>
          <t>GÄVLEBORGS LÄN</t>
        </is>
      </c>
      <c r="E313" t="inlineStr">
        <is>
          <t>NORDANSTIG</t>
        </is>
      </c>
      <c r="G313" t="n">
        <v>11.7</v>
      </c>
      <c r="H313" t="n">
        <v>0</v>
      </c>
      <c r="I313" t="n">
        <v>1</v>
      </c>
      <c r="J313" t="n">
        <v>0</v>
      </c>
      <c r="K313" t="n">
        <v>1</v>
      </c>
      <c r="L313" t="n">
        <v>0</v>
      </c>
      <c r="M313" t="n">
        <v>0</v>
      </c>
      <c r="N313" t="n">
        <v>0</v>
      </c>
      <c r="O313" t="n">
        <v>1</v>
      </c>
      <c r="P313" t="n">
        <v>1</v>
      </c>
      <c r="Q313" t="n">
        <v>2</v>
      </c>
      <c r="R313" s="2" t="inlineStr">
        <is>
          <t>Aspgelélav
Skinnlav</t>
        </is>
      </c>
      <c r="S313">
        <f>HYPERLINK("https://klasma.github.io/Logging_2132/artfynd/A 21192-2024 artfynd.xlsx", "A 21192-2024")</f>
        <v/>
      </c>
      <c r="T313">
        <f>HYPERLINK("https://klasma.github.io/Logging_2132/kartor/A 21192-2024 karta.png", "A 21192-2024")</f>
        <v/>
      </c>
      <c r="V313">
        <f>HYPERLINK("https://klasma.github.io/Logging_2132/klagomål/A 21192-2024 FSC-klagomål.docx", "A 21192-2024")</f>
        <v/>
      </c>
      <c r="W313">
        <f>HYPERLINK("https://klasma.github.io/Logging_2132/klagomålsmail/A 21192-2024 FSC-klagomål mail.docx", "A 21192-2024")</f>
        <v/>
      </c>
      <c r="X313">
        <f>HYPERLINK("https://klasma.github.io/Logging_2132/tillsyn/A 21192-2024 tillsynsbegäran.docx", "A 21192-2024")</f>
        <v/>
      </c>
      <c r="Y313">
        <f>HYPERLINK("https://klasma.github.io/Logging_2132/tillsynsmail/A 21192-2024 tillsynsbegäran mail.docx", "A 21192-2024")</f>
        <v/>
      </c>
    </row>
    <row r="314" ht="15" customHeight="1">
      <c r="A314" t="inlineStr">
        <is>
          <t>A 21732-2024</t>
        </is>
      </c>
      <c r="B314" s="1" t="n">
        <v>45442</v>
      </c>
      <c r="C314" s="1" t="n">
        <v>45587</v>
      </c>
      <c r="D314" t="inlineStr">
        <is>
          <t>GÄVLEBORGS LÄN</t>
        </is>
      </c>
      <c r="E314" t="inlineStr">
        <is>
          <t>OCKELBO</t>
        </is>
      </c>
      <c r="F314" t="inlineStr">
        <is>
          <t>Bergvik skog väst AB</t>
        </is>
      </c>
      <c r="G314" t="n">
        <v>6.6</v>
      </c>
      <c r="H314" t="n">
        <v>1</v>
      </c>
      <c r="I314" t="n">
        <v>1</v>
      </c>
      <c r="J314" t="n">
        <v>0</v>
      </c>
      <c r="K314" t="n">
        <v>0</v>
      </c>
      <c r="L314" t="n">
        <v>0</v>
      </c>
      <c r="M314" t="n">
        <v>0</v>
      </c>
      <c r="N314" t="n">
        <v>0</v>
      </c>
      <c r="O314" t="n">
        <v>0</v>
      </c>
      <c r="P314" t="n">
        <v>0</v>
      </c>
      <c r="Q314" t="n">
        <v>2</v>
      </c>
      <c r="R314" s="2" t="inlineStr">
        <is>
          <t>Kantarellvaxskivling
Revlummer</t>
        </is>
      </c>
      <c r="S314">
        <f>HYPERLINK("https://klasma.github.io/Logging_2101/artfynd/A 21732-2024 artfynd.xlsx", "A 21732-2024")</f>
        <v/>
      </c>
      <c r="T314">
        <f>HYPERLINK("https://klasma.github.io/Logging_2101/kartor/A 21732-2024 karta.png", "A 21732-2024")</f>
        <v/>
      </c>
      <c r="V314">
        <f>HYPERLINK("https://klasma.github.io/Logging_2101/klagomål/A 21732-2024 FSC-klagomål.docx", "A 21732-2024")</f>
        <v/>
      </c>
      <c r="W314">
        <f>HYPERLINK("https://klasma.github.io/Logging_2101/klagomålsmail/A 21732-2024 FSC-klagomål mail.docx", "A 21732-2024")</f>
        <v/>
      </c>
      <c r="X314">
        <f>HYPERLINK("https://klasma.github.io/Logging_2101/tillsyn/A 21732-2024 tillsynsbegäran.docx", "A 21732-2024")</f>
        <v/>
      </c>
      <c r="Y314">
        <f>HYPERLINK("https://klasma.github.io/Logging_2101/tillsynsmail/A 21732-2024 tillsynsbegäran mail.docx", "A 21732-2024")</f>
        <v/>
      </c>
    </row>
    <row r="315" ht="15" customHeight="1">
      <c r="A315" t="inlineStr">
        <is>
          <t>A 22063-2024</t>
        </is>
      </c>
      <c r="B315" s="1" t="n">
        <v>45443</v>
      </c>
      <c r="C315" s="1" t="n">
        <v>45587</v>
      </c>
      <c r="D315" t="inlineStr">
        <is>
          <t>GÄVLEBORGS LÄN</t>
        </is>
      </c>
      <c r="E315" t="inlineStr">
        <is>
          <t>LJUSDAL</t>
        </is>
      </c>
      <c r="F315" t="inlineStr">
        <is>
          <t>Sveaskog</t>
        </is>
      </c>
      <c r="G315" t="n">
        <v>18</v>
      </c>
      <c r="H315" t="n">
        <v>1</v>
      </c>
      <c r="I315" t="n">
        <v>1</v>
      </c>
      <c r="J315" t="n">
        <v>1</v>
      </c>
      <c r="K315" t="n">
        <v>0</v>
      </c>
      <c r="L315" t="n">
        <v>0</v>
      </c>
      <c r="M315" t="n">
        <v>0</v>
      </c>
      <c r="N315" t="n">
        <v>0</v>
      </c>
      <c r="O315" t="n">
        <v>1</v>
      </c>
      <c r="P315" t="n">
        <v>0</v>
      </c>
      <c r="Q315" t="n">
        <v>2</v>
      </c>
      <c r="R315" s="2" t="inlineStr">
        <is>
          <t>Lunglav
Plattlummer</t>
        </is>
      </c>
      <c r="S315">
        <f>HYPERLINK("https://klasma.github.io/Logging_2161/artfynd/A 22063-2024 artfynd.xlsx", "A 22063-2024")</f>
        <v/>
      </c>
      <c r="T315">
        <f>HYPERLINK("https://klasma.github.io/Logging_2161/kartor/A 22063-2024 karta.png", "A 22063-2024")</f>
        <v/>
      </c>
      <c r="V315">
        <f>HYPERLINK("https://klasma.github.io/Logging_2161/klagomål/A 22063-2024 FSC-klagomål.docx", "A 22063-2024")</f>
        <v/>
      </c>
      <c r="W315">
        <f>HYPERLINK("https://klasma.github.io/Logging_2161/klagomålsmail/A 22063-2024 FSC-klagomål mail.docx", "A 22063-2024")</f>
        <v/>
      </c>
      <c r="X315">
        <f>HYPERLINK("https://klasma.github.io/Logging_2161/tillsyn/A 22063-2024 tillsynsbegäran.docx", "A 22063-2024")</f>
        <v/>
      </c>
      <c r="Y315">
        <f>HYPERLINK("https://klasma.github.io/Logging_2161/tillsynsmail/A 22063-2024 tillsynsbegäran mail.docx", "A 22063-2024")</f>
        <v/>
      </c>
    </row>
    <row r="316" ht="15" customHeight="1">
      <c r="A316" t="inlineStr">
        <is>
          <t>A 22470-2024</t>
        </is>
      </c>
      <c r="B316" s="1" t="n">
        <v>45446</v>
      </c>
      <c r="C316" s="1" t="n">
        <v>45587</v>
      </c>
      <c r="D316" t="inlineStr">
        <is>
          <t>GÄVLEBORGS LÄN</t>
        </is>
      </c>
      <c r="E316" t="inlineStr">
        <is>
          <t>LJUSDAL</t>
        </is>
      </c>
      <c r="F316" t="inlineStr">
        <is>
          <t>SCA</t>
        </is>
      </c>
      <c r="G316" t="n">
        <v>5.3</v>
      </c>
      <c r="H316" t="n">
        <v>2</v>
      </c>
      <c r="I316" t="n">
        <v>0</v>
      </c>
      <c r="J316" t="n">
        <v>0</v>
      </c>
      <c r="K316" t="n">
        <v>1</v>
      </c>
      <c r="L316" t="n">
        <v>0</v>
      </c>
      <c r="M316" t="n">
        <v>0</v>
      </c>
      <c r="N316" t="n">
        <v>0</v>
      </c>
      <c r="O316" t="n">
        <v>1</v>
      </c>
      <c r="P316" t="n">
        <v>1</v>
      </c>
      <c r="Q316" t="n">
        <v>2</v>
      </c>
      <c r="R316" s="2" t="inlineStr">
        <is>
          <t>Knärot
Lopplummer</t>
        </is>
      </c>
      <c r="S316">
        <f>HYPERLINK("https://klasma.github.io/Logging_2161/artfynd/A 22470-2024 artfynd.xlsx", "A 22470-2024")</f>
        <v/>
      </c>
      <c r="T316">
        <f>HYPERLINK("https://klasma.github.io/Logging_2161/kartor/A 22470-2024 karta.png", "A 22470-2024")</f>
        <v/>
      </c>
      <c r="U316">
        <f>HYPERLINK("https://klasma.github.io/Logging_2161/knärot/A 22470-2024 karta knärot.png", "A 22470-2024")</f>
        <v/>
      </c>
      <c r="V316">
        <f>HYPERLINK("https://klasma.github.io/Logging_2161/klagomål/A 22470-2024 FSC-klagomål.docx", "A 22470-2024")</f>
        <v/>
      </c>
      <c r="W316">
        <f>HYPERLINK("https://klasma.github.io/Logging_2161/klagomålsmail/A 22470-2024 FSC-klagomål mail.docx", "A 22470-2024")</f>
        <v/>
      </c>
      <c r="X316">
        <f>HYPERLINK("https://klasma.github.io/Logging_2161/tillsyn/A 22470-2024 tillsynsbegäran.docx", "A 22470-2024")</f>
        <v/>
      </c>
      <c r="Y316">
        <f>HYPERLINK("https://klasma.github.io/Logging_2161/tillsynsmail/A 22470-2024 tillsynsbegäran mail.docx", "A 22470-2024")</f>
        <v/>
      </c>
    </row>
    <row r="317" ht="15" customHeight="1">
      <c r="A317" t="inlineStr">
        <is>
          <t>A 22667-2024</t>
        </is>
      </c>
      <c r="B317" s="1" t="n">
        <v>45448</v>
      </c>
      <c r="C317" s="1" t="n">
        <v>45587</v>
      </c>
      <c r="D317" t="inlineStr">
        <is>
          <t>GÄVLEBORGS LÄN</t>
        </is>
      </c>
      <c r="E317" t="inlineStr">
        <is>
          <t>LJUSDAL</t>
        </is>
      </c>
      <c r="F317" t="inlineStr">
        <is>
          <t>SCA</t>
        </is>
      </c>
      <c r="G317" t="n">
        <v>5.3</v>
      </c>
      <c r="H317" t="n">
        <v>2</v>
      </c>
      <c r="I317" t="n">
        <v>0</v>
      </c>
      <c r="J317" t="n">
        <v>0</v>
      </c>
      <c r="K317" t="n">
        <v>1</v>
      </c>
      <c r="L317" t="n">
        <v>0</v>
      </c>
      <c r="M317" t="n">
        <v>0</v>
      </c>
      <c r="N317" t="n">
        <v>0</v>
      </c>
      <c r="O317" t="n">
        <v>1</v>
      </c>
      <c r="P317" t="n">
        <v>1</v>
      </c>
      <c r="Q317" t="n">
        <v>2</v>
      </c>
      <c r="R317" s="2" t="inlineStr">
        <is>
          <t>Knärot
Lopplummer</t>
        </is>
      </c>
      <c r="S317">
        <f>HYPERLINK("https://klasma.github.io/Logging_2161/artfynd/A 22667-2024 artfynd.xlsx", "A 22667-2024")</f>
        <v/>
      </c>
      <c r="T317">
        <f>HYPERLINK("https://klasma.github.io/Logging_2161/kartor/A 22667-2024 karta.png", "A 22667-2024")</f>
        <v/>
      </c>
      <c r="U317">
        <f>HYPERLINK("https://klasma.github.io/Logging_2161/knärot/A 22667-2024 karta knärot.png", "A 22667-2024")</f>
        <v/>
      </c>
      <c r="V317">
        <f>HYPERLINK("https://klasma.github.io/Logging_2161/klagomål/A 22667-2024 FSC-klagomål.docx", "A 22667-2024")</f>
        <v/>
      </c>
      <c r="W317">
        <f>HYPERLINK("https://klasma.github.io/Logging_2161/klagomålsmail/A 22667-2024 FSC-klagomål mail.docx", "A 22667-2024")</f>
        <v/>
      </c>
      <c r="X317">
        <f>HYPERLINK("https://klasma.github.io/Logging_2161/tillsyn/A 22667-2024 tillsynsbegäran.docx", "A 22667-2024")</f>
        <v/>
      </c>
      <c r="Y317">
        <f>HYPERLINK("https://klasma.github.io/Logging_2161/tillsynsmail/A 22667-2024 tillsynsbegäran mail.docx", "A 22667-2024")</f>
        <v/>
      </c>
    </row>
    <row r="318" ht="15" customHeight="1">
      <c r="A318" t="inlineStr">
        <is>
          <t>A 23399-2024</t>
        </is>
      </c>
      <c r="B318" s="1" t="n">
        <v>45453</v>
      </c>
      <c r="C318" s="1" t="n">
        <v>45587</v>
      </c>
      <c r="D318" t="inlineStr">
        <is>
          <t>GÄVLEBORGS LÄN</t>
        </is>
      </c>
      <c r="E318" t="inlineStr">
        <is>
          <t>LJUSDAL</t>
        </is>
      </c>
      <c r="G318" t="n">
        <v>1.7</v>
      </c>
      <c r="H318" t="n">
        <v>0</v>
      </c>
      <c r="I318" t="n">
        <v>0</v>
      </c>
      <c r="J318" t="n">
        <v>2</v>
      </c>
      <c r="K318" t="n">
        <v>0</v>
      </c>
      <c r="L318" t="n">
        <v>0</v>
      </c>
      <c r="M318" t="n">
        <v>0</v>
      </c>
      <c r="N318" t="n">
        <v>0</v>
      </c>
      <c r="O318" t="n">
        <v>2</v>
      </c>
      <c r="P318" t="n">
        <v>0</v>
      </c>
      <c r="Q318" t="n">
        <v>2</v>
      </c>
      <c r="R318" s="2" t="inlineStr">
        <is>
          <t>Kolflarnlav
Vedflamlav</t>
        </is>
      </c>
      <c r="S318">
        <f>HYPERLINK("https://klasma.github.io/Logging_2161/artfynd/A 23399-2024 artfynd.xlsx", "A 23399-2024")</f>
        <v/>
      </c>
      <c r="T318">
        <f>HYPERLINK("https://klasma.github.io/Logging_2161/kartor/A 23399-2024 karta.png", "A 23399-2024")</f>
        <v/>
      </c>
      <c r="V318">
        <f>HYPERLINK("https://klasma.github.io/Logging_2161/klagomål/A 23399-2024 FSC-klagomål.docx", "A 23399-2024")</f>
        <v/>
      </c>
      <c r="W318">
        <f>HYPERLINK("https://klasma.github.io/Logging_2161/klagomålsmail/A 23399-2024 FSC-klagomål mail.docx", "A 23399-2024")</f>
        <v/>
      </c>
      <c r="X318">
        <f>HYPERLINK("https://klasma.github.io/Logging_2161/tillsyn/A 23399-2024 tillsynsbegäran.docx", "A 23399-2024")</f>
        <v/>
      </c>
      <c r="Y318">
        <f>HYPERLINK("https://klasma.github.io/Logging_2161/tillsynsmail/A 23399-2024 tillsynsbegäran mail.docx", "A 23399-2024")</f>
        <v/>
      </c>
    </row>
    <row r="319" ht="15" customHeight="1">
      <c r="A319" t="inlineStr">
        <is>
          <t>A 23606-2024</t>
        </is>
      </c>
      <c r="B319" s="1" t="n">
        <v>45454</v>
      </c>
      <c r="C319" s="1" t="n">
        <v>45587</v>
      </c>
      <c r="D319" t="inlineStr">
        <is>
          <t>GÄVLEBORGS LÄN</t>
        </is>
      </c>
      <c r="E319" t="inlineStr">
        <is>
          <t>LJUSDAL</t>
        </is>
      </c>
      <c r="F319" t="inlineStr">
        <is>
          <t>Sveaskog</t>
        </is>
      </c>
      <c r="G319" t="n">
        <v>4.4</v>
      </c>
      <c r="H319" t="n">
        <v>0</v>
      </c>
      <c r="I319" t="n">
        <v>0</v>
      </c>
      <c r="J319" t="n">
        <v>2</v>
      </c>
      <c r="K319" t="n">
        <v>0</v>
      </c>
      <c r="L319" t="n">
        <v>0</v>
      </c>
      <c r="M319" t="n">
        <v>0</v>
      </c>
      <c r="N319" t="n">
        <v>0</v>
      </c>
      <c r="O319" t="n">
        <v>2</v>
      </c>
      <c r="P319" t="n">
        <v>0</v>
      </c>
      <c r="Q319" t="n">
        <v>2</v>
      </c>
      <c r="R319" s="2" t="inlineStr">
        <is>
          <t>Kolflarnlav
Lunglav</t>
        </is>
      </c>
      <c r="S319">
        <f>HYPERLINK("https://klasma.github.io/Logging_2161/artfynd/A 23606-2024 artfynd.xlsx", "A 23606-2024")</f>
        <v/>
      </c>
      <c r="T319">
        <f>HYPERLINK("https://klasma.github.io/Logging_2161/kartor/A 23606-2024 karta.png", "A 23606-2024")</f>
        <v/>
      </c>
      <c r="V319">
        <f>HYPERLINK("https://klasma.github.io/Logging_2161/klagomål/A 23606-2024 FSC-klagomål.docx", "A 23606-2024")</f>
        <v/>
      </c>
      <c r="W319">
        <f>HYPERLINK("https://klasma.github.io/Logging_2161/klagomålsmail/A 23606-2024 FSC-klagomål mail.docx", "A 23606-2024")</f>
        <v/>
      </c>
      <c r="X319">
        <f>HYPERLINK("https://klasma.github.io/Logging_2161/tillsyn/A 23606-2024 tillsynsbegäran.docx", "A 23606-2024")</f>
        <v/>
      </c>
      <c r="Y319">
        <f>HYPERLINK("https://klasma.github.io/Logging_2161/tillsynsmail/A 23606-2024 tillsynsbegäran mail.docx", "A 23606-2024")</f>
        <v/>
      </c>
    </row>
    <row r="320" ht="15" customHeight="1">
      <c r="A320" t="inlineStr">
        <is>
          <t>A 24868-2024</t>
        </is>
      </c>
      <c r="B320" s="1" t="n">
        <v>45461</v>
      </c>
      <c r="C320" s="1" t="n">
        <v>45587</v>
      </c>
      <c r="D320" t="inlineStr">
        <is>
          <t>GÄVLEBORGS LÄN</t>
        </is>
      </c>
      <c r="E320" t="inlineStr">
        <is>
          <t>LJUSDAL</t>
        </is>
      </c>
      <c r="F320" t="inlineStr">
        <is>
          <t>Bergvik skog väst AB</t>
        </is>
      </c>
      <c r="G320" t="n">
        <v>8.5</v>
      </c>
      <c r="H320" t="n">
        <v>1</v>
      </c>
      <c r="I320" t="n">
        <v>1</v>
      </c>
      <c r="J320" t="n">
        <v>1</v>
      </c>
      <c r="K320" t="n">
        <v>0</v>
      </c>
      <c r="L320" t="n">
        <v>0</v>
      </c>
      <c r="M320" t="n">
        <v>0</v>
      </c>
      <c r="N320" t="n">
        <v>0</v>
      </c>
      <c r="O320" t="n">
        <v>1</v>
      </c>
      <c r="P320" t="n">
        <v>0</v>
      </c>
      <c r="Q320" t="n">
        <v>2</v>
      </c>
      <c r="R320" s="2" t="inlineStr">
        <is>
          <t>Granticka
Spindelblomster</t>
        </is>
      </c>
      <c r="S320">
        <f>HYPERLINK("https://klasma.github.io/Logging_2161/artfynd/A 24868-2024 artfynd.xlsx", "A 24868-2024")</f>
        <v/>
      </c>
      <c r="T320">
        <f>HYPERLINK("https://klasma.github.io/Logging_2161/kartor/A 24868-2024 karta.png", "A 24868-2024")</f>
        <v/>
      </c>
      <c r="V320">
        <f>HYPERLINK("https://klasma.github.io/Logging_2161/klagomål/A 24868-2024 FSC-klagomål.docx", "A 24868-2024")</f>
        <v/>
      </c>
      <c r="W320">
        <f>HYPERLINK("https://klasma.github.io/Logging_2161/klagomålsmail/A 24868-2024 FSC-klagomål mail.docx", "A 24868-2024")</f>
        <v/>
      </c>
      <c r="X320">
        <f>HYPERLINK("https://klasma.github.io/Logging_2161/tillsyn/A 24868-2024 tillsynsbegäran.docx", "A 24868-2024")</f>
        <v/>
      </c>
      <c r="Y320">
        <f>HYPERLINK("https://klasma.github.io/Logging_2161/tillsynsmail/A 24868-2024 tillsynsbegäran mail.docx", "A 24868-2024")</f>
        <v/>
      </c>
    </row>
    <row r="321" ht="15" customHeight="1">
      <c r="A321" t="inlineStr">
        <is>
          <t>A 25863-2024</t>
        </is>
      </c>
      <c r="B321" s="1" t="n">
        <v>45467</v>
      </c>
      <c r="C321" s="1" t="n">
        <v>45587</v>
      </c>
      <c r="D321" t="inlineStr">
        <is>
          <t>GÄVLEBORGS LÄN</t>
        </is>
      </c>
      <c r="E321" t="inlineStr">
        <is>
          <t>LJUSDAL</t>
        </is>
      </c>
      <c r="F321" t="inlineStr">
        <is>
          <t>Sveaskog</t>
        </is>
      </c>
      <c r="G321" t="n">
        <v>10.7</v>
      </c>
      <c r="H321" t="n">
        <v>0</v>
      </c>
      <c r="I321" t="n">
        <v>0</v>
      </c>
      <c r="J321" t="n">
        <v>2</v>
      </c>
      <c r="K321" t="n">
        <v>0</v>
      </c>
      <c r="L321" t="n">
        <v>0</v>
      </c>
      <c r="M321" t="n">
        <v>0</v>
      </c>
      <c r="N321" t="n">
        <v>0</v>
      </c>
      <c r="O321" t="n">
        <v>2</v>
      </c>
      <c r="P321" t="n">
        <v>0</v>
      </c>
      <c r="Q321" t="n">
        <v>2</v>
      </c>
      <c r="R321" s="2" t="inlineStr">
        <is>
          <t>Kolflarnlav
Lunglav</t>
        </is>
      </c>
      <c r="S321">
        <f>HYPERLINK("https://klasma.github.io/Logging_2161/artfynd/A 25863-2024 artfynd.xlsx", "A 25863-2024")</f>
        <v/>
      </c>
      <c r="T321">
        <f>HYPERLINK("https://klasma.github.io/Logging_2161/kartor/A 25863-2024 karta.png", "A 25863-2024")</f>
        <v/>
      </c>
      <c r="V321">
        <f>HYPERLINK("https://klasma.github.io/Logging_2161/klagomål/A 25863-2024 FSC-klagomål.docx", "A 25863-2024")</f>
        <v/>
      </c>
      <c r="W321">
        <f>HYPERLINK("https://klasma.github.io/Logging_2161/klagomålsmail/A 25863-2024 FSC-klagomål mail.docx", "A 25863-2024")</f>
        <v/>
      </c>
      <c r="X321">
        <f>HYPERLINK("https://klasma.github.io/Logging_2161/tillsyn/A 25863-2024 tillsynsbegäran.docx", "A 25863-2024")</f>
        <v/>
      </c>
      <c r="Y321">
        <f>HYPERLINK("https://klasma.github.io/Logging_2161/tillsynsmail/A 25863-2024 tillsynsbegäran mail.docx", "A 25863-2024")</f>
        <v/>
      </c>
    </row>
    <row r="322" ht="15" customHeight="1">
      <c r="A322" t="inlineStr">
        <is>
          <t>A 26213-2024</t>
        </is>
      </c>
      <c r="B322" s="1" t="n">
        <v>45468</v>
      </c>
      <c r="C322" s="1" t="n">
        <v>45587</v>
      </c>
      <c r="D322" t="inlineStr">
        <is>
          <t>GÄVLEBORGS LÄN</t>
        </is>
      </c>
      <c r="E322" t="inlineStr">
        <is>
          <t>GÄVLE</t>
        </is>
      </c>
      <c r="F322" t="inlineStr">
        <is>
          <t>Bergvik skog väst AB</t>
        </is>
      </c>
      <c r="G322" t="n">
        <v>2.7</v>
      </c>
      <c r="H322" t="n">
        <v>0</v>
      </c>
      <c r="I322" t="n">
        <v>1</v>
      </c>
      <c r="J322" t="n">
        <v>1</v>
      </c>
      <c r="K322" t="n">
        <v>0</v>
      </c>
      <c r="L322" t="n">
        <v>0</v>
      </c>
      <c r="M322" t="n">
        <v>0</v>
      </c>
      <c r="N322" t="n">
        <v>0</v>
      </c>
      <c r="O322" t="n">
        <v>1</v>
      </c>
      <c r="P322" t="n">
        <v>0</v>
      </c>
      <c r="Q322" t="n">
        <v>2</v>
      </c>
      <c r="R322" s="2" t="inlineStr">
        <is>
          <t>Vedskivlav
Dropptaggsvamp</t>
        </is>
      </c>
      <c r="S322">
        <f>HYPERLINK("https://klasma.github.io/Logging_2180/artfynd/A 26213-2024 artfynd.xlsx", "A 26213-2024")</f>
        <v/>
      </c>
      <c r="T322">
        <f>HYPERLINK("https://klasma.github.io/Logging_2180/kartor/A 26213-2024 karta.png", "A 26213-2024")</f>
        <v/>
      </c>
      <c r="V322">
        <f>HYPERLINK("https://klasma.github.io/Logging_2180/klagomål/A 26213-2024 FSC-klagomål.docx", "A 26213-2024")</f>
        <v/>
      </c>
      <c r="W322">
        <f>HYPERLINK("https://klasma.github.io/Logging_2180/klagomålsmail/A 26213-2024 FSC-klagomål mail.docx", "A 26213-2024")</f>
        <v/>
      </c>
      <c r="X322">
        <f>HYPERLINK("https://klasma.github.io/Logging_2180/tillsyn/A 26213-2024 tillsynsbegäran.docx", "A 26213-2024")</f>
        <v/>
      </c>
      <c r="Y322">
        <f>HYPERLINK("https://klasma.github.io/Logging_2180/tillsynsmail/A 26213-2024 tillsynsbegäran mail.docx", "A 26213-2024")</f>
        <v/>
      </c>
    </row>
    <row r="323" ht="15" customHeight="1">
      <c r="A323" t="inlineStr">
        <is>
          <t>A 27011-2024</t>
        </is>
      </c>
      <c r="B323" s="1" t="n">
        <v>45471</v>
      </c>
      <c r="C323" s="1" t="n">
        <v>45587</v>
      </c>
      <c r="D323" t="inlineStr">
        <is>
          <t>GÄVLEBORGS LÄN</t>
        </is>
      </c>
      <c r="E323" t="inlineStr">
        <is>
          <t>BOLLNÄS</t>
        </is>
      </c>
      <c r="F323" t="inlineStr">
        <is>
          <t>Sveaskog</t>
        </is>
      </c>
      <c r="G323" t="n">
        <v>4.1</v>
      </c>
      <c r="H323" t="n">
        <v>2</v>
      </c>
      <c r="I323" t="n">
        <v>1</v>
      </c>
      <c r="J323" t="n">
        <v>0</v>
      </c>
      <c r="K323" t="n">
        <v>1</v>
      </c>
      <c r="L323" t="n">
        <v>0</v>
      </c>
      <c r="M323" t="n">
        <v>0</v>
      </c>
      <c r="N323" t="n">
        <v>0</v>
      </c>
      <c r="O323" t="n">
        <v>1</v>
      </c>
      <c r="P323" t="n">
        <v>1</v>
      </c>
      <c r="Q323" t="n">
        <v>2</v>
      </c>
      <c r="R323" s="2" t="inlineStr">
        <is>
          <t>Knärot
Korallrot</t>
        </is>
      </c>
      <c r="S323">
        <f>HYPERLINK("https://klasma.github.io/Logging_2183/artfynd/A 27011-2024 artfynd.xlsx", "A 27011-2024")</f>
        <v/>
      </c>
      <c r="T323">
        <f>HYPERLINK("https://klasma.github.io/Logging_2183/kartor/A 27011-2024 karta.png", "A 27011-2024")</f>
        <v/>
      </c>
      <c r="U323">
        <f>HYPERLINK("https://klasma.github.io/Logging_2183/knärot/A 27011-2024 karta knärot.png", "A 27011-2024")</f>
        <v/>
      </c>
      <c r="V323">
        <f>HYPERLINK("https://klasma.github.io/Logging_2183/klagomål/A 27011-2024 FSC-klagomål.docx", "A 27011-2024")</f>
        <v/>
      </c>
      <c r="W323">
        <f>HYPERLINK("https://klasma.github.io/Logging_2183/klagomålsmail/A 27011-2024 FSC-klagomål mail.docx", "A 27011-2024")</f>
        <v/>
      </c>
      <c r="X323">
        <f>HYPERLINK("https://klasma.github.io/Logging_2183/tillsyn/A 27011-2024 tillsynsbegäran.docx", "A 27011-2024")</f>
        <v/>
      </c>
      <c r="Y323">
        <f>HYPERLINK("https://klasma.github.io/Logging_2183/tillsynsmail/A 27011-2024 tillsynsbegäran mail.docx", "A 27011-2024")</f>
        <v/>
      </c>
    </row>
    <row r="324" ht="15" customHeight="1">
      <c r="A324" t="inlineStr">
        <is>
          <t>A 28422-2024</t>
        </is>
      </c>
      <c r="B324" s="1" t="n">
        <v>45477</v>
      </c>
      <c r="C324" s="1" t="n">
        <v>45587</v>
      </c>
      <c r="D324" t="inlineStr">
        <is>
          <t>GÄVLEBORGS LÄN</t>
        </is>
      </c>
      <c r="E324" t="inlineStr">
        <is>
          <t>LJUSDAL</t>
        </is>
      </c>
      <c r="F324" t="inlineStr">
        <is>
          <t>Allmännings- och besparingsskogar</t>
        </is>
      </c>
      <c r="G324" t="n">
        <v>11.9</v>
      </c>
      <c r="H324" t="n">
        <v>0</v>
      </c>
      <c r="I324" t="n">
        <v>0</v>
      </c>
      <c r="J324" t="n">
        <v>2</v>
      </c>
      <c r="K324" t="n">
        <v>0</v>
      </c>
      <c r="L324" t="n">
        <v>0</v>
      </c>
      <c r="M324" t="n">
        <v>0</v>
      </c>
      <c r="N324" t="n">
        <v>0</v>
      </c>
      <c r="O324" t="n">
        <v>2</v>
      </c>
      <c r="P324" t="n">
        <v>0</v>
      </c>
      <c r="Q324" t="n">
        <v>2</v>
      </c>
      <c r="R324" s="2" t="inlineStr">
        <is>
          <t>Garnlav
Lunglav</t>
        </is>
      </c>
      <c r="S324">
        <f>HYPERLINK("https://klasma.github.io/Logging_2161/artfynd/A 28422-2024 artfynd.xlsx", "A 28422-2024")</f>
        <v/>
      </c>
      <c r="T324">
        <f>HYPERLINK("https://klasma.github.io/Logging_2161/kartor/A 28422-2024 karta.png", "A 28422-2024")</f>
        <v/>
      </c>
      <c r="V324">
        <f>HYPERLINK("https://klasma.github.io/Logging_2161/klagomål/A 28422-2024 FSC-klagomål.docx", "A 28422-2024")</f>
        <v/>
      </c>
      <c r="W324">
        <f>HYPERLINK("https://klasma.github.io/Logging_2161/klagomålsmail/A 28422-2024 FSC-klagomål mail.docx", "A 28422-2024")</f>
        <v/>
      </c>
      <c r="X324">
        <f>HYPERLINK("https://klasma.github.io/Logging_2161/tillsyn/A 28422-2024 tillsynsbegäran.docx", "A 28422-2024")</f>
        <v/>
      </c>
      <c r="Y324">
        <f>HYPERLINK("https://klasma.github.io/Logging_2161/tillsynsmail/A 28422-2024 tillsynsbegäran mail.docx", "A 28422-2024")</f>
        <v/>
      </c>
    </row>
    <row r="325" ht="15" customHeight="1">
      <c r="A325" t="inlineStr">
        <is>
          <t>A 30530-2024</t>
        </is>
      </c>
      <c r="B325" s="1" t="n">
        <v>45492</v>
      </c>
      <c r="C325" s="1" t="n">
        <v>45587</v>
      </c>
      <c r="D325" t="inlineStr">
        <is>
          <t>GÄVLEBORGS LÄN</t>
        </is>
      </c>
      <c r="E325" t="inlineStr">
        <is>
          <t>SANDVIKEN</t>
        </is>
      </c>
      <c r="F325" t="inlineStr">
        <is>
          <t>Sveaskog</t>
        </is>
      </c>
      <c r="G325" t="n">
        <v>13.5</v>
      </c>
      <c r="H325" t="n">
        <v>2</v>
      </c>
      <c r="I325" t="n">
        <v>0</v>
      </c>
      <c r="J325" t="n">
        <v>0</v>
      </c>
      <c r="K325" t="n">
        <v>1</v>
      </c>
      <c r="L325" t="n">
        <v>0</v>
      </c>
      <c r="M325" t="n">
        <v>0</v>
      </c>
      <c r="N325" t="n">
        <v>0</v>
      </c>
      <c r="O325" t="n">
        <v>1</v>
      </c>
      <c r="P325" t="n">
        <v>1</v>
      </c>
      <c r="Q325" t="n">
        <v>2</v>
      </c>
      <c r="R325" s="2" t="inlineStr">
        <is>
          <t>Knärot
Revlummer</t>
        </is>
      </c>
      <c r="S325">
        <f>HYPERLINK("https://klasma.github.io/Logging_2181/artfynd/A 30530-2024 artfynd.xlsx", "A 30530-2024")</f>
        <v/>
      </c>
      <c r="T325">
        <f>HYPERLINK("https://klasma.github.io/Logging_2181/kartor/A 30530-2024 karta.png", "A 30530-2024")</f>
        <v/>
      </c>
      <c r="U325">
        <f>HYPERLINK("https://klasma.github.io/Logging_2181/knärot/A 30530-2024 karta knärot.png", "A 30530-2024")</f>
        <v/>
      </c>
      <c r="V325">
        <f>HYPERLINK("https://klasma.github.io/Logging_2181/klagomål/A 30530-2024 FSC-klagomål.docx", "A 30530-2024")</f>
        <v/>
      </c>
      <c r="W325">
        <f>HYPERLINK("https://klasma.github.io/Logging_2181/klagomålsmail/A 30530-2024 FSC-klagomål mail.docx", "A 30530-2024")</f>
        <v/>
      </c>
      <c r="X325">
        <f>HYPERLINK("https://klasma.github.io/Logging_2181/tillsyn/A 30530-2024 tillsynsbegäran.docx", "A 30530-2024")</f>
        <v/>
      </c>
      <c r="Y325">
        <f>HYPERLINK("https://klasma.github.io/Logging_2181/tillsynsmail/A 30530-2024 tillsynsbegäran mail.docx", "A 30530-2024")</f>
        <v/>
      </c>
    </row>
    <row r="326" ht="15" customHeight="1">
      <c r="A326" t="inlineStr">
        <is>
          <t>A 30884-2024</t>
        </is>
      </c>
      <c r="B326" s="1" t="n">
        <v>45498</v>
      </c>
      <c r="C326" s="1" t="n">
        <v>45587</v>
      </c>
      <c r="D326" t="inlineStr">
        <is>
          <t>GÄVLEBORGS LÄN</t>
        </is>
      </c>
      <c r="E326" t="inlineStr">
        <is>
          <t>LJUSDAL</t>
        </is>
      </c>
      <c r="F326" t="inlineStr">
        <is>
          <t>Sveaskog</t>
        </is>
      </c>
      <c r="G326" t="n">
        <v>3.2</v>
      </c>
      <c r="H326" t="n">
        <v>1</v>
      </c>
      <c r="I326" t="n">
        <v>0</v>
      </c>
      <c r="J326" t="n">
        <v>1</v>
      </c>
      <c r="K326" t="n">
        <v>0</v>
      </c>
      <c r="L326" t="n">
        <v>0</v>
      </c>
      <c r="M326" t="n">
        <v>0</v>
      </c>
      <c r="N326" t="n">
        <v>0</v>
      </c>
      <c r="O326" t="n">
        <v>1</v>
      </c>
      <c r="P326" t="n">
        <v>0</v>
      </c>
      <c r="Q326" t="n">
        <v>2</v>
      </c>
      <c r="R326" s="2" t="inlineStr">
        <is>
          <t>Kolflarnlav
Fläcknycklar</t>
        </is>
      </c>
      <c r="S326">
        <f>HYPERLINK("https://klasma.github.io/Logging_2161/artfynd/A 30884-2024 artfynd.xlsx", "A 30884-2024")</f>
        <v/>
      </c>
      <c r="T326">
        <f>HYPERLINK("https://klasma.github.io/Logging_2161/kartor/A 30884-2024 karta.png", "A 30884-2024")</f>
        <v/>
      </c>
      <c r="V326">
        <f>HYPERLINK("https://klasma.github.io/Logging_2161/klagomål/A 30884-2024 FSC-klagomål.docx", "A 30884-2024")</f>
        <v/>
      </c>
      <c r="W326">
        <f>HYPERLINK("https://klasma.github.io/Logging_2161/klagomålsmail/A 30884-2024 FSC-klagomål mail.docx", "A 30884-2024")</f>
        <v/>
      </c>
      <c r="X326">
        <f>HYPERLINK("https://klasma.github.io/Logging_2161/tillsyn/A 30884-2024 tillsynsbegäran.docx", "A 30884-2024")</f>
        <v/>
      </c>
      <c r="Y326">
        <f>HYPERLINK("https://klasma.github.io/Logging_2161/tillsynsmail/A 30884-2024 tillsynsbegäran mail.docx", "A 30884-2024")</f>
        <v/>
      </c>
    </row>
    <row r="327" ht="15" customHeight="1">
      <c r="A327" t="inlineStr">
        <is>
          <t>A 30885-2024</t>
        </is>
      </c>
      <c r="B327" s="1" t="n">
        <v>45498</v>
      </c>
      <c r="C327" s="1" t="n">
        <v>45587</v>
      </c>
      <c r="D327" t="inlineStr">
        <is>
          <t>GÄVLEBORGS LÄN</t>
        </is>
      </c>
      <c r="E327" t="inlineStr">
        <is>
          <t>LJUSDAL</t>
        </is>
      </c>
      <c r="F327" t="inlineStr">
        <is>
          <t>Sveaskog</t>
        </is>
      </c>
      <c r="G327" t="n">
        <v>11.2</v>
      </c>
      <c r="H327" t="n">
        <v>1</v>
      </c>
      <c r="I327" t="n">
        <v>1</v>
      </c>
      <c r="J327" t="n">
        <v>1</v>
      </c>
      <c r="K327" t="n">
        <v>0</v>
      </c>
      <c r="L327" t="n">
        <v>0</v>
      </c>
      <c r="M327" t="n">
        <v>0</v>
      </c>
      <c r="N327" t="n">
        <v>0</v>
      </c>
      <c r="O327" t="n">
        <v>1</v>
      </c>
      <c r="P327" t="n">
        <v>0</v>
      </c>
      <c r="Q327" t="n">
        <v>2</v>
      </c>
      <c r="R327" s="2" t="inlineStr">
        <is>
          <t>Kolflarnlav
Plattlummer</t>
        </is>
      </c>
      <c r="S327">
        <f>HYPERLINK("https://klasma.github.io/Logging_2161/artfynd/A 30885-2024 artfynd.xlsx", "A 30885-2024")</f>
        <v/>
      </c>
      <c r="T327">
        <f>HYPERLINK("https://klasma.github.io/Logging_2161/kartor/A 30885-2024 karta.png", "A 30885-2024")</f>
        <v/>
      </c>
      <c r="V327">
        <f>HYPERLINK("https://klasma.github.io/Logging_2161/klagomål/A 30885-2024 FSC-klagomål.docx", "A 30885-2024")</f>
        <v/>
      </c>
      <c r="W327">
        <f>HYPERLINK("https://klasma.github.io/Logging_2161/klagomålsmail/A 30885-2024 FSC-klagomål mail.docx", "A 30885-2024")</f>
        <v/>
      </c>
      <c r="X327">
        <f>HYPERLINK("https://klasma.github.io/Logging_2161/tillsyn/A 30885-2024 tillsynsbegäran.docx", "A 30885-2024")</f>
        <v/>
      </c>
      <c r="Y327">
        <f>HYPERLINK("https://klasma.github.io/Logging_2161/tillsynsmail/A 30885-2024 tillsynsbegäran mail.docx", "A 30885-2024")</f>
        <v/>
      </c>
    </row>
    <row r="328" ht="15" customHeight="1">
      <c r="A328" t="inlineStr">
        <is>
          <t>A 30941-2024</t>
        </is>
      </c>
      <c r="B328" s="1" t="n">
        <v>45499</v>
      </c>
      <c r="C328" s="1" t="n">
        <v>45587</v>
      </c>
      <c r="D328" t="inlineStr">
        <is>
          <t>GÄVLEBORGS LÄN</t>
        </is>
      </c>
      <c r="E328" t="inlineStr">
        <is>
          <t>OVANÅKER</t>
        </is>
      </c>
      <c r="F328" t="inlineStr">
        <is>
          <t>Sveaskog</t>
        </is>
      </c>
      <c r="G328" t="n">
        <v>3.3</v>
      </c>
      <c r="H328" t="n">
        <v>0</v>
      </c>
      <c r="I328" t="n">
        <v>0</v>
      </c>
      <c r="J328" t="n">
        <v>2</v>
      </c>
      <c r="K328" t="n">
        <v>0</v>
      </c>
      <c r="L328" t="n">
        <v>0</v>
      </c>
      <c r="M328" t="n">
        <v>0</v>
      </c>
      <c r="N328" t="n">
        <v>0</v>
      </c>
      <c r="O328" t="n">
        <v>2</v>
      </c>
      <c r="P328" t="n">
        <v>0</v>
      </c>
      <c r="Q328" t="n">
        <v>2</v>
      </c>
      <c r="R328" s="2" t="inlineStr">
        <is>
          <t>Lunglav
Skrovellav</t>
        </is>
      </c>
      <c r="S328">
        <f>HYPERLINK("https://klasma.github.io/Logging_2121/artfynd/A 30941-2024 artfynd.xlsx", "A 30941-2024")</f>
        <v/>
      </c>
      <c r="T328">
        <f>HYPERLINK("https://klasma.github.io/Logging_2121/kartor/A 30941-2024 karta.png", "A 30941-2024")</f>
        <v/>
      </c>
      <c r="V328">
        <f>HYPERLINK("https://klasma.github.io/Logging_2121/klagomål/A 30941-2024 FSC-klagomål.docx", "A 30941-2024")</f>
        <v/>
      </c>
      <c r="W328">
        <f>HYPERLINK("https://klasma.github.io/Logging_2121/klagomålsmail/A 30941-2024 FSC-klagomål mail.docx", "A 30941-2024")</f>
        <v/>
      </c>
      <c r="X328">
        <f>HYPERLINK("https://klasma.github.io/Logging_2121/tillsyn/A 30941-2024 tillsynsbegäran.docx", "A 30941-2024")</f>
        <v/>
      </c>
      <c r="Y328">
        <f>HYPERLINK("https://klasma.github.io/Logging_2121/tillsynsmail/A 30941-2024 tillsynsbegäran mail.docx", "A 30941-2024")</f>
        <v/>
      </c>
    </row>
    <row r="329" ht="15" customHeight="1">
      <c r="A329" t="inlineStr">
        <is>
          <t>A 31324-2024</t>
        </is>
      </c>
      <c r="B329" s="1" t="n">
        <v>45504</v>
      </c>
      <c r="C329" s="1" t="n">
        <v>45587</v>
      </c>
      <c r="D329" t="inlineStr">
        <is>
          <t>GÄVLEBORGS LÄN</t>
        </is>
      </c>
      <c r="E329" t="inlineStr">
        <is>
          <t>LJUSDAL</t>
        </is>
      </c>
      <c r="F329" t="inlineStr">
        <is>
          <t>Sveaskog</t>
        </is>
      </c>
      <c r="G329" t="n">
        <v>14</v>
      </c>
      <c r="H329" t="n">
        <v>0</v>
      </c>
      <c r="I329" t="n">
        <v>1</v>
      </c>
      <c r="J329" t="n">
        <v>1</v>
      </c>
      <c r="K329" t="n">
        <v>0</v>
      </c>
      <c r="L329" t="n">
        <v>0</v>
      </c>
      <c r="M329" t="n">
        <v>0</v>
      </c>
      <c r="N329" t="n">
        <v>0</v>
      </c>
      <c r="O329" t="n">
        <v>1</v>
      </c>
      <c r="P329" t="n">
        <v>0</v>
      </c>
      <c r="Q329" t="n">
        <v>2</v>
      </c>
      <c r="R329" s="2" t="inlineStr">
        <is>
          <t>Kolflarnlav
Dropptaggsvamp</t>
        </is>
      </c>
      <c r="S329">
        <f>HYPERLINK("https://klasma.github.io/Logging_2161/artfynd/A 31324-2024 artfynd.xlsx", "A 31324-2024")</f>
        <v/>
      </c>
      <c r="T329">
        <f>HYPERLINK("https://klasma.github.io/Logging_2161/kartor/A 31324-2024 karta.png", "A 31324-2024")</f>
        <v/>
      </c>
      <c r="V329">
        <f>HYPERLINK("https://klasma.github.io/Logging_2161/klagomål/A 31324-2024 FSC-klagomål.docx", "A 31324-2024")</f>
        <v/>
      </c>
      <c r="W329">
        <f>HYPERLINK("https://klasma.github.io/Logging_2161/klagomålsmail/A 31324-2024 FSC-klagomål mail.docx", "A 31324-2024")</f>
        <v/>
      </c>
      <c r="X329">
        <f>HYPERLINK("https://klasma.github.io/Logging_2161/tillsyn/A 31324-2024 tillsynsbegäran.docx", "A 31324-2024")</f>
        <v/>
      </c>
      <c r="Y329">
        <f>HYPERLINK("https://klasma.github.io/Logging_2161/tillsynsmail/A 31324-2024 tillsynsbegäran mail.docx", "A 31324-2024")</f>
        <v/>
      </c>
    </row>
    <row r="330" ht="15" customHeight="1">
      <c r="A330" t="inlineStr">
        <is>
          <t>A 32173-2024</t>
        </is>
      </c>
      <c r="B330" s="1" t="n">
        <v>45511</v>
      </c>
      <c r="C330" s="1" t="n">
        <v>45587</v>
      </c>
      <c r="D330" t="inlineStr">
        <is>
          <t>GÄVLEBORGS LÄN</t>
        </is>
      </c>
      <c r="E330" t="inlineStr">
        <is>
          <t>LJUSDAL</t>
        </is>
      </c>
      <c r="F330" t="inlineStr">
        <is>
          <t>Bergvik skog väst AB</t>
        </is>
      </c>
      <c r="G330" t="n">
        <v>10.3</v>
      </c>
      <c r="H330" t="n">
        <v>0</v>
      </c>
      <c r="I330" t="n">
        <v>2</v>
      </c>
      <c r="J330" t="n">
        <v>0</v>
      </c>
      <c r="K330" t="n">
        <v>0</v>
      </c>
      <c r="L330" t="n">
        <v>0</v>
      </c>
      <c r="M330" t="n">
        <v>0</v>
      </c>
      <c r="N330" t="n">
        <v>0</v>
      </c>
      <c r="O330" t="n">
        <v>0</v>
      </c>
      <c r="P330" t="n">
        <v>0</v>
      </c>
      <c r="Q330" t="n">
        <v>2</v>
      </c>
      <c r="R330" s="2" t="inlineStr">
        <is>
          <t>Skinnlav
Stor aspticka</t>
        </is>
      </c>
      <c r="S330">
        <f>HYPERLINK("https://klasma.github.io/Logging_2161/artfynd/A 32173-2024 artfynd.xlsx", "A 32173-2024")</f>
        <v/>
      </c>
      <c r="T330">
        <f>HYPERLINK("https://klasma.github.io/Logging_2161/kartor/A 32173-2024 karta.png", "A 32173-2024")</f>
        <v/>
      </c>
      <c r="U330">
        <f>HYPERLINK("https://klasma.github.io/Logging_2161/knärot/A 32173-2024 karta knärot.png", "A 32173-2024")</f>
        <v/>
      </c>
      <c r="V330">
        <f>HYPERLINK("https://klasma.github.io/Logging_2161/klagomål/A 32173-2024 FSC-klagomål.docx", "A 32173-2024")</f>
        <v/>
      </c>
      <c r="W330">
        <f>HYPERLINK("https://klasma.github.io/Logging_2161/klagomålsmail/A 32173-2024 FSC-klagomål mail.docx", "A 32173-2024")</f>
        <v/>
      </c>
      <c r="X330">
        <f>HYPERLINK("https://klasma.github.io/Logging_2161/tillsyn/A 32173-2024 tillsynsbegäran.docx", "A 32173-2024")</f>
        <v/>
      </c>
      <c r="Y330">
        <f>HYPERLINK("https://klasma.github.io/Logging_2161/tillsynsmail/A 32173-2024 tillsynsbegäran mail.docx", "A 32173-2024")</f>
        <v/>
      </c>
    </row>
    <row r="331" ht="15" customHeight="1">
      <c r="A331" t="inlineStr">
        <is>
          <t>A 32364-2024</t>
        </is>
      </c>
      <c r="B331" s="1" t="n">
        <v>45512</v>
      </c>
      <c r="C331" s="1" t="n">
        <v>45587</v>
      </c>
      <c r="D331" t="inlineStr">
        <is>
          <t>GÄVLEBORGS LÄN</t>
        </is>
      </c>
      <c r="E331" t="inlineStr">
        <is>
          <t>LJUSDAL</t>
        </is>
      </c>
      <c r="F331" t="inlineStr">
        <is>
          <t>Sveaskog</t>
        </is>
      </c>
      <c r="G331" t="n">
        <v>1</v>
      </c>
      <c r="H331" t="n">
        <v>0</v>
      </c>
      <c r="I331" t="n">
        <v>0</v>
      </c>
      <c r="J331" t="n">
        <v>2</v>
      </c>
      <c r="K331" t="n">
        <v>0</v>
      </c>
      <c r="L331" t="n">
        <v>0</v>
      </c>
      <c r="M331" t="n">
        <v>0</v>
      </c>
      <c r="N331" t="n">
        <v>0</v>
      </c>
      <c r="O331" t="n">
        <v>2</v>
      </c>
      <c r="P331" t="n">
        <v>0</v>
      </c>
      <c r="Q331" t="n">
        <v>2</v>
      </c>
      <c r="R331" s="2" t="inlineStr">
        <is>
          <t>Kolflarnlav
Mörk kolflarnlav</t>
        </is>
      </c>
      <c r="S331">
        <f>HYPERLINK("https://klasma.github.io/Logging_2161/artfynd/A 32364-2024 artfynd.xlsx", "A 32364-2024")</f>
        <v/>
      </c>
      <c r="T331">
        <f>HYPERLINK("https://klasma.github.io/Logging_2161/kartor/A 32364-2024 karta.png", "A 32364-2024")</f>
        <v/>
      </c>
      <c r="V331">
        <f>HYPERLINK("https://klasma.github.io/Logging_2161/klagomål/A 32364-2024 FSC-klagomål.docx", "A 32364-2024")</f>
        <v/>
      </c>
      <c r="W331">
        <f>HYPERLINK("https://klasma.github.io/Logging_2161/klagomålsmail/A 32364-2024 FSC-klagomål mail.docx", "A 32364-2024")</f>
        <v/>
      </c>
      <c r="X331">
        <f>HYPERLINK("https://klasma.github.io/Logging_2161/tillsyn/A 32364-2024 tillsynsbegäran.docx", "A 32364-2024")</f>
        <v/>
      </c>
      <c r="Y331">
        <f>HYPERLINK("https://klasma.github.io/Logging_2161/tillsynsmail/A 32364-2024 tillsynsbegäran mail.docx", "A 32364-2024")</f>
        <v/>
      </c>
    </row>
    <row r="332" ht="15" customHeight="1">
      <c r="A332" t="inlineStr">
        <is>
          <t>A 34082-2024</t>
        </is>
      </c>
      <c r="B332" s="1" t="n">
        <v>45523</v>
      </c>
      <c r="C332" s="1" t="n">
        <v>45587</v>
      </c>
      <c r="D332" t="inlineStr">
        <is>
          <t>GÄVLEBORGS LÄN</t>
        </is>
      </c>
      <c r="E332" t="inlineStr">
        <is>
          <t>GÄVLE</t>
        </is>
      </c>
      <c r="F332" t="inlineStr">
        <is>
          <t>Bergvik skog väst AB</t>
        </is>
      </c>
      <c r="G332" t="n">
        <v>6.1</v>
      </c>
      <c r="H332" t="n">
        <v>1</v>
      </c>
      <c r="I332" t="n">
        <v>1</v>
      </c>
      <c r="J332" t="n">
        <v>0</v>
      </c>
      <c r="K332" t="n">
        <v>0</v>
      </c>
      <c r="L332" t="n">
        <v>0</v>
      </c>
      <c r="M332" t="n">
        <v>0</v>
      </c>
      <c r="N332" t="n">
        <v>0</v>
      </c>
      <c r="O332" t="n">
        <v>0</v>
      </c>
      <c r="P332" t="n">
        <v>0</v>
      </c>
      <c r="Q332" t="n">
        <v>2</v>
      </c>
      <c r="R332" s="2" t="inlineStr">
        <is>
          <t>Vårärt
Blåsippa</t>
        </is>
      </c>
      <c r="S332">
        <f>HYPERLINK("https://klasma.github.io/Logging_2180/artfynd/A 34082-2024 artfynd.xlsx", "A 34082-2024")</f>
        <v/>
      </c>
      <c r="T332">
        <f>HYPERLINK("https://klasma.github.io/Logging_2180/kartor/A 34082-2024 karta.png", "A 34082-2024")</f>
        <v/>
      </c>
      <c r="V332">
        <f>HYPERLINK("https://klasma.github.io/Logging_2180/klagomål/A 34082-2024 FSC-klagomål.docx", "A 34082-2024")</f>
        <v/>
      </c>
      <c r="W332">
        <f>HYPERLINK("https://klasma.github.io/Logging_2180/klagomålsmail/A 34082-2024 FSC-klagomål mail.docx", "A 34082-2024")</f>
        <v/>
      </c>
      <c r="X332">
        <f>HYPERLINK("https://klasma.github.io/Logging_2180/tillsyn/A 34082-2024 tillsynsbegäran.docx", "A 34082-2024")</f>
        <v/>
      </c>
      <c r="Y332">
        <f>HYPERLINK("https://klasma.github.io/Logging_2180/tillsynsmail/A 34082-2024 tillsynsbegäran mail.docx", "A 34082-2024")</f>
        <v/>
      </c>
    </row>
    <row r="333" ht="15" customHeight="1">
      <c r="A333" t="inlineStr">
        <is>
          <t>A 34997-2024</t>
        </is>
      </c>
      <c r="B333" s="1" t="n">
        <v>45527</v>
      </c>
      <c r="C333" s="1" t="n">
        <v>45587</v>
      </c>
      <c r="D333" t="inlineStr">
        <is>
          <t>GÄVLEBORGS LÄN</t>
        </is>
      </c>
      <c r="E333" t="inlineStr">
        <is>
          <t>LJUSDAL</t>
        </is>
      </c>
      <c r="F333" t="inlineStr">
        <is>
          <t>Sveaskog</t>
        </is>
      </c>
      <c r="G333" t="n">
        <v>5.3</v>
      </c>
      <c r="H333" t="n">
        <v>0</v>
      </c>
      <c r="I333" t="n">
        <v>0</v>
      </c>
      <c r="J333" t="n">
        <v>2</v>
      </c>
      <c r="K333" t="n">
        <v>0</v>
      </c>
      <c r="L333" t="n">
        <v>0</v>
      </c>
      <c r="M333" t="n">
        <v>0</v>
      </c>
      <c r="N333" t="n">
        <v>0</v>
      </c>
      <c r="O333" t="n">
        <v>2</v>
      </c>
      <c r="P333" t="n">
        <v>0</v>
      </c>
      <c r="Q333" t="n">
        <v>2</v>
      </c>
      <c r="R333" s="2" t="inlineStr">
        <is>
          <t>Kolflarnlav
Lunglav</t>
        </is>
      </c>
      <c r="S333">
        <f>HYPERLINK("https://klasma.github.io/Logging_2161/artfynd/A 34997-2024 artfynd.xlsx", "A 34997-2024")</f>
        <v/>
      </c>
      <c r="T333">
        <f>HYPERLINK("https://klasma.github.io/Logging_2161/kartor/A 34997-2024 karta.png", "A 34997-2024")</f>
        <v/>
      </c>
      <c r="V333">
        <f>HYPERLINK("https://klasma.github.io/Logging_2161/klagomål/A 34997-2024 FSC-klagomål.docx", "A 34997-2024")</f>
        <v/>
      </c>
      <c r="W333">
        <f>HYPERLINK("https://klasma.github.io/Logging_2161/klagomålsmail/A 34997-2024 FSC-klagomål mail.docx", "A 34997-2024")</f>
        <v/>
      </c>
      <c r="X333">
        <f>HYPERLINK("https://klasma.github.io/Logging_2161/tillsyn/A 34997-2024 tillsynsbegäran.docx", "A 34997-2024")</f>
        <v/>
      </c>
      <c r="Y333">
        <f>HYPERLINK("https://klasma.github.io/Logging_2161/tillsynsmail/A 34997-2024 tillsynsbegäran mail.docx", "A 34997-2024")</f>
        <v/>
      </c>
    </row>
    <row r="334" ht="15" customHeight="1">
      <c r="A334" t="inlineStr">
        <is>
          <t>A 35350-2024</t>
        </is>
      </c>
      <c r="B334" s="1" t="n">
        <v>45531</v>
      </c>
      <c r="C334" s="1" t="n">
        <v>45587</v>
      </c>
      <c r="D334" t="inlineStr">
        <is>
          <t>GÄVLEBORGS LÄN</t>
        </is>
      </c>
      <c r="E334" t="inlineStr">
        <is>
          <t>OVANÅKER</t>
        </is>
      </c>
      <c r="F334" t="inlineStr">
        <is>
          <t>Sveaskog</t>
        </is>
      </c>
      <c r="G334" t="n">
        <v>3.3</v>
      </c>
      <c r="H334" t="n">
        <v>0</v>
      </c>
      <c r="I334" t="n">
        <v>0</v>
      </c>
      <c r="J334" t="n">
        <v>2</v>
      </c>
      <c r="K334" t="n">
        <v>0</v>
      </c>
      <c r="L334" t="n">
        <v>0</v>
      </c>
      <c r="M334" t="n">
        <v>0</v>
      </c>
      <c r="N334" t="n">
        <v>0</v>
      </c>
      <c r="O334" t="n">
        <v>2</v>
      </c>
      <c r="P334" t="n">
        <v>0</v>
      </c>
      <c r="Q334" t="n">
        <v>2</v>
      </c>
      <c r="R334" s="2" t="inlineStr">
        <is>
          <t>Lunglav
Skrovellav</t>
        </is>
      </c>
      <c r="S334">
        <f>HYPERLINK("https://klasma.github.io/Logging_2121/artfynd/A 35350-2024 artfynd.xlsx", "A 35350-2024")</f>
        <v/>
      </c>
      <c r="T334">
        <f>HYPERLINK("https://klasma.github.io/Logging_2121/kartor/A 35350-2024 karta.png", "A 35350-2024")</f>
        <v/>
      </c>
      <c r="V334">
        <f>HYPERLINK("https://klasma.github.io/Logging_2121/klagomål/A 35350-2024 FSC-klagomål.docx", "A 35350-2024")</f>
        <v/>
      </c>
      <c r="W334">
        <f>HYPERLINK("https://klasma.github.io/Logging_2121/klagomålsmail/A 35350-2024 FSC-klagomål mail.docx", "A 35350-2024")</f>
        <v/>
      </c>
      <c r="X334">
        <f>HYPERLINK("https://klasma.github.io/Logging_2121/tillsyn/A 35350-2024 tillsynsbegäran.docx", "A 35350-2024")</f>
        <v/>
      </c>
      <c r="Y334">
        <f>HYPERLINK("https://klasma.github.io/Logging_2121/tillsynsmail/A 35350-2024 tillsynsbegäran mail.docx", "A 35350-2024")</f>
        <v/>
      </c>
    </row>
    <row r="335" ht="15" customHeight="1">
      <c r="A335" t="inlineStr">
        <is>
          <t>A 35697-2024</t>
        </is>
      </c>
      <c r="B335" s="1" t="n">
        <v>45532</v>
      </c>
      <c r="C335" s="1" t="n">
        <v>45587</v>
      </c>
      <c r="D335" t="inlineStr">
        <is>
          <t>GÄVLEBORGS LÄN</t>
        </is>
      </c>
      <c r="E335" t="inlineStr">
        <is>
          <t>LJUSDAL</t>
        </is>
      </c>
      <c r="F335" t="inlineStr">
        <is>
          <t>Bergvik skog väst AB</t>
        </is>
      </c>
      <c r="G335" t="n">
        <v>9.800000000000001</v>
      </c>
      <c r="H335" t="n">
        <v>1</v>
      </c>
      <c r="I335" t="n">
        <v>0</v>
      </c>
      <c r="J335" t="n">
        <v>1</v>
      </c>
      <c r="K335" t="n">
        <v>0</v>
      </c>
      <c r="L335" t="n">
        <v>0</v>
      </c>
      <c r="M335" t="n">
        <v>0</v>
      </c>
      <c r="N335" t="n">
        <v>0</v>
      </c>
      <c r="O335" t="n">
        <v>1</v>
      </c>
      <c r="P335" t="n">
        <v>0</v>
      </c>
      <c r="Q335" t="n">
        <v>2</v>
      </c>
      <c r="R335" s="2" t="inlineStr">
        <is>
          <t>Garnlav
Nattviol</t>
        </is>
      </c>
      <c r="S335">
        <f>HYPERLINK("https://klasma.github.io/Logging_2161/artfynd/A 35697-2024 artfynd.xlsx", "A 35697-2024")</f>
        <v/>
      </c>
      <c r="T335">
        <f>HYPERLINK("https://klasma.github.io/Logging_2161/kartor/A 35697-2024 karta.png", "A 35697-2024")</f>
        <v/>
      </c>
      <c r="V335">
        <f>HYPERLINK("https://klasma.github.io/Logging_2161/klagomål/A 35697-2024 FSC-klagomål.docx", "A 35697-2024")</f>
        <v/>
      </c>
      <c r="W335">
        <f>HYPERLINK("https://klasma.github.io/Logging_2161/klagomålsmail/A 35697-2024 FSC-klagomål mail.docx", "A 35697-2024")</f>
        <v/>
      </c>
      <c r="X335">
        <f>HYPERLINK("https://klasma.github.io/Logging_2161/tillsyn/A 35697-2024 tillsynsbegäran.docx", "A 35697-2024")</f>
        <v/>
      </c>
      <c r="Y335">
        <f>HYPERLINK("https://klasma.github.io/Logging_2161/tillsynsmail/A 35697-2024 tillsynsbegäran mail.docx", "A 35697-2024")</f>
        <v/>
      </c>
    </row>
    <row r="336" ht="15" customHeight="1">
      <c r="A336" t="inlineStr">
        <is>
          <t>A 36074-2024</t>
        </is>
      </c>
      <c r="B336" s="1" t="n">
        <v>45533</v>
      </c>
      <c r="C336" s="1" t="n">
        <v>45587</v>
      </c>
      <c r="D336" t="inlineStr">
        <is>
          <t>GÄVLEBORGS LÄN</t>
        </is>
      </c>
      <c r="E336" t="inlineStr">
        <is>
          <t>LJUSDAL</t>
        </is>
      </c>
      <c r="F336" t="inlineStr">
        <is>
          <t>Sveaskog</t>
        </is>
      </c>
      <c r="G336" t="n">
        <v>1</v>
      </c>
      <c r="H336" t="n">
        <v>0</v>
      </c>
      <c r="I336" t="n">
        <v>0</v>
      </c>
      <c r="J336" t="n">
        <v>2</v>
      </c>
      <c r="K336" t="n">
        <v>0</v>
      </c>
      <c r="L336" t="n">
        <v>0</v>
      </c>
      <c r="M336" t="n">
        <v>0</v>
      </c>
      <c r="N336" t="n">
        <v>0</v>
      </c>
      <c r="O336" t="n">
        <v>2</v>
      </c>
      <c r="P336" t="n">
        <v>0</v>
      </c>
      <c r="Q336" t="n">
        <v>2</v>
      </c>
      <c r="R336" s="2" t="inlineStr">
        <is>
          <t>Kolflarnlav
Vedflamlav</t>
        </is>
      </c>
      <c r="S336">
        <f>HYPERLINK("https://klasma.github.io/Logging_2161/artfynd/A 36074-2024 artfynd.xlsx", "A 36074-2024")</f>
        <v/>
      </c>
      <c r="T336">
        <f>HYPERLINK("https://klasma.github.io/Logging_2161/kartor/A 36074-2024 karta.png", "A 36074-2024")</f>
        <v/>
      </c>
      <c r="V336">
        <f>HYPERLINK("https://klasma.github.io/Logging_2161/klagomål/A 36074-2024 FSC-klagomål.docx", "A 36074-2024")</f>
        <v/>
      </c>
      <c r="W336">
        <f>HYPERLINK("https://klasma.github.io/Logging_2161/klagomålsmail/A 36074-2024 FSC-klagomål mail.docx", "A 36074-2024")</f>
        <v/>
      </c>
      <c r="X336">
        <f>HYPERLINK("https://klasma.github.io/Logging_2161/tillsyn/A 36074-2024 tillsynsbegäran.docx", "A 36074-2024")</f>
        <v/>
      </c>
      <c r="Y336">
        <f>HYPERLINK("https://klasma.github.io/Logging_2161/tillsynsmail/A 36074-2024 tillsynsbegäran mail.docx", "A 36074-2024")</f>
        <v/>
      </c>
    </row>
    <row r="337" ht="15" customHeight="1">
      <c r="A337" t="inlineStr">
        <is>
          <t>A 36310-2024</t>
        </is>
      </c>
      <c r="B337" s="1" t="n">
        <v>45534</v>
      </c>
      <c r="C337" s="1" t="n">
        <v>45587</v>
      </c>
      <c r="D337" t="inlineStr">
        <is>
          <t>GÄVLEBORGS LÄN</t>
        </is>
      </c>
      <c r="E337" t="inlineStr">
        <is>
          <t>NORDANSTIG</t>
        </is>
      </c>
      <c r="F337" t="inlineStr">
        <is>
          <t>Holmen skog AB</t>
        </is>
      </c>
      <c r="G337" t="n">
        <v>6.5</v>
      </c>
      <c r="H337" t="n">
        <v>1</v>
      </c>
      <c r="I337" t="n">
        <v>1</v>
      </c>
      <c r="J337" t="n">
        <v>0</v>
      </c>
      <c r="K337" t="n">
        <v>0</v>
      </c>
      <c r="L337" t="n">
        <v>0</v>
      </c>
      <c r="M337" t="n">
        <v>0</v>
      </c>
      <c r="N337" t="n">
        <v>0</v>
      </c>
      <c r="O337" t="n">
        <v>0</v>
      </c>
      <c r="P337" t="n">
        <v>0</v>
      </c>
      <c r="Q337" t="n">
        <v>2</v>
      </c>
      <c r="R337" s="2" t="inlineStr">
        <is>
          <t>Nästlav
Revlummer</t>
        </is>
      </c>
      <c r="S337">
        <f>HYPERLINK("https://klasma.github.io/Logging_2132/artfynd/A 36310-2024 artfynd.xlsx", "A 36310-2024")</f>
        <v/>
      </c>
      <c r="T337">
        <f>HYPERLINK("https://klasma.github.io/Logging_2132/kartor/A 36310-2024 karta.png", "A 36310-2024")</f>
        <v/>
      </c>
      <c r="V337">
        <f>HYPERLINK("https://klasma.github.io/Logging_2132/klagomål/A 36310-2024 FSC-klagomål.docx", "A 36310-2024")</f>
        <v/>
      </c>
      <c r="W337">
        <f>HYPERLINK("https://klasma.github.io/Logging_2132/klagomålsmail/A 36310-2024 FSC-klagomål mail.docx", "A 36310-2024")</f>
        <v/>
      </c>
      <c r="X337">
        <f>HYPERLINK("https://klasma.github.io/Logging_2132/tillsyn/A 36310-2024 tillsynsbegäran.docx", "A 36310-2024")</f>
        <v/>
      </c>
      <c r="Y337">
        <f>HYPERLINK("https://klasma.github.io/Logging_2132/tillsynsmail/A 36310-2024 tillsynsbegäran mail.docx", "A 36310-2024")</f>
        <v/>
      </c>
    </row>
    <row r="338" ht="15" customHeight="1">
      <c r="A338" t="inlineStr">
        <is>
          <t>A 38306-2024</t>
        </is>
      </c>
      <c r="B338" s="1" t="n">
        <v>45545</v>
      </c>
      <c r="C338" s="1" t="n">
        <v>45587</v>
      </c>
      <c r="D338" t="inlineStr">
        <is>
          <t>GÄVLEBORGS LÄN</t>
        </is>
      </c>
      <c r="E338" t="inlineStr">
        <is>
          <t>LJUSDAL</t>
        </is>
      </c>
      <c r="F338" t="inlineStr">
        <is>
          <t>Sveaskog</t>
        </is>
      </c>
      <c r="G338" t="n">
        <v>4.1</v>
      </c>
      <c r="H338" t="n">
        <v>0</v>
      </c>
      <c r="I338" t="n">
        <v>0</v>
      </c>
      <c r="J338" t="n">
        <v>2</v>
      </c>
      <c r="K338" t="n">
        <v>0</v>
      </c>
      <c r="L338" t="n">
        <v>0</v>
      </c>
      <c r="M338" t="n">
        <v>0</v>
      </c>
      <c r="N338" t="n">
        <v>0</v>
      </c>
      <c r="O338" t="n">
        <v>2</v>
      </c>
      <c r="P338" t="n">
        <v>0</v>
      </c>
      <c r="Q338" t="n">
        <v>2</v>
      </c>
      <c r="R338" s="2" t="inlineStr">
        <is>
          <t>Garnlav
Lunglav</t>
        </is>
      </c>
      <c r="S338">
        <f>HYPERLINK("https://klasma.github.io/Logging_2161/artfynd/A 38306-2024 artfynd.xlsx", "A 38306-2024")</f>
        <v/>
      </c>
      <c r="T338">
        <f>HYPERLINK("https://klasma.github.io/Logging_2161/kartor/A 38306-2024 karta.png", "A 38306-2024")</f>
        <v/>
      </c>
      <c r="V338">
        <f>HYPERLINK("https://klasma.github.io/Logging_2161/klagomål/A 38306-2024 FSC-klagomål.docx", "A 38306-2024")</f>
        <v/>
      </c>
      <c r="W338">
        <f>HYPERLINK("https://klasma.github.io/Logging_2161/klagomålsmail/A 38306-2024 FSC-klagomål mail.docx", "A 38306-2024")</f>
        <v/>
      </c>
      <c r="X338">
        <f>HYPERLINK("https://klasma.github.io/Logging_2161/tillsyn/A 38306-2024 tillsynsbegäran.docx", "A 38306-2024")</f>
        <v/>
      </c>
      <c r="Y338">
        <f>HYPERLINK("https://klasma.github.io/Logging_2161/tillsynsmail/A 38306-2024 tillsynsbegäran mail.docx", "A 38306-2024")</f>
        <v/>
      </c>
    </row>
    <row r="339" ht="15" customHeight="1">
      <c r="A339" t="inlineStr">
        <is>
          <t>A 39889-2024</t>
        </is>
      </c>
      <c r="B339" s="1" t="n">
        <v>45553</v>
      </c>
      <c r="C339" s="1" t="n">
        <v>45587</v>
      </c>
      <c r="D339" t="inlineStr">
        <is>
          <t>GÄVLEBORGS LÄN</t>
        </is>
      </c>
      <c r="E339" t="inlineStr">
        <is>
          <t>LJUSDAL</t>
        </is>
      </c>
      <c r="F339" t="inlineStr">
        <is>
          <t>Sveaskog</t>
        </is>
      </c>
      <c r="G339" t="n">
        <v>1.5</v>
      </c>
      <c r="H339" t="n">
        <v>1</v>
      </c>
      <c r="I339" t="n">
        <v>0</v>
      </c>
      <c r="J339" t="n">
        <v>1</v>
      </c>
      <c r="K339" t="n">
        <v>1</v>
      </c>
      <c r="L339" t="n">
        <v>0</v>
      </c>
      <c r="M339" t="n">
        <v>0</v>
      </c>
      <c r="N339" t="n">
        <v>0</v>
      </c>
      <c r="O339" t="n">
        <v>2</v>
      </c>
      <c r="P339" t="n">
        <v>1</v>
      </c>
      <c r="Q339" t="n">
        <v>2</v>
      </c>
      <c r="R339" s="2" t="inlineStr">
        <is>
          <t>Knärot
Ullticka</t>
        </is>
      </c>
      <c r="S339">
        <f>HYPERLINK("https://klasma.github.io/Logging_2161/artfynd/A 39889-2024 artfynd.xlsx", "A 39889-2024")</f>
        <v/>
      </c>
      <c r="T339">
        <f>HYPERLINK("https://klasma.github.io/Logging_2161/kartor/A 39889-2024 karta.png", "A 39889-2024")</f>
        <v/>
      </c>
      <c r="U339">
        <f>HYPERLINK("https://klasma.github.io/Logging_2161/knärot/A 39889-2024 karta knärot.png", "A 39889-2024")</f>
        <v/>
      </c>
      <c r="V339">
        <f>HYPERLINK("https://klasma.github.io/Logging_2161/klagomål/A 39889-2024 FSC-klagomål.docx", "A 39889-2024")</f>
        <v/>
      </c>
      <c r="W339">
        <f>HYPERLINK("https://klasma.github.io/Logging_2161/klagomålsmail/A 39889-2024 FSC-klagomål mail.docx", "A 39889-2024")</f>
        <v/>
      </c>
      <c r="X339">
        <f>HYPERLINK("https://klasma.github.io/Logging_2161/tillsyn/A 39889-2024 tillsynsbegäran.docx", "A 39889-2024")</f>
        <v/>
      </c>
      <c r="Y339">
        <f>HYPERLINK("https://klasma.github.io/Logging_2161/tillsynsmail/A 39889-2024 tillsynsbegäran mail.docx", "A 39889-2024")</f>
        <v/>
      </c>
    </row>
    <row r="340" ht="15" customHeight="1">
      <c r="A340" t="inlineStr">
        <is>
          <t>A 41163-2024</t>
        </is>
      </c>
      <c r="B340" s="1" t="n">
        <v>45559</v>
      </c>
      <c r="C340" s="1" t="n">
        <v>45587</v>
      </c>
      <c r="D340" t="inlineStr">
        <is>
          <t>GÄVLEBORGS LÄN</t>
        </is>
      </c>
      <c r="E340" t="inlineStr">
        <is>
          <t>LJUSDAL</t>
        </is>
      </c>
      <c r="G340" t="n">
        <v>2.9</v>
      </c>
      <c r="H340" t="n">
        <v>1</v>
      </c>
      <c r="I340" t="n">
        <v>0</v>
      </c>
      <c r="J340" t="n">
        <v>2</v>
      </c>
      <c r="K340" t="n">
        <v>0</v>
      </c>
      <c r="L340" t="n">
        <v>0</v>
      </c>
      <c r="M340" t="n">
        <v>0</v>
      </c>
      <c r="N340" t="n">
        <v>0</v>
      </c>
      <c r="O340" t="n">
        <v>2</v>
      </c>
      <c r="P340" t="n">
        <v>0</v>
      </c>
      <c r="Q340" t="n">
        <v>2</v>
      </c>
      <c r="R340" s="2" t="inlineStr">
        <is>
          <t>Tretåig hackspett
Ullticka</t>
        </is>
      </c>
      <c r="S340">
        <f>HYPERLINK("https://klasma.github.io/Logging_2161/artfynd/A 41163-2024 artfynd.xlsx", "A 41163-2024")</f>
        <v/>
      </c>
      <c r="T340">
        <f>HYPERLINK("https://klasma.github.io/Logging_2161/kartor/A 41163-2024 karta.png", "A 41163-2024")</f>
        <v/>
      </c>
      <c r="V340">
        <f>HYPERLINK("https://klasma.github.io/Logging_2161/klagomål/A 41163-2024 FSC-klagomål.docx", "A 41163-2024")</f>
        <v/>
      </c>
      <c r="W340">
        <f>HYPERLINK("https://klasma.github.io/Logging_2161/klagomålsmail/A 41163-2024 FSC-klagomål mail.docx", "A 41163-2024")</f>
        <v/>
      </c>
      <c r="X340">
        <f>HYPERLINK("https://klasma.github.io/Logging_2161/tillsyn/A 41163-2024 tillsynsbegäran.docx", "A 41163-2024")</f>
        <v/>
      </c>
      <c r="Y340">
        <f>HYPERLINK("https://klasma.github.io/Logging_2161/tillsynsmail/A 41163-2024 tillsynsbegäran mail.docx", "A 41163-2024")</f>
        <v/>
      </c>
      <c r="Z340">
        <f>HYPERLINK("https://klasma.github.io/Logging_2161/fåglar/A 41163-2024 prioriterade fågelarter.docx", "A 41163-2024")</f>
        <v/>
      </c>
    </row>
    <row r="341" ht="15" customHeight="1">
      <c r="A341" t="inlineStr">
        <is>
          <t>A 42624-2024</t>
        </is>
      </c>
      <c r="B341" s="1" t="n">
        <v>45565</v>
      </c>
      <c r="C341" s="1" t="n">
        <v>45587</v>
      </c>
      <c r="D341" t="inlineStr">
        <is>
          <t>GÄVLEBORGS LÄN</t>
        </is>
      </c>
      <c r="E341" t="inlineStr">
        <is>
          <t>HUDIKSVALL</t>
        </is>
      </c>
      <c r="G341" t="n">
        <v>1.5</v>
      </c>
      <c r="H341" t="n">
        <v>0</v>
      </c>
      <c r="I341" t="n">
        <v>0</v>
      </c>
      <c r="J341" t="n">
        <v>2</v>
      </c>
      <c r="K341" t="n">
        <v>0</v>
      </c>
      <c r="L341" t="n">
        <v>0</v>
      </c>
      <c r="M341" t="n">
        <v>0</v>
      </c>
      <c r="N341" t="n">
        <v>0</v>
      </c>
      <c r="O341" t="n">
        <v>2</v>
      </c>
      <c r="P341" t="n">
        <v>0</v>
      </c>
      <c r="Q341" t="n">
        <v>2</v>
      </c>
      <c r="R341" s="2" t="inlineStr">
        <is>
          <t>Vedflikmossa
Violettgrå tagellav</t>
        </is>
      </c>
      <c r="S341">
        <f>HYPERLINK("https://klasma.github.io/Logging_2184/artfynd/A 42624-2024 artfynd.xlsx", "A 42624-2024")</f>
        <v/>
      </c>
      <c r="T341">
        <f>HYPERLINK("https://klasma.github.io/Logging_2184/kartor/A 42624-2024 karta.png", "A 42624-2024")</f>
        <v/>
      </c>
      <c r="V341">
        <f>HYPERLINK("https://klasma.github.io/Logging_2184/klagomål/A 42624-2024 FSC-klagomål.docx", "A 42624-2024")</f>
        <v/>
      </c>
      <c r="W341">
        <f>HYPERLINK("https://klasma.github.io/Logging_2184/klagomålsmail/A 42624-2024 FSC-klagomål mail.docx", "A 42624-2024")</f>
        <v/>
      </c>
      <c r="X341">
        <f>HYPERLINK("https://klasma.github.io/Logging_2184/tillsyn/A 42624-2024 tillsynsbegäran.docx", "A 42624-2024")</f>
        <v/>
      </c>
      <c r="Y341">
        <f>HYPERLINK("https://klasma.github.io/Logging_2184/tillsynsmail/A 42624-2024 tillsynsbegäran mail.docx", "A 42624-2024")</f>
        <v/>
      </c>
    </row>
    <row r="342" ht="15" customHeight="1">
      <c r="A342" t="inlineStr">
        <is>
          <t>A 42706-2024</t>
        </is>
      </c>
      <c r="B342" s="1" t="n">
        <v>45566</v>
      </c>
      <c r="C342" s="1" t="n">
        <v>45587</v>
      </c>
      <c r="D342" t="inlineStr">
        <is>
          <t>GÄVLEBORGS LÄN</t>
        </is>
      </c>
      <c r="E342" t="inlineStr">
        <is>
          <t>LJUSDAL</t>
        </is>
      </c>
      <c r="F342" t="inlineStr">
        <is>
          <t>Kommuner</t>
        </is>
      </c>
      <c r="G342" t="n">
        <v>1.5</v>
      </c>
      <c r="H342" t="n">
        <v>0</v>
      </c>
      <c r="I342" t="n">
        <v>0</v>
      </c>
      <c r="J342" t="n">
        <v>2</v>
      </c>
      <c r="K342" t="n">
        <v>0</v>
      </c>
      <c r="L342" t="n">
        <v>0</v>
      </c>
      <c r="M342" t="n">
        <v>0</v>
      </c>
      <c r="N342" t="n">
        <v>0</v>
      </c>
      <c r="O342" t="n">
        <v>2</v>
      </c>
      <c r="P342" t="n">
        <v>0</v>
      </c>
      <c r="Q342" t="n">
        <v>2</v>
      </c>
      <c r="R342" s="2" t="inlineStr">
        <is>
          <t>Lunglav
Violettgrå tagellav</t>
        </is>
      </c>
      <c r="S342">
        <f>HYPERLINK("https://klasma.github.io/Logging_2161/artfynd/A 42706-2024 artfynd.xlsx", "A 42706-2024")</f>
        <v/>
      </c>
      <c r="T342">
        <f>HYPERLINK("https://klasma.github.io/Logging_2161/kartor/A 42706-2024 karta.png", "A 42706-2024")</f>
        <v/>
      </c>
      <c r="U342">
        <f>HYPERLINK("https://klasma.github.io/Logging_2161/knärot/A 42706-2024 karta knärot.png", "A 42706-2024")</f>
        <v/>
      </c>
      <c r="V342">
        <f>HYPERLINK("https://klasma.github.io/Logging_2161/klagomål/A 42706-2024 FSC-klagomål.docx", "A 42706-2024")</f>
        <v/>
      </c>
      <c r="W342">
        <f>HYPERLINK("https://klasma.github.io/Logging_2161/klagomålsmail/A 42706-2024 FSC-klagomål mail.docx", "A 42706-2024")</f>
        <v/>
      </c>
      <c r="X342">
        <f>HYPERLINK("https://klasma.github.io/Logging_2161/tillsyn/A 42706-2024 tillsynsbegäran.docx", "A 42706-2024")</f>
        <v/>
      </c>
      <c r="Y342">
        <f>HYPERLINK("https://klasma.github.io/Logging_2161/tillsynsmail/A 42706-2024 tillsynsbegäran mail.docx", "A 42706-2024")</f>
        <v/>
      </c>
    </row>
    <row r="343" ht="15" customHeight="1">
      <c r="A343" t="inlineStr">
        <is>
          <t>A 17966-2019</t>
        </is>
      </c>
      <c r="B343" s="1" t="n">
        <v>43557</v>
      </c>
      <c r="C343" s="1" t="n">
        <v>45587</v>
      </c>
      <c r="D343" t="inlineStr">
        <is>
          <t>GÄVLEBORGS LÄN</t>
        </is>
      </c>
      <c r="E343" t="inlineStr">
        <is>
          <t>LJUSDAL</t>
        </is>
      </c>
      <c r="G343" t="n">
        <v>0.7</v>
      </c>
      <c r="H343" t="n">
        <v>1</v>
      </c>
      <c r="I343" t="n">
        <v>0</v>
      </c>
      <c r="J343" t="n">
        <v>1</v>
      </c>
      <c r="K343" t="n">
        <v>0</v>
      </c>
      <c r="L343" t="n">
        <v>0</v>
      </c>
      <c r="M343" t="n">
        <v>0</v>
      </c>
      <c r="N343" t="n">
        <v>0</v>
      </c>
      <c r="O343" t="n">
        <v>1</v>
      </c>
      <c r="P343" t="n">
        <v>0</v>
      </c>
      <c r="Q343" t="n">
        <v>1</v>
      </c>
      <c r="R343" s="2" t="inlineStr">
        <is>
          <t>Talltita</t>
        </is>
      </c>
      <c r="S343">
        <f>HYPERLINK("https://klasma.github.io/Logging_2161/artfynd/A 17966-2019 artfynd.xlsx", "A 17966-2019")</f>
        <v/>
      </c>
      <c r="T343">
        <f>HYPERLINK("https://klasma.github.io/Logging_2161/kartor/A 17966-2019 karta.png", "A 17966-2019")</f>
        <v/>
      </c>
      <c r="V343">
        <f>HYPERLINK("https://klasma.github.io/Logging_2161/klagomål/A 17966-2019 FSC-klagomål.docx", "A 17966-2019")</f>
        <v/>
      </c>
      <c r="W343">
        <f>HYPERLINK("https://klasma.github.io/Logging_2161/klagomålsmail/A 17966-2019 FSC-klagomål mail.docx", "A 17966-2019")</f>
        <v/>
      </c>
      <c r="X343">
        <f>HYPERLINK("https://klasma.github.io/Logging_2161/tillsyn/A 17966-2019 tillsynsbegäran.docx", "A 17966-2019")</f>
        <v/>
      </c>
      <c r="Y343">
        <f>HYPERLINK("https://klasma.github.io/Logging_2161/tillsynsmail/A 17966-2019 tillsynsbegäran mail.docx", "A 17966-2019")</f>
        <v/>
      </c>
      <c r="Z343">
        <f>HYPERLINK("https://klasma.github.io/Logging_2161/fåglar/A 17966-2019 prioriterade fågelarter.docx", "A 17966-2019")</f>
        <v/>
      </c>
    </row>
    <row r="344" ht="15" customHeight="1">
      <c r="A344" t="inlineStr">
        <is>
          <t>A 22616-2019</t>
        </is>
      </c>
      <c r="B344" s="1" t="n">
        <v>43588</v>
      </c>
      <c r="C344" s="1" t="n">
        <v>45587</v>
      </c>
      <c r="D344" t="inlineStr">
        <is>
          <t>GÄVLEBORGS LÄN</t>
        </is>
      </c>
      <c r="E344" t="inlineStr">
        <is>
          <t>GÄVLE</t>
        </is>
      </c>
      <c r="F344" t="inlineStr">
        <is>
          <t>Kommuner</t>
        </is>
      </c>
      <c r="G344" t="n">
        <v>7.1</v>
      </c>
      <c r="H344" t="n">
        <v>0</v>
      </c>
      <c r="I344" t="n">
        <v>0</v>
      </c>
      <c r="J344" t="n">
        <v>1</v>
      </c>
      <c r="K344" t="n">
        <v>0</v>
      </c>
      <c r="L344" t="n">
        <v>0</v>
      </c>
      <c r="M344" t="n">
        <v>0</v>
      </c>
      <c r="N344" t="n">
        <v>0</v>
      </c>
      <c r="O344" t="n">
        <v>1</v>
      </c>
      <c r="P344" t="n">
        <v>0</v>
      </c>
      <c r="Q344" t="n">
        <v>1</v>
      </c>
      <c r="R344" s="2" t="inlineStr">
        <is>
          <t>Sotnätfjäril</t>
        </is>
      </c>
      <c r="S344">
        <f>HYPERLINK("https://klasma.github.io/Logging_2180/artfynd/A 22616-2019 artfynd.xlsx", "A 22616-2019")</f>
        <v/>
      </c>
      <c r="T344">
        <f>HYPERLINK("https://klasma.github.io/Logging_2180/kartor/A 22616-2019 karta.png", "A 22616-2019")</f>
        <v/>
      </c>
      <c r="V344">
        <f>HYPERLINK("https://klasma.github.io/Logging_2180/klagomål/A 22616-2019 FSC-klagomål.docx", "A 22616-2019")</f>
        <v/>
      </c>
      <c r="W344">
        <f>HYPERLINK("https://klasma.github.io/Logging_2180/klagomålsmail/A 22616-2019 FSC-klagomål mail.docx", "A 22616-2019")</f>
        <v/>
      </c>
      <c r="X344">
        <f>HYPERLINK("https://klasma.github.io/Logging_2180/tillsyn/A 22616-2019 tillsynsbegäran.docx", "A 22616-2019")</f>
        <v/>
      </c>
      <c r="Y344">
        <f>HYPERLINK("https://klasma.github.io/Logging_2180/tillsynsmail/A 22616-2019 tillsynsbegäran mail.docx", "A 22616-2019")</f>
        <v/>
      </c>
    </row>
    <row r="345" ht="15" customHeight="1">
      <c r="A345" t="inlineStr">
        <is>
          <t>A 24535-2019</t>
        </is>
      </c>
      <c r="B345" s="1" t="n">
        <v>43600</v>
      </c>
      <c r="C345" s="1" t="n">
        <v>45587</v>
      </c>
      <c r="D345" t="inlineStr">
        <is>
          <t>GÄVLEBORGS LÄN</t>
        </is>
      </c>
      <c r="E345" t="inlineStr">
        <is>
          <t>BOLLNÄS</t>
        </is>
      </c>
      <c r="G345" t="n">
        <v>6.3</v>
      </c>
      <c r="H345" t="n">
        <v>0</v>
      </c>
      <c r="I345" t="n">
        <v>1</v>
      </c>
      <c r="J345" t="n">
        <v>0</v>
      </c>
      <c r="K345" t="n">
        <v>0</v>
      </c>
      <c r="L345" t="n">
        <v>0</v>
      </c>
      <c r="M345" t="n">
        <v>0</v>
      </c>
      <c r="N345" t="n">
        <v>0</v>
      </c>
      <c r="O345" t="n">
        <v>0</v>
      </c>
      <c r="P345" t="n">
        <v>0</v>
      </c>
      <c r="Q345" t="n">
        <v>1</v>
      </c>
      <c r="R345" s="2" t="inlineStr">
        <is>
          <t>Grönpyrola</t>
        </is>
      </c>
      <c r="S345">
        <f>HYPERLINK("https://klasma.github.io/Logging_2183/artfynd/A 24535-2019 artfynd.xlsx", "A 24535-2019")</f>
        <v/>
      </c>
      <c r="T345">
        <f>HYPERLINK("https://klasma.github.io/Logging_2183/kartor/A 24535-2019 karta.png", "A 24535-2019")</f>
        <v/>
      </c>
      <c r="V345">
        <f>HYPERLINK("https://klasma.github.io/Logging_2183/klagomål/A 24535-2019 FSC-klagomål.docx", "A 24535-2019")</f>
        <v/>
      </c>
      <c r="W345">
        <f>HYPERLINK("https://klasma.github.io/Logging_2183/klagomålsmail/A 24535-2019 FSC-klagomål mail.docx", "A 24535-2019")</f>
        <v/>
      </c>
      <c r="X345">
        <f>HYPERLINK("https://klasma.github.io/Logging_2183/tillsyn/A 24535-2019 tillsynsbegäran.docx", "A 24535-2019")</f>
        <v/>
      </c>
      <c r="Y345">
        <f>HYPERLINK("https://klasma.github.io/Logging_2183/tillsynsmail/A 24535-2019 tillsynsbegäran mail.docx", "A 24535-2019")</f>
        <v/>
      </c>
    </row>
    <row r="346" ht="15" customHeight="1">
      <c r="A346" t="inlineStr">
        <is>
          <t>A 27515-2019</t>
        </is>
      </c>
      <c r="B346" s="1" t="n">
        <v>43619</v>
      </c>
      <c r="C346" s="1" t="n">
        <v>45587</v>
      </c>
      <c r="D346" t="inlineStr">
        <is>
          <t>GÄVLEBORGS LÄN</t>
        </is>
      </c>
      <c r="E346" t="inlineStr">
        <is>
          <t>BOLLNÄS</t>
        </is>
      </c>
      <c r="G346" t="n">
        <v>10.8</v>
      </c>
      <c r="H346" t="n">
        <v>1</v>
      </c>
      <c r="I346" t="n">
        <v>0</v>
      </c>
      <c r="J346" t="n">
        <v>0</v>
      </c>
      <c r="K346" t="n">
        <v>1</v>
      </c>
      <c r="L346" t="n">
        <v>0</v>
      </c>
      <c r="M346" t="n">
        <v>0</v>
      </c>
      <c r="N346" t="n">
        <v>0</v>
      </c>
      <c r="O346" t="n">
        <v>1</v>
      </c>
      <c r="P346" t="n">
        <v>1</v>
      </c>
      <c r="Q346" t="n">
        <v>1</v>
      </c>
      <c r="R346" s="2" t="inlineStr">
        <is>
          <t>Knärot</t>
        </is>
      </c>
      <c r="S346">
        <f>HYPERLINK("https://klasma.github.io/Logging_2183/artfynd/A 27515-2019 artfynd.xlsx", "A 27515-2019")</f>
        <v/>
      </c>
      <c r="T346">
        <f>HYPERLINK("https://klasma.github.io/Logging_2183/kartor/A 27515-2019 karta.png", "A 27515-2019")</f>
        <v/>
      </c>
      <c r="U346">
        <f>HYPERLINK("https://klasma.github.io/Logging_2183/knärot/A 27515-2019 karta knärot.png", "A 27515-2019")</f>
        <v/>
      </c>
      <c r="V346">
        <f>HYPERLINK("https://klasma.github.io/Logging_2183/klagomål/A 27515-2019 FSC-klagomål.docx", "A 27515-2019")</f>
        <v/>
      </c>
      <c r="W346">
        <f>HYPERLINK("https://klasma.github.io/Logging_2183/klagomålsmail/A 27515-2019 FSC-klagomål mail.docx", "A 27515-2019")</f>
        <v/>
      </c>
      <c r="X346">
        <f>HYPERLINK("https://klasma.github.io/Logging_2183/tillsyn/A 27515-2019 tillsynsbegäran.docx", "A 27515-2019")</f>
        <v/>
      </c>
      <c r="Y346">
        <f>HYPERLINK("https://klasma.github.io/Logging_2183/tillsynsmail/A 27515-2019 tillsynsbegäran mail.docx", "A 27515-2019")</f>
        <v/>
      </c>
    </row>
    <row r="347" ht="15" customHeight="1">
      <c r="A347" t="inlineStr">
        <is>
          <t>A 28268-2019</t>
        </is>
      </c>
      <c r="B347" s="1" t="n">
        <v>43623</v>
      </c>
      <c r="C347" s="1" t="n">
        <v>45587</v>
      </c>
      <c r="D347" t="inlineStr">
        <is>
          <t>GÄVLEBORGS LÄN</t>
        </is>
      </c>
      <c r="E347" t="inlineStr">
        <is>
          <t>HUDIKSVALL</t>
        </is>
      </c>
      <c r="F347" t="inlineStr">
        <is>
          <t>Holmen skog AB</t>
        </is>
      </c>
      <c r="G347" t="n">
        <v>10.5</v>
      </c>
      <c r="H347" t="n">
        <v>1</v>
      </c>
      <c r="I347" t="n">
        <v>0</v>
      </c>
      <c r="J347" t="n">
        <v>0</v>
      </c>
      <c r="K347" t="n">
        <v>0</v>
      </c>
      <c r="L347" t="n">
        <v>0</v>
      </c>
      <c r="M347" t="n">
        <v>0</v>
      </c>
      <c r="N347" t="n">
        <v>0</v>
      </c>
      <c r="O347" t="n">
        <v>0</v>
      </c>
      <c r="P347" t="n">
        <v>0</v>
      </c>
      <c r="Q347" t="n">
        <v>1</v>
      </c>
      <c r="R347" s="2" t="inlineStr">
        <is>
          <t>Mattlummer</t>
        </is>
      </c>
      <c r="S347">
        <f>HYPERLINK("https://klasma.github.io/Logging_2184/artfynd/A 28268-2019 artfynd.xlsx", "A 28268-2019")</f>
        <v/>
      </c>
      <c r="T347">
        <f>HYPERLINK("https://klasma.github.io/Logging_2184/kartor/A 28268-2019 karta.png", "A 28268-2019")</f>
        <v/>
      </c>
      <c r="V347">
        <f>HYPERLINK("https://klasma.github.io/Logging_2184/klagomål/A 28268-2019 FSC-klagomål.docx", "A 28268-2019")</f>
        <v/>
      </c>
      <c r="W347">
        <f>HYPERLINK("https://klasma.github.io/Logging_2184/klagomålsmail/A 28268-2019 FSC-klagomål mail.docx", "A 28268-2019")</f>
        <v/>
      </c>
      <c r="X347">
        <f>HYPERLINK("https://klasma.github.io/Logging_2184/tillsyn/A 28268-2019 tillsynsbegäran.docx", "A 28268-2019")</f>
        <v/>
      </c>
      <c r="Y347">
        <f>HYPERLINK("https://klasma.github.io/Logging_2184/tillsynsmail/A 28268-2019 tillsynsbegäran mail.docx", "A 28268-2019")</f>
        <v/>
      </c>
    </row>
    <row r="348" ht="15" customHeight="1">
      <c r="A348" t="inlineStr">
        <is>
          <t>A 41576-2019</t>
        </is>
      </c>
      <c r="B348" s="1" t="n">
        <v>43699</v>
      </c>
      <c r="C348" s="1" t="n">
        <v>45587</v>
      </c>
      <c r="D348" t="inlineStr">
        <is>
          <t>GÄVLEBORGS LÄN</t>
        </is>
      </c>
      <c r="E348" t="inlineStr">
        <is>
          <t>NORDANSTIG</t>
        </is>
      </c>
      <c r="F348" t="inlineStr">
        <is>
          <t>Holmen skog AB</t>
        </is>
      </c>
      <c r="G348" t="n">
        <v>5.2</v>
      </c>
      <c r="H348" t="n">
        <v>0</v>
      </c>
      <c r="I348" t="n">
        <v>0</v>
      </c>
      <c r="J348" t="n">
        <v>1</v>
      </c>
      <c r="K348" t="n">
        <v>0</v>
      </c>
      <c r="L348" t="n">
        <v>0</v>
      </c>
      <c r="M348" t="n">
        <v>0</v>
      </c>
      <c r="N348" t="n">
        <v>0</v>
      </c>
      <c r="O348" t="n">
        <v>1</v>
      </c>
      <c r="P348" t="n">
        <v>0</v>
      </c>
      <c r="Q348" t="n">
        <v>1</v>
      </c>
      <c r="R348" s="2" t="inlineStr">
        <is>
          <t>Tallticka</t>
        </is>
      </c>
      <c r="S348">
        <f>HYPERLINK("https://klasma.github.io/Logging_2132/artfynd/A 41576-2019 artfynd.xlsx", "A 41576-2019")</f>
        <v/>
      </c>
      <c r="T348">
        <f>HYPERLINK("https://klasma.github.io/Logging_2132/kartor/A 41576-2019 karta.png", "A 41576-2019")</f>
        <v/>
      </c>
      <c r="V348">
        <f>HYPERLINK("https://klasma.github.io/Logging_2132/klagomål/A 41576-2019 FSC-klagomål.docx", "A 41576-2019")</f>
        <v/>
      </c>
      <c r="W348">
        <f>HYPERLINK("https://klasma.github.io/Logging_2132/klagomålsmail/A 41576-2019 FSC-klagomål mail.docx", "A 41576-2019")</f>
        <v/>
      </c>
      <c r="X348">
        <f>HYPERLINK("https://klasma.github.io/Logging_2132/tillsyn/A 41576-2019 tillsynsbegäran.docx", "A 41576-2019")</f>
        <v/>
      </c>
      <c r="Y348">
        <f>HYPERLINK("https://klasma.github.io/Logging_2132/tillsynsmail/A 41576-2019 tillsynsbegäran mail.docx", "A 41576-2019")</f>
        <v/>
      </c>
    </row>
    <row r="349" ht="15" customHeight="1">
      <c r="A349" t="inlineStr">
        <is>
          <t>A 46192-2019</t>
        </is>
      </c>
      <c r="B349" s="1" t="n">
        <v>43718</v>
      </c>
      <c r="C349" s="1" t="n">
        <v>45587</v>
      </c>
      <c r="D349" t="inlineStr">
        <is>
          <t>GÄVLEBORGS LÄN</t>
        </is>
      </c>
      <c r="E349" t="inlineStr">
        <is>
          <t>SANDVIKEN</t>
        </is>
      </c>
      <c r="G349" t="n">
        <v>2.5</v>
      </c>
      <c r="H349" t="n">
        <v>1</v>
      </c>
      <c r="I349" t="n">
        <v>0</v>
      </c>
      <c r="J349" t="n">
        <v>0</v>
      </c>
      <c r="K349" t="n">
        <v>0</v>
      </c>
      <c r="L349" t="n">
        <v>0</v>
      </c>
      <c r="M349" t="n">
        <v>0</v>
      </c>
      <c r="N349" t="n">
        <v>0</v>
      </c>
      <c r="O349" t="n">
        <v>0</v>
      </c>
      <c r="P349" t="n">
        <v>0</v>
      </c>
      <c r="Q349" t="n">
        <v>1</v>
      </c>
      <c r="R349" s="2" t="inlineStr">
        <is>
          <t>Fläcknycklar</t>
        </is>
      </c>
      <c r="S349">
        <f>HYPERLINK("https://klasma.github.io/Logging_2181/artfynd/A 46192-2019 artfynd.xlsx", "A 46192-2019")</f>
        <v/>
      </c>
      <c r="T349">
        <f>HYPERLINK("https://klasma.github.io/Logging_2181/kartor/A 46192-2019 karta.png", "A 46192-2019")</f>
        <v/>
      </c>
      <c r="V349">
        <f>HYPERLINK("https://klasma.github.io/Logging_2181/klagomål/A 46192-2019 FSC-klagomål.docx", "A 46192-2019")</f>
        <v/>
      </c>
      <c r="W349">
        <f>HYPERLINK("https://klasma.github.io/Logging_2181/klagomålsmail/A 46192-2019 FSC-klagomål mail.docx", "A 46192-2019")</f>
        <v/>
      </c>
      <c r="X349">
        <f>HYPERLINK("https://klasma.github.io/Logging_2181/tillsyn/A 46192-2019 tillsynsbegäran.docx", "A 46192-2019")</f>
        <v/>
      </c>
      <c r="Y349">
        <f>HYPERLINK("https://klasma.github.io/Logging_2181/tillsynsmail/A 46192-2019 tillsynsbegäran mail.docx", "A 46192-2019")</f>
        <v/>
      </c>
    </row>
    <row r="350" ht="15" customHeight="1">
      <c r="A350" t="inlineStr">
        <is>
          <t>A 47443-2019</t>
        </is>
      </c>
      <c r="B350" s="1" t="n">
        <v>43723</v>
      </c>
      <c r="C350" s="1" t="n">
        <v>45587</v>
      </c>
      <c r="D350" t="inlineStr">
        <is>
          <t>GÄVLEBORGS LÄN</t>
        </is>
      </c>
      <c r="E350" t="inlineStr">
        <is>
          <t>SÖDERHAMN</t>
        </is>
      </c>
      <c r="G350" t="n">
        <v>1.8</v>
      </c>
      <c r="H350" t="n">
        <v>0</v>
      </c>
      <c r="I350" t="n">
        <v>1</v>
      </c>
      <c r="J350" t="n">
        <v>0</v>
      </c>
      <c r="K350" t="n">
        <v>0</v>
      </c>
      <c r="L350" t="n">
        <v>0</v>
      </c>
      <c r="M350" t="n">
        <v>0</v>
      </c>
      <c r="N350" t="n">
        <v>0</v>
      </c>
      <c r="O350" t="n">
        <v>0</v>
      </c>
      <c r="P350" t="n">
        <v>0</v>
      </c>
      <c r="Q350" t="n">
        <v>1</v>
      </c>
      <c r="R350" s="2" t="inlineStr">
        <is>
          <t>Stor aspticka</t>
        </is>
      </c>
      <c r="S350">
        <f>HYPERLINK("https://klasma.github.io/Logging_2182/artfynd/A 47443-2019 artfynd.xlsx", "A 47443-2019")</f>
        <v/>
      </c>
      <c r="T350">
        <f>HYPERLINK("https://klasma.github.io/Logging_2182/kartor/A 47443-2019 karta.png", "A 47443-2019")</f>
        <v/>
      </c>
      <c r="V350">
        <f>HYPERLINK("https://klasma.github.io/Logging_2182/klagomål/A 47443-2019 FSC-klagomål.docx", "A 47443-2019")</f>
        <v/>
      </c>
      <c r="W350">
        <f>HYPERLINK("https://klasma.github.io/Logging_2182/klagomålsmail/A 47443-2019 FSC-klagomål mail.docx", "A 47443-2019")</f>
        <v/>
      </c>
      <c r="X350">
        <f>HYPERLINK("https://klasma.github.io/Logging_2182/tillsyn/A 47443-2019 tillsynsbegäran.docx", "A 47443-2019")</f>
        <v/>
      </c>
      <c r="Y350">
        <f>HYPERLINK("https://klasma.github.io/Logging_2182/tillsynsmail/A 47443-2019 tillsynsbegäran mail.docx", "A 47443-2019")</f>
        <v/>
      </c>
    </row>
    <row r="351" ht="15" customHeight="1">
      <c r="A351" t="inlineStr">
        <is>
          <t>A 48604-2019</t>
        </is>
      </c>
      <c r="B351" s="1" t="n">
        <v>43727</v>
      </c>
      <c r="C351" s="1" t="n">
        <v>45587</v>
      </c>
      <c r="D351" t="inlineStr">
        <is>
          <t>GÄVLEBORGS LÄN</t>
        </is>
      </c>
      <c r="E351" t="inlineStr">
        <is>
          <t>HUDIKSVALL</t>
        </is>
      </c>
      <c r="F351" t="inlineStr">
        <is>
          <t>Kommuner</t>
        </is>
      </c>
      <c r="G351" t="n">
        <v>5</v>
      </c>
      <c r="H351" t="n">
        <v>1</v>
      </c>
      <c r="I351" t="n">
        <v>0</v>
      </c>
      <c r="J351" t="n">
        <v>1</v>
      </c>
      <c r="K351" t="n">
        <v>0</v>
      </c>
      <c r="L351" t="n">
        <v>0</v>
      </c>
      <c r="M351" t="n">
        <v>0</v>
      </c>
      <c r="N351" t="n">
        <v>0</v>
      </c>
      <c r="O351" t="n">
        <v>1</v>
      </c>
      <c r="P351" t="n">
        <v>0</v>
      </c>
      <c r="Q351" t="n">
        <v>1</v>
      </c>
      <c r="R351" s="2" t="inlineStr">
        <is>
          <t>Mindre hackspett</t>
        </is>
      </c>
      <c r="S351">
        <f>HYPERLINK("https://klasma.github.io/Logging_2184/artfynd/A 48604-2019 artfynd.xlsx", "A 48604-2019")</f>
        <v/>
      </c>
      <c r="T351">
        <f>HYPERLINK("https://klasma.github.io/Logging_2184/kartor/A 48604-2019 karta.png", "A 48604-2019")</f>
        <v/>
      </c>
      <c r="V351">
        <f>HYPERLINK("https://klasma.github.io/Logging_2184/klagomål/A 48604-2019 FSC-klagomål.docx", "A 48604-2019")</f>
        <v/>
      </c>
      <c r="W351">
        <f>HYPERLINK("https://klasma.github.io/Logging_2184/klagomålsmail/A 48604-2019 FSC-klagomål mail.docx", "A 48604-2019")</f>
        <v/>
      </c>
      <c r="X351">
        <f>HYPERLINK("https://klasma.github.io/Logging_2184/tillsyn/A 48604-2019 tillsynsbegäran.docx", "A 48604-2019")</f>
        <v/>
      </c>
      <c r="Y351">
        <f>HYPERLINK("https://klasma.github.io/Logging_2184/tillsynsmail/A 48604-2019 tillsynsbegäran mail.docx", "A 48604-2019")</f>
        <v/>
      </c>
      <c r="Z351">
        <f>HYPERLINK("https://klasma.github.io/Logging_2184/fåglar/A 48604-2019 prioriterade fågelarter.docx", "A 48604-2019")</f>
        <v/>
      </c>
    </row>
    <row r="352" ht="15" customHeight="1">
      <c r="A352" t="inlineStr">
        <is>
          <t>A 48775-2019</t>
        </is>
      </c>
      <c r="B352" s="1" t="n">
        <v>43727</v>
      </c>
      <c r="C352" s="1" t="n">
        <v>45587</v>
      </c>
      <c r="D352" t="inlineStr">
        <is>
          <t>GÄVLEBORGS LÄN</t>
        </is>
      </c>
      <c r="E352" t="inlineStr">
        <is>
          <t>SANDVIKEN</t>
        </is>
      </c>
      <c r="F352" t="inlineStr">
        <is>
          <t>Sveaskog</t>
        </is>
      </c>
      <c r="G352" t="n">
        <v>1.1</v>
      </c>
      <c r="H352" t="n">
        <v>1</v>
      </c>
      <c r="I352" t="n">
        <v>0</v>
      </c>
      <c r="J352" t="n">
        <v>0</v>
      </c>
      <c r="K352" t="n">
        <v>0</v>
      </c>
      <c r="L352" t="n">
        <v>0</v>
      </c>
      <c r="M352" t="n">
        <v>0</v>
      </c>
      <c r="N352" t="n">
        <v>0</v>
      </c>
      <c r="O352" t="n">
        <v>0</v>
      </c>
      <c r="P352" t="n">
        <v>0</v>
      </c>
      <c r="Q352" t="n">
        <v>1</v>
      </c>
      <c r="R352" s="2" t="inlineStr">
        <is>
          <t>Revlummer</t>
        </is>
      </c>
      <c r="S352">
        <f>HYPERLINK("https://klasma.github.io/Logging_2181/artfynd/A 48775-2019 artfynd.xlsx", "A 48775-2019")</f>
        <v/>
      </c>
      <c r="T352">
        <f>HYPERLINK("https://klasma.github.io/Logging_2181/kartor/A 48775-2019 karta.png", "A 48775-2019")</f>
        <v/>
      </c>
      <c r="V352">
        <f>HYPERLINK("https://klasma.github.io/Logging_2181/klagomål/A 48775-2019 FSC-klagomål.docx", "A 48775-2019")</f>
        <v/>
      </c>
      <c r="W352">
        <f>HYPERLINK("https://klasma.github.io/Logging_2181/klagomålsmail/A 48775-2019 FSC-klagomål mail.docx", "A 48775-2019")</f>
        <v/>
      </c>
      <c r="X352">
        <f>HYPERLINK("https://klasma.github.io/Logging_2181/tillsyn/A 48775-2019 tillsynsbegäran.docx", "A 48775-2019")</f>
        <v/>
      </c>
      <c r="Y352">
        <f>HYPERLINK("https://klasma.github.io/Logging_2181/tillsynsmail/A 48775-2019 tillsynsbegäran mail.docx", "A 48775-2019")</f>
        <v/>
      </c>
    </row>
    <row r="353" ht="15" customHeight="1">
      <c r="A353" t="inlineStr">
        <is>
          <t>A 62064-2019</t>
        </is>
      </c>
      <c r="B353" s="1" t="n">
        <v>43787</v>
      </c>
      <c r="C353" s="1" t="n">
        <v>45587</v>
      </c>
      <c r="D353" t="inlineStr">
        <is>
          <t>GÄVLEBORGS LÄN</t>
        </is>
      </c>
      <c r="E353" t="inlineStr">
        <is>
          <t>OCKELBO</t>
        </is>
      </c>
      <c r="F353" t="inlineStr">
        <is>
          <t>Bergvik skog väst AB</t>
        </is>
      </c>
      <c r="G353" t="n">
        <v>1.1</v>
      </c>
      <c r="H353" t="n">
        <v>0</v>
      </c>
      <c r="I353" t="n">
        <v>1</v>
      </c>
      <c r="J353" t="n">
        <v>0</v>
      </c>
      <c r="K353" t="n">
        <v>0</v>
      </c>
      <c r="L353" t="n">
        <v>0</v>
      </c>
      <c r="M353" t="n">
        <v>0</v>
      </c>
      <c r="N353" t="n">
        <v>0</v>
      </c>
      <c r="O353" t="n">
        <v>0</v>
      </c>
      <c r="P353" t="n">
        <v>0</v>
      </c>
      <c r="Q353" t="n">
        <v>1</v>
      </c>
      <c r="R353" s="2" t="inlineStr">
        <is>
          <t>Ögonpyrola</t>
        </is>
      </c>
      <c r="S353">
        <f>HYPERLINK("https://klasma.github.io/Logging_2101/artfynd/A 62064-2019 artfynd.xlsx", "A 62064-2019")</f>
        <v/>
      </c>
      <c r="T353">
        <f>HYPERLINK("https://klasma.github.io/Logging_2101/kartor/A 62064-2019 karta.png", "A 62064-2019")</f>
        <v/>
      </c>
      <c r="V353">
        <f>HYPERLINK("https://klasma.github.io/Logging_2101/klagomål/A 62064-2019 FSC-klagomål.docx", "A 62064-2019")</f>
        <v/>
      </c>
      <c r="W353">
        <f>HYPERLINK("https://klasma.github.io/Logging_2101/klagomålsmail/A 62064-2019 FSC-klagomål mail.docx", "A 62064-2019")</f>
        <v/>
      </c>
      <c r="X353">
        <f>HYPERLINK("https://klasma.github.io/Logging_2101/tillsyn/A 62064-2019 tillsynsbegäran.docx", "A 62064-2019")</f>
        <v/>
      </c>
      <c r="Y353">
        <f>HYPERLINK("https://klasma.github.io/Logging_2101/tillsynsmail/A 62064-2019 tillsynsbegäran mail.docx", "A 62064-2019")</f>
        <v/>
      </c>
    </row>
    <row r="354" ht="15" customHeight="1">
      <c r="A354" t="inlineStr">
        <is>
          <t>A 63545-2019</t>
        </is>
      </c>
      <c r="B354" s="1" t="n">
        <v>43794</v>
      </c>
      <c r="C354" s="1" t="n">
        <v>45587</v>
      </c>
      <c r="D354" t="inlineStr">
        <is>
          <t>GÄVLEBORGS LÄN</t>
        </is>
      </c>
      <c r="E354" t="inlineStr">
        <is>
          <t>BOLLNÄS</t>
        </is>
      </c>
      <c r="G354" t="n">
        <v>9.300000000000001</v>
      </c>
      <c r="H354" t="n">
        <v>0</v>
      </c>
      <c r="I354" t="n">
        <v>1</v>
      </c>
      <c r="J354" t="n">
        <v>0</v>
      </c>
      <c r="K354" t="n">
        <v>0</v>
      </c>
      <c r="L354" t="n">
        <v>0</v>
      </c>
      <c r="M354" t="n">
        <v>0</v>
      </c>
      <c r="N354" t="n">
        <v>0</v>
      </c>
      <c r="O354" t="n">
        <v>0</v>
      </c>
      <c r="P354" t="n">
        <v>0</v>
      </c>
      <c r="Q354" t="n">
        <v>1</v>
      </c>
      <c r="R354" s="2" t="inlineStr">
        <is>
          <t>Skinnlav</t>
        </is>
      </c>
      <c r="S354">
        <f>HYPERLINK("https://klasma.github.io/Logging_2183/artfynd/A 63545-2019 artfynd.xlsx", "A 63545-2019")</f>
        <v/>
      </c>
      <c r="T354">
        <f>HYPERLINK("https://klasma.github.io/Logging_2183/kartor/A 63545-2019 karta.png", "A 63545-2019")</f>
        <v/>
      </c>
      <c r="V354">
        <f>HYPERLINK("https://klasma.github.io/Logging_2183/klagomål/A 63545-2019 FSC-klagomål.docx", "A 63545-2019")</f>
        <v/>
      </c>
      <c r="W354">
        <f>HYPERLINK("https://klasma.github.io/Logging_2183/klagomålsmail/A 63545-2019 FSC-klagomål mail.docx", "A 63545-2019")</f>
        <v/>
      </c>
      <c r="X354">
        <f>HYPERLINK("https://klasma.github.io/Logging_2183/tillsyn/A 63545-2019 tillsynsbegäran.docx", "A 63545-2019")</f>
        <v/>
      </c>
      <c r="Y354">
        <f>HYPERLINK("https://klasma.github.io/Logging_2183/tillsynsmail/A 63545-2019 tillsynsbegäran mail.docx", "A 63545-2019")</f>
        <v/>
      </c>
    </row>
    <row r="355" ht="15" customHeight="1">
      <c r="A355" t="inlineStr">
        <is>
          <t>A 67154-2019</t>
        </is>
      </c>
      <c r="B355" s="1" t="n">
        <v>43811</v>
      </c>
      <c r="C355" s="1" t="n">
        <v>45587</v>
      </c>
      <c r="D355" t="inlineStr">
        <is>
          <t>GÄVLEBORGS LÄN</t>
        </is>
      </c>
      <c r="E355" t="inlineStr">
        <is>
          <t>LJUSDAL</t>
        </is>
      </c>
      <c r="G355" t="n">
        <v>12.9</v>
      </c>
      <c r="H355" t="n">
        <v>0</v>
      </c>
      <c r="I355" t="n">
        <v>0</v>
      </c>
      <c r="J355" t="n">
        <v>1</v>
      </c>
      <c r="K355" t="n">
        <v>0</v>
      </c>
      <c r="L355" t="n">
        <v>0</v>
      </c>
      <c r="M355" t="n">
        <v>0</v>
      </c>
      <c r="N355" t="n">
        <v>0</v>
      </c>
      <c r="O355" t="n">
        <v>1</v>
      </c>
      <c r="P355" t="n">
        <v>0</v>
      </c>
      <c r="Q355" t="n">
        <v>1</v>
      </c>
      <c r="R355" s="2" t="inlineStr">
        <is>
          <t>Rosenticka</t>
        </is>
      </c>
      <c r="S355">
        <f>HYPERLINK("https://klasma.github.io/Logging_2161/artfynd/A 67154-2019 artfynd.xlsx", "A 67154-2019")</f>
        <v/>
      </c>
      <c r="T355">
        <f>HYPERLINK("https://klasma.github.io/Logging_2161/kartor/A 67154-2019 karta.png", "A 67154-2019")</f>
        <v/>
      </c>
      <c r="V355">
        <f>HYPERLINK("https://klasma.github.io/Logging_2161/klagomål/A 67154-2019 FSC-klagomål.docx", "A 67154-2019")</f>
        <v/>
      </c>
      <c r="W355">
        <f>HYPERLINK("https://klasma.github.io/Logging_2161/klagomålsmail/A 67154-2019 FSC-klagomål mail.docx", "A 67154-2019")</f>
        <v/>
      </c>
      <c r="X355">
        <f>HYPERLINK("https://klasma.github.io/Logging_2161/tillsyn/A 67154-2019 tillsynsbegäran.docx", "A 67154-2019")</f>
        <v/>
      </c>
      <c r="Y355">
        <f>HYPERLINK("https://klasma.github.io/Logging_2161/tillsynsmail/A 67154-2019 tillsynsbegäran mail.docx", "A 67154-2019")</f>
        <v/>
      </c>
    </row>
    <row r="356" ht="15" customHeight="1">
      <c r="A356" t="inlineStr">
        <is>
          <t>A 67418-2019</t>
        </is>
      </c>
      <c r="B356" s="1" t="n">
        <v>43812</v>
      </c>
      <c r="C356" s="1" t="n">
        <v>45587</v>
      </c>
      <c r="D356" t="inlineStr">
        <is>
          <t>GÄVLEBORGS LÄN</t>
        </is>
      </c>
      <c r="E356" t="inlineStr">
        <is>
          <t>GÄVLE</t>
        </is>
      </c>
      <c r="F356" t="inlineStr">
        <is>
          <t>Kommuner</t>
        </is>
      </c>
      <c r="G356" t="n">
        <v>7.4</v>
      </c>
      <c r="H356" t="n">
        <v>0</v>
      </c>
      <c r="I356" t="n">
        <v>0</v>
      </c>
      <c r="J356" t="n">
        <v>1</v>
      </c>
      <c r="K356" t="n">
        <v>0</v>
      </c>
      <c r="L356" t="n">
        <v>0</v>
      </c>
      <c r="M356" t="n">
        <v>0</v>
      </c>
      <c r="N356" t="n">
        <v>0</v>
      </c>
      <c r="O356" t="n">
        <v>1</v>
      </c>
      <c r="P356" t="n">
        <v>0</v>
      </c>
      <c r="Q356" t="n">
        <v>1</v>
      </c>
      <c r="R356" s="2" t="inlineStr">
        <is>
          <t>Motaggsvamp</t>
        </is>
      </c>
      <c r="S356">
        <f>HYPERLINK("https://klasma.github.io/Logging_2180/artfynd/A 67418-2019 artfynd.xlsx", "A 67418-2019")</f>
        <v/>
      </c>
      <c r="T356">
        <f>HYPERLINK("https://klasma.github.io/Logging_2180/kartor/A 67418-2019 karta.png", "A 67418-2019")</f>
        <v/>
      </c>
      <c r="V356">
        <f>HYPERLINK("https://klasma.github.io/Logging_2180/klagomål/A 67418-2019 FSC-klagomål.docx", "A 67418-2019")</f>
        <v/>
      </c>
      <c r="W356">
        <f>HYPERLINK("https://klasma.github.io/Logging_2180/klagomålsmail/A 67418-2019 FSC-klagomål mail.docx", "A 67418-2019")</f>
        <v/>
      </c>
      <c r="X356">
        <f>HYPERLINK("https://klasma.github.io/Logging_2180/tillsyn/A 67418-2019 tillsynsbegäran.docx", "A 67418-2019")</f>
        <v/>
      </c>
      <c r="Y356">
        <f>HYPERLINK("https://klasma.github.io/Logging_2180/tillsynsmail/A 67418-2019 tillsynsbegäran mail.docx", "A 67418-2019")</f>
        <v/>
      </c>
    </row>
    <row r="357" ht="15" customHeight="1">
      <c r="A357" t="inlineStr">
        <is>
          <t>A 68915-2019</t>
        </is>
      </c>
      <c r="B357" s="1" t="n">
        <v>43822</v>
      </c>
      <c r="C357" s="1" t="n">
        <v>45587</v>
      </c>
      <c r="D357" t="inlineStr">
        <is>
          <t>GÄVLEBORGS LÄN</t>
        </is>
      </c>
      <c r="E357" t="inlineStr">
        <is>
          <t>NORDANSTIG</t>
        </is>
      </c>
      <c r="F357" t="inlineStr">
        <is>
          <t>Holmen skog AB</t>
        </is>
      </c>
      <c r="G357" t="n">
        <v>21.2</v>
      </c>
      <c r="H357" t="n">
        <v>1</v>
      </c>
      <c r="I357" t="n">
        <v>0</v>
      </c>
      <c r="J357" t="n">
        <v>0</v>
      </c>
      <c r="K357" t="n">
        <v>1</v>
      </c>
      <c r="L357" t="n">
        <v>0</v>
      </c>
      <c r="M357" t="n">
        <v>0</v>
      </c>
      <c r="N357" t="n">
        <v>0</v>
      </c>
      <c r="O357" t="n">
        <v>1</v>
      </c>
      <c r="P357" t="n">
        <v>1</v>
      </c>
      <c r="Q357" t="n">
        <v>1</v>
      </c>
      <c r="R357" s="2" t="inlineStr">
        <is>
          <t>Långskägg</t>
        </is>
      </c>
      <c r="S357">
        <f>HYPERLINK("https://klasma.github.io/Logging_2132/artfynd/A 68915-2019 artfynd.xlsx", "A 68915-2019")</f>
        <v/>
      </c>
      <c r="T357">
        <f>HYPERLINK("https://klasma.github.io/Logging_2132/kartor/A 68915-2019 karta.png", "A 68915-2019")</f>
        <v/>
      </c>
      <c r="V357">
        <f>HYPERLINK("https://klasma.github.io/Logging_2132/klagomål/A 68915-2019 FSC-klagomål.docx", "A 68915-2019")</f>
        <v/>
      </c>
      <c r="W357">
        <f>HYPERLINK("https://klasma.github.io/Logging_2132/klagomålsmail/A 68915-2019 FSC-klagomål mail.docx", "A 68915-2019")</f>
        <v/>
      </c>
      <c r="X357">
        <f>HYPERLINK("https://klasma.github.io/Logging_2132/tillsyn/A 68915-2019 tillsynsbegäran.docx", "A 68915-2019")</f>
        <v/>
      </c>
      <c r="Y357">
        <f>HYPERLINK("https://klasma.github.io/Logging_2132/tillsynsmail/A 68915-2019 tillsynsbegäran mail.docx", "A 68915-2019")</f>
        <v/>
      </c>
    </row>
    <row r="358" ht="15" customHeight="1">
      <c r="A358" t="inlineStr">
        <is>
          <t>A 326-2020</t>
        </is>
      </c>
      <c r="B358" s="1" t="n">
        <v>43837</v>
      </c>
      <c r="C358" s="1" t="n">
        <v>45587</v>
      </c>
      <c r="D358" t="inlineStr">
        <is>
          <t>GÄVLEBORGS LÄN</t>
        </is>
      </c>
      <c r="E358" t="inlineStr">
        <is>
          <t>OCKELBO</t>
        </is>
      </c>
      <c r="G358" t="n">
        <v>1.7</v>
      </c>
      <c r="H358" t="n">
        <v>0</v>
      </c>
      <c r="I358" t="n">
        <v>0</v>
      </c>
      <c r="J358" t="n">
        <v>1</v>
      </c>
      <c r="K358" t="n">
        <v>0</v>
      </c>
      <c r="L358" t="n">
        <v>0</v>
      </c>
      <c r="M358" t="n">
        <v>0</v>
      </c>
      <c r="N358" t="n">
        <v>0</v>
      </c>
      <c r="O358" t="n">
        <v>1</v>
      </c>
      <c r="P358" t="n">
        <v>0</v>
      </c>
      <c r="Q358" t="n">
        <v>1</v>
      </c>
      <c r="R358" s="2" t="inlineStr">
        <is>
          <t>Garnlav</t>
        </is>
      </c>
      <c r="S358">
        <f>HYPERLINK("https://klasma.github.io/Logging_2101/artfynd/A 326-2020 artfynd.xlsx", "A 326-2020")</f>
        <v/>
      </c>
      <c r="T358">
        <f>HYPERLINK("https://klasma.github.io/Logging_2101/kartor/A 326-2020 karta.png", "A 326-2020")</f>
        <v/>
      </c>
      <c r="V358">
        <f>HYPERLINK("https://klasma.github.io/Logging_2101/klagomål/A 326-2020 FSC-klagomål.docx", "A 326-2020")</f>
        <v/>
      </c>
      <c r="W358">
        <f>HYPERLINK("https://klasma.github.io/Logging_2101/klagomålsmail/A 326-2020 FSC-klagomål mail.docx", "A 326-2020")</f>
        <v/>
      </c>
      <c r="X358">
        <f>HYPERLINK("https://klasma.github.io/Logging_2101/tillsyn/A 326-2020 tillsynsbegäran.docx", "A 326-2020")</f>
        <v/>
      </c>
      <c r="Y358">
        <f>HYPERLINK("https://klasma.github.io/Logging_2101/tillsynsmail/A 326-2020 tillsynsbegäran mail.docx", "A 326-2020")</f>
        <v/>
      </c>
    </row>
    <row r="359" ht="15" customHeight="1">
      <c r="A359" t="inlineStr">
        <is>
          <t>A 1597-2020</t>
        </is>
      </c>
      <c r="B359" s="1" t="n">
        <v>43844</v>
      </c>
      <c r="C359" s="1" t="n">
        <v>45587</v>
      </c>
      <c r="D359" t="inlineStr">
        <is>
          <t>GÄVLEBORGS LÄN</t>
        </is>
      </c>
      <c r="E359" t="inlineStr">
        <is>
          <t>HUDIKSVALL</t>
        </is>
      </c>
      <c r="F359" t="inlineStr">
        <is>
          <t>Holmen skog AB</t>
        </is>
      </c>
      <c r="G359" t="n">
        <v>16.6</v>
      </c>
      <c r="H359" t="n">
        <v>1</v>
      </c>
      <c r="I359" t="n">
        <v>0</v>
      </c>
      <c r="J359" t="n">
        <v>1</v>
      </c>
      <c r="K359" t="n">
        <v>0</v>
      </c>
      <c r="L359" t="n">
        <v>0</v>
      </c>
      <c r="M359" t="n">
        <v>0</v>
      </c>
      <c r="N359" t="n">
        <v>0</v>
      </c>
      <c r="O359" t="n">
        <v>1</v>
      </c>
      <c r="P359" t="n">
        <v>0</v>
      </c>
      <c r="Q359" t="n">
        <v>1</v>
      </c>
      <c r="R359" s="2" t="inlineStr">
        <is>
          <t>Talltita</t>
        </is>
      </c>
      <c r="S359">
        <f>HYPERLINK("https://klasma.github.io/Logging_2184/artfynd/A 1597-2020 artfynd.xlsx", "A 1597-2020")</f>
        <v/>
      </c>
      <c r="T359">
        <f>HYPERLINK("https://klasma.github.io/Logging_2184/kartor/A 1597-2020 karta.png", "A 1597-2020")</f>
        <v/>
      </c>
      <c r="V359">
        <f>HYPERLINK("https://klasma.github.io/Logging_2184/klagomål/A 1597-2020 FSC-klagomål.docx", "A 1597-2020")</f>
        <v/>
      </c>
      <c r="W359">
        <f>HYPERLINK("https://klasma.github.io/Logging_2184/klagomålsmail/A 1597-2020 FSC-klagomål mail.docx", "A 1597-2020")</f>
        <v/>
      </c>
      <c r="X359">
        <f>HYPERLINK("https://klasma.github.io/Logging_2184/tillsyn/A 1597-2020 tillsynsbegäran.docx", "A 1597-2020")</f>
        <v/>
      </c>
      <c r="Y359">
        <f>HYPERLINK("https://klasma.github.io/Logging_2184/tillsynsmail/A 1597-2020 tillsynsbegäran mail.docx", "A 1597-2020")</f>
        <v/>
      </c>
      <c r="Z359">
        <f>HYPERLINK("https://klasma.github.io/Logging_2184/fåglar/A 1597-2020 prioriterade fågelarter.docx", "A 1597-2020")</f>
        <v/>
      </c>
    </row>
    <row r="360" ht="15" customHeight="1">
      <c r="A360" t="inlineStr">
        <is>
          <t>A 5923-2020</t>
        </is>
      </c>
      <c r="B360" s="1" t="n">
        <v>43864</v>
      </c>
      <c r="C360" s="1" t="n">
        <v>45587</v>
      </c>
      <c r="D360" t="inlineStr">
        <is>
          <t>GÄVLEBORGS LÄN</t>
        </is>
      </c>
      <c r="E360" t="inlineStr">
        <is>
          <t>BOLLNÄS</t>
        </is>
      </c>
      <c r="G360" t="n">
        <v>2.7</v>
      </c>
      <c r="H360" t="n">
        <v>1</v>
      </c>
      <c r="I360" t="n">
        <v>0</v>
      </c>
      <c r="J360" t="n">
        <v>1</v>
      </c>
      <c r="K360" t="n">
        <v>0</v>
      </c>
      <c r="L360" t="n">
        <v>0</v>
      </c>
      <c r="M360" t="n">
        <v>0</v>
      </c>
      <c r="N360" t="n">
        <v>0</v>
      </c>
      <c r="O360" t="n">
        <v>1</v>
      </c>
      <c r="P360" t="n">
        <v>0</v>
      </c>
      <c r="Q360" t="n">
        <v>1</v>
      </c>
      <c r="R360" s="2" t="inlineStr">
        <is>
          <t>Spillkråka</t>
        </is>
      </c>
      <c r="S360">
        <f>HYPERLINK("https://klasma.github.io/Logging_2183/artfynd/A 5923-2020 artfynd.xlsx", "A 5923-2020")</f>
        <v/>
      </c>
      <c r="T360">
        <f>HYPERLINK("https://klasma.github.io/Logging_2183/kartor/A 5923-2020 karta.png", "A 5923-2020")</f>
        <v/>
      </c>
      <c r="V360">
        <f>HYPERLINK("https://klasma.github.io/Logging_2183/klagomål/A 5923-2020 FSC-klagomål.docx", "A 5923-2020")</f>
        <v/>
      </c>
      <c r="W360">
        <f>HYPERLINK("https://klasma.github.io/Logging_2183/klagomålsmail/A 5923-2020 FSC-klagomål mail.docx", "A 5923-2020")</f>
        <v/>
      </c>
      <c r="X360">
        <f>HYPERLINK("https://klasma.github.io/Logging_2183/tillsyn/A 5923-2020 tillsynsbegäran.docx", "A 5923-2020")</f>
        <v/>
      </c>
      <c r="Y360">
        <f>HYPERLINK("https://klasma.github.io/Logging_2183/tillsynsmail/A 5923-2020 tillsynsbegäran mail.docx", "A 5923-2020")</f>
        <v/>
      </c>
      <c r="Z360">
        <f>HYPERLINK("https://klasma.github.io/Logging_2183/fåglar/A 5923-2020 prioriterade fågelarter.docx", "A 5923-2020")</f>
        <v/>
      </c>
    </row>
    <row r="361" ht="15" customHeight="1">
      <c r="A361" t="inlineStr">
        <is>
          <t>A 7560-2020</t>
        </is>
      </c>
      <c r="B361" s="1" t="n">
        <v>43872</v>
      </c>
      <c r="C361" s="1" t="n">
        <v>45587</v>
      </c>
      <c r="D361" t="inlineStr">
        <is>
          <t>GÄVLEBORGS LÄN</t>
        </is>
      </c>
      <c r="E361" t="inlineStr">
        <is>
          <t>LJUSDAL</t>
        </is>
      </c>
      <c r="G361" t="n">
        <v>3.9</v>
      </c>
      <c r="H361" t="n">
        <v>0</v>
      </c>
      <c r="I361" t="n">
        <v>0</v>
      </c>
      <c r="J361" t="n">
        <v>1</v>
      </c>
      <c r="K361" t="n">
        <v>0</v>
      </c>
      <c r="L361" t="n">
        <v>0</v>
      </c>
      <c r="M361" t="n">
        <v>0</v>
      </c>
      <c r="N361" t="n">
        <v>0</v>
      </c>
      <c r="O361" t="n">
        <v>1</v>
      </c>
      <c r="P361" t="n">
        <v>0</v>
      </c>
      <c r="Q361" t="n">
        <v>1</v>
      </c>
      <c r="R361" s="2" t="inlineStr">
        <is>
          <t>Blanksvart spiklav</t>
        </is>
      </c>
      <c r="S361">
        <f>HYPERLINK("https://klasma.github.io/Logging_2161/artfynd/A 7560-2020 artfynd.xlsx", "A 7560-2020")</f>
        <v/>
      </c>
      <c r="T361">
        <f>HYPERLINK("https://klasma.github.io/Logging_2161/kartor/A 7560-2020 karta.png", "A 7560-2020")</f>
        <v/>
      </c>
      <c r="V361">
        <f>HYPERLINK("https://klasma.github.io/Logging_2161/klagomål/A 7560-2020 FSC-klagomål.docx", "A 7560-2020")</f>
        <v/>
      </c>
      <c r="W361">
        <f>HYPERLINK("https://klasma.github.io/Logging_2161/klagomålsmail/A 7560-2020 FSC-klagomål mail.docx", "A 7560-2020")</f>
        <v/>
      </c>
      <c r="X361">
        <f>HYPERLINK("https://klasma.github.io/Logging_2161/tillsyn/A 7560-2020 tillsynsbegäran.docx", "A 7560-2020")</f>
        <v/>
      </c>
      <c r="Y361">
        <f>HYPERLINK("https://klasma.github.io/Logging_2161/tillsynsmail/A 7560-2020 tillsynsbegäran mail.docx", "A 7560-2020")</f>
        <v/>
      </c>
    </row>
    <row r="362" ht="15" customHeight="1">
      <c r="A362" t="inlineStr">
        <is>
          <t>A 8361-2020</t>
        </is>
      </c>
      <c r="B362" s="1" t="n">
        <v>43875</v>
      </c>
      <c r="C362" s="1" t="n">
        <v>45587</v>
      </c>
      <c r="D362" t="inlineStr">
        <is>
          <t>GÄVLEBORGS LÄN</t>
        </is>
      </c>
      <c r="E362" t="inlineStr">
        <is>
          <t>OVANÅKER</t>
        </is>
      </c>
      <c r="G362" t="n">
        <v>9.800000000000001</v>
      </c>
      <c r="H362" t="n">
        <v>1</v>
      </c>
      <c r="I362" t="n">
        <v>0</v>
      </c>
      <c r="J362" t="n">
        <v>1</v>
      </c>
      <c r="K362" t="n">
        <v>0</v>
      </c>
      <c r="L362" t="n">
        <v>0</v>
      </c>
      <c r="M362" t="n">
        <v>0</v>
      </c>
      <c r="N362" t="n">
        <v>0</v>
      </c>
      <c r="O362" t="n">
        <v>1</v>
      </c>
      <c r="P362" t="n">
        <v>0</v>
      </c>
      <c r="Q362" t="n">
        <v>1</v>
      </c>
      <c r="R362" s="2" t="inlineStr">
        <is>
          <t>Slaguggla</t>
        </is>
      </c>
      <c r="S362">
        <f>HYPERLINK("https://klasma.github.io/Logging_2121/artfynd/A 8361-2020 artfynd.xlsx", "A 8361-2020")</f>
        <v/>
      </c>
      <c r="T362">
        <f>HYPERLINK("https://klasma.github.io/Logging_2121/kartor/A 8361-2020 karta.png", "A 8361-2020")</f>
        <v/>
      </c>
      <c r="V362">
        <f>HYPERLINK("https://klasma.github.io/Logging_2121/klagomål/A 8361-2020 FSC-klagomål.docx", "A 8361-2020")</f>
        <v/>
      </c>
      <c r="W362">
        <f>HYPERLINK("https://klasma.github.io/Logging_2121/klagomålsmail/A 8361-2020 FSC-klagomål mail.docx", "A 8361-2020")</f>
        <v/>
      </c>
      <c r="X362">
        <f>HYPERLINK("https://klasma.github.io/Logging_2121/tillsyn/A 8361-2020 tillsynsbegäran.docx", "A 8361-2020")</f>
        <v/>
      </c>
      <c r="Y362">
        <f>HYPERLINK("https://klasma.github.io/Logging_2121/tillsynsmail/A 8361-2020 tillsynsbegäran mail.docx", "A 8361-2020")</f>
        <v/>
      </c>
      <c r="Z362">
        <f>HYPERLINK("https://klasma.github.io/Logging_2121/fåglar/A 8361-2020 prioriterade fågelarter.docx", "A 8361-2020")</f>
        <v/>
      </c>
    </row>
    <row r="363" ht="15" customHeight="1">
      <c r="A363" t="inlineStr">
        <is>
          <t>A 9731-2020</t>
        </is>
      </c>
      <c r="B363" s="1" t="n">
        <v>43881</v>
      </c>
      <c r="C363" s="1" t="n">
        <v>45587</v>
      </c>
      <c r="D363" t="inlineStr">
        <is>
          <t>GÄVLEBORGS LÄN</t>
        </is>
      </c>
      <c r="E363" t="inlineStr">
        <is>
          <t>SANDVIKEN</t>
        </is>
      </c>
      <c r="G363" t="n">
        <v>3.7</v>
      </c>
      <c r="H363" t="n">
        <v>1</v>
      </c>
      <c r="I363" t="n">
        <v>0</v>
      </c>
      <c r="J363" t="n">
        <v>0</v>
      </c>
      <c r="K363" t="n">
        <v>0</v>
      </c>
      <c r="L363" t="n">
        <v>0</v>
      </c>
      <c r="M363" t="n">
        <v>0</v>
      </c>
      <c r="N363" t="n">
        <v>0</v>
      </c>
      <c r="O363" t="n">
        <v>0</v>
      </c>
      <c r="P363" t="n">
        <v>0</v>
      </c>
      <c r="Q363" t="n">
        <v>1</v>
      </c>
      <c r="R363" s="2" t="inlineStr">
        <is>
          <t>Nattviol</t>
        </is>
      </c>
      <c r="S363">
        <f>HYPERLINK("https://klasma.github.io/Logging_2181/artfynd/A 9731-2020 artfynd.xlsx", "A 9731-2020")</f>
        <v/>
      </c>
      <c r="T363">
        <f>HYPERLINK("https://klasma.github.io/Logging_2181/kartor/A 9731-2020 karta.png", "A 9731-2020")</f>
        <v/>
      </c>
      <c r="V363">
        <f>HYPERLINK("https://klasma.github.io/Logging_2181/klagomål/A 9731-2020 FSC-klagomål.docx", "A 9731-2020")</f>
        <v/>
      </c>
      <c r="W363">
        <f>HYPERLINK("https://klasma.github.io/Logging_2181/klagomålsmail/A 9731-2020 FSC-klagomål mail.docx", "A 9731-2020")</f>
        <v/>
      </c>
      <c r="X363">
        <f>HYPERLINK("https://klasma.github.io/Logging_2181/tillsyn/A 9731-2020 tillsynsbegäran.docx", "A 9731-2020")</f>
        <v/>
      </c>
      <c r="Y363">
        <f>HYPERLINK("https://klasma.github.io/Logging_2181/tillsynsmail/A 9731-2020 tillsynsbegäran mail.docx", "A 9731-2020")</f>
        <v/>
      </c>
    </row>
    <row r="364" ht="15" customHeight="1">
      <c r="A364" t="inlineStr">
        <is>
          <t>A 10186-2020</t>
        </is>
      </c>
      <c r="B364" s="1" t="n">
        <v>43885</v>
      </c>
      <c r="C364" s="1" t="n">
        <v>45587</v>
      </c>
      <c r="D364" t="inlineStr">
        <is>
          <t>GÄVLEBORGS LÄN</t>
        </is>
      </c>
      <c r="E364" t="inlineStr">
        <is>
          <t>NORDANSTIG</t>
        </is>
      </c>
      <c r="F364" t="inlineStr">
        <is>
          <t>Holmen skog AB</t>
        </is>
      </c>
      <c r="G364" t="n">
        <v>4.1</v>
      </c>
      <c r="H364" t="n">
        <v>0</v>
      </c>
      <c r="I364" t="n">
        <v>0</v>
      </c>
      <c r="J364" t="n">
        <v>1</v>
      </c>
      <c r="K364" t="n">
        <v>0</v>
      </c>
      <c r="L364" t="n">
        <v>0</v>
      </c>
      <c r="M364" t="n">
        <v>0</v>
      </c>
      <c r="N364" t="n">
        <v>0</v>
      </c>
      <c r="O364" t="n">
        <v>1</v>
      </c>
      <c r="P364" t="n">
        <v>0</v>
      </c>
      <c r="Q364" t="n">
        <v>1</v>
      </c>
      <c r="R364" s="2" t="inlineStr">
        <is>
          <t>Aspskinn</t>
        </is>
      </c>
      <c r="S364">
        <f>HYPERLINK("https://klasma.github.io/Logging_2132/artfynd/A 10186-2020 artfynd.xlsx", "A 10186-2020")</f>
        <v/>
      </c>
      <c r="T364">
        <f>HYPERLINK("https://klasma.github.io/Logging_2132/kartor/A 10186-2020 karta.png", "A 10186-2020")</f>
        <v/>
      </c>
      <c r="V364">
        <f>HYPERLINK("https://klasma.github.io/Logging_2132/klagomål/A 10186-2020 FSC-klagomål.docx", "A 10186-2020")</f>
        <v/>
      </c>
      <c r="W364">
        <f>HYPERLINK("https://klasma.github.io/Logging_2132/klagomålsmail/A 10186-2020 FSC-klagomål mail.docx", "A 10186-2020")</f>
        <v/>
      </c>
      <c r="X364">
        <f>HYPERLINK("https://klasma.github.io/Logging_2132/tillsyn/A 10186-2020 tillsynsbegäran.docx", "A 10186-2020")</f>
        <v/>
      </c>
      <c r="Y364">
        <f>HYPERLINK("https://klasma.github.io/Logging_2132/tillsynsmail/A 10186-2020 tillsynsbegäran mail.docx", "A 10186-2020")</f>
        <v/>
      </c>
    </row>
    <row r="365" ht="15" customHeight="1">
      <c r="A365" t="inlineStr">
        <is>
          <t>A 13645-2020</t>
        </is>
      </c>
      <c r="B365" s="1" t="n">
        <v>43903</v>
      </c>
      <c r="C365" s="1" t="n">
        <v>45587</v>
      </c>
      <c r="D365" t="inlineStr">
        <is>
          <t>GÄVLEBORGS LÄN</t>
        </is>
      </c>
      <c r="E365" t="inlineStr">
        <is>
          <t>SANDVIKEN</t>
        </is>
      </c>
      <c r="G365" t="n">
        <v>5.9</v>
      </c>
      <c r="H365" t="n">
        <v>0</v>
      </c>
      <c r="I365" t="n">
        <v>0</v>
      </c>
      <c r="J365" t="n">
        <v>1</v>
      </c>
      <c r="K365" t="n">
        <v>0</v>
      </c>
      <c r="L365" t="n">
        <v>0</v>
      </c>
      <c r="M365" t="n">
        <v>0</v>
      </c>
      <c r="N365" t="n">
        <v>0</v>
      </c>
      <c r="O365" t="n">
        <v>1</v>
      </c>
      <c r="P365" t="n">
        <v>0</v>
      </c>
      <c r="Q365" t="n">
        <v>1</v>
      </c>
      <c r="R365" s="2" t="inlineStr">
        <is>
          <t>Tallticka</t>
        </is>
      </c>
      <c r="S365">
        <f>HYPERLINK("https://klasma.github.io/Logging_2181/artfynd/A 13645-2020 artfynd.xlsx", "A 13645-2020")</f>
        <v/>
      </c>
      <c r="T365">
        <f>HYPERLINK("https://klasma.github.io/Logging_2181/kartor/A 13645-2020 karta.png", "A 13645-2020")</f>
        <v/>
      </c>
      <c r="V365">
        <f>HYPERLINK("https://klasma.github.io/Logging_2181/klagomål/A 13645-2020 FSC-klagomål.docx", "A 13645-2020")</f>
        <v/>
      </c>
      <c r="W365">
        <f>HYPERLINK("https://klasma.github.io/Logging_2181/klagomålsmail/A 13645-2020 FSC-klagomål mail.docx", "A 13645-2020")</f>
        <v/>
      </c>
      <c r="X365">
        <f>HYPERLINK("https://klasma.github.io/Logging_2181/tillsyn/A 13645-2020 tillsynsbegäran.docx", "A 13645-2020")</f>
        <v/>
      </c>
      <c r="Y365">
        <f>HYPERLINK("https://klasma.github.io/Logging_2181/tillsynsmail/A 13645-2020 tillsynsbegäran mail.docx", "A 13645-2020")</f>
        <v/>
      </c>
    </row>
    <row r="366" ht="15" customHeight="1">
      <c r="A366" t="inlineStr">
        <is>
          <t>A 14362-2020</t>
        </is>
      </c>
      <c r="B366" s="1" t="n">
        <v>43908</v>
      </c>
      <c r="C366" s="1" t="n">
        <v>45587</v>
      </c>
      <c r="D366" t="inlineStr">
        <is>
          <t>GÄVLEBORGS LÄN</t>
        </is>
      </c>
      <c r="E366" t="inlineStr">
        <is>
          <t>HUDIKSVALL</t>
        </is>
      </c>
      <c r="F366" t="inlineStr">
        <is>
          <t>Kommuner</t>
        </is>
      </c>
      <c r="G366" t="n">
        <v>2.7</v>
      </c>
      <c r="H366" t="n">
        <v>1</v>
      </c>
      <c r="I366" t="n">
        <v>0</v>
      </c>
      <c r="J366" t="n">
        <v>1</v>
      </c>
      <c r="K366" t="n">
        <v>0</v>
      </c>
      <c r="L366" t="n">
        <v>0</v>
      </c>
      <c r="M366" t="n">
        <v>0</v>
      </c>
      <c r="N366" t="n">
        <v>0</v>
      </c>
      <c r="O366" t="n">
        <v>1</v>
      </c>
      <c r="P366" t="n">
        <v>0</v>
      </c>
      <c r="Q366" t="n">
        <v>1</v>
      </c>
      <c r="R366" s="2" t="inlineStr">
        <is>
          <t>Fiskmås</t>
        </is>
      </c>
      <c r="S366">
        <f>HYPERLINK("https://klasma.github.io/Logging_2184/artfynd/A 14362-2020 artfynd.xlsx", "A 14362-2020")</f>
        <v/>
      </c>
      <c r="T366">
        <f>HYPERLINK("https://klasma.github.io/Logging_2184/kartor/A 14362-2020 karta.png", "A 14362-2020")</f>
        <v/>
      </c>
      <c r="V366">
        <f>HYPERLINK("https://klasma.github.io/Logging_2184/klagomål/A 14362-2020 FSC-klagomål.docx", "A 14362-2020")</f>
        <v/>
      </c>
      <c r="W366">
        <f>HYPERLINK("https://klasma.github.io/Logging_2184/klagomålsmail/A 14362-2020 FSC-klagomål mail.docx", "A 14362-2020")</f>
        <v/>
      </c>
      <c r="X366">
        <f>HYPERLINK("https://klasma.github.io/Logging_2184/tillsyn/A 14362-2020 tillsynsbegäran.docx", "A 14362-2020")</f>
        <v/>
      </c>
      <c r="Y366">
        <f>HYPERLINK("https://klasma.github.io/Logging_2184/tillsynsmail/A 14362-2020 tillsynsbegäran mail.docx", "A 14362-2020")</f>
        <v/>
      </c>
    </row>
    <row r="367" ht="15" customHeight="1">
      <c r="A367" t="inlineStr">
        <is>
          <t>A 16382-2020</t>
        </is>
      </c>
      <c r="B367" s="1" t="n">
        <v>43917</v>
      </c>
      <c r="C367" s="1" t="n">
        <v>45587</v>
      </c>
      <c r="D367" t="inlineStr">
        <is>
          <t>GÄVLEBORGS LÄN</t>
        </is>
      </c>
      <c r="E367" t="inlineStr">
        <is>
          <t>HUDIKSVALL</t>
        </is>
      </c>
      <c r="F367" t="inlineStr">
        <is>
          <t>Holmen skog AB</t>
        </is>
      </c>
      <c r="G367" t="n">
        <v>6</v>
      </c>
      <c r="H367" t="n">
        <v>1</v>
      </c>
      <c r="I367" t="n">
        <v>0</v>
      </c>
      <c r="J367" t="n">
        <v>1</v>
      </c>
      <c r="K367" t="n">
        <v>0</v>
      </c>
      <c r="L367" t="n">
        <v>0</v>
      </c>
      <c r="M367" t="n">
        <v>0</v>
      </c>
      <c r="N367" t="n">
        <v>0</v>
      </c>
      <c r="O367" t="n">
        <v>1</v>
      </c>
      <c r="P367" t="n">
        <v>0</v>
      </c>
      <c r="Q367" t="n">
        <v>1</v>
      </c>
      <c r="R367" s="2" t="inlineStr">
        <is>
          <t>Fjällvråk</t>
        </is>
      </c>
      <c r="S367">
        <f>HYPERLINK("https://klasma.github.io/Logging_2184/artfynd/A 16382-2020 artfynd.xlsx", "A 16382-2020")</f>
        <v/>
      </c>
      <c r="T367">
        <f>HYPERLINK("https://klasma.github.io/Logging_2184/kartor/A 16382-2020 karta.png", "A 16382-2020")</f>
        <v/>
      </c>
      <c r="V367">
        <f>HYPERLINK("https://klasma.github.io/Logging_2184/klagomål/A 16382-2020 FSC-klagomål.docx", "A 16382-2020")</f>
        <v/>
      </c>
      <c r="W367">
        <f>HYPERLINK("https://klasma.github.io/Logging_2184/klagomålsmail/A 16382-2020 FSC-klagomål mail.docx", "A 16382-2020")</f>
        <v/>
      </c>
      <c r="X367">
        <f>HYPERLINK("https://klasma.github.io/Logging_2184/tillsyn/A 16382-2020 tillsynsbegäran.docx", "A 16382-2020")</f>
        <v/>
      </c>
      <c r="Y367">
        <f>HYPERLINK("https://klasma.github.io/Logging_2184/tillsynsmail/A 16382-2020 tillsynsbegäran mail.docx", "A 16382-2020")</f>
        <v/>
      </c>
      <c r="Z367">
        <f>HYPERLINK("https://klasma.github.io/Logging_2184/fåglar/A 16382-2020 prioriterade fågelarter.docx", "A 16382-2020")</f>
        <v/>
      </c>
    </row>
    <row r="368" ht="15" customHeight="1">
      <c r="A368" t="inlineStr">
        <is>
          <t>A 19023-2020</t>
        </is>
      </c>
      <c r="B368" s="1" t="n">
        <v>43936</v>
      </c>
      <c r="C368" s="1" t="n">
        <v>45587</v>
      </c>
      <c r="D368" t="inlineStr">
        <is>
          <t>GÄVLEBORGS LÄN</t>
        </is>
      </c>
      <c r="E368" t="inlineStr">
        <is>
          <t>LJUSDAL</t>
        </is>
      </c>
      <c r="G368" t="n">
        <v>5.9</v>
      </c>
      <c r="H368" t="n">
        <v>0</v>
      </c>
      <c r="I368" t="n">
        <v>0</v>
      </c>
      <c r="J368" t="n">
        <v>1</v>
      </c>
      <c r="K368" t="n">
        <v>0</v>
      </c>
      <c r="L368" t="n">
        <v>0</v>
      </c>
      <c r="M368" t="n">
        <v>0</v>
      </c>
      <c r="N368" t="n">
        <v>0</v>
      </c>
      <c r="O368" t="n">
        <v>1</v>
      </c>
      <c r="P368" t="n">
        <v>0</v>
      </c>
      <c r="Q368" t="n">
        <v>1</v>
      </c>
      <c r="R368" s="2" t="inlineStr">
        <is>
          <t>Violettgrå tagellav</t>
        </is>
      </c>
      <c r="S368">
        <f>HYPERLINK("https://klasma.github.io/Logging_2161/artfynd/A 19023-2020 artfynd.xlsx", "A 19023-2020")</f>
        <v/>
      </c>
      <c r="T368">
        <f>HYPERLINK("https://klasma.github.io/Logging_2161/kartor/A 19023-2020 karta.png", "A 19023-2020")</f>
        <v/>
      </c>
      <c r="V368">
        <f>HYPERLINK("https://klasma.github.io/Logging_2161/klagomål/A 19023-2020 FSC-klagomål.docx", "A 19023-2020")</f>
        <v/>
      </c>
      <c r="W368">
        <f>HYPERLINK("https://klasma.github.io/Logging_2161/klagomålsmail/A 19023-2020 FSC-klagomål mail.docx", "A 19023-2020")</f>
        <v/>
      </c>
      <c r="X368">
        <f>HYPERLINK("https://klasma.github.io/Logging_2161/tillsyn/A 19023-2020 tillsynsbegäran.docx", "A 19023-2020")</f>
        <v/>
      </c>
      <c r="Y368">
        <f>HYPERLINK("https://klasma.github.io/Logging_2161/tillsynsmail/A 19023-2020 tillsynsbegäran mail.docx", "A 19023-2020")</f>
        <v/>
      </c>
    </row>
    <row r="369" ht="15" customHeight="1">
      <c r="A369" t="inlineStr">
        <is>
          <t>A 19702-2020</t>
        </is>
      </c>
      <c r="B369" s="1" t="n">
        <v>43941</v>
      </c>
      <c r="C369" s="1" t="n">
        <v>45587</v>
      </c>
      <c r="D369" t="inlineStr">
        <is>
          <t>GÄVLEBORGS LÄN</t>
        </is>
      </c>
      <c r="E369" t="inlineStr">
        <is>
          <t>SÖDERHAMN</t>
        </is>
      </c>
      <c r="F369" t="inlineStr">
        <is>
          <t>Bergvik skog väst AB</t>
        </is>
      </c>
      <c r="G369" t="n">
        <v>4.9</v>
      </c>
      <c r="H369" t="n">
        <v>0</v>
      </c>
      <c r="I369" t="n">
        <v>0</v>
      </c>
      <c r="J369" t="n">
        <v>0</v>
      </c>
      <c r="K369" t="n">
        <v>0</v>
      </c>
      <c r="L369" t="n">
        <v>1</v>
      </c>
      <c r="M369" t="n">
        <v>0</v>
      </c>
      <c r="N369" t="n">
        <v>0</v>
      </c>
      <c r="O369" t="n">
        <v>1</v>
      </c>
      <c r="P369" t="n">
        <v>1</v>
      </c>
      <c r="Q369" t="n">
        <v>1</v>
      </c>
      <c r="R369" s="2" t="inlineStr">
        <is>
          <t>Ask</t>
        </is>
      </c>
      <c r="S369">
        <f>HYPERLINK("https://klasma.github.io/Logging_2182/artfynd/A 19702-2020 artfynd.xlsx", "A 19702-2020")</f>
        <v/>
      </c>
      <c r="T369">
        <f>HYPERLINK("https://klasma.github.io/Logging_2182/kartor/A 19702-2020 karta.png", "A 19702-2020")</f>
        <v/>
      </c>
      <c r="V369">
        <f>HYPERLINK("https://klasma.github.io/Logging_2182/klagomål/A 19702-2020 FSC-klagomål.docx", "A 19702-2020")</f>
        <v/>
      </c>
      <c r="W369">
        <f>HYPERLINK("https://klasma.github.io/Logging_2182/klagomålsmail/A 19702-2020 FSC-klagomål mail.docx", "A 19702-2020")</f>
        <v/>
      </c>
      <c r="X369">
        <f>HYPERLINK("https://klasma.github.io/Logging_2182/tillsyn/A 19702-2020 tillsynsbegäran.docx", "A 19702-2020")</f>
        <v/>
      </c>
      <c r="Y369">
        <f>HYPERLINK("https://klasma.github.io/Logging_2182/tillsynsmail/A 19702-2020 tillsynsbegäran mail.docx", "A 19702-2020")</f>
        <v/>
      </c>
    </row>
    <row r="370" ht="15" customHeight="1">
      <c r="A370" t="inlineStr">
        <is>
          <t>A 24130-2020</t>
        </is>
      </c>
      <c r="B370" s="1" t="n">
        <v>43973</v>
      </c>
      <c r="C370" s="1" t="n">
        <v>45587</v>
      </c>
      <c r="D370" t="inlineStr">
        <is>
          <t>GÄVLEBORGS LÄN</t>
        </is>
      </c>
      <c r="E370" t="inlineStr">
        <is>
          <t>NORDANSTIG</t>
        </is>
      </c>
      <c r="F370" t="inlineStr">
        <is>
          <t>Holmen skog AB</t>
        </is>
      </c>
      <c r="G370" t="n">
        <v>6.1</v>
      </c>
      <c r="H370" t="n">
        <v>1</v>
      </c>
      <c r="I370" t="n">
        <v>0</v>
      </c>
      <c r="J370" t="n">
        <v>1</v>
      </c>
      <c r="K370" t="n">
        <v>0</v>
      </c>
      <c r="L370" t="n">
        <v>0</v>
      </c>
      <c r="M370" t="n">
        <v>0</v>
      </c>
      <c r="N370" t="n">
        <v>0</v>
      </c>
      <c r="O370" t="n">
        <v>1</v>
      </c>
      <c r="P370" t="n">
        <v>0</v>
      </c>
      <c r="Q370" t="n">
        <v>1</v>
      </c>
      <c r="R370" s="2" t="inlineStr">
        <is>
          <t>Talltita</t>
        </is>
      </c>
      <c r="S370">
        <f>HYPERLINK("https://klasma.github.io/Logging_2132/artfynd/A 24130-2020 artfynd.xlsx", "A 24130-2020")</f>
        <v/>
      </c>
      <c r="T370">
        <f>HYPERLINK("https://klasma.github.io/Logging_2132/kartor/A 24130-2020 karta.png", "A 24130-2020")</f>
        <v/>
      </c>
      <c r="V370">
        <f>HYPERLINK("https://klasma.github.io/Logging_2132/klagomål/A 24130-2020 FSC-klagomål.docx", "A 24130-2020")</f>
        <v/>
      </c>
      <c r="W370">
        <f>HYPERLINK("https://klasma.github.io/Logging_2132/klagomålsmail/A 24130-2020 FSC-klagomål mail.docx", "A 24130-2020")</f>
        <v/>
      </c>
      <c r="X370">
        <f>HYPERLINK("https://klasma.github.io/Logging_2132/tillsyn/A 24130-2020 tillsynsbegäran.docx", "A 24130-2020")</f>
        <v/>
      </c>
      <c r="Y370">
        <f>HYPERLINK("https://klasma.github.io/Logging_2132/tillsynsmail/A 24130-2020 tillsynsbegäran mail.docx", "A 24130-2020")</f>
        <v/>
      </c>
      <c r="Z370">
        <f>HYPERLINK("https://klasma.github.io/Logging_2132/fåglar/A 24130-2020 prioriterade fågelarter.docx", "A 24130-2020")</f>
        <v/>
      </c>
    </row>
    <row r="371" ht="15" customHeight="1">
      <c r="A371" t="inlineStr">
        <is>
          <t>A 24126-2020</t>
        </is>
      </c>
      <c r="B371" s="1" t="n">
        <v>43973</v>
      </c>
      <c r="C371" s="1" t="n">
        <v>45587</v>
      </c>
      <c r="D371" t="inlineStr">
        <is>
          <t>GÄVLEBORGS LÄN</t>
        </is>
      </c>
      <c r="E371" t="inlineStr">
        <is>
          <t>NORDANSTIG</t>
        </is>
      </c>
      <c r="F371" t="inlineStr">
        <is>
          <t>Holmen skog AB</t>
        </is>
      </c>
      <c r="G371" t="n">
        <v>8</v>
      </c>
      <c r="H371" t="n">
        <v>0</v>
      </c>
      <c r="I371" t="n">
        <v>0</v>
      </c>
      <c r="J371" t="n">
        <v>1</v>
      </c>
      <c r="K371" t="n">
        <v>0</v>
      </c>
      <c r="L371" t="n">
        <v>0</v>
      </c>
      <c r="M371" t="n">
        <v>0</v>
      </c>
      <c r="N371" t="n">
        <v>0</v>
      </c>
      <c r="O371" t="n">
        <v>1</v>
      </c>
      <c r="P371" t="n">
        <v>0</v>
      </c>
      <c r="Q371" t="n">
        <v>1</v>
      </c>
      <c r="R371" s="2" t="inlineStr">
        <is>
          <t>Lunglav</t>
        </is>
      </c>
      <c r="S371">
        <f>HYPERLINK("https://klasma.github.io/Logging_2132/artfynd/A 24126-2020 artfynd.xlsx", "A 24126-2020")</f>
        <v/>
      </c>
      <c r="T371">
        <f>HYPERLINK("https://klasma.github.io/Logging_2132/kartor/A 24126-2020 karta.png", "A 24126-2020")</f>
        <v/>
      </c>
      <c r="V371">
        <f>HYPERLINK("https://klasma.github.io/Logging_2132/klagomål/A 24126-2020 FSC-klagomål.docx", "A 24126-2020")</f>
        <v/>
      </c>
      <c r="W371">
        <f>HYPERLINK("https://klasma.github.io/Logging_2132/klagomålsmail/A 24126-2020 FSC-klagomål mail.docx", "A 24126-2020")</f>
        <v/>
      </c>
      <c r="X371">
        <f>HYPERLINK("https://klasma.github.io/Logging_2132/tillsyn/A 24126-2020 tillsynsbegäran.docx", "A 24126-2020")</f>
        <v/>
      </c>
      <c r="Y371">
        <f>HYPERLINK("https://klasma.github.io/Logging_2132/tillsynsmail/A 24126-2020 tillsynsbegäran mail.docx", "A 24126-2020")</f>
        <v/>
      </c>
    </row>
    <row r="372" ht="15" customHeight="1">
      <c r="A372" t="inlineStr">
        <is>
          <t>A 25005-2020</t>
        </is>
      </c>
      <c r="B372" s="1" t="n">
        <v>43979</v>
      </c>
      <c r="C372" s="1" t="n">
        <v>45587</v>
      </c>
      <c r="D372" t="inlineStr">
        <is>
          <t>GÄVLEBORGS LÄN</t>
        </is>
      </c>
      <c r="E372" t="inlineStr">
        <is>
          <t>LJUSDAL</t>
        </is>
      </c>
      <c r="F372" t="inlineStr">
        <is>
          <t>Sveaskog</t>
        </is>
      </c>
      <c r="G372" t="n">
        <v>1.9</v>
      </c>
      <c r="H372" t="n">
        <v>0</v>
      </c>
      <c r="I372" t="n">
        <v>0</v>
      </c>
      <c r="J372" t="n">
        <v>1</v>
      </c>
      <c r="K372" t="n">
        <v>0</v>
      </c>
      <c r="L372" t="n">
        <v>0</v>
      </c>
      <c r="M372" t="n">
        <v>0</v>
      </c>
      <c r="N372" t="n">
        <v>0</v>
      </c>
      <c r="O372" t="n">
        <v>1</v>
      </c>
      <c r="P372" t="n">
        <v>0</v>
      </c>
      <c r="Q372" t="n">
        <v>1</v>
      </c>
      <c r="R372" s="2" t="inlineStr">
        <is>
          <t>Kolflarnlav</t>
        </is>
      </c>
      <c r="S372">
        <f>HYPERLINK("https://klasma.github.io/Logging_2161/artfynd/A 25005-2020 artfynd.xlsx", "A 25005-2020")</f>
        <v/>
      </c>
      <c r="T372">
        <f>HYPERLINK("https://klasma.github.io/Logging_2161/kartor/A 25005-2020 karta.png", "A 25005-2020")</f>
        <v/>
      </c>
      <c r="V372">
        <f>HYPERLINK("https://klasma.github.io/Logging_2161/klagomål/A 25005-2020 FSC-klagomål.docx", "A 25005-2020")</f>
        <v/>
      </c>
      <c r="W372">
        <f>HYPERLINK("https://klasma.github.io/Logging_2161/klagomålsmail/A 25005-2020 FSC-klagomål mail.docx", "A 25005-2020")</f>
        <v/>
      </c>
      <c r="X372">
        <f>HYPERLINK("https://klasma.github.io/Logging_2161/tillsyn/A 25005-2020 tillsynsbegäran.docx", "A 25005-2020")</f>
        <v/>
      </c>
      <c r="Y372">
        <f>HYPERLINK("https://klasma.github.io/Logging_2161/tillsynsmail/A 25005-2020 tillsynsbegäran mail.docx", "A 25005-2020")</f>
        <v/>
      </c>
    </row>
    <row r="373" ht="15" customHeight="1">
      <c r="A373" t="inlineStr">
        <is>
          <t>A 25565-2020</t>
        </is>
      </c>
      <c r="B373" s="1" t="n">
        <v>43983</v>
      </c>
      <c r="C373" s="1" t="n">
        <v>45587</v>
      </c>
      <c r="D373" t="inlineStr">
        <is>
          <t>GÄVLEBORGS LÄN</t>
        </is>
      </c>
      <c r="E373" t="inlineStr">
        <is>
          <t>OCKELBO</t>
        </is>
      </c>
      <c r="G373" t="n">
        <v>3.8</v>
      </c>
      <c r="H373" t="n">
        <v>1</v>
      </c>
      <c r="I373" t="n">
        <v>1</v>
      </c>
      <c r="J373" t="n">
        <v>0</v>
      </c>
      <c r="K373" t="n">
        <v>0</v>
      </c>
      <c r="L373" t="n">
        <v>0</v>
      </c>
      <c r="M373" t="n">
        <v>0</v>
      </c>
      <c r="N373" t="n">
        <v>0</v>
      </c>
      <c r="O373" t="n">
        <v>0</v>
      </c>
      <c r="P373" t="n">
        <v>0</v>
      </c>
      <c r="Q373" t="n">
        <v>1</v>
      </c>
      <c r="R373" s="2" t="inlineStr">
        <is>
          <t>Plattlummer</t>
        </is>
      </c>
      <c r="S373">
        <f>HYPERLINK("https://klasma.github.io/Logging_2101/artfynd/A 25565-2020 artfynd.xlsx", "A 25565-2020")</f>
        <v/>
      </c>
      <c r="T373">
        <f>HYPERLINK("https://klasma.github.io/Logging_2101/kartor/A 25565-2020 karta.png", "A 25565-2020")</f>
        <v/>
      </c>
      <c r="V373">
        <f>HYPERLINK("https://klasma.github.io/Logging_2101/klagomål/A 25565-2020 FSC-klagomål.docx", "A 25565-2020")</f>
        <v/>
      </c>
      <c r="W373">
        <f>HYPERLINK("https://klasma.github.io/Logging_2101/klagomålsmail/A 25565-2020 FSC-klagomål mail.docx", "A 25565-2020")</f>
        <v/>
      </c>
      <c r="X373">
        <f>HYPERLINK("https://klasma.github.io/Logging_2101/tillsyn/A 25565-2020 tillsynsbegäran.docx", "A 25565-2020")</f>
        <v/>
      </c>
      <c r="Y373">
        <f>HYPERLINK("https://klasma.github.io/Logging_2101/tillsynsmail/A 25565-2020 tillsynsbegäran mail.docx", "A 25565-2020")</f>
        <v/>
      </c>
    </row>
    <row r="374" ht="15" customHeight="1">
      <c r="A374" t="inlineStr">
        <is>
          <t>A 30137-2020</t>
        </is>
      </c>
      <c r="B374" s="1" t="n">
        <v>44007</v>
      </c>
      <c r="C374" s="1" t="n">
        <v>45587</v>
      </c>
      <c r="D374" t="inlineStr">
        <is>
          <t>GÄVLEBORGS LÄN</t>
        </is>
      </c>
      <c r="E374" t="inlineStr">
        <is>
          <t>HUDIKSVALL</t>
        </is>
      </c>
      <c r="G374" t="n">
        <v>1.1</v>
      </c>
      <c r="H374" t="n">
        <v>0</v>
      </c>
      <c r="I374" t="n">
        <v>0</v>
      </c>
      <c r="J374" t="n">
        <v>1</v>
      </c>
      <c r="K374" t="n">
        <v>0</v>
      </c>
      <c r="L374" t="n">
        <v>0</v>
      </c>
      <c r="M374" t="n">
        <v>0</v>
      </c>
      <c r="N374" t="n">
        <v>0</v>
      </c>
      <c r="O374" t="n">
        <v>1</v>
      </c>
      <c r="P374" t="n">
        <v>0</v>
      </c>
      <c r="Q374" t="n">
        <v>1</v>
      </c>
      <c r="R374" s="2" t="inlineStr">
        <is>
          <t>Rosenticka</t>
        </is>
      </c>
      <c r="S374">
        <f>HYPERLINK("https://klasma.github.io/Logging_2184/artfynd/A 30137-2020 artfynd.xlsx", "A 30137-2020")</f>
        <v/>
      </c>
      <c r="T374">
        <f>HYPERLINK("https://klasma.github.io/Logging_2184/kartor/A 30137-2020 karta.png", "A 30137-2020")</f>
        <v/>
      </c>
      <c r="V374">
        <f>HYPERLINK("https://klasma.github.io/Logging_2184/klagomål/A 30137-2020 FSC-klagomål.docx", "A 30137-2020")</f>
        <v/>
      </c>
      <c r="W374">
        <f>HYPERLINK("https://klasma.github.io/Logging_2184/klagomålsmail/A 30137-2020 FSC-klagomål mail.docx", "A 30137-2020")</f>
        <v/>
      </c>
      <c r="X374">
        <f>HYPERLINK("https://klasma.github.io/Logging_2184/tillsyn/A 30137-2020 tillsynsbegäran.docx", "A 30137-2020")</f>
        <v/>
      </c>
      <c r="Y374">
        <f>HYPERLINK("https://klasma.github.io/Logging_2184/tillsynsmail/A 30137-2020 tillsynsbegäran mail.docx", "A 30137-2020")</f>
        <v/>
      </c>
    </row>
    <row r="375" ht="15" customHeight="1">
      <c r="A375" t="inlineStr">
        <is>
          <t>A 30998-2020</t>
        </is>
      </c>
      <c r="B375" s="1" t="n">
        <v>44011</v>
      </c>
      <c r="C375" s="1" t="n">
        <v>45587</v>
      </c>
      <c r="D375" t="inlineStr">
        <is>
          <t>GÄVLEBORGS LÄN</t>
        </is>
      </c>
      <c r="E375" t="inlineStr">
        <is>
          <t>SANDVIKEN</t>
        </is>
      </c>
      <c r="G375" t="n">
        <v>2.3</v>
      </c>
      <c r="H375" t="n">
        <v>0</v>
      </c>
      <c r="I375" t="n">
        <v>1</v>
      </c>
      <c r="J375" t="n">
        <v>0</v>
      </c>
      <c r="K375" t="n">
        <v>0</v>
      </c>
      <c r="L375" t="n">
        <v>0</v>
      </c>
      <c r="M375" t="n">
        <v>0</v>
      </c>
      <c r="N375" t="n">
        <v>0</v>
      </c>
      <c r="O375" t="n">
        <v>0</v>
      </c>
      <c r="P375" t="n">
        <v>0</v>
      </c>
      <c r="Q375" t="n">
        <v>1</v>
      </c>
      <c r="R375" s="2" t="inlineStr">
        <is>
          <t>Ögonpyrola</t>
        </is>
      </c>
      <c r="S375">
        <f>HYPERLINK("https://klasma.github.io/Logging_2181/artfynd/A 30998-2020 artfynd.xlsx", "A 30998-2020")</f>
        <v/>
      </c>
      <c r="T375">
        <f>HYPERLINK("https://klasma.github.io/Logging_2181/kartor/A 30998-2020 karta.png", "A 30998-2020")</f>
        <v/>
      </c>
      <c r="V375">
        <f>HYPERLINK("https://klasma.github.io/Logging_2181/klagomål/A 30998-2020 FSC-klagomål.docx", "A 30998-2020")</f>
        <v/>
      </c>
      <c r="W375">
        <f>HYPERLINK("https://klasma.github.io/Logging_2181/klagomålsmail/A 30998-2020 FSC-klagomål mail.docx", "A 30998-2020")</f>
        <v/>
      </c>
      <c r="X375">
        <f>HYPERLINK("https://klasma.github.io/Logging_2181/tillsyn/A 30998-2020 tillsynsbegäran.docx", "A 30998-2020")</f>
        <v/>
      </c>
      <c r="Y375">
        <f>HYPERLINK("https://klasma.github.io/Logging_2181/tillsynsmail/A 30998-2020 tillsynsbegäran mail.docx", "A 30998-2020")</f>
        <v/>
      </c>
    </row>
    <row r="376" ht="15" customHeight="1">
      <c r="A376" t="inlineStr">
        <is>
          <t>A 32799-2020</t>
        </is>
      </c>
      <c r="B376" s="1" t="n">
        <v>44020</v>
      </c>
      <c r="C376" s="1" t="n">
        <v>45587</v>
      </c>
      <c r="D376" t="inlineStr">
        <is>
          <t>GÄVLEBORGS LÄN</t>
        </is>
      </c>
      <c r="E376" t="inlineStr">
        <is>
          <t>SANDVIKEN</t>
        </is>
      </c>
      <c r="F376" t="inlineStr">
        <is>
          <t>Bergvik skog öst AB</t>
        </is>
      </c>
      <c r="G376" t="n">
        <v>2.9</v>
      </c>
      <c r="H376" t="n">
        <v>0</v>
      </c>
      <c r="I376" t="n">
        <v>0</v>
      </c>
      <c r="J376" t="n">
        <v>1</v>
      </c>
      <c r="K376" t="n">
        <v>0</v>
      </c>
      <c r="L376" t="n">
        <v>0</v>
      </c>
      <c r="M376" t="n">
        <v>0</v>
      </c>
      <c r="N376" t="n">
        <v>0</v>
      </c>
      <c r="O376" t="n">
        <v>1</v>
      </c>
      <c r="P376" t="n">
        <v>0</v>
      </c>
      <c r="Q376" t="n">
        <v>1</v>
      </c>
      <c r="R376" s="2" t="inlineStr">
        <is>
          <t>Skogsklocka</t>
        </is>
      </c>
      <c r="S376">
        <f>HYPERLINK("https://klasma.github.io/Logging_2181/artfynd/A 32799-2020 artfynd.xlsx", "A 32799-2020")</f>
        <v/>
      </c>
      <c r="T376">
        <f>HYPERLINK("https://klasma.github.io/Logging_2181/kartor/A 32799-2020 karta.png", "A 32799-2020")</f>
        <v/>
      </c>
      <c r="V376">
        <f>HYPERLINK("https://klasma.github.io/Logging_2181/klagomål/A 32799-2020 FSC-klagomål.docx", "A 32799-2020")</f>
        <v/>
      </c>
      <c r="W376">
        <f>HYPERLINK("https://klasma.github.io/Logging_2181/klagomålsmail/A 32799-2020 FSC-klagomål mail.docx", "A 32799-2020")</f>
        <v/>
      </c>
      <c r="X376">
        <f>HYPERLINK("https://klasma.github.io/Logging_2181/tillsyn/A 32799-2020 tillsynsbegäran.docx", "A 32799-2020")</f>
        <v/>
      </c>
      <c r="Y376">
        <f>HYPERLINK("https://klasma.github.io/Logging_2181/tillsynsmail/A 32799-2020 tillsynsbegäran mail.docx", "A 32799-2020")</f>
        <v/>
      </c>
    </row>
    <row r="377" ht="15" customHeight="1">
      <c r="A377" t="inlineStr">
        <is>
          <t>A 35878-2020</t>
        </is>
      </c>
      <c r="B377" s="1" t="n">
        <v>44047</v>
      </c>
      <c r="C377" s="1" t="n">
        <v>45587</v>
      </c>
      <c r="D377" t="inlineStr">
        <is>
          <t>GÄVLEBORGS LÄN</t>
        </is>
      </c>
      <c r="E377" t="inlineStr">
        <is>
          <t>OCKELBO</t>
        </is>
      </c>
      <c r="G377" t="n">
        <v>2.5</v>
      </c>
      <c r="H377" t="n">
        <v>1</v>
      </c>
      <c r="I377" t="n">
        <v>0</v>
      </c>
      <c r="J377" t="n">
        <v>0</v>
      </c>
      <c r="K377" t="n">
        <v>1</v>
      </c>
      <c r="L377" t="n">
        <v>0</v>
      </c>
      <c r="M377" t="n">
        <v>0</v>
      </c>
      <c r="N377" t="n">
        <v>0</v>
      </c>
      <c r="O377" t="n">
        <v>1</v>
      </c>
      <c r="P377" t="n">
        <v>1</v>
      </c>
      <c r="Q377" t="n">
        <v>1</v>
      </c>
      <c r="R377" s="2" t="inlineStr">
        <is>
          <t>Knärot</t>
        </is>
      </c>
      <c r="S377">
        <f>HYPERLINK("https://klasma.github.io/Logging_2101/artfynd/A 35878-2020 artfynd.xlsx", "A 35878-2020")</f>
        <v/>
      </c>
      <c r="T377">
        <f>HYPERLINK("https://klasma.github.io/Logging_2101/kartor/A 35878-2020 karta.png", "A 35878-2020")</f>
        <v/>
      </c>
      <c r="U377">
        <f>HYPERLINK("https://klasma.github.io/Logging_2101/knärot/A 35878-2020 karta knärot.png", "A 35878-2020")</f>
        <v/>
      </c>
      <c r="V377">
        <f>HYPERLINK("https://klasma.github.io/Logging_2101/klagomål/A 35878-2020 FSC-klagomål.docx", "A 35878-2020")</f>
        <v/>
      </c>
      <c r="W377">
        <f>HYPERLINK("https://klasma.github.io/Logging_2101/klagomålsmail/A 35878-2020 FSC-klagomål mail.docx", "A 35878-2020")</f>
        <v/>
      </c>
      <c r="X377">
        <f>HYPERLINK("https://klasma.github.io/Logging_2101/tillsyn/A 35878-2020 tillsynsbegäran.docx", "A 35878-2020")</f>
        <v/>
      </c>
      <c r="Y377">
        <f>HYPERLINK("https://klasma.github.io/Logging_2101/tillsynsmail/A 35878-2020 tillsynsbegäran mail.docx", "A 35878-2020")</f>
        <v/>
      </c>
    </row>
    <row r="378" ht="15" customHeight="1">
      <c r="A378" t="inlineStr">
        <is>
          <t>A 38855-2020</t>
        </is>
      </c>
      <c r="B378" s="1" t="n">
        <v>44062</v>
      </c>
      <c r="C378" s="1" t="n">
        <v>45587</v>
      </c>
      <c r="D378" t="inlineStr">
        <is>
          <t>GÄVLEBORGS LÄN</t>
        </is>
      </c>
      <c r="E378" t="inlineStr">
        <is>
          <t>LJUSDAL</t>
        </is>
      </c>
      <c r="F378" t="inlineStr">
        <is>
          <t>Holmen skog AB</t>
        </is>
      </c>
      <c r="G378" t="n">
        <v>3.8</v>
      </c>
      <c r="H378" t="n">
        <v>1</v>
      </c>
      <c r="I378" t="n">
        <v>0</v>
      </c>
      <c r="J378" t="n">
        <v>0</v>
      </c>
      <c r="K378" t="n">
        <v>1</v>
      </c>
      <c r="L378" t="n">
        <v>0</v>
      </c>
      <c r="M378" t="n">
        <v>0</v>
      </c>
      <c r="N378" t="n">
        <v>0</v>
      </c>
      <c r="O378" t="n">
        <v>1</v>
      </c>
      <c r="P378" t="n">
        <v>1</v>
      </c>
      <c r="Q378" t="n">
        <v>1</v>
      </c>
      <c r="R378" s="2" t="inlineStr">
        <is>
          <t>Knärot</t>
        </is>
      </c>
      <c r="S378">
        <f>HYPERLINK("https://klasma.github.io/Logging_2161/artfynd/A 38855-2020 artfynd.xlsx", "A 38855-2020")</f>
        <v/>
      </c>
      <c r="T378">
        <f>HYPERLINK("https://klasma.github.io/Logging_2161/kartor/A 38855-2020 karta.png", "A 38855-2020")</f>
        <v/>
      </c>
      <c r="U378">
        <f>HYPERLINK("https://klasma.github.io/Logging_2161/knärot/A 38855-2020 karta knärot.png", "A 38855-2020")</f>
        <v/>
      </c>
      <c r="V378">
        <f>HYPERLINK("https://klasma.github.io/Logging_2161/klagomål/A 38855-2020 FSC-klagomål.docx", "A 38855-2020")</f>
        <v/>
      </c>
      <c r="W378">
        <f>HYPERLINK("https://klasma.github.io/Logging_2161/klagomålsmail/A 38855-2020 FSC-klagomål mail.docx", "A 38855-2020")</f>
        <v/>
      </c>
      <c r="X378">
        <f>HYPERLINK("https://klasma.github.io/Logging_2161/tillsyn/A 38855-2020 tillsynsbegäran.docx", "A 38855-2020")</f>
        <v/>
      </c>
      <c r="Y378">
        <f>HYPERLINK("https://klasma.github.io/Logging_2161/tillsynsmail/A 38855-2020 tillsynsbegäran mail.docx", "A 38855-2020")</f>
        <v/>
      </c>
    </row>
    <row r="379" ht="15" customHeight="1">
      <c r="A379" t="inlineStr">
        <is>
          <t>A 40597-2020</t>
        </is>
      </c>
      <c r="B379" s="1" t="n">
        <v>44069</v>
      </c>
      <c r="C379" s="1" t="n">
        <v>45587</v>
      </c>
      <c r="D379" t="inlineStr">
        <is>
          <t>GÄVLEBORGS LÄN</t>
        </is>
      </c>
      <c r="E379" t="inlineStr">
        <is>
          <t>LJUSDAL</t>
        </is>
      </c>
      <c r="F379" t="inlineStr">
        <is>
          <t>Sveaskog</t>
        </is>
      </c>
      <c r="G379" t="n">
        <v>9.5</v>
      </c>
      <c r="H379" t="n">
        <v>0</v>
      </c>
      <c r="I379" t="n">
        <v>0</v>
      </c>
      <c r="J379" t="n">
        <v>1</v>
      </c>
      <c r="K379" t="n">
        <v>0</v>
      </c>
      <c r="L379" t="n">
        <v>0</v>
      </c>
      <c r="M379" t="n">
        <v>0</v>
      </c>
      <c r="N379" t="n">
        <v>0</v>
      </c>
      <c r="O379" t="n">
        <v>1</v>
      </c>
      <c r="P379" t="n">
        <v>0</v>
      </c>
      <c r="Q379" t="n">
        <v>1</v>
      </c>
      <c r="R379" s="2" t="inlineStr">
        <is>
          <t>Lunglav</t>
        </is>
      </c>
      <c r="S379">
        <f>HYPERLINK("https://klasma.github.io/Logging_2161/artfynd/A 40597-2020 artfynd.xlsx", "A 40597-2020")</f>
        <v/>
      </c>
      <c r="T379">
        <f>HYPERLINK("https://klasma.github.io/Logging_2161/kartor/A 40597-2020 karta.png", "A 40597-2020")</f>
        <v/>
      </c>
      <c r="V379">
        <f>HYPERLINK("https://klasma.github.io/Logging_2161/klagomål/A 40597-2020 FSC-klagomål.docx", "A 40597-2020")</f>
        <v/>
      </c>
      <c r="W379">
        <f>HYPERLINK("https://klasma.github.io/Logging_2161/klagomålsmail/A 40597-2020 FSC-klagomål mail.docx", "A 40597-2020")</f>
        <v/>
      </c>
      <c r="X379">
        <f>HYPERLINK("https://klasma.github.io/Logging_2161/tillsyn/A 40597-2020 tillsynsbegäran.docx", "A 40597-2020")</f>
        <v/>
      </c>
      <c r="Y379">
        <f>HYPERLINK("https://klasma.github.io/Logging_2161/tillsynsmail/A 40597-2020 tillsynsbegäran mail.docx", "A 40597-2020")</f>
        <v/>
      </c>
    </row>
    <row r="380" ht="15" customHeight="1">
      <c r="A380" t="inlineStr">
        <is>
          <t>A 43381-2020</t>
        </is>
      </c>
      <c r="B380" s="1" t="n">
        <v>44081</v>
      </c>
      <c r="C380" s="1" t="n">
        <v>45587</v>
      </c>
      <c r="D380" t="inlineStr">
        <is>
          <t>GÄVLEBORGS LÄN</t>
        </is>
      </c>
      <c r="E380" t="inlineStr">
        <is>
          <t>BOLLNÄS</t>
        </is>
      </c>
      <c r="F380" t="inlineStr">
        <is>
          <t>Sveaskog</t>
        </is>
      </c>
      <c r="G380" t="n">
        <v>3.3</v>
      </c>
      <c r="H380" t="n">
        <v>0</v>
      </c>
      <c r="I380" t="n">
        <v>0</v>
      </c>
      <c r="J380" t="n">
        <v>1</v>
      </c>
      <c r="K380" t="n">
        <v>0</v>
      </c>
      <c r="L380" t="n">
        <v>0</v>
      </c>
      <c r="M380" t="n">
        <v>0</v>
      </c>
      <c r="N380" t="n">
        <v>0</v>
      </c>
      <c r="O380" t="n">
        <v>1</v>
      </c>
      <c r="P380" t="n">
        <v>0</v>
      </c>
      <c r="Q380" t="n">
        <v>1</v>
      </c>
      <c r="R380" s="2" t="inlineStr">
        <is>
          <t>Tallticka</t>
        </is>
      </c>
      <c r="S380">
        <f>HYPERLINK("https://klasma.github.io/Logging_2183/artfynd/A 43381-2020 artfynd.xlsx", "A 43381-2020")</f>
        <v/>
      </c>
      <c r="T380">
        <f>HYPERLINK("https://klasma.github.io/Logging_2183/kartor/A 43381-2020 karta.png", "A 43381-2020")</f>
        <v/>
      </c>
      <c r="V380">
        <f>HYPERLINK("https://klasma.github.io/Logging_2183/klagomål/A 43381-2020 FSC-klagomål.docx", "A 43381-2020")</f>
        <v/>
      </c>
      <c r="W380">
        <f>HYPERLINK("https://klasma.github.io/Logging_2183/klagomålsmail/A 43381-2020 FSC-klagomål mail.docx", "A 43381-2020")</f>
        <v/>
      </c>
      <c r="X380">
        <f>HYPERLINK("https://klasma.github.io/Logging_2183/tillsyn/A 43381-2020 tillsynsbegäran.docx", "A 43381-2020")</f>
        <v/>
      </c>
      <c r="Y380">
        <f>HYPERLINK("https://klasma.github.io/Logging_2183/tillsynsmail/A 43381-2020 tillsynsbegäran mail.docx", "A 43381-2020")</f>
        <v/>
      </c>
    </row>
    <row r="381" ht="15" customHeight="1">
      <c r="A381" t="inlineStr">
        <is>
          <t>A 44963-2020</t>
        </is>
      </c>
      <c r="B381" s="1" t="n">
        <v>44088</v>
      </c>
      <c r="C381" s="1" t="n">
        <v>45587</v>
      </c>
      <c r="D381" t="inlineStr">
        <is>
          <t>GÄVLEBORGS LÄN</t>
        </is>
      </c>
      <c r="E381" t="inlineStr">
        <is>
          <t>HOFORS</t>
        </is>
      </c>
      <c r="G381" t="n">
        <v>3.1</v>
      </c>
      <c r="H381" t="n">
        <v>0</v>
      </c>
      <c r="I381" t="n">
        <v>0</v>
      </c>
      <c r="J381" t="n">
        <v>1</v>
      </c>
      <c r="K381" t="n">
        <v>0</v>
      </c>
      <c r="L381" t="n">
        <v>0</v>
      </c>
      <c r="M381" t="n">
        <v>0</v>
      </c>
      <c r="N381" t="n">
        <v>0</v>
      </c>
      <c r="O381" t="n">
        <v>1</v>
      </c>
      <c r="P381" t="n">
        <v>0</v>
      </c>
      <c r="Q381" t="n">
        <v>1</v>
      </c>
      <c r="R381" s="2" t="inlineStr">
        <is>
          <t>Slåtterfibbla</t>
        </is>
      </c>
      <c r="S381">
        <f>HYPERLINK("https://klasma.github.io/Logging_2104/artfynd/A 44963-2020 artfynd.xlsx", "A 44963-2020")</f>
        <v/>
      </c>
      <c r="T381">
        <f>HYPERLINK("https://klasma.github.io/Logging_2104/kartor/A 44963-2020 karta.png", "A 44963-2020")</f>
        <v/>
      </c>
      <c r="V381">
        <f>HYPERLINK("https://klasma.github.io/Logging_2104/klagomål/A 44963-2020 FSC-klagomål.docx", "A 44963-2020")</f>
        <v/>
      </c>
      <c r="W381">
        <f>HYPERLINK("https://klasma.github.io/Logging_2104/klagomålsmail/A 44963-2020 FSC-klagomål mail.docx", "A 44963-2020")</f>
        <v/>
      </c>
      <c r="X381">
        <f>HYPERLINK("https://klasma.github.io/Logging_2104/tillsyn/A 44963-2020 tillsynsbegäran.docx", "A 44963-2020")</f>
        <v/>
      </c>
      <c r="Y381">
        <f>HYPERLINK("https://klasma.github.io/Logging_2104/tillsynsmail/A 44963-2020 tillsynsbegäran mail.docx", "A 44963-2020")</f>
        <v/>
      </c>
    </row>
    <row r="382" ht="15" customHeight="1">
      <c r="A382" t="inlineStr">
        <is>
          <t>A 52294-2020</t>
        </is>
      </c>
      <c r="B382" s="1" t="n">
        <v>44117</v>
      </c>
      <c r="C382" s="1" t="n">
        <v>45587</v>
      </c>
      <c r="D382" t="inlineStr">
        <is>
          <t>GÄVLEBORGS LÄN</t>
        </is>
      </c>
      <c r="E382" t="inlineStr">
        <is>
          <t>LJUSDAL</t>
        </is>
      </c>
      <c r="F382" t="inlineStr">
        <is>
          <t>Sveaskog</t>
        </is>
      </c>
      <c r="G382" t="n">
        <v>8.4</v>
      </c>
      <c r="H382" t="n">
        <v>1</v>
      </c>
      <c r="I382" t="n">
        <v>0</v>
      </c>
      <c r="J382" t="n">
        <v>0</v>
      </c>
      <c r="K382" t="n">
        <v>1</v>
      </c>
      <c r="L382" t="n">
        <v>0</v>
      </c>
      <c r="M382" t="n">
        <v>0</v>
      </c>
      <c r="N382" t="n">
        <v>0</v>
      </c>
      <c r="O382" t="n">
        <v>1</v>
      </c>
      <c r="P382" t="n">
        <v>1</v>
      </c>
      <c r="Q382" t="n">
        <v>1</v>
      </c>
      <c r="R382" s="2" t="inlineStr">
        <is>
          <t>Knärot</t>
        </is>
      </c>
      <c r="S382">
        <f>HYPERLINK("https://klasma.github.io/Logging_2161/artfynd/A 52294-2020 artfynd.xlsx", "A 52294-2020")</f>
        <v/>
      </c>
      <c r="T382">
        <f>HYPERLINK("https://klasma.github.io/Logging_2161/kartor/A 52294-2020 karta.png", "A 52294-2020")</f>
        <v/>
      </c>
      <c r="U382">
        <f>HYPERLINK("https://klasma.github.io/Logging_2161/knärot/A 52294-2020 karta knärot.png", "A 52294-2020")</f>
        <v/>
      </c>
      <c r="V382">
        <f>HYPERLINK("https://klasma.github.io/Logging_2161/klagomål/A 52294-2020 FSC-klagomål.docx", "A 52294-2020")</f>
        <v/>
      </c>
      <c r="W382">
        <f>HYPERLINK("https://klasma.github.io/Logging_2161/klagomålsmail/A 52294-2020 FSC-klagomål mail.docx", "A 52294-2020")</f>
        <v/>
      </c>
      <c r="X382">
        <f>HYPERLINK("https://klasma.github.io/Logging_2161/tillsyn/A 52294-2020 tillsynsbegäran.docx", "A 52294-2020")</f>
        <v/>
      </c>
      <c r="Y382">
        <f>HYPERLINK("https://klasma.github.io/Logging_2161/tillsynsmail/A 52294-2020 tillsynsbegäran mail.docx", "A 52294-2020")</f>
        <v/>
      </c>
    </row>
    <row r="383" ht="15" customHeight="1">
      <c r="A383" t="inlineStr">
        <is>
          <t>A 56543-2020</t>
        </is>
      </c>
      <c r="B383" s="1" t="n">
        <v>44137</v>
      </c>
      <c r="C383" s="1" t="n">
        <v>45587</v>
      </c>
      <c r="D383" t="inlineStr">
        <is>
          <t>GÄVLEBORGS LÄN</t>
        </is>
      </c>
      <c r="E383" t="inlineStr">
        <is>
          <t>HUDIKSVALL</t>
        </is>
      </c>
      <c r="F383" t="inlineStr">
        <is>
          <t>Holmen skog AB</t>
        </is>
      </c>
      <c r="G383" t="n">
        <v>0.9</v>
      </c>
      <c r="H383" t="n">
        <v>0</v>
      </c>
      <c r="I383" t="n">
        <v>0</v>
      </c>
      <c r="J383" t="n">
        <v>1</v>
      </c>
      <c r="K383" t="n">
        <v>0</v>
      </c>
      <c r="L383" t="n">
        <v>0</v>
      </c>
      <c r="M383" t="n">
        <v>0</v>
      </c>
      <c r="N383" t="n">
        <v>0</v>
      </c>
      <c r="O383" t="n">
        <v>1</v>
      </c>
      <c r="P383" t="n">
        <v>0</v>
      </c>
      <c r="Q383" t="n">
        <v>1</v>
      </c>
      <c r="R383" s="2" t="inlineStr">
        <is>
          <t>Lunglav</t>
        </is>
      </c>
      <c r="S383">
        <f>HYPERLINK("https://klasma.github.io/Logging_2184/artfynd/A 56543-2020 artfynd.xlsx", "A 56543-2020")</f>
        <v/>
      </c>
      <c r="T383">
        <f>HYPERLINK("https://klasma.github.io/Logging_2184/kartor/A 56543-2020 karta.png", "A 56543-2020")</f>
        <v/>
      </c>
      <c r="V383">
        <f>HYPERLINK("https://klasma.github.io/Logging_2184/klagomål/A 56543-2020 FSC-klagomål.docx", "A 56543-2020")</f>
        <v/>
      </c>
      <c r="W383">
        <f>HYPERLINK("https://klasma.github.io/Logging_2184/klagomålsmail/A 56543-2020 FSC-klagomål mail.docx", "A 56543-2020")</f>
        <v/>
      </c>
      <c r="X383">
        <f>HYPERLINK("https://klasma.github.io/Logging_2184/tillsyn/A 56543-2020 tillsynsbegäran.docx", "A 56543-2020")</f>
        <v/>
      </c>
      <c r="Y383">
        <f>HYPERLINK("https://klasma.github.io/Logging_2184/tillsynsmail/A 56543-2020 tillsynsbegäran mail.docx", "A 56543-2020")</f>
        <v/>
      </c>
    </row>
    <row r="384" ht="15" customHeight="1">
      <c r="A384" t="inlineStr">
        <is>
          <t>A 58168-2020</t>
        </is>
      </c>
      <c r="B384" s="1" t="n">
        <v>44144</v>
      </c>
      <c r="C384" s="1" t="n">
        <v>45587</v>
      </c>
      <c r="D384" t="inlineStr">
        <is>
          <t>GÄVLEBORGS LÄN</t>
        </is>
      </c>
      <c r="E384" t="inlineStr">
        <is>
          <t>GÄVLE</t>
        </is>
      </c>
      <c r="F384" t="inlineStr">
        <is>
          <t>Bergvik skog öst AB</t>
        </is>
      </c>
      <c r="G384" t="n">
        <v>3.7</v>
      </c>
      <c r="H384" t="n">
        <v>1</v>
      </c>
      <c r="I384" t="n">
        <v>0</v>
      </c>
      <c r="J384" t="n">
        <v>0</v>
      </c>
      <c r="K384" t="n">
        <v>1</v>
      </c>
      <c r="L384" t="n">
        <v>0</v>
      </c>
      <c r="M384" t="n">
        <v>0</v>
      </c>
      <c r="N384" t="n">
        <v>0</v>
      </c>
      <c r="O384" t="n">
        <v>1</v>
      </c>
      <c r="P384" t="n">
        <v>1</v>
      </c>
      <c r="Q384" t="n">
        <v>1</v>
      </c>
      <c r="R384" s="2" t="inlineStr">
        <is>
          <t>Knärot</t>
        </is>
      </c>
      <c r="S384">
        <f>HYPERLINK("https://klasma.github.io/Logging_2180/artfynd/A 58168-2020 artfynd.xlsx", "A 58168-2020")</f>
        <v/>
      </c>
      <c r="T384">
        <f>HYPERLINK("https://klasma.github.io/Logging_2180/kartor/A 58168-2020 karta.png", "A 58168-2020")</f>
        <v/>
      </c>
      <c r="U384">
        <f>HYPERLINK("https://klasma.github.io/Logging_2180/knärot/A 58168-2020 karta knärot.png", "A 58168-2020")</f>
        <v/>
      </c>
      <c r="V384">
        <f>HYPERLINK("https://klasma.github.io/Logging_2180/klagomål/A 58168-2020 FSC-klagomål.docx", "A 58168-2020")</f>
        <v/>
      </c>
      <c r="W384">
        <f>HYPERLINK("https://klasma.github.io/Logging_2180/klagomålsmail/A 58168-2020 FSC-klagomål mail.docx", "A 58168-2020")</f>
        <v/>
      </c>
      <c r="X384">
        <f>HYPERLINK("https://klasma.github.io/Logging_2180/tillsyn/A 58168-2020 tillsynsbegäran.docx", "A 58168-2020")</f>
        <v/>
      </c>
      <c r="Y384">
        <f>HYPERLINK("https://klasma.github.io/Logging_2180/tillsynsmail/A 58168-2020 tillsynsbegäran mail.docx", "A 58168-2020")</f>
        <v/>
      </c>
    </row>
    <row r="385" ht="15" customHeight="1">
      <c r="A385" t="inlineStr">
        <is>
          <t>A 62316-2020</t>
        </is>
      </c>
      <c r="B385" s="1" t="n">
        <v>44160</v>
      </c>
      <c r="C385" s="1" t="n">
        <v>45587</v>
      </c>
      <c r="D385" t="inlineStr">
        <is>
          <t>GÄVLEBORGS LÄN</t>
        </is>
      </c>
      <c r="E385" t="inlineStr">
        <is>
          <t>GÄVLE</t>
        </is>
      </c>
      <c r="F385" t="inlineStr">
        <is>
          <t>Kommuner</t>
        </is>
      </c>
      <c r="G385" t="n">
        <v>2.5</v>
      </c>
      <c r="H385" t="n">
        <v>1</v>
      </c>
      <c r="I385" t="n">
        <v>0</v>
      </c>
      <c r="J385" t="n">
        <v>0</v>
      </c>
      <c r="K385" t="n">
        <v>0</v>
      </c>
      <c r="L385" t="n">
        <v>0</v>
      </c>
      <c r="M385" t="n">
        <v>0</v>
      </c>
      <c r="N385" t="n">
        <v>0</v>
      </c>
      <c r="O385" t="n">
        <v>0</v>
      </c>
      <c r="P385" t="n">
        <v>0</v>
      </c>
      <c r="Q385" t="n">
        <v>1</v>
      </c>
      <c r="R385" s="2" t="inlineStr">
        <is>
          <t>Blåsippa</t>
        </is>
      </c>
      <c r="S385">
        <f>HYPERLINK("https://klasma.github.io/Logging_2180/artfynd/A 62316-2020 artfynd.xlsx", "A 62316-2020")</f>
        <v/>
      </c>
      <c r="T385">
        <f>HYPERLINK("https://klasma.github.io/Logging_2180/kartor/A 62316-2020 karta.png", "A 62316-2020")</f>
        <v/>
      </c>
      <c r="V385">
        <f>HYPERLINK("https://klasma.github.io/Logging_2180/klagomål/A 62316-2020 FSC-klagomål.docx", "A 62316-2020")</f>
        <v/>
      </c>
      <c r="W385">
        <f>HYPERLINK("https://klasma.github.io/Logging_2180/klagomålsmail/A 62316-2020 FSC-klagomål mail.docx", "A 62316-2020")</f>
        <v/>
      </c>
      <c r="X385">
        <f>HYPERLINK("https://klasma.github.io/Logging_2180/tillsyn/A 62316-2020 tillsynsbegäran.docx", "A 62316-2020")</f>
        <v/>
      </c>
      <c r="Y385">
        <f>HYPERLINK("https://klasma.github.io/Logging_2180/tillsynsmail/A 62316-2020 tillsynsbegäran mail.docx", "A 62316-2020")</f>
        <v/>
      </c>
    </row>
    <row r="386" ht="15" customHeight="1">
      <c r="A386" t="inlineStr">
        <is>
          <t>A 65637-2020</t>
        </is>
      </c>
      <c r="B386" s="1" t="n">
        <v>44174</v>
      </c>
      <c r="C386" s="1" t="n">
        <v>45587</v>
      </c>
      <c r="D386" t="inlineStr">
        <is>
          <t>GÄVLEBORGS LÄN</t>
        </is>
      </c>
      <c r="E386" t="inlineStr">
        <is>
          <t>HUDIKSVALL</t>
        </is>
      </c>
      <c r="F386" t="inlineStr">
        <is>
          <t>Sveaskog</t>
        </is>
      </c>
      <c r="G386" t="n">
        <v>4.8</v>
      </c>
      <c r="H386" t="n">
        <v>0</v>
      </c>
      <c r="I386" t="n">
        <v>0</v>
      </c>
      <c r="J386" t="n">
        <v>0</v>
      </c>
      <c r="K386" t="n">
        <v>1</v>
      </c>
      <c r="L386" t="n">
        <v>0</v>
      </c>
      <c r="M386" t="n">
        <v>0</v>
      </c>
      <c r="N386" t="n">
        <v>0</v>
      </c>
      <c r="O386" t="n">
        <v>1</v>
      </c>
      <c r="P386" t="n">
        <v>1</v>
      </c>
      <c r="Q386" t="n">
        <v>1</v>
      </c>
      <c r="R386" s="2" t="inlineStr">
        <is>
          <t>Vippfibbla</t>
        </is>
      </c>
      <c r="S386">
        <f>HYPERLINK("https://klasma.github.io/Logging_2184/artfynd/A 65637-2020 artfynd.xlsx", "A 65637-2020")</f>
        <v/>
      </c>
      <c r="T386">
        <f>HYPERLINK("https://klasma.github.io/Logging_2184/kartor/A 65637-2020 karta.png", "A 65637-2020")</f>
        <v/>
      </c>
      <c r="V386">
        <f>HYPERLINK("https://klasma.github.io/Logging_2184/klagomål/A 65637-2020 FSC-klagomål.docx", "A 65637-2020")</f>
        <v/>
      </c>
      <c r="W386">
        <f>HYPERLINK("https://klasma.github.io/Logging_2184/klagomålsmail/A 65637-2020 FSC-klagomål mail.docx", "A 65637-2020")</f>
        <v/>
      </c>
      <c r="X386">
        <f>HYPERLINK("https://klasma.github.io/Logging_2184/tillsyn/A 65637-2020 tillsynsbegäran.docx", "A 65637-2020")</f>
        <v/>
      </c>
      <c r="Y386">
        <f>HYPERLINK("https://klasma.github.io/Logging_2184/tillsynsmail/A 65637-2020 tillsynsbegäran mail.docx", "A 65637-2020")</f>
        <v/>
      </c>
    </row>
    <row r="387" ht="15" customHeight="1">
      <c r="A387" t="inlineStr">
        <is>
          <t>A 69255-2020</t>
        </is>
      </c>
      <c r="B387" s="1" t="n">
        <v>44192</v>
      </c>
      <c r="C387" s="1" t="n">
        <v>45587</v>
      </c>
      <c r="D387" t="inlineStr">
        <is>
          <t>GÄVLEBORGS LÄN</t>
        </is>
      </c>
      <c r="E387" t="inlineStr">
        <is>
          <t>GÄVLE</t>
        </is>
      </c>
      <c r="F387" t="inlineStr">
        <is>
          <t>Kommuner</t>
        </is>
      </c>
      <c r="G387" t="n">
        <v>3.5</v>
      </c>
      <c r="H387" t="n">
        <v>0</v>
      </c>
      <c r="I387" t="n">
        <v>0</v>
      </c>
      <c r="J387" t="n">
        <v>0</v>
      </c>
      <c r="K387" t="n">
        <v>1</v>
      </c>
      <c r="L387" t="n">
        <v>0</v>
      </c>
      <c r="M387" t="n">
        <v>0</v>
      </c>
      <c r="N387" t="n">
        <v>0</v>
      </c>
      <c r="O387" t="n">
        <v>1</v>
      </c>
      <c r="P387" t="n">
        <v>1</v>
      </c>
      <c r="Q387" t="n">
        <v>1</v>
      </c>
      <c r="R387" s="2" t="inlineStr">
        <is>
          <t>Blackticka</t>
        </is>
      </c>
      <c r="S387">
        <f>HYPERLINK("https://klasma.github.io/Logging_2180/artfynd/A 69255-2020 artfynd.xlsx", "A 69255-2020")</f>
        <v/>
      </c>
      <c r="T387">
        <f>HYPERLINK("https://klasma.github.io/Logging_2180/kartor/A 69255-2020 karta.png", "A 69255-2020")</f>
        <v/>
      </c>
      <c r="U387">
        <f>HYPERLINK("https://klasma.github.io/Logging_2180/knärot/A 69255-2020 karta knärot.png", "A 69255-2020")</f>
        <v/>
      </c>
      <c r="V387">
        <f>HYPERLINK("https://klasma.github.io/Logging_2180/klagomål/A 69255-2020 FSC-klagomål.docx", "A 69255-2020")</f>
        <v/>
      </c>
      <c r="W387">
        <f>HYPERLINK("https://klasma.github.io/Logging_2180/klagomålsmail/A 69255-2020 FSC-klagomål mail.docx", "A 69255-2020")</f>
        <v/>
      </c>
      <c r="X387">
        <f>HYPERLINK("https://klasma.github.io/Logging_2180/tillsyn/A 69255-2020 tillsynsbegäran.docx", "A 69255-2020")</f>
        <v/>
      </c>
      <c r="Y387">
        <f>HYPERLINK("https://klasma.github.io/Logging_2180/tillsynsmail/A 69255-2020 tillsynsbegäran mail.docx", "A 69255-2020")</f>
        <v/>
      </c>
    </row>
    <row r="388" ht="15" customHeight="1">
      <c r="A388" t="inlineStr">
        <is>
          <t>A 13798-2021</t>
        </is>
      </c>
      <c r="B388" s="1" t="n">
        <v>44275</v>
      </c>
      <c r="C388" s="1" t="n">
        <v>45587</v>
      </c>
      <c r="D388" t="inlineStr">
        <is>
          <t>GÄVLEBORGS LÄN</t>
        </is>
      </c>
      <c r="E388" t="inlineStr">
        <is>
          <t>SÖDERHAMN</t>
        </is>
      </c>
      <c r="G388" t="n">
        <v>1.3</v>
      </c>
      <c r="H388" t="n">
        <v>0</v>
      </c>
      <c r="I388" t="n">
        <v>0</v>
      </c>
      <c r="J388" t="n">
        <v>0</v>
      </c>
      <c r="K388" t="n">
        <v>1</v>
      </c>
      <c r="L388" t="n">
        <v>0</v>
      </c>
      <c r="M388" t="n">
        <v>0</v>
      </c>
      <c r="N388" t="n">
        <v>0</v>
      </c>
      <c r="O388" t="n">
        <v>1</v>
      </c>
      <c r="P388" t="n">
        <v>1</v>
      </c>
      <c r="Q388" t="n">
        <v>1</v>
      </c>
      <c r="R388" s="2" t="inlineStr">
        <is>
          <t>Vågticka</t>
        </is>
      </c>
      <c r="S388">
        <f>HYPERLINK("https://klasma.github.io/Logging_2182/artfynd/A 13798-2021 artfynd.xlsx", "A 13798-2021")</f>
        <v/>
      </c>
      <c r="T388">
        <f>HYPERLINK("https://klasma.github.io/Logging_2182/kartor/A 13798-2021 karta.png", "A 13798-2021")</f>
        <v/>
      </c>
      <c r="V388">
        <f>HYPERLINK("https://klasma.github.io/Logging_2182/klagomål/A 13798-2021 FSC-klagomål.docx", "A 13798-2021")</f>
        <v/>
      </c>
      <c r="W388">
        <f>HYPERLINK("https://klasma.github.io/Logging_2182/klagomålsmail/A 13798-2021 FSC-klagomål mail.docx", "A 13798-2021")</f>
        <v/>
      </c>
      <c r="X388">
        <f>HYPERLINK("https://klasma.github.io/Logging_2182/tillsyn/A 13798-2021 tillsynsbegäran.docx", "A 13798-2021")</f>
        <v/>
      </c>
      <c r="Y388">
        <f>HYPERLINK("https://klasma.github.io/Logging_2182/tillsynsmail/A 13798-2021 tillsynsbegäran mail.docx", "A 13798-2021")</f>
        <v/>
      </c>
    </row>
    <row r="389" ht="15" customHeight="1">
      <c r="A389" t="inlineStr">
        <is>
          <t>A 14569-2021</t>
        </is>
      </c>
      <c r="B389" s="1" t="n">
        <v>44279</v>
      </c>
      <c r="C389" s="1" t="n">
        <v>45587</v>
      </c>
      <c r="D389" t="inlineStr">
        <is>
          <t>GÄVLEBORGS LÄN</t>
        </is>
      </c>
      <c r="E389" t="inlineStr">
        <is>
          <t>GÄVLE</t>
        </is>
      </c>
      <c r="F389" t="inlineStr">
        <is>
          <t>Bergvik skog öst AB</t>
        </is>
      </c>
      <c r="G389" t="n">
        <v>5.1</v>
      </c>
      <c r="H389" t="n">
        <v>0</v>
      </c>
      <c r="I389" t="n">
        <v>1</v>
      </c>
      <c r="J389" t="n">
        <v>0</v>
      </c>
      <c r="K389" t="n">
        <v>0</v>
      </c>
      <c r="L389" t="n">
        <v>0</v>
      </c>
      <c r="M389" t="n">
        <v>0</v>
      </c>
      <c r="N389" t="n">
        <v>0</v>
      </c>
      <c r="O389" t="n">
        <v>0</v>
      </c>
      <c r="P389" t="n">
        <v>0</v>
      </c>
      <c r="Q389" t="n">
        <v>1</v>
      </c>
      <c r="R389" s="2" t="inlineStr">
        <is>
          <t>Svavelriska</t>
        </is>
      </c>
      <c r="S389">
        <f>HYPERLINK("https://klasma.github.io/Logging_2180/artfynd/A 14569-2021 artfynd.xlsx", "A 14569-2021")</f>
        <v/>
      </c>
      <c r="T389">
        <f>HYPERLINK("https://klasma.github.io/Logging_2180/kartor/A 14569-2021 karta.png", "A 14569-2021")</f>
        <v/>
      </c>
      <c r="V389">
        <f>HYPERLINK("https://klasma.github.io/Logging_2180/klagomål/A 14569-2021 FSC-klagomål.docx", "A 14569-2021")</f>
        <v/>
      </c>
      <c r="W389">
        <f>HYPERLINK("https://klasma.github.io/Logging_2180/klagomålsmail/A 14569-2021 FSC-klagomål mail.docx", "A 14569-2021")</f>
        <v/>
      </c>
      <c r="X389">
        <f>HYPERLINK("https://klasma.github.io/Logging_2180/tillsyn/A 14569-2021 tillsynsbegäran.docx", "A 14569-2021")</f>
        <v/>
      </c>
      <c r="Y389">
        <f>HYPERLINK("https://klasma.github.io/Logging_2180/tillsynsmail/A 14569-2021 tillsynsbegäran mail.docx", "A 14569-2021")</f>
        <v/>
      </c>
    </row>
    <row r="390" ht="15" customHeight="1">
      <c r="A390" t="inlineStr">
        <is>
          <t>A 22096-2021</t>
        </is>
      </c>
      <c r="B390" s="1" t="n">
        <v>44323</v>
      </c>
      <c r="C390" s="1" t="n">
        <v>45587</v>
      </c>
      <c r="D390" t="inlineStr">
        <is>
          <t>GÄVLEBORGS LÄN</t>
        </is>
      </c>
      <c r="E390" t="inlineStr">
        <is>
          <t>HOFORS</t>
        </is>
      </c>
      <c r="F390" t="inlineStr">
        <is>
          <t>Sveaskog</t>
        </is>
      </c>
      <c r="G390" t="n">
        <v>1.7</v>
      </c>
      <c r="H390" t="n">
        <v>1</v>
      </c>
      <c r="I390" t="n">
        <v>0</v>
      </c>
      <c r="J390" t="n">
        <v>0</v>
      </c>
      <c r="K390" t="n">
        <v>1</v>
      </c>
      <c r="L390" t="n">
        <v>0</v>
      </c>
      <c r="M390" t="n">
        <v>0</v>
      </c>
      <c r="N390" t="n">
        <v>0</v>
      </c>
      <c r="O390" t="n">
        <v>1</v>
      </c>
      <c r="P390" t="n">
        <v>1</v>
      </c>
      <c r="Q390" t="n">
        <v>1</v>
      </c>
      <c r="R390" s="2" t="inlineStr">
        <is>
          <t>Knärot</t>
        </is>
      </c>
      <c r="S390">
        <f>HYPERLINK("https://klasma.github.io/Logging_2104/artfynd/A 22096-2021 artfynd.xlsx", "A 22096-2021")</f>
        <v/>
      </c>
      <c r="T390">
        <f>HYPERLINK("https://klasma.github.io/Logging_2104/kartor/A 22096-2021 karta.png", "A 22096-2021")</f>
        <v/>
      </c>
      <c r="U390">
        <f>HYPERLINK("https://klasma.github.io/Logging_2104/knärot/A 22096-2021 karta knärot.png", "A 22096-2021")</f>
        <v/>
      </c>
      <c r="V390">
        <f>HYPERLINK("https://klasma.github.io/Logging_2104/klagomål/A 22096-2021 FSC-klagomål.docx", "A 22096-2021")</f>
        <v/>
      </c>
      <c r="W390">
        <f>HYPERLINK("https://klasma.github.io/Logging_2104/klagomålsmail/A 22096-2021 FSC-klagomål mail.docx", "A 22096-2021")</f>
        <v/>
      </c>
      <c r="X390">
        <f>HYPERLINK("https://klasma.github.io/Logging_2104/tillsyn/A 22096-2021 tillsynsbegäran.docx", "A 22096-2021")</f>
        <v/>
      </c>
      <c r="Y390">
        <f>HYPERLINK("https://klasma.github.io/Logging_2104/tillsynsmail/A 22096-2021 tillsynsbegäran mail.docx", "A 22096-2021")</f>
        <v/>
      </c>
    </row>
    <row r="391" ht="15" customHeight="1">
      <c r="A391" t="inlineStr">
        <is>
          <t>A 25490-2021</t>
        </is>
      </c>
      <c r="B391" s="1" t="n">
        <v>44342</v>
      </c>
      <c r="C391" s="1" t="n">
        <v>45587</v>
      </c>
      <c r="D391" t="inlineStr">
        <is>
          <t>GÄVLEBORGS LÄN</t>
        </is>
      </c>
      <c r="E391" t="inlineStr">
        <is>
          <t>LJUSDAL</t>
        </is>
      </c>
      <c r="G391" t="n">
        <v>6.3</v>
      </c>
      <c r="H391" t="n">
        <v>1</v>
      </c>
      <c r="I391" t="n">
        <v>0</v>
      </c>
      <c r="J391" t="n">
        <v>1</v>
      </c>
      <c r="K391" t="n">
        <v>0</v>
      </c>
      <c r="L391" t="n">
        <v>0</v>
      </c>
      <c r="M391" t="n">
        <v>0</v>
      </c>
      <c r="N391" t="n">
        <v>0</v>
      </c>
      <c r="O391" t="n">
        <v>1</v>
      </c>
      <c r="P391" t="n">
        <v>0</v>
      </c>
      <c r="Q391" t="n">
        <v>1</v>
      </c>
      <c r="R391" s="2" t="inlineStr">
        <is>
          <t>Tretåig hackspett</t>
        </is>
      </c>
      <c r="S391">
        <f>HYPERLINK("https://klasma.github.io/Logging_2161/artfynd/A 25490-2021 artfynd.xlsx", "A 25490-2021")</f>
        <v/>
      </c>
      <c r="T391">
        <f>HYPERLINK("https://klasma.github.io/Logging_2161/kartor/A 25490-2021 karta.png", "A 25490-2021")</f>
        <v/>
      </c>
      <c r="U391">
        <f>HYPERLINK("https://klasma.github.io/Logging_2161/knärot/A 25490-2021 karta knärot.png", "A 25490-2021")</f>
        <v/>
      </c>
      <c r="V391">
        <f>HYPERLINK("https://klasma.github.io/Logging_2161/klagomål/A 25490-2021 FSC-klagomål.docx", "A 25490-2021")</f>
        <v/>
      </c>
      <c r="W391">
        <f>HYPERLINK("https://klasma.github.io/Logging_2161/klagomålsmail/A 25490-2021 FSC-klagomål mail.docx", "A 25490-2021")</f>
        <v/>
      </c>
      <c r="X391">
        <f>HYPERLINK("https://klasma.github.io/Logging_2161/tillsyn/A 25490-2021 tillsynsbegäran.docx", "A 25490-2021")</f>
        <v/>
      </c>
      <c r="Y391">
        <f>HYPERLINK("https://klasma.github.io/Logging_2161/tillsynsmail/A 25490-2021 tillsynsbegäran mail.docx", "A 25490-2021")</f>
        <v/>
      </c>
      <c r="Z391">
        <f>HYPERLINK("https://klasma.github.io/Logging_2161/fåglar/A 25490-2021 prioriterade fågelarter.docx", "A 25490-2021")</f>
        <v/>
      </c>
    </row>
    <row r="392" ht="15" customHeight="1">
      <c r="A392" t="inlineStr">
        <is>
          <t>A 29691-2021</t>
        </is>
      </c>
      <c r="B392" s="1" t="n">
        <v>44362</v>
      </c>
      <c r="C392" s="1" t="n">
        <v>45587</v>
      </c>
      <c r="D392" t="inlineStr">
        <is>
          <t>GÄVLEBORGS LÄN</t>
        </is>
      </c>
      <c r="E392" t="inlineStr">
        <is>
          <t>HUDIKSVALL</t>
        </is>
      </c>
      <c r="G392" t="n">
        <v>1.3</v>
      </c>
      <c r="H392" t="n">
        <v>0</v>
      </c>
      <c r="I392" t="n">
        <v>0</v>
      </c>
      <c r="J392" t="n">
        <v>0</v>
      </c>
      <c r="K392" t="n">
        <v>1</v>
      </c>
      <c r="L392" t="n">
        <v>0</v>
      </c>
      <c r="M392" t="n">
        <v>0</v>
      </c>
      <c r="N392" t="n">
        <v>0</v>
      </c>
      <c r="O392" t="n">
        <v>1</v>
      </c>
      <c r="P392" t="n">
        <v>1</v>
      </c>
      <c r="Q392" t="n">
        <v>1</v>
      </c>
      <c r="R392" s="2" t="inlineStr">
        <is>
          <t>Tallgråticka</t>
        </is>
      </c>
      <c r="S392">
        <f>HYPERLINK("https://klasma.github.io/Logging_2184/artfynd/A 29691-2021 artfynd.xlsx", "A 29691-2021")</f>
        <v/>
      </c>
      <c r="T392">
        <f>HYPERLINK("https://klasma.github.io/Logging_2184/kartor/A 29691-2021 karta.png", "A 29691-2021")</f>
        <v/>
      </c>
      <c r="V392">
        <f>HYPERLINK("https://klasma.github.io/Logging_2184/klagomål/A 29691-2021 FSC-klagomål.docx", "A 29691-2021")</f>
        <v/>
      </c>
      <c r="W392">
        <f>HYPERLINK("https://klasma.github.io/Logging_2184/klagomålsmail/A 29691-2021 FSC-klagomål mail.docx", "A 29691-2021")</f>
        <v/>
      </c>
      <c r="X392">
        <f>HYPERLINK("https://klasma.github.io/Logging_2184/tillsyn/A 29691-2021 tillsynsbegäran.docx", "A 29691-2021")</f>
        <v/>
      </c>
      <c r="Y392">
        <f>HYPERLINK("https://klasma.github.io/Logging_2184/tillsynsmail/A 29691-2021 tillsynsbegäran mail.docx", "A 29691-2021")</f>
        <v/>
      </c>
    </row>
    <row r="393" ht="15" customHeight="1">
      <c r="A393" t="inlineStr">
        <is>
          <t>A 29855-2021</t>
        </is>
      </c>
      <c r="B393" s="1" t="n">
        <v>44362</v>
      </c>
      <c r="C393" s="1" t="n">
        <v>45587</v>
      </c>
      <c r="D393" t="inlineStr">
        <is>
          <t>GÄVLEBORGS LÄN</t>
        </is>
      </c>
      <c r="E393" t="inlineStr">
        <is>
          <t>OVANÅKER</t>
        </is>
      </c>
      <c r="F393" t="inlineStr">
        <is>
          <t>Sveaskog</t>
        </is>
      </c>
      <c r="G393" t="n">
        <v>5.5</v>
      </c>
      <c r="H393" t="n">
        <v>0</v>
      </c>
      <c r="I393" t="n">
        <v>0</v>
      </c>
      <c r="J393" t="n">
        <v>1</v>
      </c>
      <c r="K393" t="n">
        <v>0</v>
      </c>
      <c r="L393" t="n">
        <v>0</v>
      </c>
      <c r="M393" t="n">
        <v>0</v>
      </c>
      <c r="N393" t="n">
        <v>0</v>
      </c>
      <c r="O393" t="n">
        <v>1</v>
      </c>
      <c r="P393" t="n">
        <v>0</v>
      </c>
      <c r="Q393" t="n">
        <v>1</v>
      </c>
      <c r="R393" s="2" t="inlineStr">
        <is>
          <t>Lunglav</t>
        </is>
      </c>
      <c r="S393">
        <f>HYPERLINK("https://klasma.github.io/Logging_2121/artfynd/A 29855-2021 artfynd.xlsx", "A 29855-2021")</f>
        <v/>
      </c>
      <c r="T393">
        <f>HYPERLINK("https://klasma.github.io/Logging_2121/kartor/A 29855-2021 karta.png", "A 29855-2021")</f>
        <v/>
      </c>
      <c r="V393">
        <f>HYPERLINK("https://klasma.github.io/Logging_2121/klagomål/A 29855-2021 FSC-klagomål.docx", "A 29855-2021")</f>
        <v/>
      </c>
      <c r="W393">
        <f>HYPERLINK("https://klasma.github.io/Logging_2121/klagomålsmail/A 29855-2021 FSC-klagomål mail.docx", "A 29855-2021")</f>
        <v/>
      </c>
      <c r="X393">
        <f>HYPERLINK("https://klasma.github.io/Logging_2121/tillsyn/A 29855-2021 tillsynsbegäran.docx", "A 29855-2021")</f>
        <v/>
      </c>
      <c r="Y393">
        <f>HYPERLINK("https://klasma.github.io/Logging_2121/tillsynsmail/A 29855-2021 tillsynsbegäran mail.docx", "A 29855-2021")</f>
        <v/>
      </c>
    </row>
    <row r="394" ht="15" customHeight="1">
      <c r="A394" t="inlineStr">
        <is>
          <t>A 29873-2021</t>
        </is>
      </c>
      <c r="B394" s="1" t="n">
        <v>44362</v>
      </c>
      <c r="C394" s="1" t="n">
        <v>45587</v>
      </c>
      <c r="D394" t="inlineStr">
        <is>
          <t>GÄVLEBORGS LÄN</t>
        </is>
      </c>
      <c r="E394" t="inlineStr">
        <is>
          <t>OVANÅKER</t>
        </is>
      </c>
      <c r="F394" t="inlineStr">
        <is>
          <t>Sveaskog</t>
        </is>
      </c>
      <c r="G394" t="n">
        <v>9.199999999999999</v>
      </c>
      <c r="H394" t="n">
        <v>0</v>
      </c>
      <c r="I394" t="n">
        <v>0</v>
      </c>
      <c r="J394" t="n">
        <v>1</v>
      </c>
      <c r="K394" t="n">
        <v>0</v>
      </c>
      <c r="L394" t="n">
        <v>0</v>
      </c>
      <c r="M394" t="n">
        <v>0</v>
      </c>
      <c r="N394" t="n">
        <v>0</v>
      </c>
      <c r="O394" t="n">
        <v>1</v>
      </c>
      <c r="P394" t="n">
        <v>0</v>
      </c>
      <c r="Q394" t="n">
        <v>1</v>
      </c>
      <c r="R394" s="2" t="inlineStr">
        <is>
          <t>Lunglav</t>
        </is>
      </c>
      <c r="S394">
        <f>HYPERLINK("https://klasma.github.io/Logging_2121/artfynd/A 29873-2021 artfynd.xlsx", "A 29873-2021")</f>
        <v/>
      </c>
      <c r="T394">
        <f>HYPERLINK("https://klasma.github.io/Logging_2121/kartor/A 29873-2021 karta.png", "A 29873-2021")</f>
        <v/>
      </c>
      <c r="V394">
        <f>HYPERLINK("https://klasma.github.io/Logging_2121/klagomål/A 29873-2021 FSC-klagomål.docx", "A 29873-2021")</f>
        <v/>
      </c>
      <c r="W394">
        <f>HYPERLINK("https://klasma.github.io/Logging_2121/klagomålsmail/A 29873-2021 FSC-klagomål mail.docx", "A 29873-2021")</f>
        <v/>
      </c>
      <c r="X394">
        <f>HYPERLINK("https://klasma.github.io/Logging_2121/tillsyn/A 29873-2021 tillsynsbegäran.docx", "A 29873-2021")</f>
        <v/>
      </c>
      <c r="Y394">
        <f>HYPERLINK("https://klasma.github.io/Logging_2121/tillsynsmail/A 29873-2021 tillsynsbegäran mail.docx", "A 29873-2021")</f>
        <v/>
      </c>
    </row>
    <row r="395" ht="15" customHeight="1">
      <c r="A395" t="inlineStr">
        <is>
          <t>A 30954-2021</t>
        </is>
      </c>
      <c r="B395" s="1" t="n">
        <v>44365</v>
      </c>
      <c r="C395" s="1" t="n">
        <v>45587</v>
      </c>
      <c r="D395" t="inlineStr">
        <is>
          <t>GÄVLEBORGS LÄN</t>
        </is>
      </c>
      <c r="E395" t="inlineStr">
        <is>
          <t>OVANÅKER</t>
        </is>
      </c>
      <c r="F395" t="inlineStr">
        <is>
          <t>Sveaskog</t>
        </is>
      </c>
      <c r="G395" t="n">
        <v>2.7</v>
      </c>
      <c r="H395" t="n">
        <v>0</v>
      </c>
      <c r="I395" t="n">
        <v>1</v>
      </c>
      <c r="J395" t="n">
        <v>0</v>
      </c>
      <c r="K395" t="n">
        <v>0</v>
      </c>
      <c r="L395" t="n">
        <v>0</v>
      </c>
      <c r="M395" t="n">
        <v>0</v>
      </c>
      <c r="N395" t="n">
        <v>0</v>
      </c>
      <c r="O395" t="n">
        <v>0</v>
      </c>
      <c r="P395" t="n">
        <v>0</v>
      </c>
      <c r="Q395" t="n">
        <v>1</v>
      </c>
      <c r="R395" s="2" t="inlineStr">
        <is>
          <t>Dropptaggsvamp</t>
        </is>
      </c>
      <c r="S395">
        <f>HYPERLINK("https://klasma.github.io/Logging_2121/artfynd/A 30954-2021 artfynd.xlsx", "A 30954-2021")</f>
        <v/>
      </c>
      <c r="T395">
        <f>HYPERLINK("https://klasma.github.io/Logging_2121/kartor/A 30954-2021 karta.png", "A 30954-2021")</f>
        <v/>
      </c>
      <c r="V395">
        <f>HYPERLINK("https://klasma.github.io/Logging_2121/klagomål/A 30954-2021 FSC-klagomål.docx", "A 30954-2021")</f>
        <v/>
      </c>
      <c r="W395">
        <f>HYPERLINK("https://klasma.github.io/Logging_2121/klagomålsmail/A 30954-2021 FSC-klagomål mail.docx", "A 30954-2021")</f>
        <v/>
      </c>
      <c r="X395">
        <f>HYPERLINK("https://klasma.github.io/Logging_2121/tillsyn/A 30954-2021 tillsynsbegäran.docx", "A 30954-2021")</f>
        <v/>
      </c>
      <c r="Y395">
        <f>HYPERLINK("https://klasma.github.io/Logging_2121/tillsynsmail/A 30954-2021 tillsynsbegäran mail.docx", "A 30954-2021")</f>
        <v/>
      </c>
    </row>
    <row r="396" ht="15" customHeight="1">
      <c r="A396" t="inlineStr">
        <is>
          <t>A 32817-2021</t>
        </is>
      </c>
      <c r="B396" s="1" t="n">
        <v>44375</v>
      </c>
      <c r="C396" s="1" t="n">
        <v>45587</v>
      </c>
      <c r="D396" t="inlineStr">
        <is>
          <t>GÄVLEBORGS LÄN</t>
        </is>
      </c>
      <c r="E396" t="inlineStr">
        <is>
          <t>HUDIKSVALL</t>
        </is>
      </c>
      <c r="F396" t="inlineStr">
        <is>
          <t>Holmen skog AB</t>
        </is>
      </c>
      <c r="G396" t="n">
        <v>2.3</v>
      </c>
      <c r="H396" t="n">
        <v>0</v>
      </c>
      <c r="I396" t="n">
        <v>1</v>
      </c>
      <c r="J396" t="n">
        <v>0</v>
      </c>
      <c r="K396" t="n">
        <v>0</v>
      </c>
      <c r="L396" t="n">
        <v>0</v>
      </c>
      <c r="M396" t="n">
        <v>0</v>
      </c>
      <c r="N396" t="n">
        <v>0</v>
      </c>
      <c r="O396" t="n">
        <v>0</v>
      </c>
      <c r="P396" t="n">
        <v>0</v>
      </c>
      <c r="Q396" t="n">
        <v>1</v>
      </c>
      <c r="R396" s="2" t="inlineStr">
        <is>
          <t>Bollvitmossa</t>
        </is>
      </c>
      <c r="S396">
        <f>HYPERLINK("https://klasma.github.io/Logging_2184/artfynd/A 32817-2021 artfynd.xlsx", "A 32817-2021")</f>
        <v/>
      </c>
      <c r="T396">
        <f>HYPERLINK("https://klasma.github.io/Logging_2184/kartor/A 32817-2021 karta.png", "A 32817-2021")</f>
        <v/>
      </c>
      <c r="V396">
        <f>HYPERLINK("https://klasma.github.io/Logging_2184/klagomål/A 32817-2021 FSC-klagomål.docx", "A 32817-2021")</f>
        <v/>
      </c>
      <c r="W396">
        <f>HYPERLINK("https://klasma.github.io/Logging_2184/klagomålsmail/A 32817-2021 FSC-klagomål mail.docx", "A 32817-2021")</f>
        <v/>
      </c>
      <c r="X396">
        <f>HYPERLINK("https://klasma.github.io/Logging_2184/tillsyn/A 32817-2021 tillsynsbegäran.docx", "A 32817-2021")</f>
        <v/>
      </c>
      <c r="Y396">
        <f>HYPERLINK("https://klasma.github.io/Logging_2184/tillsynsmail/A 32817-2021 tillsynsbegäran mail.docx", "A 32817-2021")</f>
        <v/>
      </c>
    </row>
    <row r="397" ht="15" customHeight="1">
      <c r="A397" t="inlineStr">
        <is>
          <t>A 34219-2021</t>
        </is>
      </c>
      <c r="B397" s="1" t="n">
        <v>44379</v>
      </c>
      <c r="C397" s="1" t="n">
        <v>45587</v>
      </c>
      <c r="D397" t="inlineStr">
        <is>
          <t>GÄVLEBORGS LÄN</t>
        </is>
      </c>
      <c r="E397" t="inlineStr">
        <is>
          <t>OVANÅKER</t>
        </is>
      </c>
      <c r="F397" t="inlineStr">
        <is>
          <t>Kyrkan</t>
        </is>
      </c>
      <c r="G397" t="n">
        <v>24.7</v>
      </c>
      <c r="H397" t="n">
        <v>1</v>
      </c>
      <c r="I397" t="n">
        <v>0</v>
      </c>
      <c r="J397" t="n">
        <v>1</v>
      </c>
      <c r="K397" t="n">
        <v>0</v>
      </c>
      <c r="L397" t="n">
        <v>0</v>
      </c>
      <c r="M397" t="n">
        <v>0</v>
      </c>
      <c r="N397" t="n">
        <v>0</v>
      </c>
      <c r="O397" t="n">
        <v>1</v>
      </c>
      <c r="P397" t="n">
        <v>0</v>
      </c>
      <c r="Q397" t="n">
        <v>1</v>
      </c>
      <c r="R397" s="2" t="inlineStr">
        <is>
          <t>Svartvit flugsnappare</t>
        </is>
      </c>
      <c r="S397">
        <f>HYPERLINK("https://klasma.github.io/Logging_2121/artfynd/A 34219-2021 artfynd.xlsx", "A 34219-2021")</f>
        <v/>
      </c>
      <c r="T397">
        <f>HYPERLINK("https://klasma.github.io/Logging_2121/kartor/A 34219-2021 karta.png", "A 34219-2021")</f>
        <v/>
      </c>
      <c r="V397">
        <f>HYPERLINK("https://klasma.github.io/Logging_2121/klagomål/A 34219-2021 FSC-klagomål.docx", "A 34219-2021")</f>
        <v/>
      </c>
      <c r="W397">
        <f>HYPERLINK("https://klasma.github.io/Logging_2121/klagomålsmail/A 34219-2021 FSC-klagomål mail.docx", "A 34219-2021")</f>
        <v/>
      </c>
      <c r="X397">
        <f>HYPERLINK("https://klasma.github.io/Logging_2121/tillsyn/A 34219-2021 tillsynsbegäran.docx", "A 34219-2021")</f>
        <v/>
      </c>
      <c r="Y397">
        <f>HYPERLINK("https://klasma.github.io/Logging_2121/tillsynsmail/A 34219-2021 tillsynsbegäran mail.docx", "A 34219-2021")</f>
        <v/>
      </c>
      <c r="Z397">
        <f>HYPERLINK("https://klasma.github.io/Logging_2121/fåglar/A 34219-2021 prioriterade fågelarter.docx", "A 34219-2021")</f>
        <v/>
      </c>
    </row>
    <row r="398" ht="15" customHeight="1">
      <c r="A398" t="inlineStr">
        <is>
          <t>A 34192-2021</t>
        </is>
      </c>
      <c r="B398" s="1" t="n">
        <v>44379</v>
      </c>
      <c r="C398" s="1" t="n">
        <v>45587</v>
      </c>
      <c r="D398" t="inlineStr">
        <is>
          <t>GÄVLEBORGS LÄN</t>
        </is>
      </c>
      <c r="E398" t="inlineStr">
        <is>
          <t>LJUSDAL</t>
        </is>
      </c>
      <c r="F398" t="inlineStr">
        <is>
          <t>Sveaskog</t>
        </is>
      </c>
      <c r="G398" t="n">
        <v>14.6</v>
      </c>
      <c r="H398" t="n">
        <v>1</v>
      </c>
      <c r="I398" t="n">
        <v>0</v>
      </c>
      <c r="J398" t="n">
        <v>0</v>
      </c>
      <c r="K398" t="n">
        <v>0</v>
      </c>
      <c r="L398" t="n">
        <v>0</v>
      </c>
      <c r="M398" t="n">
        <v>0</v>
      </c>
      <c r="N398" t="n">
        <v>0</v>
      </c>
      <c r="O398" t="n">
        <v>0</v>
      </c>
      <c r="P398" t="n">
        <v>0</v>
      </c>
      <c r="Q398" t="n">
        <v>1</v>
      </c>
      <c r="R398" s="2" t="inlineStr">
        <is>
          <t>Mattlummer</t>
        </is>
      </c>
      <c r="S398">
        <f>HYPERLINK("https://klasma.github.io/Logging_2161/artfynd/A 34192-2021 artfynd.xlsx", "A 34192-2021")</f>
        <v/>
      </c>
      <c r="T398">
        <f>HYPERLINK("https://klasma.github.io/Logging_2161/kartor/A 34192-2021 karta.png", "A 34192-2021")</f>
        <v/>
      </c>
      <c r="V398">
        <f>HYPERLINK("https://klasma.github.io/Logging_2161/klagomål/A 34192-2021 FSC-klagomål.docx", "A 34192-2021")</f>
        <v/>
      </c>
      <c r="W398">
        <f>HYPERLINK("https://klasma.github.io/Logging_2161/klagomålsmail/A 34192-2021 FSC-klagomål mail.docx", "A 34192-2021")</f>
        <v/>
      </c>
      <c r="X398">
        <f>HYPERLINK("https://klasma.github.io/Logging_2161/tillsyn/A 34192-2021 tillsynsbegäran.docx", "A 34192-2021")</f>
        <v/>
      </c>
      <c r="Y398">
        <f>HYPERLINK("https://klasma.github.io/Logging_2161/tillsynsmail/A 34192-2021 tillsynsbegäran mail.docx", "A 34192-2021")</f>
        <v/>
      </c>
    </row>
    <row r="399" ht="15" customHeight="1">
      <c r="A399" t="inlineStr">
        <is>
          <t>A 38115-2021</t>
        </is>
      </c>
      <c r="B399" s="1" t="n">
        <v>44405</v>
      </c>
      <c r="C399" s="1" t="n">
        <v>45587</v>
      </c>
      <c r="D399" t="inlineStr">
        <is>
          <t>GÄVLEBORGS LÄN</t>
        </is>
      </c>
      <c r="E399" t="inlineStr">
        <is>
          <t>LJUSDAL</t>
        </is>
      </c>
      <c r="F399" t="inlineStr">
        <is>
          <t>Sveaskog</t>
        </is>
      </c>
      <c r="G399" t="n">
        <v>2.7</v>
      </c>
      <c r="H399" t="n">
        <v>1</v>
      </c>
      <c r="I399" t="n">
        <v>0</v>
      </c>
      <c r="J399" t="n">
        <v>0</v>
      </c>
      <c r="K399" t="n">
        <v>1</v>
      </c>
      <c r="L399" t="n">
        <v>0</v>
      </c>
      <c r="M399" t="n">
        <v>0</v>
      </c>
      <c r="N399" t="n">
        <v>0</v>
      </c>
      <c r="O399" t="n">
        <v>1</v>
      </c>
      <c r="P399" t="n">
        <v>1</v>
      </c>
      <c r="Q399" t="n">
        <v>1</v>
      </c>
      <c r="R399" s="2" t="inlineStr">
        <is>
          <t>Knärot</t>
        </is>
      </c>
      <c r="S399">
        <f>HYPERLINK("https://klasma.github.io/Logging_2161/artfynd/A 38115-2021 artfynd.xlsx", "A 38115-2021")</f>
        <v/>
      </c>
      <c r="T399">
        <f>HYPERLINK("https://klasma.github.io/Logging_2161/kartor/A 38115-2021 karta.png", "A 38115-2021")</f>
        <v/>
      </c>
      <c r="U399">
        <f>HYPERLINK("https://klasma.github.io/Logging_2161/knärot/A 38115-2021 karta knärot.png", "A 38115-2021")</f>
        <v/>
      </c>
      <c r="V399">
        <f>HYPERLINK("https://klasma.github.io/Logging_2161/klagomål/A 38115-2021 FSC-klagomål.docx", "A 38115-2021")</f>
        <v/>
      </c>
      <c r="W399">
        <f>HYPERLINK("https://klasma.github.io/Logging_2161/klagomålsmail/A 38115-2021 FSC-klagomål mail.docx", "A 38115-2021")</f>
        <v/>
      </c>
      <c r="X399">
        <f>HYPERLINK("https://klasma.github.io/Logging_2161/tillsyn/A 38115-2021 tillsynsbegäran.docx", "A 38115-2021")</f>
        <v/>
      </c>
      <c r="Y399">
        <f>HYPERLINK("https://klasma.github.io/Logging_2161/tillsynsmail/A 38115-2021 tillsynsbegäran mail.docx", "A 38115-2021")</f>
        <v/>
      </c>
    </row>
    <row r="400" ht="15" customHeight="1">
      <c r="A400" t="inlineStr">
        <is>
          <t>A 38388-2021</t>
        </is>
      </c>
      <c r="B400" s="1" t="n">
        <v>44406</v>
      </c>
      <c r="C400" s="1" t="n">
        <v>45587</v>
      </c>
      <c r="D400" t="inlineStr">
        <is>
          <t>GÄVLEBORGS LÄN</t>
        </is>
      </c>
      <c r="E400" t="inlineStr">
        <is>
          <t>LJUSDAL</t>
        </is>
      </c>
      <c r="F400" t="inlineStr">
        <is>
          <t>Sveaskog</t>
        </is>
      </c>
      <c r="G400" t="n">
        <v>9.199999999999999</v>
      </c>
      <c r="H400" t="n">
        <v>1</v>
      </c>
      <c r="I400" t="n">
        <v>0</v>
      </c>
      <c r="J400" t="n">
        <v>0</v>
      </c>
      <c r="K400" t="n">
        <v>0</v>
      </c>
      <c r="L400" t="n">
        <v>1</v>
      </c>
      <c r="M400" t="n">
        <v>0</v>
      </c>
      <c r="N400" t="n">
        <v>0</v>
      </c>
      <c r="O400" t="n">
        <v>1</v>
      </c>
      <c r="P400" t="n">
        <v>1</v>
      </c>
      <c r="Q400" t="n">
        <v>1</v>
      </c>
      <c r="R400" s="2" t="inlineStr">
        <is>
          <t>Mosippa</t>
        </is>
      </c>
      <c r="S400">
        <f>HYPERLINK("https://klasma.github.io/Logging_2161/artfynd/A 38388-2021 artfynd.xlsx", "A 38388-2021")</f>
        <v/>
      </c>
      <c r="T400">
        <f>HYPERLINK("https://klasma.github.io/Logging_2161/kartor/A 38388-2021 karta.png", "A 38388-2021")</f>
        <v/>
      </c>
      <c r="V400">
        <f>HYPERLINK("https://klasma.github.io/Logging_2161/klagomål/A 38388-2021 FSC-klagomål.docx", "A 38388-2021")</f>
        <v/>
      </c>
      <c r="W400">
        <f>HYPERLINK("https://klasma.github.io/Logging_2161/klagomålsmail/A 38388-2021 FSC-klagomål mail.docx", "A 38388-2021")</f>
        <v/>
      </c>
      <c r="X400">
        <f>HYPERLINK("https://klasma.github.io/Logging_2161/tillsyn/A 38388-2021 tillsynsbegäran.docx", "A 38388-2021")</f>
        <v/>
      </c>
      <c r="Y400">
        <f>HYPERLINK("https://klasma.github.io/Logging_2161/tillsynsmail/A 38388-2021 tillsynsbegäran mail.docx", "A 38388-2021")</f>
        <v/>
      </c>
    </row>
    <row r="401" ht="15" customHeight="1">
      <c r="A401" t="inlineStr">
        <is>
          <t>A 40986-2021</t>
        </is>
      </c>
      <c r="B401" s="1" t="n">
        <v>44421</v>
      </c>
      <c r="C401" s="1" t="n">
        <v>45587</v>
      </c>
      <c r="D401" t="inlineStr">
        <is>
          <t>GÄVLEBORGS LÄN</t>
        </is>
      </c>
      <c r="E401" t="inlineStr">
        <is>
          <t>GÄVLE</t>
        </is>
      </c>
      <c r="F401" t="inlineStr">
        <is>
          <t>Bergvik skog öst AB</t>
        </is>
      </c>
      <c r="G401" t="n">
        <v>5.7</v>
      </c>
      <c r="H401" t="n">
        <v>1</v>
      </c>
      <c r="I401" t="n">
        <v>0</v>
      </c>
      <c r="J401" t="n">
        <v>1</v>
      </c>
      <c r="K401" t="n">
        <v>0</v>
      </c>
      <c r="L401" t="n">
        <v>0</v>
      </c>
      <c r="M401" t="n">
        <v>0</v>
      </c>
      <c r="N401" t="n">
        <v>0</v>
      </c>
      <c r="O401" t="n">
        <v>1</v>
      </c>
      <c r="P401" t="n">
        <v>0</v>
      </c>
      <c r="Q401" t="n">
        <v>1</v>
      </c>
      <c r="R401" s="2" t="inlineStr">
        <is>
          <t>Rödvingetrast</t>
        </is>
      </c>
      <c r="S401">
        <f>HYPERLINK("https://klasma.github.io/Logging_2180/artfynd/A 40986-2021 artfynd.xlsx", "A 40986-2021")</f>
        <v/>
      </c>
      <c r="T401">
        <f>HYPERLINK("https://klasma.github.io/Logging_2180/kartor/A 40986-2021 karta.png", "A 40986-2021")</f>
        <v/>
      </c>
      <c r="V401">
        <f>HYPERLINK("https://klasma.github.io/Logging_2180/klagomål/A 40986-2021 FSC-klagomål.docx", "A 40986-2021")</f>
        <v/>
      </c>
      <c r="W401">
        <f>HYPERLINK("https://klasma.github.io/Logging_2180/klagomålsmail/A 40986-2021 FSC-klagomål mail.docx", "A 40986-2021")</f>
        <v/>
      </c>
      <c r="X401">
        <f>HYPERLINK("https://klasma.github.io/Logging_2180/tillsyn/A 40986-2021 tillsynsbegäran.docx", "A 40986-2021")</f>
        <v/>
      </c>
      <c r="Y401">
        <f>HYPERLINK("https://klasma.github.io/Logging_2180/tillsynsmail/A 40986-2021 tillsynsbegäran mail.docx", "A 40986-2021")</f>
        <v/>
      </c>
      <c r="Z401">
        <f>HYPERLINK("https://klasma.github.io/Logging_2180/fåglar/A 40986-2021 prioriterade fågelarter.docx", "A 40986-2021")</f>
        <v/>
      </c>
    </row>
    <row r="402" ht="15" customHeight="1">
      <c r="A402" t="inlineStr">
        <is>
          <t>A 43383-2021</t>
        </is>
      </c>
      <c r="B402" s="1" t="n">
        <v>44432</v>
      </c>
      <c r="C402" s="1" t="n">
        <v>45587</v>
      </c>
      <c r="D402" t="inlineStr">
        <is>
          <t>GÄVLEBORGS LÄN</t>
        </is>
      </c>
      <c r="E402" t="inlineStr">
        <is>
          <t>LJUSDAL</t>
        </is>
      </c>
      <c r="F402" t="inlineStr">
        <is>
          <t>Sveaskog</t>
        </is>
      </c>
      <c r="G402" t="n">
        <v>5.9</v>
      </c>
      <c r="H402" t="n">
        <v>0</v>
      </c>
      <c r="I402" t="n">
        <v>0</v>
      </c>
      <c r="J402" t="n">
        <v>1</v>
      </c>
      <c r="K402" t="n">
        <v>0</v>
      </c>
      <c r="L402" t="n">
        <v>0</v>
      </c>
      <c r="M402" t="n">
        <v>0</v>
      </c>
      <c r="N402" t="n">
        <v>0</v>
      </c>
      <c r="O402" t="n">
        <v>1</v>
      </c>
      <c r="P402" t="n">
        <v>0</v>
      </c>
      <c r="Q402" t="n">
        <v>1</v>
      </c>
      <c r="R402" s="2" t="inlineStr">
        <is>
          <t>Violettgrå tagellav</t>
        </is>
      </c>
      <c r="S402">
        <f>HYPERLINK("https://klasma.github.io/Logging_2161/artfynd/A 43383-2021 artfynd.xlsx", "A 43383-2021")</f>
        <v/>
      </c>
      <c r="T402">
        <f>HYPERLINK("https://klasma.github.io/Logging_2161/kartor/A 43383-2021 karta.png", "A 43383-2021")</f>
        <v/>
      </c>
      <c r="V402">
        <f>HYPERLINK("https://klasma.github.io/Logging_2161/klagomål/A 43383-2021 FSC-klagomål.docx", "A 43383-2021")</f>
        <v/>
      </c>
      <c r="W402">
        <f>HYPERLINK("https://klasma.github.io/Logging_2161/klagomålsmail/A 43383-2021 FSC-klagomål mail.docx", "A 43383-2021")</f>
        <v/>
      </c>
      <c r="X402">
        <f>HYPERLINK("https://klasma.github.io/Logging_2161/tillsyn/A 43383-2021 tillsynsbegäran.docx", "A 43383-2021")</f>
        <v/>
      </c>
      <c r="Y402">
        <f>HYPERLINK("https://klasma.github.io/Logging_2161/tillsynsmail/A 43383-2021 tillsynsbegäran mail.docx", "A 43383-2021")</f>
        <v/>
      </c>
    </row>
    <row r="403" ht="15" customHeight="1">
      <c r="A403" t="inlineStr">
        <is>
          <t>A 44694-2021</t>
        </is>
      </c>
      <c r="B403" s="1" t="n">
        <v>44438</v>
      </c>
      <c r="C403" s="1" t="n">
        <v>45587</v>
      </c>
      <c r="D403" t="inlineStr">
        <is>
          <t>GÄVLEBORGS LÄN</t>
        </is>
      </c>
      <c r="E403" t="inlineStr">
        <is>
          <t>LJUSDAL</t>
        </is>
      </c>
      <c r="F403" t="inlineStr">
        <is>
          <t>Sveaskog</t>
        </is>
      </c>
      <c r="G403" t="n">
        <v>3.2</v>
      </c>
      <c r="H403" t="n">
        <v>0</v>
      </c>
      <c r="I403" t="n">
        <v>0</v>
      </c>
      <c r="J403" t="n">
        <v>1</v>
      </c>
      <c r="K403" t="n">
        <v>0</v>
      </c>
      <c r="L403" t="n">
        <v>0</v>
      </c>
      <c r="M403" t="n">
        <v>0</v>
      </c>
      <c r="N403" t="n">
        <v>0</v>
      </c>
      <c r="O403" t="n">
        <v>1</v>
      </c>
      <c r="P403" t="n">
        <v>0</v>
      </c>
      <c r="Q403" t="n">
        <v>1</v>
      </c>
      <c r="R403" s="2" t="inlineStr">
        <is>
          <t>Granticka</t>
        </is>
      </c>
      <c r="S403">
        <f>HYPERLINK("https://klasma.github.io/Logging_2161/artfynd/A 44694-2021 artfynd.xlsx", "A 44694-2021")</f>
        <v/>
      </c>
      <c r="T403">
        <f>HYPERLINK("https://klasma.github.io/Logging_2161/kartor/A 44694-2021 karta.png", "A 44694-2021")</f>
        <v/>
      </c>
      <c r="V403">
        <f>HYPERLINK("https://klasma.github.io/Logging_2161/klagomål/A 44694-2021 FSC-klagomål.docx", "A 44694-2021")</f>
        <v/>
      </c>
      <c r="W403">
        <f>HYPERLINK("https://klasma.github.io/Logging_2161/klagomålsmail/A 44694-2021 FSC-klagomål mail.docx", "A 44694-2021")</f>
        <v/>
      </c>
      <c r="X403">
        <f>HYPERLINK("https://klasma.github.io/Logging_2161/tillsyn/A 44694-2021 tillsynsbegäran.docx", "A 44694-2021")</f>
        <v/>
      </c>
      <c r="Y403">
        <f>HYPERLINK("https://klasma.github.io/Logging_2161/tillsynsmail/A 44694-2021 tillsynsbegäran mail.docx", "A 44694-2021")</f>
        <v/>
      </c>
    </row>
    <row r="404" ht="15" customHeight="1">
      <c r="A404" t="inlineStr">
        <is>
          <t>A 48180-2021</t>
        </is>
      </c>
      <c r="B404" s="1" t="n">
        <v>44449</v>
      </c>
      <c r="C404" s="1" t="n">
        <v>45587</v>
      </c>
      <c r="D404" t="inlineStr">
        <is>
          <t>GÄVLEBORGS LÄN</t>
        </is>
      </c>
      <c r="E404" t="inlineStr">
        <is>
          <t>LJUSDAL</t>
        </is>
      </c>
      <c r="F404" t="inlineStr">
        <is>
          <t>Sveaskog</t>
        </is>
      </c>
      <c r="G404" t="n">
        <v>1.4</v>
      </c>
      <c r="H404" t="n">
        <v>0</v>
      </c>
      <c r="I404" t="n">
        <v>0</v>
      </c>
      <c r="J404" t="n">
        <v>1</v>
      </c>
      <c r="K404" t="n">
        <v>0</v>
      </c>
      <c r="L404" t="n">
        <v>0</v>
      </c>
      <c r="M404" t="n">
        <v>0</v>
      </c>
      <c r="N404" t="n">
        <v>0</v>
      </c>
      <c r="O404" t="n">
        <v>1</v>
      </c>
      <c r="P404" t="n">
        <v>0</v>
      </c>
      <c r="Q404" t="n">
        <v>1</v>
      </c>
      <c r="R404" s="2" t="inlineStr">
        <is>
          <t>Garnlav</t>
        </is>
      </c>
      <c r="S404">
        <f>HYPERLINK("https://klasma.github.io/Logging_2161/artfynd/A 48180-2021 artfynd.xlsx", "A 48180-2021")</f>
        <v/>
      </c>
      <c r="T404">
        <f>HYPERLINK("https://klasma.github.io/Logging_2161/kartor/A 48180-2021 karta.png", "A 48180-2021")</f>
        <v/>
      </c>
      <c r="V404">
        <f>HYPERLINK("https://klasma.github.io/Logging_2161/klagomål/A 48180-2021 FSC-klagomål.docx", "A 48180-2021")</f>
        <v/>
      </c>
      <c r="W404">
        <f>HYPERLINK("https://klasma.github.io/Logging_2161/klagomålsmail/A 48180-2021 FSC-klagomål mail.docx", "A 48180-2021")</f>
        <v/>
      </c>
      <c r="X404">
        <f>HYPERLINK("https://klasma.github.io/Logging_2161/tillsyn/A 48180-2021 tillsynsbegäran.docx", "A 48180-2021")</f>
        <v/>
      </c>
      <c r="Y404">
        <f>HYPERLINK("https://klasma.github.io/Logging_2161/tillsynsmail/A 48180-2021 tillsynsbegäran mail.docx", "A 48180-2021")</f>
        <v/>
      </c>
    </row>
    <row r="405" ht="15" customHeight="1">
      <c r="A405" t="inlineStr">
        <is>
          <t>A 48805-2021</t>
        </is>
      </c>
      <c r="B405" s="1" t="n">
        <v>44452</v>
      </c>
      <c r="C405" s="1" t="n">
        <v>45587</v>
      </c>
      <c r="D405" t="inlineStr">
        <is>
          <t>GÄVLEBORGS LÄN</t>
        </is>
      </c>
      <c r="E405" t="inlineStr">
        <is>
          <t>SANDVIKEN</t>
        </is>
      </c>
      <c r="F405" t="inlineStr">
        <is>
          <t>Sveaskog</t>
        </is>
      </c>
      <c r="G405" t="n">
        <v>1.9</v>
      </c>
      <c r="H405" t="n">
        <v>1</v>
      </c>
      <c r="I405" t="n">
        <v>0</v>
      </c>
      <c r="J405" t="n">
        <v>0</v>
      </c>
      <c r="K405" t="n">
        <v>1</v>
      </c>
      <c r="L405" t="n">
        <v>0</v>
      </c>
      <c r="M405" t="n">
        <v>0</v>
      </c>
      <c r="N405" t="n">
        <v>0</v>
      </c>
      <c r="O405" t="n">
        <v>1</v>
      </c>
      <c r="P405" t="n">
        <v>1</v>
      </c>
      <c r="Q405" t="n">
        <v>1</v>
      </c>
      <c r="R405" s="2" t="inlineStr">
        <is>
          <t>Knärot</t>
        </is>
      </c>
      <c r="S405">
        <f>HYPERLINK("https://klasma.github.io/Logging_2181/artfynd/A 48805-2021 artfynd.xlsx", "A 48805-2021")</f>
        <v/>
      </c>
      <c r="T405">
        <f>HYPERLINK("https://klasma.github.io/Logging_2181/kartor/A 48805-2021 karta.png", "A 48805-2021")</f>
        <v/>
      </c>
      <c r="U405">
        <f>HYPERLINK("https://klasma.github.io/Logging_2181/knärot/A 48805-2021 karta knärot.png", "A 48805-2021")</f>
        <v/>
      </c>
      <c r="V405">
        <f>HYPERLINK("https://klasma.github.io/Logging_2181/klagomål/A 48805-2021 FSC-klagomål.docx", "A 48805-2021")</f>
        <v/>
      </c>
      <c r="W405">
        <f>HYPERLINK("https://klasma.github.io/Logging_2181/klagomålsmail/A 48805-2021 FSC-klagomål mail.docx", "A 48805-2021")</f>
        <v/>
      </c>
      <c r="X405">
        <f>HYPERLINK("https://klasma.github.io/Logging_2181/tillsyn/A 48805-2021 tillsynsbegäran.docx", "A 48805-2021")</f>
        <v/>
      </c>
      <c r="Y405">
        <f>HYPERLINK("https://klasma.github.io/Logging_2181/tillsynsmail/A 48805-2021 tillsynsbegäran mail.docx", "A 48805-2021")</f>
        <v/>
      </c>
    </row>
    <row r="406" ht="15" customHeight="1">
      <c r="A406" t="inlineStr">
        <is>
          <t>A 51574-2021</t>
        </is>
      </c>
      <c r="B406" s="1" t="n">
        <v>44462</v>
      </c>
      <c r="C406" s="1" t="n">
        <v>45587</v>
      </c>
      <c r="D406" t="inlineStr">
        <is>
          <t>GÄVLEBORGS LÄN</t>
        </is>
      </c>
      <c r="E406" t="inlineStr">
        <is>
          <t>OCKELBO</t>
        </is>
      </c>
      <c r="F406" t="inlineStr">
        <is>
          <t>Bergvik skog väst AB</t>
        </is>
      </c>
      <c r="G406" t="n">
        <v>3.2</v>
      </c>
      <c r="H406" t="n">
        <v>0</v>
      </c>
      <c r="I406" t="n">
        <v>1</v>
      </c>
      <c r="J406" t="n">
        <v>0</v>
      </c>
      <c r="K406" t="n">
        <v>0</v>
      </c>
      <c r="L406" t="n">
        <v>0</v>
      </c>
      <c r="M406" t="n">
        <v>0</v>
      </c>
      <c r="N406" t="n">
        <v>0</v>
      </c>
      <c r="O406" t="n">
        <v>0</v>
      </c>
      <c r="P406" t="n">
        <v>0</v>
      </c>
      <c r="Q406" t="n">
        <v>1</v>
      </c>
      <c r="R406" s="2" t="inlineStr">
        <is>
          <t>Tibast</t>
        </is>
      </c>
      <c r="S406">
        <f>HYPERLINK("https://klasma.github.io/Logging_2101/artfynd/A 51574-2021 artfynd.xlsx", "A 51574-2021")</f>
        <v/>
      </c>
      <c r="T406">
        <f>HYPERLINK("https://klasma.github.io/Logging_2101/kartor/A 51574-2021 karta.png", "A 51574-2021")</f>
        <v/>
      </c>
      <c r="V406">
        <f>HYPERLINK("https://klasma.github.io/Logging_2101/klagomål/A 51574-2021 FSC-klagomål.docx", "A 51574-2021")</f>
        <v/>
      </c>
      <c r="W406">
        <f>HYPERLINK("https://klasma.github.io/Logging_2101/klagomålsmail/A 51574-2021 FSC-klagomål mail.docx", "A 51574-2021")</f>
        <v/>
      </c>
      <c r="X406">
        <f>HYPERLINK("https://klasma.github.io/Logging_2101/tillsyn/A 51574-2021 tillsynsbegäran.docx", "A 51574-2021")</f>
        <v/>
      </c>
      <c r="Y406">
        <f>HYPERLINK("https://klasma.github.io/Logging_2101/tillsynsmail/A 51574-2021 tillsynsbegäran mail.docx", "A 51574-2021")</f>
        <v/>
      </c>
    </row>
    <row r="407" ht="15" customHeight="1">
      <c r="A407" t="inlineStr">
        <is>
          <t>A 52166-2021</t>
        </is>
      </c>
      <c r="B407" s="1" t="n">
        <v>44463</v>
      </c>
      <c r="C407" s="1" t="n">
        <v>45587</v>
      </c>
      <c r="D407" t="inlineStr">
        <is>
          <t>GÄVLEBORGS LÄN</t>
        </is>
      </c>
      <c r="E407" t="inlineStr">
        <is>
          <t>OVANÅKER</t>
        </is>
      </c>
      <c r="F407" t="inlineStr">
        <is>
          <t>Sveaskog</t>
        </is>
      </c>
      <c r="G407" t="n">
        <v>0.4</v>
      </c>
      <c r="H407" t="n">
        <v>0</v>
      </c>
      <c r="I407" t="n">
        <v>1</v>
      </c>
      <c r="J407" t="n">
        <v>0</v>
      </c>
      <c r="K407" t="n">
        <v>0</v>
      </c>
      <c r="L407" t="n">
        <v>0</v>
      </c>
      <c r="M407" t="n">
        <v>0</v>
      </c>
      <c r="N407" t="n">
        <v>0</v>
      </c>
      <c r="O407" t="n">
        <v>0</v>
      </c>
      <c r="P407" t="n">
        <v>0</v>
      </c>
      <c r="Q407" t="n">
        <v>1</v>
      </c>
      <c r="R407" s="2" t="inlineStr">
        <is>
          <t>Dropptaggsvamp</t>
        </is>
      </c>
      <c r="S407">
        <f>HYPERLINK("https://klasma.github.io/Logging_2121/artfynd/A 52166-2021 artfynd.xlsx", "A 52166-2021")</f>
        <v/>
      </c>
      <c r="T407">
        <f>HYPERLINK("https://klasma.github.io/Logging_2121/kartor/A 52166-2021 karta.png", "A 52166-2021")</f>
        <v/>
      </c>
      <c r="V407">
        <f>HYPERLINK("https://klasma.github.io/Logging_2121/klagomål/A 52166-2021 FSC-klagomål.docx", "A 52166-2021")</f>
        <v/>
      </c>
      <c r="W407">
        <f>HYPERLINK("https://klasma.github.io/Logging_2121/klagomålsmail/A 52166-2021 FSC-klagomål mail.docx", "A 52166-2021")</f>
        <v/>
      </c>
      <c r="X407">
        <f>HYPERLINK("https://klasma.github.io/Logging_2121/tillsyn/A 52166-2021 tillsynsbegäran.docx", "A 52166-2021")</f>
        <v/>
      </c>
      <c r="Y407">
        <f>HYPERLINK("https://klasma.github.io/Logging_2121/tillsynsmail/A 52166-2021 tillsynsbegäran mail.docx", "A 52166-2021")</f>
        <v/>
      </c>
    </row>
    <row r="408" ht="15" customHeight="1">
      <c r="A408" t="inlineStr">
        <is>
          <t>A 54828-2021</t>
        </is>
      </c>
      <c r="B408" s="1" t="n">
        <v>44473</v>
      </c>
      <c r="C408" s="1" t="n">
        <v>45587</v>
      </c>
      <c r="D408" t="inlineStr">
        <is>
          <t>GÄVLEBORGS LÄN</t>
        </is>
      </c>
      <c r="E408" t="inlineStr">
        <is>
          <t>HOFORS</t>
        </is>
      </c>
      <c r="F408" t="inlineStr">
        <is>
          <t>Bergvik skog väst AB</t>
        </is>
      </c>
      <c r="G408" t="n">
        <v>5.1</v>
      </c>
      <c r="H408" t="n">
        <v>1</v>
      </c>
      <c r="I408" t="n">
        <v>0</v>
      </c>
      <c r="J408" t="n">
        <v>0</v>
      </c>
      <c r="K408" t="n">
        <v>1</v>
      </c>
      <c r="L408" t="n">
        <v>0</v>
      </c>
      <c r="M408" t="n">
        <v>0</v>
      </c>
      <c r="N408" t="n">
        <v>0</v>
      </c>
      <c r="O408" t="n">
        <v>1</v>
      </c>
      <c r="P408" t="n">
        <v>1</v>
      </c>
      <c r="Q408" t="n">
        <v>1</v>
      </c>
      <c r="R408" s="2" t="inlineStr">
        <is>
          <t>Knärot</t>
        </is>
      </c>
      <c r="S408">
        <f>HYPERLINK("https://klasma.github.io/Logging_2104/artfynd/A 54828-2021 artfynd.xlsx", "A 54828-2021")</f>
        <v/>
      </c>
      <c r="T408">
        <f>HYPERLINK("https://klasma.github.io/Logging_2104/kartor/A 54828-2021 karta.png", "A 54828-2021")</f>
        <v/>
      </c>
      <c r="U408">
        <f>HYPERLINK("https://klasma.github.io/Logging_2104/knärot/A 54828-2021 karta knärot.png", "A 54828-2021")</f>
        <v/>
      </c>
      <c r="V408">
        <f>HYPERLINK("https://klasma.github.io/Logging_2104/klagomål/A 54828-2021 FSC-klagomål.docx", "A 54828-2021")</f>
        <v/>
      </c>
      <c r="W408">
        <f>HYPERLINK("https://klasma.github.io/Logging_2104/klagomålsmail/A 54828-2021 FSC-klagomål mail.docx", "A 54828-2021")</f>
        <v/>
      </c>
      <c r="X408">
        <f>HYPERLINK("https://klasma.github.io/Logging_2104/tillsyn/A 54828-2021 tillsynsbegäran.docx", "A 54828-2021")</f>
        <v/>
      </c>
      <c r="Y408">
        <f>HYPERLINK("https://klasma.github.io/Logging_2104/tillsynsmail/A 54828-2021 tillsynsbegäran mail.docx", "A 54828-2021")</f>
        <v/>
      </c>
    </row>
    <row r="409" ht="15" customHeight="1">
      <c r="A409" t="inlineStr">
        <is>
          <t>A 56589-2021</t>
        </is>
      </c>
      <c r="B409" s="1" t="n">
        <v>44480</v>
      </c>
      <c r="C409" s="1" t="n">
        <v>45587</v>
      </c>
      <c r="D409" t="inlineStr">
        <is>
          <t>GÄVLEBORGS LÄN</t>
        </is>
      </c>
      <c r="E409" t="inlineStr">
        <is>
          <t>LJUSDAL</t>
        </is>
      </c>
      <c r="G409" t="n">
        <v>11.4</v>
      </c>
      <c r="H409" t="n">
        <v>1</v>
      </c>
      <c r="I409" t="n">
        <v>0</v>
      </c>
      <c r="J409" t="n">
        <v>0</v>
      </c>
      <c r="K409" t="n">
        <v>1</v>
      </c>
      <c r="L409" t="n">
        <v>0</v>
      </c>
      <c r="M409" t="n">
        <v>0</v>
      </c>
      <c r="N409" t="n">
        <v>0</v>
      </c>
      <c r="O409" t="n">
        <v>1</v>
      </c>
      <c r="P409" t="n">
        <v>1</v>
      </c>
      <c r="Q409" t="n">
        <v>1</v>
      </c>
      <c r="R409" s="2" t="inlineStr">
        <is>
          <t>Tallbit</t>
        </is>
      </c>
      <c r="S409">
        <f>HYPERLINK("https://klasma.github.io/Logging_2161/artfynd/A 56589-2021 artfynd.xlsx", "A 56589-2021")</f>
        <v/>
      </c>
      <c r="T409">
        <f>HYPERLINK("https://klasma.github.io/Logging_2161/kartor/A 56589-2021 karta.png", "A 56589-2021")</f>
        <v/>
      </c>
      <c r="V409">
        <f>HYPERLINK("https://klasma.github.io/Logging_2161/klagomål/A 56589-2021 FSC-klagomål.docx", "A 56589-2021")</f>
        <v/>
      </c>
      <c r="W409">
        <f>HYPERLINK("https://klasma.github.io/Logging_2161/klagomålsmail/A 56589-2021 FSC-klagomål mail.docx", "A 56589-2021")</f>
        <v/>
      </c>
      <c r="X409">
        <f>HYPERLINK("https://klasma.github.io/Logging_2161/tillsyn/A 56589-2021 tillsynsbegäran.docx", "A 56589-2021")</f>
        <v/>
      </c>
      <c r="Y409">
        <f>HYPERLINK("https://klasma.github.io/Logging_2161/tillsynsmail/A 56589-2021 tillsynsbegäran mail.docx", "A 56589-2021")</f>
        <v/>
      </c>
      <c r="Z409">
        <f>HYPERLINK("https://klasma.github.io/Logging_2161/fåglar/A 56589-2021 prioriterade fågelarter.docx", "A 56589-2021")</f>
        <v/>
      </c>
    </row>
    <row r="410" ht="15" customHeight="1">
      <c r="A410" t="inlineStr">
        <is>
          <t>A 58900-2021</t>
        </is>
      </c>
      <c r="B410" s="1" t="n">
        <v>44489</v>
      </c>
      <c r="C410" s="1" t="n">
        <v>45587</v>
      </c>
      <c r="D410" t="inlineStr">
        <is>
          <t>GÄVLEBORGS LÄN</t>
        </is>
      </c>
      <c r="E410" t="inlineStr">
        <is>
          <t>LJUSDAL</t>
        </is>
      </c>
      <c r="F410" t="inlineStr">
        <is>
          <t>Sveaskog</t>
        </is>
      </c>
      <c r="G410" t="n">
        <v>5.2</v>
      </c>
      <c r="H410" t="n">
        <v>0</v>
      </c>
      <c r="I410" t="n">
        <v>1</v>
      </c>
      <c r="J410" t="n">
        <v>0</v>
      </c>
      <c r="K410" t="n">
        <v>0</v>
      </c>
      <c r="L410" t="n">
        <v>0</v>
      </c>
      <c r="M410" t="n">
        <v>0</v>
      </c>
      <c r="N410" t="n">
        <v>0</v>
      </c>
      <c r="O410" t="n">
        <v>0</v>
      </c>
      <c r="P410" t="n">
        <v>0</v>
      </c>
      <c r="Q410" t="n">
        <v>1</v>
      </c>
      <c r="R410" s="2" t="inlineStr">
        <is>
          <t>Skuggblåslav</t>
        </is>
      </c>
      <c r="S410">
        <f>HYPERLINK("https://klasma.github.io/Logging_2161/artfynd/A 58900-2021 artfynd.xlsx", "A 58900-2021")</f>
        <v/>
      </c>
      <c r="T410">
        <f>HYPERLINK("https://klasma.github.io/Logging_2161/kartor/A 58900-2021 karta.png", "A 58900-2021")</f>
        <v/>
      </c>
      <c r="V410">
        <f>HYPERLINK("https://klasma.github.io/Logging_2161/klagomål/A 58900-2021 FSC-klagomål.docx", "A 58900-2021")</f>
        <v/>
      </c>
      <c r="W410">
        <f>HYPERLINK("https://klasma.github.io/Logging_2161/klagomålsmail/A 58900-2021 FSC-klagomål mail.docx", "A 58900-2021")</f>
        <v/>
      </c>
      <c r="X410">
        <f>HYPERLINK("https://klasma.github.io/Logging_2161/tillsyn/A 58900-2021 tillsynsbegäran.docx", "A 58900-2021")</f>
        <v/>
      </c>
      <c r="Y410">
        <f>HYPERLINK("https://klasma.github.io/Logging_2161/tillsynsmail/A 58900-2021 tillsynsbegäran mail.docx", "A 58900-2021")</f>
        <v/>
      </c>
    </row>
    <row r="411" ht="15" customHeight="1">
      <c r="A411" t="inlineStr">
        <is>
          <t>A 58828-2021</t>
        </is>
      </c>
      <c r="B411" s="1" t="n">
        <v>44489</v>
      </c>
      <c r="C411" s="1" t="n">
        <v>45587</v>
      </c>
      <c r="D411" t="inlineStr">
        <is>
          <t>GÄVLEBORGS LÄN</t>
        </is>
      </c>
      <c r="E411" t="inlineStr">
        <is>
          <t>NORDANSTIG</t>
        </is>
      </c>
      <c r="G411" t="n">
        <v>1.3</v>
      </c>
      <c r="H411" t="n">
        <v>0</v>
      </c>
      <c r="I411" t="n">
        <v>0</v>
      </c>
      <c r="J411" t="n">
        <v>1</v>
      </c>
      <c r="K411" t="n">
        <v>0</v>
      </c>
      <c r="L411" t="n">
        <v>0</v>
      </c>
      <c r="M411" t="n">
        <v>0</v>
      </c>
      <c r="N411" t="n">
        <v>0</v>
      </c>
      <c r="O411" t="n">
        <v>1</v>
      </c>
      <c r="P411" t="n">
        <v>0</v>
      </c>
      <c r="Q411" t="n">
        <v>1</v>
      </c>
      <c r="R411" s="2" t="inlineStr">
        <is>
          <t>Lunglav</t>
        </is>
      </c>
      <c r="S411">
        <f>HYPERLINK("https://klasma.github.io/Logging_2132/artfynd/A 58828-2021 artfynd.xlsx", "A 58828-2021")</f>
        <v/>
      </c>
      <c r="T411">
        <f>HYPERLINK("https://klasma.github.io/Logging_2132/kartor/A 58828-2021 karta.png", "A 58828-2021")</f>
        <v/>
      </c>
      <c r="V411">
        <f>HYPERLINK("https://klasma.github.io/Logging_2132/klagomål/A 58828-2021 FSC-klagomål.docx", "A 58828-2021")</f>
        <v/>
      </c>
      <c r="W411">
        <f>HYPERLINK("https://klasma.github.io/Logging_2132/klagomålsmail/A 58828-2021 FSC-klagomål mail.docx", "A 58828-2021")</f>
        <v/>
      </c>
      <c r="X411">
        <f>HYPERLINK("https://klasma.github.io/Logging_2132/tillsyn/A 58828-2021 tillsynsbegäran.docx", "A 58828-2021")</f>
        <v/>
      </c>
      <c r="Y411">
        <f>HYPERLINK("https://klasma.github.io/Logging_2132/tillsynsmail/A 58828-2021 tillsynsbegäran mail.docx", "A 58828-2021")</f>
        <v/>
      </c>
    </row>
    <row r="412" ht="15" customHeight="1">
      <c r="A412" t="inlineStr">
        <is>
          <t>A 59225-2021</t>
        </is>
      </c>
      <c r="B412" s="1" t="n">
        <v>44490</v>
      </c>
      <c r="C412" s="1" t="n">
        <v>45587</v>
      </c>
      <c r="D412" t="inlineStr">
        <is>
          <t>GÄVLEBORGS LÄN</t>
        </is>
      </c>
      <c r="E412" t="inlineStr">
        <is>
          <t>GÄVLE</t>
        </is>
      </c>
      <c r="F412" t="inlineStr">
        <is>
          <t>Bergvik skog öst AB</t>
        </is>
      </c>
      <c r="G412" t="n">
        <v>0.7</v>
      </c>
      <c r="H412" t="n">
        <v>1</v>
      </c>
      <c r="I412" t="n">
        <v>0</v>
      </c>
      <c r="J412" t="n">
        <v>0</v>
      </c>
      <c r="K412" t="n">
        <v>0</v>
      </c>
      <c r="L412" t="n">
        <v>0</v>
      </c>
      <c r="M412" t="n">
        <v>0</v>
      </c>
      <c r="N412" t="n">
        <v>0</v>
      </c>
      <c r="O412" t="n">
        <v>0</v>
      </c>
      <c r="P412" t="n">
        <v>0</v>
      </c>
      <c r="Q412" t="n">
        <v>1</v>
      </c>
      <c r="R412" s="2" t="inlineStr">
        <is>
          <t>Blåsippa</t>
        </is>
      </c>
      <c r="S412">
        <f>HYPERLINK("https://klasma.github.io/Logging_2180/artfynd/A 59225-2021 artfynd.xlsx", "A 59225-2021")</f>
        <v/>
      </c>
      <c r="T412">
        <f>HYPERLINK("https://klasma.github.io/Logging_2180/kartor/A 59225-2021 karta.png", "A 59225-2021")</f>
        <v/>
      </c>
      <c r="V412">
        <f>HYPERLINK("https://klasma.github.io/Logging_2180/klagomål/A 59225-2021 FSC-klagomål.docx", "A 59225-2021")</f>
        <v/>
      </c>
      <c r="W412">
        <f>HYPERLINK("https://klasma.github.io/Logging_2180/klagomålsmail/A 59225-2021 FSC-klagomål mail.docx", "A 59225-2021")</f>
        <v/>
      </c>
      <c r="X412">
        <f>HYPERLINK("https://klasma.github.io/Logging_2180/tillsyn/A 59225-2021 tillsynsbegäran.docx", "A 59225-2021")</f>
        <v/>
      </c>
      <c r="Y412">
        <f>HYPERLINK("https://klasma.github.io/Logging_2180/tillsynsmail/A 59225-2021 tillsynsbegäran mail.docx", "A 59225-2021")</f>
        <v/>
      </c>
    </row>
    <row r="413" ht="15" customHeight="1">
      <c r="A413" t="inlineStr">
        <is>
          <t>A 59607-2021</t>
        </is>
      </c>
      <c r="B413" s="1" t="n">
        <v>44491</v>
      </c>
      <c r="C413" s="1" t="n">
        <v>45587</v>
      </c>
      <c r="D413" t="inlineStr">
        <is>
          <t>GÄVLEBORGS LÄN</t>
        </is>
      </c>
      <c r="E413" t="inlineStr">
        <is>
          <t>LJUSDAL</t>
        </is>
      </c>
      <c r="F413" t="inlineStr">
        <is>
          <t>Sveaskog</t>
        </is>
      </c>
      <c r="G413" t="n">
        <v>1.7</v>
      </c>
      <c r="H413" t="n">
        <v>1</v>
      </c>
      <c r="I413" t="n">
        <v>0</v>
      </c>
      <c r="J413" t="n">
        <v>0</v>
      </c>
      <c r="K413" t="n">
        <v>1</v>
      </c>
      <c r="L413" t="n">
        <v>0</v>
      </c>
      <c r="M413" t="n">
        <v>0</v>
      </c>
      <c r="N413" t="n">
        <v>0</v>
      </c>
      <c r="O413" t="n">
        <v>1</v>
      </c>
      <c r="P413" t="n">
        <v>1</v>
      </c>
      <c r="Q413" t="n">
        <v>1</v>
      </c>
      <c r="R413" s="2" t="inlineStr">
        <is>
          <t>Knärot</t>
        </is>
      </c>
      <c r="S413">
        <f>HYPERLINK("https://klasma.github.io/Logging_2161/artfynd/A 59607-2021 artfynd.xlsx", "A 59607-2021")</f>
        <v/>
      </c>
      <c r="T413">
        <f>HYPERLINK("https://klasma.github.io/Logging_2161/kartor/A 59607-2021 karta.png", "A 59607-2021")</f>
        <v/>
      </c>
      <c r="U413">
        <f>HYPERLINK("https://klasma.github.io/Logging_2161/knärot/A 59607-2021 karta knärot.png", "A 59607-2021")</f>
        <v/>
      </c>
      <c r="V413">
        <f>HYPERLINK("https://klasma.github.io/Logging_2161/klagomål/A 59607-2021 FSC-klagomål.docx", "A 59607-2021")</f>
        <v/>
      </c>
      <c r="W413">
        <f>HYPERLINK("https://klasma.github.io/Logging_2161/klagomålsmail/A 59607-2021 FSC-klagomål mail.docx", "A 59607-2021")</f>
        <v/>
      </c>
      <c r="X413">
        <f>HYPERLINK("https://klasma.github.io/Logging_2161/tillsyn/A 59607-2021 tillsynsbegäran.docx", "A 59607-2021")</f>
        <v/>
      </c>
      <c r="Y413">
        <f>HYPERLINK("https://klasma.github.io/Logging_2161/tillsynsmail/A 59607-2021 tillsynsbegäran mail.docx", "A 59607-2021")</f>
        <v/>
      </c>
    </row>
    <row r="414" ht="15" customHeight="1">
      <c r="A414" t="inlineStr">
        <is>
          <t>A 60615-2021</t>
        </is>
      </c>
      <c r="B414" s="1" t="n">
        <v>44496</v>
      </c>
      <c r="C414" s="1" t="n">
        <v>45587</v>
      </c>
      <c r="D414" t="inlineStr">
        <is>
          <t>GÄVLEBORGS LÄN</t>
        </is>
      </c>
      <c r="E414" t="inlineStr">
        <is>
          <t>OCKELBO</t>
        </is>
      </c>
      <c r="F414" t="inlineStr">
        <is>
          <t>Bergvik skog väst AB</t>
        </is>
      </c>
      <c r="G414" t="n">
        <v>1.4</v>
      </c>
      <c r="H414" t="n">
        <v>1</v>
      </c>
      <c r="I414" t="n">
        <v>0</v>
      </c>
      <c r="J414" t="n">
        <v>0</v>
      </c>
      <c r="K414" t="n">
        <v>0</v>
      </c>
      <c r="L414" t="n">
        <v>0</v>
      </c>
      <c r="M414" t="n">
        <v>0</v>
      </c>
      <c r="N414" t="n">
        <v>0</v>
      </c>
      <c r="O414" t="n">
        <v>0</v>
      </c>
      <c r="P414" t="n">
        <v>0</v>
      </c>
      <c r="Q414" t="n">
        <v>1</v>
      </c>
      <c r="R414" s="2" t="inlineStr">
        <is>
          <t>Vanlig padda</t>
        </is>
      </c>
      <c r="S414">
        <f>HYPERLINK("https://klasma.github.io/Logging_2101/artfynd/A 60615-2021 artfynd.xlsx", "A 60615-2021")</f>
        <v/>
      </c>
      <c r="T414">
        <f>HYPERLINK("https://klasma.github.io/Logging_2101/kartor/A 60615-2021 karta.png", "A 60615-2021")</f>
        <v/>
      </c>
      <c r="V414">
        <f>HYPERLINK("https://klasma.github.io/Logging_2101/klagomål/A 60615-2021 FSC-klagomål.docx", "A 60615-2021")</f>
        <v/>
      </c>
      <c r="W414">
        <f>HYPERLINK("https://klasma.github.io/Logging_2101/klagomålsmail/A 60615-2021 FSC-klagomål mail.docx", "A 60615-2021")</f>
        <v/>
      </c>
      <c r="X414">
        <f>HYPERLINK("https://klasma.github.io/Logging_2101/tillsyn/A 60615-2021 tillsynsbegäran.docx", "A 60615-2021")</f>
        <v/>
      </c>
      <c r="Y414">
        <f>HYPERLINK("https://klasma.github.io/Logging_2101/tillsynsmail/A 60615-2021 tillsynsbegäran mail.docx", "A 60615-2021")</f>
        <v/>
      </c>
    </row>
    <row r="415" ht="15" customHeight="1">
      <c r="A415" t="inlineStr">
        <is>
          <t>A 64604-2021</t>
        </is>
      </c>
      <c r="B415" s="1" t="n">
        <v>44511</v>
      </c>
      <c r="C415" s="1" t="n">
        <v>45587</v>
      </c>
      <c r="D415" t="inlineStr">
        <is>
          <t>GÄVLEBORGS LÄN</t>
        </is>
      </c>
      <c r="E415" t="inlineStr">
        <is>
          <t>HOFORS</t>
        </is>
      </c>
      <c r="F415" t="inlineStr">
        <is>
          <t>Kyrkan</t>
        </is>
      </c>
      <c r="G415" t="n">
        <v>1.7</v>
      </c>
      <c r="H415" t="n">
        <v>0</v>
      </c>
      <c r="I415" t="n">
        <v>1</v>
      </c>
      <c r="J415" t="n">
        <v>0</v>
      </c>
      <c r="K415" t="n">
        <v>0</v>
      </c>
      <c r="L415" t="n">
        <v>0</v>
      </c>
      <c r="M415" t="n">
        <v>0</v>
      </c>
      <c r="N415" t="n">
        <v>0</v>
      </c>
      <c r="O415" t="n">
        <v>0</v>
      </c>
      <c r="P415" t="n">
        <v>0</v>
      </c>
      <c r="Q415" t="n">
        <v>1</v>
      </c>
      <c r="R415" s="2" t="inlineStr">
        <is>
          <t>Bågpraktmossa</t>
        </is>
      </c>
      <c r="S415">
        <f>HYPERLINK("https://klasma.github.io/Logging_2104/artfynd/A 64604-2021 artfynd.xlsx", "A 64604-2021")</f>
        <v/>
      </c>
      <c r="T415">
        <f>HYPERLINK("https://klasma.github.io/Logging_2104/kartor/A 64604-2021 karta.png", "A 64604-2021")</f>
        <v/>
      </c>
      <c r="V415">
        <f>HYPERLINK("https://klasma.github.io/Logging_2104/klagomål/A 64604-2021 FSC-klagomål.docx", "A 64604-2021")</f>
        <v/>
      </c>
      <c r="W415">
        <f>HYPERLINK("https://klasma.github.io/Logging_2104/klagomålsmail/A 64604-2021 FSC-klagomål mail.docx", "A 64604-2021")</f>
        <v/>
      </c>
      <c r="X415">
        <f>HYPERLINK("https://klasma.github.io/Logging_2104/tillsyn/A 64604-2021 tillsynsbegäran.docx", "A 64604-2021")</f>
        <v/>
      </c>
      <c r="Y415">
        <f>HYPERLINK("https://klasma.github.io/Logging_2104/tillsynsmail/A 64604-2021 tillsynsbegäran mail.docx", "A 64604-2021")</f>
        <v/>
      </c>
    </row>
    <row r="416" ht="15" customHeight="1">
      <c r="A416" t="inlineStr">
        <is>
          <t>A 65446-2021</t>
        </is>
      </c>
      <c r="B416" s="1" t="n">
        <v>44515</v>
      </c>
      <c r="C416" s="1" t="n">
        <v>45587</v>
      </c>
      <c r="D416" t="inlineStr">
        <is>
          <t>GÄVLEBORGS LÄN</t>
        </is>
      </c>
      <c r="E416" t="inlineStr">
        <is>
          <t>BOLLNÄS</t>
        </is>
      </c>
      <c r="F416" t="inlineStr">
        <is>
          <t>Bergvik skog väst AB</t>
        </is>
      </c>
      <c r="G416" t="n">
        <v>14.4</v>
      </c>
      <c r="H416" t="n">
        <v>1</v>
      </c>
      <c r="I416" t="n">
        <v>0</v>
      </c>
      <c r="J416" t="n">
        <v>0</v>
      </c>
      <c r="K416" t="n">
        <v>0</v>
      </c>
      <c r="L416" t="n">
        <v>1</v>
      </c>
      <c r="M416" t="n">
        <v>0</v>
      </c>
      <c r="N416" t="n">
        <v>0</v>
      </c>
      <c r="O416" t="n">
        <v>1</v>
      </c>
      <c r="P416" t="n">
        <v>1</v>
      </c>
      <c r="Q416" t="n">
        <v>1</v>
      </c>
      <c r="R416" s="2" t="inlineStr">
        <is>
          <t>Bredgentiana</t>
        </is>
      </c>
      <c r="S416">
        <f>HYPERLINK("https://klasma.github.io/Logging_2183/artfynd/A 65446-2021 artfynd.xlsx", "A 65446-2021")</f>
        <v/>
      </c>
      <c r="T416">
        <f>HYPERLINK("https://klasma.github.io/Logging_2183/kartor/A 65446-2021 karta.png", "A 65446-2021")</f>
        <v/>
      </c>
      <c r="V416">
        <f>HYPERLINK("https://klasma.github.io/Logging_2183/klagomål/A 65446-2021 FSC-klagomål.docx", "A 65446-2021")</f>
        <v/>
      </c>
      <c r="W416">
        <f>HYPERLINK("https://klasma.github.io/Logging_2183/klagomålsmail/A 65446-2021 FSC-klagomål mail.docx", "A 65446-2021")</f>
        <v/>
      </c>
      <c r="X416">
        <f>HYPERLINK("https://klasma.github.io/Logging_2183/tillsyn/A 65446-2021 tillsynsbegäran.docx", "A 65446-2021")</f>
        <v/>
      </c>
      <c r="Y416">
        <f>HYPERLINK("https://klasma.github.io/Logging_2183/tillsynsmail/A 65446-2021 tillsynsbegäran mail.docx", "A 65446-2021")</f>
        <v/>
      </c>
    </row>
    <row r="417" ht="15" customHeight="1">
      <c r="A417" t="inlineStr">
        <is>
          <t>A 66495-2021</t>
        </is>
      </c>
      <c r="B417" s="1" t="n">
        <v>44519</v>
      </c>
      <c r="C417" s="1" t="n">
        <v>45587</v>
      </c>
      <c r="D417" t="inlineStr">
        <is>
          <t>GÄVLEBORGS LÄN</t>
        </is>
      </c>
      <c r="E417" t="inlineStr">
        <is>
          <t>GÄVLE</t>
        </is>
      </c>
      <c r="G417" t="n">
        <v>2</v>
      </c>
      <c r="H417" t="n">
        <v>0</v>
      </c>
      <c r="I417" t="n">
        <v>0</v>
      </c>
      <c r="J417" t="n">
        <v>1</v>
      </c>
      <c r="K417" t="n">
        <v>0</v>
      </c>
      <c r="L417" t="n">
        <v>0</v>
      </c>
      <c r="M417" t="n">
        <v>0</v>
      </c>
      <c r="N417" t="n">
        <v>0</v>
      </c>
      <c r="O417" t="n">
        <v>1</v>
      </c>
      <c r="P417" t="n">
        <v>0</v>
      </c>
      <c r="Q417" t="n">
        <v>1</v>
      </c>
      <c r="R417" s="2" t="inlineStr">
        <is>
          <t>Sumpviol</t>
        </is>
      </c>
      <c r="S417">
        <f>HYPERLINK("https://klasma.github.io/Logging_2180/artfynd/A 66495-2021 artfynd.xlsx", "A 66495-2021")</f>
        <v/>
      </c>
      <c r="T417">
        <f>HYPERLINK("https://klasma.github.io/Logging_2180/kartor/A 66495-2021 karta.png", "A 66495-2021")</f>
        <v/>
      </c>
      <c r="V417">
        <f>HYPERLINK("https://klasma.github.io/Logging_2180/klagomål/A 66495-2021 FSC-klagomål.docx", "A 66495-2021")</f>
        <v/>
      </c>
      <c r="W417">
        <f>HYPERLINK("https://klasma.github.io/Logging_2180/klagomålsmail/A 66495-2021 FSC-klagomål mail.docx", "A 66495-2021")</f>
        <v/>
      </c>
      <c r="X417">
        <f>HYPERLINK("https://klasma.github.io/Logging_2180/tillsyn/A 66495-2021 tillsynsbegäran.docx", "A 66495-2021")</f>
        <v/>
      </c>
      <c r="Y417">
        <f>HYPERLINK("https://klasma.github.io/Logging_2180/tillsynsmail/A 66495-2021 tillsynsbegäran mail.docx", "A 66495-2021")</f>
        <v/>
      </c>
    </row>
    <row r="418" ht="15" customHeight="1">
      <c r="A418" t="inlineStr">
        <is>
          <t>A 68162-2021</t>
        </is>
      </c>
      <c r="B418" s="1" t="n">
        <v>44526</v>
      </c>
      <c r="C418" s="1" t="n">
        <v>45587</v>
      </c>
      <c r="D418" t="inlineStr">
        <is>
          <t>GÄVLEBORGS LÄN</t>
        </is>
      </c>
      <c r="E418" t="inlineStr">
        <is>
          <t>HUDIKSVALL</t>
        </is>
      </c>
      <c r="G418" t="n">
        <v>1.1</v>
      </c>
      <c r="H418" t="n">
        <v>1</v>
      </c>
      <c r="I418" t="n">
        <v>0</v>
      </c>
      <c r="J418" t="n">
        <v>0</v>
      </c>
      <c r="K418" t="n">
        <v>0</v>
      </c>
      <c r="L418" t="n">
        <v>0</v>
      </c>
      <c r="M418" t="n">
        <v>0</v>
      </c>
      <c r="N418" t="n">
        <v>0</v>
      </c>
      <c r="O418" t="n">
        <v>0</v>
      </c>
      <c r="P418" t="n">
        <v>0</v>
      </c>
      <c r="Q418" t="n">
        <v>1</v>
      </c>
      <c r="R418" s="2" t="inlineStr">
        <is>
          <t>Större vattensalamander</t>
        </is>
      </c>
      <c r="S418">
        <f>HYPERLINK("https://klasma.github.io/Logging_2184/artfynd/A 68162-2021 artfynd.xlsx", "A 68162-2021")</f>
        <v/>
      </c>
      <c r="T418">
        <f>HYPERLINK("https://klasma.github.io/Logging_2184/kartor/A 68162-2021 karta.png", "A 68162-2021")</f>
        <v/>
      </c>
      <c r="V418">
        <f>HYPERLINK("https://klasma.github.io/Logging_2184/klagomål/A 68162-2021 FSC-klagomål.docx", "A 68162-2021")</f>
        <v/>
      </c>
      <c r="W418">
        <f>HYPERLINK("https://klasma.github.io/Logging_2184/klagomålsmail/A 68162-2021 FSC-klagomål mail.docx", "A 68162-2021")</f>
        <v/>
      </c>
      <c r="X418">
        <f>HYPERLINK("https://klasma.github.io/Logging_2184/tillsyn/A 68162-2021 tillsynsbegäran.docx", "A 68162-2021")</f>
        <v/>
      </c>
      <c r="Y418">
        <f>HYPERLINK("https://klasma.github.io/Logging_2184/tillsynsmail/A 68162-2021 tillsynsbegäran mail.docx", "A 68162-2021")</f>
        <v/>
      </c>
    </row>
    <row r="419" ht="15" customHeight="1">
      <c r="A419" t="inlineStr">
        <is>
          <t>A 71122-2021</t>
        </is>
      </c>
      <c r="B419" s="1" t="n">
        <v>44539</v>
      </c>
      <c r="C419" s="1" t="n">
        <v>45587</v>
      </c>
      <c r="D419" t="inlineStr">
        <is>
          <t>GÄVLEBORGS LÄN</t>
        </is>
      </c>
      <c r="E419" t="inlineStr">
        <is>
          <t>HUDIKSVALL</t>
        </is>
      </c>
      <c r="G419" t="n">
        <v>2.6</v>
      </c>
      <c r="H419" t="n">
        <v>1</v>
      </c>
      <c r="I419" t="n">
        <v>0</v>
      </c>
      <c r="J419" t="n">
        <v>0</v>
      </c>
      <c r="K419" t="n">
        <v>1</v>
      </c>
      <c r="L419" t="n">
        <v>0</v>
      </c>
      <c r="M419" t="n">
        <v>0</v>
      </c>
      <c r="N419" t="n">
        <v>0</v>
      </c>
      <c r="O419" t="n">
        <v>1</v>
      </c>
      <c r="P419" t="n">
        <v>1</v>
      </c>
      <c r="Q419" t="n">
        <v>1</v>
      </c>
      <c r="R419" s="2" t="inlineStr">
        <is>
          <t>Knärot</t>
        </is>
      </c>
      <c r="S419">
        <f>HYPERLINK("https://klasma.github.io/Logging_2184/artfynd/A 71122-2021 artfynd.xlsx", "A 71122-2021")</f>
        <v/>
      </c>
      <c r="T419">
        <f>HYPERLINK("https://klasma.github.io/Logging_2184/kartor/A 71122-2021 karta.png", "A 71122-2021")</f>
        <v/>
      </c>
      <c r="U419">
        <f>HYPERLINK("https://klasma.github.io/Logging_2184/knärot/A 71122-2021 karta knärot.png", "A 71122-2021")</f>
        <v/>
      </c>
      <c r="V419">
        <f>HYPERLINK("https://klasma.github.io/Logging_2184/klagomål/A 71122-2021 FSC-klagomål.docx", "A 71122-2021")</f>
        <v/>
      </c>
      <c r="W419">
        <f>HYPERLINK("https://klasma.github.io/Logging_2184/klagomålsmail/A 71122-2021 FSC-klagomål mail.docx", "A 71122-2021")</f>
        <v/>
      </c>
      <c r="X419">
        <f>HYPERLINK("https://klasma.github.io/Logging_2184/tillsyn/A 71122-2021 tillsynsbegäran.docx", "A 71122-2021")</f>
        <v/>
      </c>
      <c r="Y419">
        <f>HYPERLINK("https://klasma.github.io/Logging_2184/tillsynsmail/A 71122-2021 tillsynsbegäran mail.docx", "A 71122-2021")</f>
        <v/>
      </c>
    </row>
    <row r="420" ht="15" customHeight="1">
      <c r="A420" t="inlineStr">
        <is>
          <t>A 74349-2021</t>
        </is>
      </c>
      <c r="B420" s="1" t="n">
        <v>44559</v>
      </c>
      <c r="C420" s="1" t="n">
        <v>45587</v>
      </c>
      <c r="D420" t="inlineStr">
        <is>
          <t>GÄVLEBORGS LÄN</t>
        </is>
      </c>
      <c r="E420" t="inlineStr">
        <is>
          <t>HOFORS</t>
        </is>
      </c>
      <c r="G420" t="n">
        <v>1.3</v>
      </c>
      <c r="H420" t="n">
        <v>0</v>
      </c>
      <c r="I420" t="n">
        <v>0</v>
      </c>
      <c r="J420" t="n">
        <v>1</v>
      </c>
      <c r="K420" t="n">
        <v>0</v>
      </c>
      <c r="L420" t="n">
        <v>0</v>
      </c>
      <c r="M420" t="n">
        <v>0</v>
      </c>
      <c r="N420" t="n">
        <v>0</v>
      </c>
      <c r="O420" t="n">
        <v>1</v>
      </c>
      <c r="P420" t="n">
        <v>0</v>
      </c>
      <c r="Q420" t="n">
        <v>1</v>
      </c>
      <c r="R420" s="2" t="inlineStr">
        <is>
          <t>Brunklöver</t>
        </is>
      </c>
      <c r="S420">
        <f>HYPERLINK("https://klasma.github.io/Logging_2104/artfynd/A 74349-2021 artfynd.xlsx", "A 74349-2021")</f>
        <v/>
      </c>
      <c r="T420">
        <f>HYPERLINK("https://klasma.github.io/Logging_2104/kartor/A 74349-2021 karta.png", "A 74349-2021")</f>
        <v/>
      </c>
      <c r="V420">
        <f>HYPERLINK("https://klasma.github.io/Logging_2104/klagomål/A 74349-2021 FSC-klagomål.docx", "A 74349-2021")</f>
        <v/>
      </c>
      <c r="W420">
        <f>HYPERLINK("https://klasma.github.io/Logging_2104/klagomålsmail/A 74349-2021 FSC-klagomål mail.docx", "A 74349-2021")</f>
        <v/>
      </c>
      <c r="X420">
        <f>HYPERLINK("https://klasma.github.io/Logging_2104/tillsyn/A 74349-2021 tillsynsbegäran.docx", "A 74349-2021")</f>
        <v/>
      </c>
      <c r="Y420">
        <f>HYPERLINK("https://klasma.github.io/Logging_2104/tillsynsmail/A 74349-2021 tillsynsbegäran mail.docx", "A 74349-2021")</f>
        <v/>
      </c>
    </row>
    <row r="421" ht="15" customHeight="1">
      <c r="A421" t="inlineStr">
        <is>
          <t>A 6779-2022</t>
        </is>
      </c>
      <c r="B421" s="1" t="n">
        <v>44602</v>
      </c>
      <c r="C421" s="1" t="n">
        <v>45587</v>
      </c>
      <c r="D421" t="inlineStr">
        <is>
          <t>GÄVLEBORGS LÄN</t>
        </is>
      </c>
      <c r="E421" t="inlineStr">
        <is>
          <t>GÄVLE</t>
        </is>
      </c>
      <c r="F421" t="inlineStr">
        <is>
          <t>Bergvik skog öst AB</t>
        </is>
      </c>
      <c r="G421" t="n">
        <v>2.8</v>
      </c>
      <c r="H421" t="n">
        <v>0</v>
      </c>
      <c r="I421" t="n">
        <v>0</v>
      </c>
      <c r="J421" t="n">
        <v>1</v>
      </c>
      <c r="K421" t="n">
        <v>0</v>
      </c>
      <c r="L421" t="n">
        <v>0</v>
      </c>
      <c r="M421" t="n">
        <v>0</v>
      </c>
      <c r="N421" t="n">
        <v>0</v>
      </c>
      <c r="O421" t="n">
        <v>1</v>
      </c>
      <c r="P421" t="n">
        <v>0</v>
      </c>
      <c r="Q421" t="n">
        <v>1</v>
      </c>
      <c r="R421" s="2" t="inlineStr">
        <is>
          <t>Skogsklocka</t>
        </is>
      </c>
      <c r="S421">
        <f>HYPERLINK("https://klasma.github.io/Logging_2180/artfynd/A 6779-2022 artfynd.xlsx", "A 6779-2022")</f>
        <v/>
      </c>
      <c r="T421">
        <f>HYPERLINK("https://klasma.github.io/Logging_2180/kartor/A 6779-2022 karta.png", "A 6779-2022")</f>
        <v/>
      </c>
      <c r="V421">
        <f>HYPERLINK("https://klasma.github.io/Logging_2180/klagomål/A 6779-2022 FSC-klagomål.docx", "A 6779-2022")</f>
        <v/>
      </c>
      <c r="W421">
        <f>HYPERLINK("https://klasma.github.io/Logging_2180/klagomålsmail/A 6779-2022 FSC-klagomål mail.docx", "A 6779-2022")</f>
        <v/>
      </c>
      <c r="X421">
        <f>HYPERLINK("https://klasma.github.io/Logging_2180/tillsyn/A 6779-2022 tillsynsbegäran.docx", "A 6779-2022")</f>
        <v/>
      </c>
      <c r="Y421">
        <f>HYPERLINK("https://klasma.github.io/Logging_2180/tillsynsmail/A 6779-2022 tillsynsbegäran mail.docx", "A 6779-2022")</f>
        <v/>
      </c>
    </row>
    <row r="422" ht="15" customHeight="1">
      <c r="A422" t="inlineStr">
        <is>
          <t>A 6942-2022</t>
        </is>
      </c>
      <c r="B422" s="1" t="n">
        <v>44603</v>
      </c>
      <c r="C422" s="1" t="n">
        <v>45587</v>
      </c>
      <c r="D422" t="inlineStr">
        <is>
          <t>GÄVLEBORGS LÄN</t>
        </is>
      </c>
      <c r="E422" t="inlineStr">
        <is>
          <t>SANDVIKEN</t>
        </is>
      </c>
      <c r="G422" t="n">
        <v>1.3</v>
      </c>
      <c r="H422" t="n">
        <v>1</v>
      </c>
      <c r="I422" t="n">
        <v>0</v>
      </c>
      <c r="J422" t="n">
        <v>0</v>
      </c>
      <c r="K422" t="n">
        <v>0</v>
      </c>
      <c r="L422" t="n">
        <v>0</v>
      </c>
      <c r="M422" t="n">
        <v>0</v>
      </c>
      <c r="N422" t="n">
        <v>0</v>
      </c>
      <c r="O422" t="n">
        <v>0</v>
      </c>
      <c r="P422" t="n">
        <v>0</v>
      </c>
      <c r="Q422" t="n">
        <v>1</v>
      </c>
      <c r="R422" s="2" t="inlineStr">
        <is>
          <t>Törnskata</t>
        </is>
      </c>
      <c r="S422">
        <f>HYPERLINK("https://klasma.github.io/Logging_2181/artfynd/A 6942-2022 artfynd.xlsx", "A 6942-2022")</f>
        <v/>
      </c>
      <c r="T422">
        <f>HYPERLINK("https://klasma.github.io/Logging_2181/kartor/A 6942-2022 karta.png", "A 6942-2022")</f>
        <v/>
      </c>
      <c r="V422">
        <f>HYPERLINK("https://klasma.github.io/Logging_2181/klagomål/A 6942-2022 FSC-klagomål.docx", "A 6942-2022")</f>
        <v/>
      </c>
      <c r="W422">
        <f>HYPERLINK("https://klasma.github.io/Logging_2181/klagomålsmail/A 6942-2022 FSC-klagomål mail.docx", "A 6942-2022")</f>
        <v/>
      </c>
      <c r="X422">
        <f>HYPERLINK("https://klasma.github.io/Logging_2181/tillsyn/A 6942-2022 tillsynsbegäran.docx", "A 6942-2022")</f>
        <v/>
      </c>
      <c r="Y422">
        <f>HYPERLINK("https://klasma.github.io/Logging_2181/tillsynsmail/A 6942-2022 tillsynsbegäran mail.docx", "A 6942-2022")</f>
        <v/>
      </c>
      <c r="Z422">
        <f>HYPERLINK("https://klasma.github.io/Logging_2181/fåglar/A 6942-2022 prioriterade fågelarter.docx", "A 6942-2022")</f>
        <v/>
      </c>
    </row>
    <row r="423" ht="15" customHeight="1">
      <c r="A423" t="inlineStr">
        <is>
          <t>A 15102-2022</t>
        </is>
      </c>
      <c r="B423" s="1" t="n">
        <v>44658</v>
      </c>
      <c r="C423" s="1" t="n">
        <v>45587</v>
      </c>
      <c r="D423" t="inlineStr">
        <is>
          <t>GÄVLEBORGS LÄN</t>
        </is>
      </c>
      <c r="E423" t="inlineStr">
        <is>
          <t>GÄVLE</t>
        </is>
      </c>
      <c r="F423" t="inlineStr">
        <is>
          <t>Bergvik skog öst AB</t>
        </is>
      </c>
      <c r="G423" t="n">
        <v>4.5</v>
      </c>
      <c r="H423" t="n">
        <v>0</v>
      </c>
      <c r="I423" t="n">
        <v>0</v>
      </c>
      <c r="J423" t="n">
        <v>1</v>
      </c>
      <c r="K423" t="n">
        <v>0</v>
      </c>
      <c r="L423" t="n">
        <v>0</v>
      </c>
      <c r="M423" t="n">
        <v>0</v>
      </c>
      <c r="N423" t="n">
        <v>0</v>
      </c>
      <c r="O423" t="n">
        <v>1</v>
      </c>
      <c r="P423" t="n">
        <v>0</v>
      </c>
      <c r="Q423" t="n">
        <v>1</v>
      </c>
      <c r="R423" s="2" t="inlineStr">
        <is>
          <t>Sumpviol</t>
        </is>
      </c>
      <c r="S423">
        <f>HYPERLINK("https://klasma.github.io/Logging_2180/artfynd/A 15102-2022 artfynd.xlsx", "A 15102-2022")</f>
        <v/>
      </c>
      <c r="T423">
        <f>HYPERLINK("https://klasma.github.io/Logging_2180/kartor/A 15102-2022 karta.png", "A 15102-2022")</f>
        <v/>
      </c>
      <c r="V423">
        <f>HYPERLINK("https://klasma.github.io/Logging_2180/klagomål/A 15102-2022 FSC-klagomål.docx", "A 15102-2022")</f>
        <v/>
      </c>
      <c r="W423">
        <f>HYPERLINK("https://klasma.github.io/Logging_2180/klagomålsmail/A 15102-2022 FSC-klagomål mail.docx", "A 15102-2022")</f>
        <v/>
      </c>
      <c r="X423">
        <f>HYPERLINK("https://klasma.github.io/Logging_2180/tillsyn/A 15102-2022 tillsynsbegäran.docx", "A 15102-2022")</f>
        <v/>
      </c>
      <c r="Y423">
        <f>HYPERLINK("https://klasma.github.io/Logging_2180/tillsynsmail/A 15102-2022 tillsynsbegäran mail.docx", "A 15102-2022")</f>
        <v/>
      </c>
    </row>
    <row r="424" ht="15" customHeight="1">
      <c r="A424" t="inlineStr">
        <is>
          <t>A 15470-2022</t>
        </is>
      </c>
      <c r="B424" s="1" t="n">
        <v>44662</v>
      </c>
      <c r="C424" s="1" t="n">
        <v>45587</v>
      </c>
      <c r="D424" t="inlineStr">
        <is>
          <t>GÄVLEBORGS LÄN</t>
        </is>
      </c>
      <c r="E424" t="inlineStr">
        <is>
          <t>LJUSDAL</t>
        </is>
      </c>
      <c r="F424" t="inlineStr">
        <is>
          <t>Kyrkan</t>
        </is>
      </c>
      <c r="G424" t="n">
        <v>35</v>
      </c>
      <c r="H424" t="n">
        <v>1</v>
      </c>
      <c r="I424" t="n">
        <v>0</v>
      </c>
      <c r="J424" t="n">
        <v>0</v>
      </c>
      <c r="K424" t="n">
        <v>1</v>
      </c>
      <c r="L424" t="n">
        <v>0</v>
      </c>
      <c r="M424" t="n">
        <v>0</v>
      </c>
      <c r="N424" t="n">
        <v>0</v>
      </c>
      <c r="O424" t="n">
        <v>1</v>
      </c>
      <c r="P424" t="n">
        <v>1</v>
      </c>
      <c r="Q424" t="n">
        <v>1</v>
      </c>
      <c r="R424" s="2" t="inlineStr">
        <is>
          <t>Knärot</t>
        </is>
      </c>
      <c r="S424">
        <f>HYPERLINK("https://klasma.github.io/Logging_2161/artfynd/A 15470-2022 artfynd.xlsx", "A 15470-2022")</f>
        <v/>
      </c>
      <c r="T424">
        <f>HYPERLINK("https://klasma.github.io/Logging_2161/kartor/A 15470-2022 karta.png", "A 15470-2022")</f>
        <v/>
      </c>
      <c r="U424">
        <f>HYPERLINK("https://klasma.github.io/Logging_2161/knärot/A 15470-2022 karta knärot.png", "A 15470-2022")</f>
        <v/>
      </c>
      <c r="V424">
        <f>HYPERLINK("https://klasma.github.io/Logging_2161/klagomål/A 15470-2022 FSC-klagomål.docx", "A 15470-2022")</f>
        <v/>
      </c>
      <c r="W424">
        <f>HYPERLINK("https://klasma.github.io/Logging_2161/klagomålsmail/A 15470-2022 FSC-klagomål mail.docx", "A 15470-2022")</f>
        <v/>
      </c>
      <c r="X424">
        <f>HYPERLINK("https://klasma.github.io/Logging_2161/tillsyn/A 15470-2022 tillsynsbegäran.docx", "A 15470-2022")</f>
        <v/>
      </c>
      <c r="Y424">
        <f>HYPERLINK("https://klasma.github.io/Logging_2161/tillsynsmail/A 15470-2022 tillsynsbegäran mail.docx", "A 15470-2022")</f>
        <v/>
      </c>
    </row>
    <row r="425" ht="15" customHeight="1">
      <c r="A425" t="inlineStr">
        <is>
          <t>A 15729-2022</t>
        </is>
      </c>
      <c r="B425" s="1" t="n">
        <v>44663</v>
      </c>
      <c r="C425" s="1" t="n">
        <v>45587</v>
      </c>
      <c r="D425" t="inlineStr">
        <is>
          <t>GÄVLEBORGS LÄN</t>
        </is>
      </c>
      <c r="E425" t="inlineStr">
        <is>
          <t>SANDVIKEN</t>
        </is>
      </c>
      <c r="G425" t="n">
        <v>2.1</v>
      </c>
      <c r="H425" t="n">
        <v>1</v>
      </c>
      <c r="I425" t="n">
        <v>0</v>
      </c>
      <c r="J425" t="n">
        <v>0</v>
      </c>
      <c r="K425" t="n">
        <v>1</v>
      </c>
      <c r="L425" t="n">
        <v>0</v>
      </c>
      <c r="M425" t="n">
        <v>0</v>
      </c>
      <c r="N425" t="n">
        <v>0</v>
      </c>
      <c r="O425" t="n">
        <v>1</v>
      </c>
      <c r="P425" t="n">
        <v>1</v>
      </c>
      <c r="Q425" t="n">
        <v>1</v>
      </c>
      <c r="R425" s="2" t="inlineStr">
        <is>
          <t>Knärot</t>
        </is>
      </c>
      <c r="S425">
        <f>HYPERLINK("https://klasma.github.io/Logging_2181/artfynd/A 15729-2022 artfynd.xlsx", "A 15729-2022")</f>
        <v/>
      </c>
      <c r="T425">
        <f>HYPERLINK("https://klasma.github.io/Logging_2181/kartor/A 15729-2022 karta.png", "A 15729-2022")</f>
        <v/>
      </c>
      <c r="U425">
        <f>HYPERLINK("https://klasma.github.io/Logging_2181/knärot/A 15729-2022 karta knärot.png", "A 15729-2022")</f>
        <v/>
      </c>
      <c r="V425">
        <f>HYPERLINK("https://klasma.github.io/Logging_2181/klagomål/A 15729-2022 FSC-klagomål.docx", "A 15729-2022")</f>
        <v/>
      </c>
      <c r="W425">
        <f>HYPERLINK("https://klasma.github.io/Logging_2181/klagomålsmail/A 15729-2022 FSC-klagomål mail.docx", "A 15729-2022")</f>
        <v/>
      </c>
      <c r="X425">
        <f>HYPERLINK("https://klasma.github.io/Logging_2181/tillsyn/A 15729-2022 tillsynsbegäran.docx", "A 15729-2022")</f>
        <v/>
      </c>
      <c r="Y425">
        <f>HYPERLINK("https://klasma.github.io/Logging_2181/tillsynsmail/A 15729-2022 tillsynsbegäran mail.docx", "A 15729-2022")</f>
        <v/>
      </c>
    </row>
    <row r="426" ht="15" customHeight="1">
      <c r="A426" t="inlineStr">
        <is>
          <t>A 16809-2022</t>
        </is>
      </c>
      <c r="B426" s="1" t="n">
        <v>44673</v>
      </c>
      <c r="C426" s="1" t="n">
        <v>45587</v>
      </c>
      <c r="D426" t="inlineStr">
        <is>
          <t>GÄVLEBORGS LÄN</t>
        </is>
      </c>
      <c r="E426" t="inlineStr">
        <is>
          <t>NORDANSTIG</t>
        </is>
      </c>
      <c r="G426" t="n">
        <v>4.4</v>
      </c>
      <c r="H426" t="n">
        <v>0</v>
      </c>
      <c r="I426" t="n">
        <v>0</v>
      </c>
      <c r="J426" t="n">
        <v>1</v>
      </c>
      <c r="K426" t="n">
        <v>0</v>
      </c>
      <c r="L426" t="n">
        <v>0</v>
      </c>
      <c r="M426" t="n">
        <v>0</v>
      </c>
      <c r="N426" t="n">
        <v>0</v>
      </c>
      <c r="O426" t="n">
        <v>1</v>
      </c>
      <c r="P426" t="n">
        <v>0</v>
      </c>
      <c r="Q426" t="n">
        <v>1</v>
      </c>
      <c r="R426" s="2" t="inlineStr">
        <is>
          <t>Garnlav</t>
        </is>
      </c>
      <c r="S426">
        <f>HYPERLINK("https://klasma.github.io/Logging_2132/artfynd/A 16809-2022 artfynd.xlsx", "A 16809-2022")</f>
        <v/>
      </c>
      <c r="T426">
        <f>HYPERLINK("https://klasma.github.io/Logging_2132/kartor/A 16809-2022 karta.png", "A 16809-2022")</f>
        <v/>
      </c>
      <c r="V426">
        <f>HYPERLINK("https://klasma.github.io/Logging_2132/klagomål/A 16809-2022 FSC-klagomål.docx", "A 16809-2022")</f>
        <v/>
      </c>
      <c r="W426">
        <f>HYPERLINK("https://klasma.github.io/Logging_2132/klagomålsmail/A 16809-2022 FSC-klagomål mail.docx", "A 16809-2022")</f>
        <v/>
      </c>
      <c r="X426">
        <f>HYPERLINK("https://klasma.github.io/Logging_2132/tillsyn/A 16809-2022 tillsynsbegäran.docx", "A 16809-2022")</f>
        <v/>
      </c>
      <c r="Y426">
        <f>HYPERLINK("https://klasma.github.io/Logging_2132/tillsynsmail/A 16809-2022 tillsynsbegäran mail.docx", "A 16809-2022")</f>
        <v/>
      </c>
    </row>
    <row r="427" ht="15" customHeight="1">
      <c r="A427" t="inlineStr">
        <is>
          <t>A 17382-2022</t>
        </is>
      </c>
      <c r="B427" s="1" t="n">
        <v>44678</v>
      </c>
      <c r="C427" s="1" t="n">
        <v>45587</v>
      </c>
      <c r="D427" t="inlineStr">
        <is>
          <t>GÄVLEBORGS LÄN</t>
        </is>
      </c>
      <c r="E427" t="inlineStr">
        <is>
          <t>HUDIKSVALL</t>
        </is>
      </c>
      <c r="G427" t="n">
        <v>9.300000000000001</v>
      </c>
      <c r="H427" t="n">
        <v>0</v>
      </c>
      <c r="I427" t="n">
        <v>0</v>
      </c>
      <c r="J427" t="n">
        <v>1</v>
      </c>
      <c r="K427" t="n">
        <v>0</v>
      </c>
      <c r="L427" t="n">
        <v>0</v>
      </c>
      <c r="M427" t="n">
        <v>0</v>
      </c>
      <c r="N427" t="n">
        <v>0</v>
      </c>
      <c r="O427" t="n">
        <v>1</v>
      </c>
      <c r="P427" t="n">
        <v>0</v>
      </c>
      <c r="Q427" t="n">
        <v>1</v>
      </c>
      <c r="R427" s="2" t="inlineStr">
        <is>
          <t>Månlåsbräken</t>
        </is>
      </c>
      <c r="S427">
        <f>HYPERLINK("https://klasma.github.io/Logging_2184/artfynd/A 17382-2022 artfynd.xlsx", "A 17382-2022")</f>
        <v/>
      </c>
      <c r="T427">
        <f>HYPERLINK("https://klasma.github.io/Logging_2184/kartor/A 17382-2022 karta.png", "A 17382-2022")</f>
        <v/>
      </c>
      <c r="V427">
        <f>HYPERLINK("https://klasma.github.io/Logging_2184/klagomål/A 17382-2022 FSC-klagomål.docx", "A 17382-2022")</f>
        <v/>
      </c>
      <c r="W427">
        <f>HYPERLINK("https://klasma.github.io/Logging_2184/klagomålsmail/A 17382-2022 FSC-klagomål mail.docx", "A 17382-2022")</f>
        <v/>
      </c>
      <c r="X427">
        <f>HYPERLINK("https://klasma.github.io/Logging_2184/tillsyn/A 17382-2022 tillsynsbegäran.docx", "A 17382-2022")</f>
        <v/>
      </c>
      <c r="Y427">
        <f>HYPERLINK("https://klasma.github.io/Logging_2184/tillsynsmail/A 17382-2022 tillsynsbegäran mail.docx", "A 17382-2022")</f>
        <v/>
      </c>
    </row>
    <row r="428" ht="15" customHeight="1">
      <c r="A428" t="inlineStr">
        <is>
          <t>A 18058-2022</t>
        </is>
      </c>
      <c r="B428" s="1" t="n">
        <v>44684</v>
      </c>
      <c r="C428" s="1" t="n">
        <v>45587</v>
      </c>
      <c r="D428" t="inlineStr">
        <is>
          <t>GÄVLEBORGS LÄN</t>
        </is>
      </c>
      <c r="E428" t="inlineStr">
        <is>
          <t>LJUSDAL</t>
        </is>
      </c>
      <c r="F428" t="inlineStr">
        <is>
          <t>Sveaskog</t>
        </is>
      </c>
      <c r="G428" t="n">
        <v>8.5</v>
      </c>
      <c r="H428" t="n">
        <v>0</v>
      </c>
      <c r="I428" t="n">
        <v>0</v>
      </c>
      <c r="J428" t="n">
        <v>1</v>
      </c>
      <c r="K428" t="n">
        <v>0</v>
      </c>
      <c r="L428" t="n">
        <v>0</v>
      </c>
      <c r="M428" t="n">
        <v>0</v>
      </c>
      <c r="N428" t="n">
        <v>0</v>
      </c>
      <c r="O428" t="n">
        <v>1</v>
      </c>
      <c r="P428" t="n">
        <v>0</v>
      </c>
      <c r="Q428" t="n">
        <v>1</v>
      </c>
      <c r="R428" s="2" t="inlineStr">
        <is>
          <t>Lunglav</t>
        </is>
      </c>
      <c r="S428">
        <f>HYPERLINK("https://klasma.github.io/Logging_2161/artfynd/A 18058-2022 artfynd.xlsx", "A 18058-2022")</f>
        <v/>
      </c>
      <c r="T428">
        <f>HYPERLINK("https://klasma.github.io/Logging_2161/kartor/A 18058-2022 karta.png", "A 18058-2022")</f>
        <v/>
      </c>
      <c r="V428">
        <f>HYPERLINK("https://klasma.github.io/Logging_2161/klagomål/A 18058-2022 FSC-klagomål.docx", "A 18058-2022")</f>
        <v/>
      </c>
      <c r="W428">
        <f>HYPERLINK("https://klasma.github.io/Logging_2161/klagomålsmail/A 18058-2022 FSC-klagomål mail.docx", "A 18058-2022")</f>
        <v/>
      </c>
      <c r="X428">
        <f>HYPERLINK("https://klasma.github.io/Logging_2161/tillsyn/A 18058-2022 tillsynsbegäran.docx", "A 18058-2022")</f>
        <v/>
      </c>
      <c r="Y428">
        <f>HYPERLINK("https://klasma.github.io/Logging_2161/tillsynsmail/A 18058-2022 tillsynsbegäran mail.docx", "A 18058-2022")</f>
        <v/>
      </c>
    </row>
    <row r="429" ht="15" customHeight="1">
      <c r="A429" t="inlineStr">
        <is>
          <t>A 20211-2022</t>
        </is>
      </c>
      <c r="B429" s="1" t="n">
        <v>44698</v>
      </c>
      <c r="C429" s="1" t="n">
        <v>45587</v>
      </c>
      <c r="D429" t="inlineStr">
        <is>
          <t>GÄVLEBORGS LÄN</t>
        </is>
      </c>
      <c r="E429" t="inlineStr">
        <is>
          <t>LJUSDAL</t>
        </is>
      </c>
      <c r="F429" t="inlineStr">
        <is>
          <t>Sveaskog</t>
        </is>
      </c>
      <c r="G429" t="n">
        <v>4.4</v>
      </c>
      <c r="H429" t="n">
        <v>0</v>
      </c>
      <c r="I429" t="n">
        <v>1</v>
      </c>
      <c r="J429" t="n">
        <v>0</v>
      </c>
      <c r="K429" t="n">
        <v>0</v>
      </c>
      <c r="L429" t="n">
        <v>0</v>
      </c>
      <c r="M429" t="n">
        <v>0</v>
      </c>
      <c r="N429" t="n">
        <v>0</v>
      </c>
      <c r="O429" t="n">
        <v>0</v>
      </c>
      <c r="P429" t="n">
        <v>0</v>
      </c>
      <c r="Q429" t="n">
        <v>1</v>
      </c>
      <c r="R429" s="2" t="inlineStr">
        <is>
          <t>Dropptaggsvamp</t>
        </is>
      </c>
      <c r="S429">
        <f>HYPERLINK("https://klasma.github.io/Logging_2161/artfynd/A 20211-2022 artfynd.xlsx", "A 20211-2022")</f>
        <v/>
      </c>
      <c r="T429">
        <f>HYPERLINK("https://klasma.github.io/Logging_2161/kartor/A 20211-2022 karta.png", "A 20211-2022")</f>
        <v/>
      </c>
      <c r="V429">
        <f>HYPERLINK("https://klasma.github.io/Logging_2161/klagomål/A 20211-2022 FSC-klagomål.docx", "A 20211-2022")</f>
        <v/>
      </c>
      <c r="W429">
        <f>HYPERLINK("https://klasma.github.io/Logging_2161/klagomålsmail/A 20211-2022 FSC-klagomål mail.docx", "A 20211-2022")</f>
        <v/>
      </c>
      <c r="X429">
        <f>HYPERLINK("https://klasma.github.io/Logging_2161/tillsyn/A 20211-2022 tillsynsbegäran.docx", "A 20211-2022")</f>
        <v/>
      </c>
      <c r="Y429">
        <f>HYPERLINK("https://klasma.github.io/Logging_2161/tillsynsmail/A 20211-2022 tillsynsbegäran mail.docx", "A 20211-2022")</f>
        <v/>
      </c>
    </row>
    <row r="430" ht="15" customHeight="1">
      <c r="A430" t="inlineStr">
        <is>
          <t>A 20782-2022</t>
        </is>
      </c>
      <c r="B430" s="1" t="n">
        <v>44701</v>
      </c>
      <c r="C430" s="1" t="n">
        <v>45587</v>
      </c>
      <c r="D430" t="inlineStr">
        <is>
          <t>GÄVLEBORGS LÄN</t>
        </is>
      </c>
      <c r="E430" t="inlineStr">
        <is>
          <t>NORDANSTIG</t>
        </is>
      </c>
      <c r="F430" t="inlineStr">
        <is>
          <t>Holmen skog AB</t>
        </is>
      </c>
      <c r="G430" t="n">
        <v>4.5</v>
      </c>
      <c r="H430" t="n">
        <v>1</v>
      </c>
      <c r="I430" t="n">
        <v>0</v>
      </c>
      <c r="J430" t="n">
        <v>0</v>
      </c>
      <c r="K430" t="n">
        <v>1</v>
      </c>
      <c r="L430" t="n">
        <v>0</v>
      </c>
      <c r="M430" t="n">
        <v>0</v>
      </c>
      <c r="N430" t="n">
        <v>0</v>
      </c>
      <c r="O430" t="n">
        <v>1</v>
      </c>
      <c r="P430" t="n">
        <v>1</v>
      </c>
      <c r="Q430" t="n">
        <v>1</v>
      </c>
      <c r="R430" s="2" t="inlineStr">
        <is>
          <t>Knärot</t>
        </is>
      </c>
      <c r="S430">
        <f>HYPERLINK("https://klasma.github.io/Logging_2132/artfynd/A 20782-2022 artfynd.xlsx", "A 20782-2022")</f>
        <v/>
      </c>
      <c r="T430">
        <f>HYPERLINK("https://klasma.github.io/Logging_2132/kartor/A 20782-2022 karta.png", "A 20782-2022")</f>
        <v/>
      </c>
      <c r="U430">
        <f>HYPERLINK("https://klasma.github.io/Logging_2132/knärot/A 20782-2022 karta knärot.png", "A 20782-2022")</f>
        <v/>
      </c>
      <c r="V430">
        <f>HYPERLINK("https://klasma.github.io/Logging_2132/klagomål/A 20782-2022 FSC-klagomål.docx", "A 20782-2022")</f>
        <v/>
      </c>
      <c r="W430">
        <f>HYPERLINK("https://klasma.github.io/Logging_2132/klagomålsmail/A 20782-2022 FSC-klagomål mail.docx", "A 20782-2022")</f>
        <v/>
      </c>
      <c r="X430">
        <f>HYPERLINK("https://klasma.github.io/Logging_2132/tillsyn/A 20782-2022 tillsynsbegäran.docx", "A 20782-2022")</f>
        <v/>
      </c>
      <c r="Y430">
        <f>HYPERLINK("https://klasma.github.io/Logging_2132/tillsynsmail/A 20782-2022 tillsynsbegäran mail.docx", "A 20782-2022")</f>
        <v/>
      </c>
    </row>
    <row r="431" ht="15" customHeight="1">
      <c r="A431" t="inlineStr">
        <is>
          <t>A 21786-2022</t>
        </is>
      </c>
      <c r="B431" s="1" t="n">
        <v>44708</v>
      </c>
      <c r="C431" s="1" t="n">
        <v>45587</v>
      </c>
      <c r="D431" t="inlineStr">
        <is>
          <t>GÄVLEBORGS LÄN</t>
        </is>
      </c>
      <c r="E431" t="inlineStr">
        <is>
          <t>LJUSDAL</t>
        </is>
      </c>
      <c r="F431" t="inlineStr">
        <is>
          <t>Holmen skog AB</t>
        </is>
      </c>
      <c r="G431" t="n">
        <v>1</v>
      </c>
      <c r="H431" t="n">
        <v>0</v>
      </c>
      <c r="I431" t="n">
        <v>1</v>
      </c>
      <c r="J431" t="n">
        <v>0</v>
      </c>
      <c r="K431" t="n">
        <v>0</v>
      </c>
      <c r="L431" t="n">
        <v>0</v>
      </c>
      <c r="M431" t="n">
        <v>0</v>
      </c>
      <c r="N431" t="n">
        <v>0</v>
      </c>
      <c r="O431" t="n">
        <v>0</v>
      </c>
      <c r="P431" t="n">
        <v>0</v>
      </c>
      <c r="Q431" t="n">
        <v>1</v>
      </c>
      <c r="R431" s="2" t="inlineStr">
        <is>
          <t>Vågbandad barkbock</t>
        </is>
      </c>
      <c r="S431">
        <f>HYPERLINK("https://klasma.github.io/Logging_2161/artfynd/A 21786-2022 artfynd.xlsx", "A 21786-2022")</f>
        <v/>
      </c>
      <c r="T431">
        <f>HYPERLINK("https://klasma.github.io/Logging_2161/kartor/A 21786-2022 karta.png", "A 21786-2022")</f>
        <v/>
      </c>
      <c r="V431">
        <f>HYPERLINK("https://klasma.github.io/Logging_2161/klagomål/A 21786-2022 FSC-klagomål.docx", "A 21786-2022")</f>
        <v/>
      </c>
      <c r="W431">
        <f>HYPERLINK("https://klasma.github.io/Logging_2161/klagomålsmail/A 21786-2022 FSC-klagomål mail.docx", "A 21786-2022")</f>
        <v/>
      </c>
      <c r="X431">
        <f>HYPERLINK("https://klasma.github.io/Logging_2161/tillsyn/A 21786-2022 tillsynsbegäran.docx", "A 21786-2022")</f>
        <v/>
      </c>
      <c r="Y431">
        <f>HYPERLINK("https://klasma.github.io/Logging_2161/tillsynsmail/A 21786-2022 tillsynsbegäran mail.docx", "A 21786-2022")</f>
        <v/>
      </c>
    </row>
    <row r="432" ht="15" customHeight="1">
      <c r="A432" t="inlineStr">
        <is>
          <t>A 22731-2022</t>
        </is>
      </c>
      <c r="B432" s="1" t="n">
        <v>44714</v>
      </c>
      <c r="C432" s="1" t="n">
        <v>45587</v>
      </c>
      <c r="D432" t="inlineStr">
        <is>
          <t>GÄVLEBORGS LÄN</t>
        </is>
      </c>
      <c r="E432" t="inlineStr">
        <is>
          <t>BOLLNÄS</t>
        </is>
      </c>
      <c r="G432" t="n">
        <v>3.1</v>
      </c>
      <c r="H432" t="n">
        <v>0</v>
      </c>
      <c r="I432" t="n">
        <v>0</v>
      </c>
      <c r="J432" t="n">
        <v>1</v>
      </c>
      <c r="K432" t="n">
        <v>0</v>
      </c>
      <c r="L432" t="n">
        <v>0</v>
      </c>
      <c r="M432" t="n">
        <v>0</v>
      </c>
      <c r="N432" t="n">
        <v>0</v>
      </c>
      <c r="O432" t="n">
        <v>1</v>
      </c>
      <c r="P432" t="n">
        <v>0</v>
      </c>
      <c r="Q432" t="n">
        <v>1</v>
      </c>
      <c r="R432" s="2" t="inlineStr">
        <is>
          <t>Brunklöver</t>
        </is>
      </c>
      <c r="S432">
        <f>HYPERLINK("https://klasma.github.io/Logging_2183/artfynd/A 22731-2022 artfynd.xlsx", "A 22731-2022")</f>
        <v/>
      </c>
      <c r="T432">
        <f>HYPERLINK("https://klasma.github.io/Logging_2183/kartor/A 22731-2022 karta.png", "A 22731-2022")</f>
        <v/>
      </c>
      <c r="V432">
        <f>HYPERLINK("https://klasma.github.io/Logging_2183/klagomål/A 22731-2022 FSC-klagomål.docx", "A 22731-2022")</f>
        <v/>
      </c>
      <c r="W432">
        <f>HYPERLINK("https://klasma.github.io/Logging_2183/klagomålsmail/A 22731-2022 FSC-klagomål mail.docx", "A 22731-2022")</f>
        <v/>
      </c>
      <c r="X432">
        <f>HYPERLINK("https://klasma.github.io/Logging_2183/tillsyn/A 22731-2022 tillsynsbegäran.docx", "A 22731-2022")</f>
        <v/>
      </c>
      <c r="Y432">
        <f>HYPERLINK("https://klasma.github.io/Logging_2183/tillsynsmail/A 22731-2022 tillsynsbegäran mail.docx", "A 22731-2022")</f>
        <v/>
      </c>
    </row>
    <row r="433" ht="15" customHeight="1">
      <c r="A433" t="inlineStr">
        <is>
          <t>A 23511-2022</t>
        </is>
      </c>
      <c r="B433" s="1" t="n">
        <v>44721</v>
      </c>
      <c r="C433" s="1" t="n">
        <v>45587</v>
      </c>
      <c r="D433" t="inlineStr">
        <is>
          <t>GÄVLEBORGS LÄN</t>
        </is>
      </c>
      <c r="E433" t="inlineStr">
        <is>
          <t>GÄVLE</t>
        </is>
      </c>
      <c r="F433" t="inlineStr">
        <is>
          <t>Bergvik skog väst AB</t>
        </is>
      </c>
      <c r="G433" t="n">
        <v>7.9</v>
      </c>
      <c r="H433" t="n">
        <v>0</v>
      </c>
      <c r="I433" t="n">
        <v>0</v>
      </c>
      <c r="J433" t="n">
        <v>1</v>
      </c>
      <c r="K433" t="n">
        <v>0</v>
      </c>
      <c r="L433" t="n">
        <v>0</v>
      </c>
      <c r="M433" t="n">
        <v>0</v>
      </c>
      <c r="N433" t="n">
        <v>0</v>
      </c>
      <c r="O433" t="n">
        <v>1</v>
      </c>
      <c r="P433" t="n">
        <v>0</v>
      </c>
      <c r="Q433" t="n">
        <v>1</v>
      </c>
      <c r="R433" s="2" t="inlineStr">
        <is>
          <t>Grantaggsvamp</t>
        </is>
      </c>
      <c r="S433">
        <f>HYPERLINK("https://klasma.github.io/Logging_2180/artfynd/A 23511-2022 artfynd.xlsx", "A 23511-2022")</f>
        <v/>
      </c>
      <c r="T433">
        <f>HYPERLINK("https://klasma.github.io/Logging_2180/kartor/A 23511-2022 karta.png", "A 23511-2022")</f>
        <v/>
      </c>
      <c r="V433">
        <f>HYPERLINK("https://klasma.github.io/Logging_2180/klagomål/A 23511-2022 FSC-klagomål.docx", "A 23511-2022")</f>
        <v/>
      </c>
      <c r="W433">
        <f>HYPERLINK("https://klasma.github.io/Logging_2180/klagomålsmail/A 23511-2022 FSC-klagomål mail.docx", "A 23511-2022")</f>
        <v/>
      </c>
      <c r="X433">
        <f>HYPERLINK("https://klasma.github.io/Logging_2180/tillsyn/A 23511-2022 tillsynsbegäran.docx", "A 23511-2022")</f>
        <v/>
      </c>
      <c r="Y433">
        <f>HYPERLINK("https://klasma.github.io/Logging_2180/tillsynsmail/A 23511-2022 tillsynsbegäran mail.docx", "A 23511-2022")</f>
        <v/>
      </c>
    </row>
    <row r="434" ht="15" customHeight="1">
      <c r="A434" t="inlineStr">
        <is>
          <t>A 23857-2022</t>
        </is>
      </c>
      <c r="B434" s="1" t="n">
        <v>44722</v>
      </c>
      <c r="C434" s="1" t="n">
        <v>45587</v>
      </c>
      <c r="D434" t="inlineStr">
        <is>
          <t>GÄVLEBORGS LÄN</t>
        </is>
      </c>
      <c r="E434" t="inlineStr">
        <is>
          <t>LJUSDAL</t>
        </is>
      </c>
      <c r="F434" t="inlineStr">
        <is>
          <t>Sveaskog</t>
        </is>
      </c>
      <c r="G434" t="n">
        <v>5.5</v>
      </c>
      <c r="H434" t="n">
        <v>0</v>
      </c>
      <c r="I434" t="n">
        <v>0</v>
      </c>
      <c r="J434" t="n">
        <v>1</v>
      </c>
      <c r="K434" t="n">
        <v>0</v>
      </c>
      <c r="L434" t="n">
        <v>0</v>
      </c>
      <c r="M434" t="n">
        <v>0</v>
      </c>
      <c r="N434" t="n">
        <v>0</v>
      </c>
      <c r="O434" t="n">
        <v>1</v>
      </c>
      <c r="P434" t="n">
        <v>0</v>
      </c>
      <c r="Q434" t="n">
        <v>1</v>
      </c>
      <c r="R434" s="2" t="inlineStr">
        <is>
          <t>Lunglav</t>
        </is>
      </c>
      <c r="S434">
        <f>HYPERLINK("https://klasma.github.io/Logging_2161/artfynd/A 23857-2022 artfynd.xlsx", "A 23857-2022")</f>
        <v/>
      </c>
      <c r="T434">
        <f>HYPERLINK("https://klasma.github.io/Logging_2161/kartor/A 23857-2022 karta.png", "A 23857-2022")</f>
        <v/>
      </c>
      <c r="V434">
        <f>HYPERLINK("https://klasma.github.io/Logging_2161/klagomål/A 23857-2022 FSC-klagomål.docx", "A 23857-2022")</f>
        <v/>
      </c>
      <c r="W434">
        <f>HYPERLINK("https://klasma.github.io/Logging_2161/klagomålsmail/A 23857-2022 FSC-klagomål mail.docx", "A 23857-2022")</f>
        <v/>
      </c>
      <c r="X434">
        <f>HYPERLINK("https://klasma.github.io/Logging_2161/tillsyn/A 23857-2022 tillsynsbegäran.docx", "A 23857-2022")</f>
        <v/>
      </c>
      <c r="Y434">
        <f>HYPERLINK("https://klasma.github.io/Logging_2161/tillsynsmail/A 23857-2022 tillsynsbegäran mail.docx", "A 23857-2022")</f>
        <v/>
      </c>
    </row>
    <row r="435" ht="15" customHeight="1">
      <c r="A435" t="inlineStr">
        <is>
          <t>A 24451-2022</t>
        </is>
      </c>
      <c r="B435" s="1" t="n">
        <v>44726</v>
      </c>
      <c r="C435" s="1" t="n">
        <v>45587</v>
      </c>
      <c r="D435" t="inlineStr">
        <is>
          <t>GÄVLEBORGS LÄN</t>
        </is>
      </c>
      <c r="E435" t="inlineStr">
        <is>
          <t>HUDIKSVALL</t>
        </is>
      </c>
      <c r="F435" t="inlineStr">
        <is>
          <t>Holmen skog AB</t>
        </is>
      </c>
      <c r="G435" t="n">
        <v>3</v>
      </c>
      <c r="H435" t="n">
        <v>0</v>
      </c>
      <c r="I435" t="n">
        <v>0</v>
      </c>
      <c r="J435" t="n">
        <v>1</v>
      </c>
      <c r="K435" t="n">
        <v>0</v>
      </c>
      <c r="L435" t="n">
        <v>0</v>
      </c>
      <c r="M435" t="n">
        <v>0</v>
      </c>
      <c r="N435" t="n">
        <v>0</v>
      </c>
      <c r="O435" t="n">
        <v>1</v>
      </c>
      <c r="P435" t="n">
        <v>0</v>
      </c>
      <c r="Q435" t="n">
        <v>1</v>
      </c>
      <c r="R435" s="2" t="inlineStr">
        <is>
          <t>Vitgrynig nållav</t>
        </is>
      </c>
      <c r="S435">
        <f>HYPERLINK("https://klasma.github.io/Logging_2184/artfynd/A 24451-2022 artfynd.xlsx", "A 24451-2022")</f>
        <v/>
      </c>
      <c r="T435">
        <f>HYPERLINK("https://klasma.github.io/Logging_2184/kartor/A 24451-2022 karta.png", "A 24451-2022")</f>
        <v/>
      </c>
      <c r="V435">
        <f>HYPERLINK("https://klasma.github.io/Logging_2184/klagomål/A 24451-2022 FSC-klagomål.docx", "A 24451-2022")</f>
        <v/>
      </c>
      <c r="W435">
        <f>HYPERLINK("https://klasma.github.io/Logging_2184/klagomålsmail/A 24451-2022 FSC-klagomål mail.docx", "A 24451-2022")</f>
        <v/>
      </c>
      <c r="X435">
        <f>HYPERLINK("https://klasma.github.io/Logging_2184/tillsyn/A 24451-2022 tillsynsbegäran.docx", "A 24451-2022")</f>
        <v/>
      </c>
      <c r="Y435">
        <f>HYPERLINK("https://klasma.github.io/Logging_2184/tillsynsmail/A 24451-2022 tillsynsbegäran mail.docx", "A 24451-2022")</f>
        <v/>
      </c>
    </row>
    <row r="436" ht="15" customHeight="1">
      <c r="A436" t="inlineStr">
        <is>
          <t>A 24698-2022</t>
        </is>
      </c>
      <c r="B436" s="1" t="n">
        <v>44727</v>
      </c>
      <c r="C436" s="1" t="n">
        <v>45587</v>
      </c>
      <c r="D436" t="inlineStr">
        <is>
          <t>GÄVLEBORGS LÄN</t>
        </is>
      </c>
      <c r="E436" t="inlineStr">
        <is>
          <t>SANDVIKEN</t>
        </is>
      </c>
      <c r="F436" t="inlineStr">
        <is>
          <t>Sveaskog</t>
        </is>
      </c>
      <c r="G436" t="n">
        <v>14.8</v>
      </c>
      <c r="H436" t="n">
        <v>1</v>
      </c>
      <c r="I436" t="n">
        <v>0</v>
      </c>
      <c r="J436" t="n">
        <v>0</v>
      </c>
      <c r="K436" t="n">
        <v>0</v>
      </c>
      <c r="L436" t="n">
        <v>0</v>
      </c>
      <c r="M436" t="n">
        <v>0</v>
      </c>
      <c r="N436" t="n">
        <v>0</v>
      </c>
      <c r="O436" t="n">
        <v>0</v>
      </c>
      <c r="P436" t="n">
        <v>0</v>
      </c>
      <c r="Q436" t="n">
        <v>1</v>
      </c>
      <c r="R436" s="2" t="inlineStr">
        <is>
          <t>Nattviol</t>
        </is>
      </c>
      <c r="S436">
        <f>HYPERLINK("https://klasma.github.io/Logging_2181/artfynd/A 24698-2022 artfynd.xlsx", "A 24698-2022")</f>
        <v/>
      </c>
      <c r="T436">
        <f>HYPERLINK("https://klasma.github.io/Logging_2181/kartor/A 24698-2022 karta.png", "A 24698-2022")</f>
        <v/>
      </c>
      <c r="V436">
        <f>HYPERLINK("https://klasma.github.io/Logging_2181/klagomål/A 24698-2022 FSC-klagomål.docx", "A 24698-2022")</f>
        <v/>
      </c>
      <c r="W436">
        <f>HYPERLINK("https://klasma.github.io/Logging_2181/klagomålsmail/A 24698-2022 FSC-klagomål mail.docx", "A 24698-2022")</f>
        <v/>
      </c>
      <c r="X436">
        <f>HYPERLINK("https://klasma.github.io/Logging_2181/tillsyn/A 24698-2022 tillsynsbegäran.docx", "A 24698-2022")</f>
        <v/>
      </c>
      <c r="Y436">
        <f>HYPERLINK("https://klasma.github.io/Logging_2181/tillsynsmail/A 24698-2022 tillsynsbegäran mail.docx", "A 24698-2022")</f>
        <v/>
      </c>
    </row>
    <row r="437" ht="15" customHeight="1">
      <c r="A437" t="inlineStr">
        <is>
          <t>A 25688-2022</t>
        </is>
      </c>
      <c r="B437" s="1" t="n">
        <v>44733</v>
      </c>
      <c r="C437" s="1" t="n">
        <v>45587</v>
      </c>
      <c r="D437" t="inlineStr">
        <is>
          <t>GÄVLEBORGS LÄN</t>
        </is>
      </c>
      <c r="E437" t="inlineStr">
        <is>
          <t>SANDVIKEN</t>
        </is>
      </c>
      <c r="G437" t="n">
        <v>5.8</v>
      </c>
      <c r="H437" t="n">
        <v>1</v>
      </c>
      <c r="I437" t="n">
        <v>0</v>
      </c>
      <c r="J437" t="n">
        <v>0</v>
      </c>
      <c r="K437" t="n">
        <v>0</v>
      </c>
      <c r="L437" t="n">
        <v>0</v>
      </c>
      <c r="M437" t="n">
        <v>0</v>
      </c>
      <c r="N437" t="n">
        <v>0</v>
      </c>
      <c r="O437" t="n">
        <v>0</v>
      </c>
      <c r="P437" t="n">
        <v>0</v>
      </c>
      <c r="Q437" t="n">
        <v>1</v>
      </c>
      <c r="R437" s="2" t="inlineStr">
        <is>
          <t>Revlummer</t>
        </is>
      </c>
      <c r="S437">
        <f>HYPERLINK("https://klasma.github.io/Logging_2181/artfynd/A 25688-2022 artfynd.xlsx", "A 25688-2022")</f>
        <v/>
      </c>
      <c r="T437">
        <f>HYPERLINK("https://klasma.github.io/Logging_2181/kartor/A 25688-2022 karta.png", "A 25688-2022")</f>
        <v/>
      </c>
      <c r="V437">
        <f>HYPERLINK("https://klasma.github.io/Logging_2181/klagomål/A 25688-2022 FSC-klagomål.docx", "A 25688-2022")</f>
        <v/>
      </c>
      <c r="W437">
        <f>HYPERLINK("https://klasma.github.io/Logging_2181/klagomålsmail/A 25688-2022 FSC-klagomål mail.docx", "A 25688-2022")</f>
        <v/>
      </c>
      <c r="X437">
        <f>HYPERLINK("https://klasma.github.io/Logging_2181/tillsyn/A 25688-2022 tillsynsbegäran.docx", "A 25688-2022")</f>
        <v/>
      </c>
      <c r="Y437">
        <f>HYPERLINK("https://klasma.github.io/Logging_2181/tillsynsmail/A 25688-2022 tillsynsbegäran mail.docx", "A 25688-2022")</f>
        <v/>
      </c>
    </row>
    <row r="438" ht="15" customHeight="1">
      <c r="A438" t="inlineStr">
        <is>
          <t>A 27508-2022</t>
        </is>
      </c>
      <c r="B438" s="1" t="n">
        <v>44742</v>
      </c>
      <c r="C438" s="1" t="n">
        <v>45587</v>
      </c>
      <c r="D438" t="inlineStr">
        <is>
          <t>GÄVLEBORGS LÄN</t>
        </is>
      </c>
      <c r="E438" t="inlineStr">
        <is>
          <t>LJUSDAL</t>
        </is>
      </c>
      <c r="F438" t="inlineStr">
        <is>
          <t>Kommuner</t>
        </is>
      </c>
      <c r="G438" t="n">
        <v>1.8</v>
      </c>
      <c r="H438" t="n">
        <v>0</v>
      </c>
      <c r="I438" t="n">
        <v>0</v>
      </c>
      <c r="J438" t="n">
        <v>1</v>
      </c>
      <c r="K438" t="n">
        <v>0</v>
      </c>
      <c r="L438" t="n">
        <v>0</v>
      </c>
      <c r="M438" t="n">
        <v>0</v>
      </c>
      <c r="N438" t="n">
        <v>0</v>
      </c>
      <c r="O438" t="n">
        <v>1</v>
      </c>
      <c r="P438" t="n">
        <v>0</v>
      </c>
      <c r="Q438" t="n">
        <v>1</v>
      </c>
      <c r="R438" s="2" t="inlineStr">
        <is>
          <t>Violettgrå tagellav</t>
        </is>
      </c>
      <c r="S438">
        <f>HYPERLINK("https://klasma.github.io/Logging_2161/artfynd/A 27508-2022 artfynd.xlsx", "A 27508-2022")</f>
        <v/>
      </c>
      <c r="T438">
        <f>HYPERLINK("https://klasma.github.io/Logging_2161/kartor/A 27508-2022 karta.png", "A 27508-2022")</f>
        <v/>
      </c>
      <c r="V438">
        <f>HYPERLINK("https://klasma.github.io/Logging_2161/klagomål/A 27508-2022 FSC-klagomål.docx", "A 27508-2022")</f>
        <v/>
      </c>
      <c r="W438">
        <f>HYPERLINK("https://klasma.github.io/Logging_2161/klagomålsmail/A 27508-2022 FSC-klagomål mail.docx", "A 27508-2022")</f>
        <v/>
      </c>
      <c r="X438">
        <f>HYPERLINK("https://klasma.github.io/Logging_2161/tillsyn/A 27508-2022 tillsynsbegäran.docx", "A 27508-2022")</f>
        <v/>
      </c>
      <c r="Y438">
        <f>HYPERLINK("https://klasma.github.io/Logging_2161/tillsynsmail/A 27508-2022 tillsynsbegäran mail.docx", "A 27508-2022")</f>
        <v/>
      </c>
    </row>
    <row r="439" ht="15" customHeight="1">
      <c r="A439" t="inlineStr">
        <is>
          <t>A 27896-2022</t>
        </is>
      </c>
      <c r="B439" s="1" t="n">
        <v>44743</v>
      </c>
      <c r="C439" s="1" t="n">
        <v>45587</v>
      </c>
      <c r="D439" t="inlineStr">
        <is>
          <t>GÄVLEBORGS LÄN</t>
        </is>
      </c>
      <c r="E439" t="inlineStr">
        <is>
          <t>LJUSDAL</t>
        </is>
      </c>
      <c r="F439" t="inlineStr">
        <is>
          <t>Bergvik skog väst AB</t>
        </is>
      </c>
      <c r="G439" t="n">
        <v>5.4</v>
      </c>
      <c r="H439" t="n">
        <v>0</v>
      </c>
      <c r="I439" t="n">
        <v>0</v>
      </c>
      <c r="J439" t="n">
        <v>1</v>
      </c>
      <c r="K439" t="n">
        <v>0</v>
      </c>
      <c r="L439" t="n">
        <v>0</v>
      </c>
      <c r="M439" t="n">
        <v>0</v>
      </c>
      <c r="N439" t="n">
        <v>0</v>
      </c>
      <c r="O439" t="n">
        <v>1</v>
      </c>
      <c r="P439" t="n">
        <v>0</v>
      </c>
      <c r="Q439" t="n">
        <v>1</v>
      </c>
      <c r="R439" s="2" t="inlineStr">
        <is>
          <t>Stiftgelélav</t>
        </is>
      </c>
      <c r="S439">
        <f>HYPERLINK("https://klasma.github.io/Logging_2161/artfynd/A 27896-2022 artfynd.xlsx", "A 27896-2022")</f>
        <v/>
      </c>
      <c r="T439">
        <f>HYPERLINK("https://klasma.github.io/Logging_2161/kartor/A 27896-2022 karta.png", "A 27896-2022")</f>
        <v/>
      </c>
      <c r="V439">
        <f>HYPERLINK("https://klasma.github.io/Logging_2161/klagomål/A 27896-2022 FSC-klagomål.docx", "A 27896-2022")</f>
        <v/>
      </c>
      <c r="W439">
        <f>HYPERLINK("https://klasma.github.io/Logging_2161/klagomålsmail/A 27896-2022 FSC-klagomål mail.docx", "A 27896-2022")</f>
        <v/>
      </c>
      <c r="X439">
        <f>HYPERLINK("https://klasma.github.io/Logging_2161/tillsyn/A 27896-2022 tillsynsbegäran.docx", "A 27896-2022")</f>
        <v/>
      </c>
      <c r="Y439">
        <f>HYPERLINK("https://klasma.github.io/Logging_2161/tillsynsmail/A 27896-2022 tillsynsbegäran mail.docx", "A 27896-2022")</f>
        <v/>
      </c>
    </row>
    <row r="440" ht="15" customHeight="1">
      <c r="A440" t="inlineStr">
        <is>
          <t>A 30963-2022</t>
        </is>
      </c>
      <c r="B440" s="1" t="n">
        <v>44768</v>
      </c>
      <c r="C440" s="1" t="n">
        <v>45587</v>
      </c>
      <c r="D440" t="inlineStr">
        <is>
          <t>GÄVLEBORGS LÄN</t>
        </is>
      </c>
      <c r="E440" t="inlineStr">
        <is>
          <t>HUDIKSVALL</t>
        </is>
      </c>
      <c r="F440" t="inlineStr">
        <is>
          <t>Holmen skog AB</t>
        </is>
      </c>
      <c r="G440" t="n">
        <v>9.9</v>
      </c>
      <c r="H440" t="n">
        <v>1</v>
      </c>
      <c r="I440" t="n">
        <v>0</v>
      </c>
      <c r="J440" t="n">
        <v>0</v>
      </c>
      <c r="K440" t="n">
        <v>0</v>
      </c>
      <c r="L440" t="n">
        <v>0</v>
      </c>
      <c r="M440" t="n">
        <v>0</v>
      </c>
      <c r="N440" t="n">
        <v>0</v>
      </c>
      <c r="O440" t="n">
        <v>0</v>
      </c>
      <c r="P440" t="n">
        <v>0</v>
      </c>
      <c r="Q440" t="n">
        <v>1</v>
      </c>
      <c r="R440" s="2" t="inlineStr">
        <is>
          <t>Revlummer</t>
        </is>
      </c>
      <c r="S440">
        <f>HYPERLINK("https://klasma.github.io/Logging_2184/artfynd/A 30963-2022 artfynd.xlsx", "A 30963-2022")</f>
        <v/>
      </c>
      <c r="T440">
        <f>HYPERLINK("https://klasma.github.io/Logging_2184/kartor/A 30963-2022 karta.png", "A 30963-2022")</f>
        <v/>
      </c>
      <c r="V440">
        <f>HYPERLINK("https://klasma.github.io/Logging_2184/klagomål/A 30963-2022 FSC-klagomål.docx", "A 30963-2022")</f>
        <v/>
      </c>
      <c r="W440">
        <f>HYPERLINK("https://klasma.github.io/Logging_2184/klagomålsmail/A 30963-2022 FSC-klagomål mail.docx", "A 30963-2022")</f>
        <v/>
      </c>
      <c r="X440">
        <f>HYPERLINK("https://klasma.github.io/Logging_2184/tillsyn/A 30963-2022 tillsynsbegäran.docx", "A 30963-2022")</f>
        <v/>
      </c>
      <c r="Y440">
        <f>HYPERLINK("https://klasma.github.io/Logging_2184/tillsynsmail/A 30963-2022 tillsynsbegäran mail.docx", "A 30963-2022")</f>
        <v/>
      </c>
    </row>
    <row r="441" ht="15" customHeight="1">
      <c r="A441" t="inlineStr">
        <is>
          <t>A 31023-2022</t>
        </is>
      </c>
      <c r="B441" s="1" t="n">
        <v>44768</v>
      </c>
      <c r="C441" s="1" t="n">
        <v>45587</v>
      </c>
      <c r="D441" t="inlineStr">
        <is>
          <t>GÄVLEBORGS LÄN</t>
        </is>
      </c>
      <c r="E441" t="inlineStr">
        <is>
          <t>SANDVIKEN</t>
        </is>
      </c>
      <c r="F441" t="inlineStr">
        <is>
          <t>Sveaskog</t>
        </is>
      </c>
      <c r="G441" t="n">
        <v>2.4</v>
      </c>
      <c r="H441" t="n">
        <v>0</v>
      </c>
      <c r="I441" t="n">
        <v>1</v>
      </c>
      <c r="J441" t="n">
        <v>0</v>
      </c>
      <c r="K441" t="n">
        <v>0</v>
      </c>
      <c r="L441" t="n">
        <v>0</v>
      </c>
      <c r="M441" t="n">
        <v>0</v>
      </c>
      <c r="N441" t="n">
        <v>0</v>
      </c>
      <c r="O441" t="n">
        <v>0</v>
      </c>
      <c r="P441" t="n">
        <v>0</v>
      </c>
      <c r="Q441" t="n">
        <v>1</v>
      </c>
      <c r="R441" s="2" t="inlineStr">
        <is>
          <t>Bronshjon</t>
        </is>
      </c>
      <c r="S441">
        <f>HYPERLINK("https://klasma.github.io/Logging_2181/artfynd/A 31023-2022 artfynd.xlsx", "A 31023-2022")</f>
        <v/>
      </c>
      <c r="T441">
        <f>HYPERLINK("https://klasma.github.io/Logging_2181/kartor/A 31023-2022 karta.png", "A 31023-2022")</f>
        <v/>
      </c>
      <c r="V441">
        <f>HYPERLINK("https://klasma.github.io/Logging_2181/klagomål/A 31023-2022 FSC-klagomål.docx", "A 31023-2022")</f>
        <v/>
      </c>
      <c r="W441">
        <f>HYPERLINK("https://klasma.github.io/Logging_2181/klagomålsmail/A 31023-2022 FSC-klagomål mail.docx", "A 31023-2022")</f>
        <v/>
      </c>
      <c r="X441">
        <f>HYPERLINK("https://klasma.github.io/Logging_2181/tillsyn/A 31023-2022 tillsynsbegäran.docx", "A 31023-2022")</f>
        <v/>
      </c>
      <c r="Y441">
        <f>HYPERLINK("https://klasma.github.io/Logging_2181/tillsynsmail/A 31023-2022 tillsynsbegäran mail.docx", "A 31023-2022")</f>
        <v/>
      </c>
    </row>
    <row r="442" ht="15" customHeight="1">
      <c r="A442" t="inlineStr">
        <is>
          <t>A 32036-2022</t>
        </is>
      </c>
      <c r="B442" s="1" t="n">
        <v>44778</v>
      </c>
      <c r="C442" s="1" t="n">
        <v>45587</v>
      </c>
      <c r="D442" t="inlineStr">
        <is>
          <t>GÄVLEBORGS LÄN</t>
        </is>
      </c>
      <c r="E442" t="inlineStr">
        <is>
          <t>LJUSDAL</t>
        </is>
      </c>
      <c r="F442" t="inlineStr">
        <is>
          <t>Sveaskog</t>
        </is>
      </c>
      <c r="G442" t="n">
        <v>2.9</v>
      </c>
      <c r="H442" t="n">
        <v>0</v>
      </c>
      <c r="I442" t="n">
        <v>0</v>
      </c>
      <c r="J442" t="n">
        <v>1</v>
      </c>
      <c r="K442" t="n">
        <v>0</v>
      </c>
      <c r="L442" t="n">
        <v>0</v>
      </c>
      <c r="M442" t="n">
        <v>0</v>
      </c>
      <c r="N442" t="n">
        <v>0</v>
      </c>
      <c r="O442" t="n">
        <v>1</v>
      </c>
      <c r="P442" t="n">
        <v>0</v>
      </c>
      <c r="Q442" t="n">
        <v>1</v>
      </c>
      <c r="R442" s="2" t="inlineStr">
        <is>
          <t>Kolflarnlav</t>
        </is>
      </c>
      <c r="S442">
        <f>HYPERLINK("https://klasma.github.io/Logging_2161/artfynd/A 32036-2022 artfynd.xlsx", "A 32036-2022")</f>
        <v/>
      </c>
      <c r="T442">
        <f>HYPERLINK("https://klasma.github.io/Logging_2161/kartor/A 32036-2022 karta.png", "A 32036-2022")</f>
        <v/>
      </c>
      <c r="V442">
        <f>HYPERLINK("https://klasma.github.io/Logging_2161/klagomål/A 32036-2022 FSC-klagomål.docx", "A 32036-2022")</f>
        <v/>
      </c>
      <c r="W442">
        <f>HYPERLINK("https://klasma.github.io/Logging_2161/klagomålsmail/A 32036-2022 FSC-klagomål mail.docx", "A 32036-2022")</f>
        <v/>
      </c>
      <c r="X442">
        <f>HYPERLINK("https://klasma.github.io/Logging_2161/tillsyn/A 32036-2022 tillsynsbegäran.docx", "A 32036-2022")</f>
        <v/>
      </c>
      <c r="Y442">
        <f>HYPERLINK("https://klasma.github.io/Logging_2161/tillsynsmail/A 32036-2022 tillsynsbegäran mail.docx", "A 32036-2022")</f>
        <v/>
      </c>
    </row>
    <row r="443" ht="15" customHeight="1">
      <c r="A443" t="inlineStr">
        <is>
          <t>A 32783-2022</t>
        </is>
      </c>
      <c r="B443" s="1" t="n">
        <v>44784</v>
      </c>
      <c r="C443" s="1" t="n">
        <v>45587</v>
      </c>
      <c r="D443" t="inlineStr">
        <is>
          <t>GÄVLEBORGS LÄN</t>
        </is>
      </c>
      <c r="E443" t="inlineStr">
        <is>
          <t>LJUSDAL</t>
        </is>
      </c>
      <c r="F443" t="inlineStr">
        <is>
          <t>Sveaskog</t>
        </is>
      </c>
      <c r="G443" t="n">
        <v>12.7</v>
      </c>
      <c r="H443" t="n">
        <v>0</v>
      </c>
      <c r="I443" t="n">
        <v>1</v>
      </c>
      <c r="J443" t="n">
        <v>0</v>
      </c>
      <c r="K443" t="n">
        <v>0</v>
      </c>
      <c r="L443" t="n">
        <v>0</v>
      </c>
      <c r="M443" t="n">
        <v>0</v>
      </c>
      <c r="N443" t="n">
        <v>0</v>
      </c>
      <c r="O443" t="n">
        <v>0</v>
      </c>
      <c r="P443" t="n">
        <v>0</v>
      </c>
      <c r="Q443" t="n">
        <v>1</v>
      </c>
      <c r="R443" s="2" t="inlineStr">
        <is>
          <t>Skarp dropptaggsvamp</t>
        </is>
      </c>
      <c r="S443">
        <f>HYPERLINK("https://klasma.github.io/Logging_2161/artfynd/A 32783-2022 artfynd.xlsx", "A 32783-2022")</f>
        <v/>
      </c>
      <c r="T443">
        <f>HYPERLINK("https://klasma.github.io/Logging_2161/kartor/A 32783-2022 karta.png", "A 32783-2022")</f>
        <v/>
      </c>
      <c r="V443">
        <f>HYPERLINK("https://klasma.github.io/Logging_2161/klagomål/A 32783-2022 FSC-klagomål.docx", "A 32783-2022")</f>
        <v/>
      </c>
      <c r="W443">
        <f>HYPERLINK("https://klasma.github.io/Logging_2161/klagomålsmail/A 32783-2022 FSC-klagomål mail.docx", "A 32783-2022")</f>
        <v/>
      </c>
      <c r="X443">
        <f>HYPERLINK("https://klasma.github.io/Logging_2161/tillsyn/A 32783-2022 tillsynsbegäran.docx", "A 32783-2022")</f>
        <v/>
      </c>
      <c r="Y443">
        <f>HYPERLINK("https://klasma.github.io/Logging_2161/tillsynsmail/A 32783-2022 tillsynsbegäran mail.docx", "A 32783-2022")</f>
        <v/>
      </c>
    </row>
    <row r="444" ht="15" customHeight="1">
      <c r="A444" t="inlineStr">
        <is>
          <t>A 33649-2022</t>
        </is>
      </c>
      <c r="B444" s="1" t="n">
        <v>44789</v>
      </c>
      <c r="C444" s="1" t="n">
        <v>45587</v>
      </c>
      <c r="D444" t="inlineStr">
        <is>
          <t>GÄVLEBORGS LÄN</t>
        </is>
      </c>
      <c r="E444" t="inlineStr">
        <is>
          <t>HOFORS</t>
        </is>
      </c>
      <c r="F444" t="inlineStr">
        <is>
          <t>Sveaskog</t>
        </is>
      </c>
      <c r="G444" t="n">
        <v>19.1</v>
      </c>
      <c r="H444" t="n">
        <v>1</v>
      </c>
      <c r="I444" t="n">
        <v>1</v>
      </c>
      <c r="J444" t="n">
        <v>0</v>
      </c>
      <c r="K444" t="n">
        <v>0</v>
      </c>
      <c r="L444" t="n">
        <v>0</v>
      </c>
      <c r="M444" t="n">
        <v>0</v>
      </c>
      <c r="N444" t="n">
        <v>0</v>
      </c>
      <c r="O444" t="n">
        <v>0</v>
      </c>
      <c r="P444" t="n">
        <v>0</v>
      </c>
      <c r="Q444" t="n">
        <v>1</v>
      </c>
      <c r="R444" s="2" t="inlineStr">
        <is>
          <t>Grönkulla</t>
        </is>
      </c>
      <c r="S444">
        <f>HYPERLINK("https://klasma.github.io/Logging_2104/artfynd/A 33649-2022 artfynd.xlsx", "A 33649-2022")</f>
        <v/>
      </c>
      <c r="T444">
        <f>HYPERLINK("https://klasma.github.io/Logging_2104/kartor/A 33649-2022 karta.png", "A 33649-2022")</f>
        <v/>
      </c>
      <c r="V444">
        <f>HYPERLINK("https://klasma.github.io/Logging_2104/klagomål/A 33649-2022 FSC-klagomål.docx", "A 33649-2022")</f>
        <v/>
      </c>
      <c r="W444">
        <f>HYPERLINK("https://klasma.github.io/Logging_2104/klagomålsmail/A 33649-2022 FSC-klagomål mail.docx", "A 33649-2022")</f>
        <v/>
      </c>
      <c r="X444">
        <f>HYPERLINK("https://klasma.github.io/Logging_2104/tillsyn/A 33649-2022 tillsynsbegäran.docx", "A 33649-2022")</f>
        <v/>
      </c>
      <c r="Y444">
        <f>HYPERLINK("https://klasma.github.io/Logging_2104/tillsynsmail/A 33649-2022 tillsynsbegäran mail.docx", "A 33649-2022")</f>
        <v/>
      </c>
    </row>
    <row r="445" ht="15" customHeight="1">
      <c r="A445" t="inlineStr">
        <is>
          <t>A 33812-2022</t>
        </is>
      </c>
      <c r="B445" s="1" t="n">
        <v>44790</v>
      </c>
      <c r="C445" s="1" t="n">
        <v>45587</v>
      </c>
      <c r="D445" t="inlineStr">
        <is>
          <t>GÄVLEBORGS LÄN</t>
        </is>
      </c>
      <c r="E445" t="inlineStr">
        <is>
          <t>GÄVLE</t>
        </is>
      </c>
      <c r="G445" t="n">
        <v>2.1</v>
      </c>
      <c r="H445" t="n">
        <v>0</v>
      </c>
      <c r="I445" t="n">
        <v>1</v>
      </c>
      <c r="J445" t="n">
        <v>0</v>
      </c>
      <c r="K445" t="n">
        <v>0</v>
      </c>
      <c r="L445" t="n">
        <v>0</v>
      </c>
      <c r="M445" t="n">
        <v>0</v>
      </c>
      <c r="N445" t="n">
        <v>0</v>
      </c>
      <c r="O445" t="n">
        <v>0</v>
      </c>
      <c r="P445" t="n">
        <v>0</v>
      </c>
      <c r="Q445" t="n">
        <v>1</v>
      </c>
      <c r="R445" s="2" t="inlineStr">
        <is>
          <t>Myskmadra</t>
        </is>
      </c>
      <c r="S445">
        <f>HYPERLINK("https://klasma.github.io/Logging_2180/artfynd/A 33812-2022 artfynd.xlsx", "A 33812-2022")</f>
        <v/>
      </c>
      <c r="T445">
        <f>HYPERLINK("https://klasma.github.io/Logging_2180/kartor/A 33812-2022 karta.png", "A 33812-2022")</f>
        <v/>
      </c>
      <c r="V445">
        <f>HYPERLINK("https://klasma.github.io/Logging_2180/klagomål/A 33812-2022 FSC-klagomål.docx", "A 33812-2022")</f>
        <v/>
      </c>
      <c r="W445">
        <f>HYPERLINK("https://klasma.github.io/Logging_2180/klagomålsmail/A 33812-2022 FSC-klagomål mail.docx", "A 33812-2022")</f>
        <v/>
      </c>
      <c r="X445">
        <f>HYPERLINK("https://klasma.github.io/Logging_2180/tillsyn/A 33812-2022 tillsynsbegäran.docx", "A 33812-2022")</f>
        <v/>
      </c>
      <c r="Y445">
        <f>HYPERLINK("https://klasma.github.io/Logging_2180/tillsynsmail/A 33812-2022 tillsynsbegäran mail.docx", "A 33812-2022")</f>
        <v/>
      </c>
    </row>
    <row r="446" ht="15" customHeight="1">
      <c r="A446" t="inlineStr">
        <is>
          <t>A 34345-2022</t>
        </is>
      </c>
      <c r="B446" s="1" t="n">
        <v>44792</v>
      </c>
      <c r="C446" s="1" t="n">
        <v>45587</v>
      </c>
      <c r="D446" t="inlineStr">
        <is>
          <t>GÄVLEBORGS LÄN</t>
        </is>
      </c>
      <c r="E446" t="inlineStr">
        <is>
          <t>HUDIKSVALL</t>
        </is>
      </c>
      <c r="F446" t="inlineStr">
        <is>
          <t>Holmen skog AB</t>
        </is>
      </c>
      <c r="G446" t="n">
        <v>4.4</v>
      </c>
      <c r="H446" t="n">
        <v>0</v>
      </c>
      <c r="I446" t="n">
        <v>1</v>
      </c>
      <c r="J446" t="n">
        <v>0</v>
      </c>
      <c r="K446" t="n">
        <v>0</v>
      </c>
      <c r="L446" t="n">
        <v>0</v>
      </c>
      <c r="M446" t="n">
        <v>0</v>
      </c>
      <c r="N446" t="n">
        <v>0</v>
      </c>
      <c r="O446" t="n">
        <v>0</v>
      </c>
      <c r="P446" t="n">
        <v>0</v>
      </c>
      <c r="Q446" t="n">
        <v>1</v>
      </c>
      <c r="R446" s="2" t="inlineStr">
        <is>
          <t>Stuplav</t>
        </is>
      </c>
      <c r="S446">
        <f>HYPERLINK("https://klasma.github.io/Logging_2184/artfynd/A 34345-2022 artfynd.xlsx", "A 34345-2022")</f>
        <v/>
      </c>
      <c r="T446">
        <f>HYPERLINK("https://klasma.github.io/Logging_2184/kartor/A 34345-2022 karta.png", "A 34345-2022")</f>
        <v/>
      </c>
      <c r="V446">
        <f>HYPERLINK("https://klasma.github.io/Logging_2184/klagomål/A 34345-2022 FSC-klagomål.docx", "A 34345-2022")</f>
        <v/>
      </c>
      <c r="W446">
        <f>HYPERLINK("https://klasma.github.io/Logging_2184/klagomålsmail/A 34345-2022 FSC-klagomål mail.docx", "A 34345-2022")</f>
        <v/>
      </c>
      <c r="X446">
        <f>HYPERLINK("https://klasma.github.io/Logging_2184/tillsyn/A 34345-2022 tillsynsbegäran.docx", "A 34345-2022")</f>
        <v/>
      </c>
      <c r="Y446">
        <f>HYPERLINK("https://klasma.github.io/Logging_2184/tillsynsmail/A 34345-2022 tillsynsbegäran mail.docx", "A 34345-2022")</f>
        <v/>
      </c>
    </row>
    <row r="447" ht="15" customHeight="1">
      <c r="A447" t="inlineStr">
        <is>
          <t>A 34414-2022</t>
        </is>
      </c>
      <c r="B447" s="1" t="n">
        <v>44792</v>
      </c>
      <c r="C447" s="1" t="n">
        <v>45587</v>
      </c>
      <c r="D447" t="inlineStr">
        <is>
          <t>GÄVLEBORGS LÄN</t>
        </is>
      </c>
      <c r="E447" t="inlineStr">
        <is>
          <t>OVANÅKER</t>
        </is>
      </c>
      <c r="F447" t="inlineStr">
        <is>
          <t>Sveaskog</t>
        </is>
      </c>
      <c r="G447" t="n">
        <v>1.9</v>
      </c>
      <c r="H447" t="n">
        <v>0</v>
      </c>
      <c r="I447" t="n">
        <v>0</v>
      </c>
      <c r="J447" t="n">
        <v>1</v>
      </c>
      <c r="K447" t="n">
        <v>0</v>
      </c>
      <c r="L447" t="n">
        <v>0</v>
      </c>
      <c r="M447" t="n">
        <v>0</v>
      </c>
      <c r="N447" t="n">
        <v>0</v>
      </c>
      <c r="O447" t="n">
        <v>1</v>
      </c>
      <c r="P447" t="n">
        <v>0</v>
      </c>
      <c r="Q447" t="n">
        <v>1</v>
      </c>
      <c r="R447" s="2" t="inlineStr">
        <is>
          <t>Lunglav</t>
        </is>
      </c>
      <c r="S447">
        <f>HYPERLINK("https://klasma.github.io/Logging_2121/artfynd/A 34414-2022 artfynd.xlsx", "A 34414-2022")</f>
        <v/>
      </c>
      <c r="T447">
        <f>HYPERLINK("https://klasma.github.io/Logging_2121/kartor/A 34414-2022 karta.png", "A 34414-2022")</f>
        <v/>
      </c>
      <c r="V447">
        <f>HYPERLINK("https://klasma.github.io/Logging_2121/klagomål/A 34414-2022 FSC-klagomål.docx", "A 34414-2022")</f>
        <v/>
      </c>
      <c r="W447">
        <f>HYPERLINK("https://klasma.github.io/Logging_2121/klagomålsmail/A 34414-2022 FSC-klagomål mail.docx", "A 34414-2022")</f>
        <v/>
      </c>
      <c r="X447">
        <f>HYPERLINK("https://klasma.github.io/Logging_2121/tillsyn/A 34414-2022 tillsynsbegäran.docx", "A 34414-2022")</f>
        <v/>
      </c>
      <c r="Y447">
        <f>HYPERLINK("https://klasma.github.io/Logging_2121/tillsynsmail/A 34414-2022 tillsynsbegäran mail.docx", "A 34414-2022")</f>
        <v/>
      </c>
    </row>
    <row r="448" ht="15" customHeight="1">
      <c r="A448" t="inlineStr">
        <is>
          <t>A 34415-2022</t>
        </is>
      </c>
      <c r="B448" s="1" t="n">
        <v>44792</v>
      </c>
      <c r="C448" s="1" t="n">
        <v>45587</v>
      </c>
      <c r="D448" t="inlineStr">
        <is>
          <t>GÄVLEBORGS LÄN</t>
        </is>
      </c>
      <c r="E448" t="inlineStr">
        <is>
          <t>OVANÅKER</t>
        </is>
      </c>
      <c r="F448" t="inlineStr">
        <is>
          <t>Sveaskog</t>
        </is>
      </c>
      <c r="G448" t="n">
        <v>2.3</v>
      </c>
      <c r="H448" t="n">
        <v>0</v>
      </c>
      <c r="I448" t="n">
        <v>0</v>
      </c>
      <c r="J448" t="n">
        <v>1</v>
      </c>
      <c r="K448" t="n">
        <v>0</v>
      </c>
      <c r="L448" t="n">
        <v>0</v>
      </c>
      <c r="M448" t="n">
        <v>0</v>
      </c>
      <c r="N448" t="n">
        <v>0</v>
      </c>
      <c r="O448" t="n">
        <v>1</v>
      </c>
      <c r="P448" t="n">
        <v>0</v>
      </c>
      <c r="Q448" t="n">
        <v>1</v>
      </c>
      <c r="R448" s="2" t="inlineStr">
        <is>
          <t>Lunglav</t>
        </is>
      </c>
      <c r="S448">
        <f>HYPERLINK("https://klasma.github.io/Logging_2121/artfynd/A 34415-2022 artfynd.xlsx", "A 34415-2022")</f>
        <v/>
      </c>
      <c r="T448">
        <f>HYPERLINK("https://klasma.github.io/Logging_2121/kartor/A 34415-2022 karta.png", "A 34415-2022")</f>
        <v/>
      </c>
      <c r="V448">
        <f>HYPERLINK("https://klasma.github.io/Logging_2121/klagomål/A 34415-2022 FSC-klagomål.docx", "A 34415-2022")</f>
        <v/>
      </c>
      <c r="W448">
        <f>HYPERLINK("https://klasma.github.io/Logging_2121/klagomålsmail/A 34415-2022 FSC-klagomål mail.docx", "A 34415-2022")</f>
        <v/>
      </c>
      <c r="X448">
        <f>HYPERLINK("https://klasma.github.io/Logging_2121/tillsyn/A 34415-2022 tillsynsbegäran.docx", "A 34415-2022")</f>
        <v/>
      </c>
      <c r="Y448">
        <f>HYPERLINK("https://klasma.github.io/Logging_2121/tillsynsmail/A 34415-2022 tillsynsbegäran mail.docx", "A 34415-2022")</f>
        <v/>
      </c>
    </row>
    <row r="449" ht="15" customHeight="1">
      <c r="A449" t="inlineStr">
        <is>
          <t>A 35582-2022</t>
        </is>
      </c>
      <c r="B449" s="1" t="n">
        <v>44799</v>
      </c>
      <c r="C449" s="1" t="n">
        <v>45587</v>
      </c>
      <c r="D449" t="inlineStr">
        <is>
          <t>GÄVLEBORGS LÄN</t>
        </is>
      </c>
      <c r="E449" t="inlineStr">
        <is>
          <t>LJUSDAL</t>
        </is>
      </c>
      <c r="F449" t="inlineStr">
        <is>
          <t>Sveaskog</t>
        </is>
      </c>
      <c r="G449" t="n">
        <v>3.3</v>
      </c>
      <c r="H449" t="n">
        <v>0</v>
      </c>
      <c r="I449" t="n">
        <v>0</v>
      </c>
      <c r="J449" t="n">
        <v>1</v>
      </c>
      <c r="K449" t="n">
        <v>0</v>
      </c>
      <c r="L449" t="n">
        <v>0</v>
      </c>
      <c r="M449" t="n">
        <v>0</v>
      </c>
      <c r="N449" t="n">
        <v>0</v>
      </c>
      <c r="O449" t="n">
        <v>1</v>
      </c>
      <c r="P449" t="n">
        <v>0</v>
      </c>
      <c r="Q449" t="n">
        <v>1</v>
      </c>
      <c r="R449" s="2" t="inlineStr">
        <is>
          <t>Lunglav</t>
        </is>
      </c>
      <c r="S449">
        <f>HYPERLINK("https://klasma.github.io/Logging_2161/artfynd/A 35582-2022 artfynd.xlsx", "A 35582-2022")</f>
        <v/>
      </c>
      <c r="T449">
        <f>HYPERLINK("https://klasma.github.io/Logging_2161/kartor/A 35582-2022 karta.png", "A 35582-2022")</f>
        <v/>
      </c>
      <c r="V449">
        <f>HYPERLINK("https://klasma.github.io/Logging_2161/klagomål/A 35582-2022 FSC-klagomål.docx", "A 35582-2022")</f>
        <v/>
      </c>
      <c r="W449">
        <f>HYPERLINK("https://klasma.github.io/Logging_2161/klagomålsmail/A 35582-2022 FSC-klagomål mail.docx", "A 35582-2022")</f>
        <v/>
      </c>
      <c r="X449">
        <f>HYPERLINK("https://klasma.github.io/Logging_2161/tillsyn/A 35582-2022 tillsynsbegäran.docx", "A 35582-2022")</f>
        <v/>
      </c>
      <c r="Y449">
        <f>HYPERLINK("https://klasma.github.io/Logging_2161/tillsynsmail/A 35582-2022 tillsynsbegäran mail.docx", "A 35582-2022")</f>
        <v/>
      </c>
    </row>
    <row r="450" ht="15" customHeight="1">
      <c r="A450" t="inlineStr">
        <is>
          <t>A 35525-2022</t>
        </is>
      </c>
      <c r="B450" s="1" t="n">
        <v>44799</v>
      </c>
      <c r="C450" s="1" t="n">
        <v>45587</v>
      </c>
      <c r="D450" t="inlineStr">
        <is>
          <t>GÄVLEBORGS LÄN</t>
        </is>
      </c>
      <c r="E450" t="inlineStr">
        <is>
          <t>SANDVIKEN</t>
        </is>
      </c>
      <c r="G450" t="n">
        <v>0.7</v>
      </c>
      <c r="H450" t="n">
        <v>1</v>
      </c>
      <c r="I450" t="n">
        <v>0</v>
      </c>
      <c r="J450" t="n">
        <v>0</v>
      </c>
      <c r="K450" t="n">
        <v>0</v>
      </c>
      <c r="L450" t="n">
        <v>0</v>
      </c>
      <c r="M450" t="n">
        <v>0</v>
      </c>
      <c r="N450" t="n">
        <v>0</v>
      </c>
      <c r="O450" t="n">
        <v>0</v>
      </c>
      <c r="P450" t="n">
        <v>0</v>
      </c>
      <c r="Q450" t="n">
        <v>1</v>
      </c>
      <c r="R450" s="2" t="inlineStr">
        <is>
          <t>Lopplummer</t>
        </is>
      </c>
      <c r="S450">
        <f>HYPERLINK("https://klasma.github.io/Logging_2181/artfynd/A 35525-2022 artfynd.xlsx", "A 35525-2022")</f>
        <v/>
      </c>
      <c r="T450">
        <f>HYPERLINK("https://klasma.github.io/Logging_2181/kartor/A 35525-2022 karta.png", "A 35525-2022")</f>
        <v/>
      </c>
      <c r="V450">
        <f>HYPERLINK("https://klasma.github.io/Logging_2181/klagomål/A 35525-2022 FSC-klagomål.docx", "A 35525-2022")</f>
        <v/>
      </c>
      <c r="W450">
        <f>HYPERLINK("https://klasma.github.io/Logging_2181/klagomålsmail/A 35525-2022 FSC-klagomål mail.docx", "A 35525-2022")</f>
        <v/>
      </c>
      <c r="X450">
        <f>HYPERLINK("https://klasma.github.io/Logging_2181/tillsyn/A 35525-2022 tillsynsbegäran.docx", "A 35525-2022")</f>
        <v/>
      </c>
      <c r="Y450">
        <f>HYPERLINK("https://klasma.github.io/Logging_2181/tillsynsmail/A 35525-2022 tillsynsbegäran mail.docx", "A 35525-2022")</f>
        <v/>
      </c>
    </row>
    <row r="451" ht="15" customHeight="1">
      <c r="A451" t="inlineStr">
        <is>
          <t>A 37927-2022</t>
        </is>
      </c>
      <c r="B451" s="1" t="n">
        <v>44811</v>
      </c>
      <c r="C451" s="1" t="n">
        <v>45587</v>
      </c>
      <c r="D451" t="inlineStr">
        <is>
          <t>GÄVLEBORGS LÄN</t>
        </is>
      </c>
      <c r="E451" t="inlineStr">
        <is>
          <t>GÄVLE</t>
        </is>
      </c>
      <c r="G451" t="n">
        <v>1.6</v>
      </c>
      <c r="H451" t="n">
        <v>1</v>
      </c>
      <c r="I451" t="n">
        <v>0</v>
      </c>
      <c r="J451" t="n">
        <v>0</v>
      </c>
      <c r="K451" t="n">
        <v>1</v>
      </c>
      <c r="L451" t="n">
        <v>0</v>
      </c>
      <c r="M451" t="n">
        <v>0</v>
      </c>
      <c r="N451" t="n">
        <v>0</v>
      </c>
      <c r="O451" t="n">
        <v>1</v>
      </c>
      <c r="P451" t="n">
        <v>1</v>
      </c>
      <c r="Q451" t="n">
        <v>1</v>
      </c>
      <c r="R451" s="2" t="inlineStr">
        <is>
          <t>Knärot</t>
        </is>
      </c>
      <c r="S451">
        <f>HYPERLINK("https://klasma.github.io/Logging_2180/artfynd/A 37927-2022 artfynd.xlsx", "A 37927-2022")</f>
        <v/>
      </c>
      <c r="T451">
        <f>HYPERLINK("https://klasma.github.io/Logging_2180/kartor/A 37927-2022 karta.png", "A 37927-2022")</f>
        <v/>
      </c>
      <c r="U451">
        <f>HYPERLINK("https://klasma.github.io/Logging_2180/knärot/A 37927-2022 karta knärot.png", "A 37927-2022")</f>
        <v/>
      </c>
      <c r="V451">
        <f>HYPERLINK("https://klasma.github.io/Logging_2180/klagomål/A 37927-2022 FSC-klagomål.docx", "A 37927-2022")</f>
        <v/>
      </c>
      <c r="W451">
        <f>HYPERLINK("https://klasma.github.io/Logging_2180/klagomålsmail/A 37927-2022 FSC-klagomål mail.docx", "A 37927-2022")</f>
        <v/>
      </c>
      <c r="X451">
        <f>HYPERLINK("https://klasma.github.io/Logging_2180/tillsyn/A 37927-2022 tillsynsbegäran.docx", "A 37927-2022")</f>
        <v/>
      </c>
      <c r="Y451">
        <f>HYPERLINK("https://klasma.github.io/Logging_2180/tillsynsmail/A 37927-2022 tillsynsbegäran mail.docx", "A 37927-2022")</f>
        <v/>
      </c>
    </row>
    <row r="452" ht="15" customHeight="1">
      <c r="A452" t="inlineStr">
        <is>
          <t>A 38159-2022</t>
        </is>
      </c>
      <c r="B452" s="1" t="n">
        <v>44812</v>
      </c>
      <c r="C452" s="1" t="n">
        <v>45587</v>
      </c>
      <c r="D452" t="inlineStr">
        <is>
          <t>GÄVLEBORGS LÄN</t>
        </is>
      </c>
      <c r="E452" t="inlineStr">
        <is>
          <t>NORDANSTIG</t>
        </is>
      </c>
      <c r="F452" t="inlineStr">
        <is>
          <t>Holmen skog AB</t>
        </is>
      </c>
      <c r="G452" t="n">
        <v>1.4</v>
      </c>
      <c r="H452" t="n">
        <v>0</v>
      </c>
      <c r="I452" t="n">
        <v>0</v>
      </c>
      <c r="J452" t="n">
        <v>1</v>
      </c>
      <c r="K452" t="n">
        <v>0</v>
      </c>
      <c r="L452" t="n">
        <v>0</v>
      </c>
      <c r="M452" t="n">
        <v>0</v>
      </c>
      <c r="N452" t="n">
        <v>0</v>
      </c>
      <c r="O452" t="n">
        <v>1</v>
      </c>
      <c r="P452" t="n">
        <v>0</v>
      </c>
      <c r="Q452" t="n">
        <v>1</v>
      </c>
      <c r="R452" s="2" t="inlineStr">
        <is>
          <t>Granticka</t>
        </is>
      </c>
      <c r="S452">
        <f>HYPERLINK("https://klasma.github.io/Logging_2132/artfynd/A 38159-2022 artfynd.xlsx", "A 38159-2022")</f>
        <v/>
      </c>
      <c r="T452">
        <f>HYPERLINK("https://klasma.github.io/Logging_2132/kartor/A 38159-2022 karta.png", "A 38159-2022")</f>
        <v/>
      </c>
      <c r="V452">
        <f>HYPERLINK("https://klasma.github.io/Logging_2132/klagomål/A 38159-2022 FSC-klagomål.docx", "A 38159-2022")</f>
        <v/>
      </c>
      <c r="W452">
        <f>HYPERLINK("https://klasma.github.io/Logging_2132/klagomålsmail/A 38159-2022 FSC-klagomål mail.docx", "A 38159-2022")</f>
        <v/>
      </c>
      <c r="X452">
        <f>HYPERLINK("https://klasma.github.io/Logging_2132/tillsyn/A 38159-2022 tillsynsbegäran.docx", "A 38159-2022")</f>
        <v/>
      </c>
      <c r="Y452">
        <f>HYPERLINK("https://klasma.github.io/Logging_2132/tillsynsmail/A 38159-2022 tillsynsbegäran mail.docx", "A 38159-2022")</f>
        <v/>
      </c>
    </row>
    <row r="453" ht="15" customHeight="1">
      <c r="A453" t="inlineStr">
        <is>
          <t>A 38529-2022</t>
        </is>
      </c>
      <c r="B453" s="1" t="n">
        <v>44813</v>
      </c>
      <c r="C453" s="1" t="n">
        <v>45587</v>
      </c>
      <c r="D453" t="inlineStr">
        <is>
          <t>GÄVLEBORGS LÄN</t>
        </is>
      </c>
      <c r="E453" t="inlineStr">
        <is>
          <t>BOLLNÄS</t>
        </is>
      </c>
      <c r="G453" t="n">
        <v>0.9</v>
      </c>
      <c r="H453" t="n">
        <v>0</v>
      </c>
      <c r="I453" t="n">
        <v>0</v>
      </c>
      <c r="J453" t="n">
        <v>1</v>
      </c>
      <c r="K453" t="n">
        <v>0</v>
      </c>
      <c r="L453" t="n">
        <v>0</v>
      </c>
      <c r="M453" t="n">
        <v>0</v>
      </c>
      <c r="N453" t="n">
        <v>0</v>
      </c>
      <c r="O453" t="n">
        <v>1</v>
      </c>
      <c r="P453" t="n">
        <v>0</v>
      </c>
      <c r="Q453" t="n">
        <v>1</v>
      </c>
      <c r="R453" s="2" t="inlineStr">
        <is>
          <t>Skrovlig taggsvamp</t>
        </is>
      </c>
      <c r="S453">
        <f>HYPERLINK("https://klasma.github.io/Logging_2183/artfynd/A 38529-2022 artfynd.xlsx", "A 38529-2022")</f>
        <v/>
      </c>
      <c r="T453">
        <f>HYPERLINK("https://klasma.github.io/Logging_2183/kartor/A 38529-2022 karta.png", "A 38529-2022")</f>
        <v/>
      </c>
      <c r="V453">
        <f>HYPERLINK("https://klasma.github.io/Logging_2183/klagomål/A 38529-2022 FSC-klagomål.docx", "A 38529-2022")</f>
        <v/>
      </c>
      <c r="W453">
        <f>HYPERLINK("https://klasma.github.io/Logging_2183/klagomålsmail/A 38529-2022 FSC-klagomål mail.docx", "A 38529-2022")</f>
        <v/>
      </c>
      <c r="X453">
        <f>HYPERLINK("https://klasma.github.io/Logging_2183/tillsyn/A 38529-2022 tillsynsbegäran.docx", "A 38529-2022")</f>
        <v/>
      </c>
      <c r="Y453">
        <f>HYPERLINK("https://klasma.github.io/Logging_2183/tillsynsmail/A 38529-2022 tillsynsbegäran mail.docx", "A 38529-2022")</f>
        <v/>
      </c>
    </row>
    <row r="454" ht="15" customHeight="1">
      <c r="A454" t="inlineStr">
        <is>
          <t>A 41258-2022</t>
        </is>
      </c>
      <c r="B454" s="1" t="n">
        <v>44826</v>
      </c>
      <c r="C454" s="1" t="n">
        <v>45587</v>
      </c>
      <c r="D454" t="inlineStr">
        <is>
          <t>GÄVLEBORGS LÄN</t>
        </is>
      </c>
      <c r="E454" t="inlineStr">
        <is>
          <t>SÖDERHAMN</t>
        </is>
      </c>
      <c r="G454" t="n">
        <v>0.8</v>
      </c>
      <c r="H454" t="n">
        <v>0</v>
      </c>
      <c r="I454" t="n">
        <v>0</v>
      </c>
      <c r="J454" t="n">
        <v>1</v>
      </c>
      <c r="K454" t="n">
        <v>0</v>
      </c>
      <c r="L454" t="n">
        <v>0</v>
      </c>
      <c r="M454" t="n">
        <v>0</v>
      </c>
      <c r="N454" t="n">
        <v>0</v>
      </c>
      <c r="O454" t="n">
        <v>1</v>
      </c>
      <c r="P454" t="n">
        <v>0</v>
      </c>
      <c r="Q454" t="n">
        <v>1</v>
      </c>
      <c r="R454" s="2" t="inlineStr">
        <is>
          <t>Rosenticka</t>
        </is>
      </c>
      <c r="S454">
        <f>HYPERLINK("https://klasma.github.io/Logging_2182/artfynd/A 41258-2022 artfynd.xlsx", "A 41258-2022")</f>
        <v/>
      </c>
      <c r="T454">
        <f>HYPERLINK("https://klasma.github.io/Logging_2182/kartor/A 41258-2022 karta.png", "A 41258-2022")</f>
        <v/>
      </c>
      <c r="V454">
        <f>HYPERLINK("https://klasma.github.io/Logging_2182/klagomål/A 41258-2022 FSC-klagomål.docx", "A 41258-2022")</f>
        <v/>
      </c>
      <c r="W454">
        <f>HYPERLINK("https://klasma.github.io/Logging_2182/klagomålsmail/A 41258-2022 FSC-klagomål mail.docx", "A 41258-2022")</f>
        <v/>
      </c>
      <c r="X454">
        <f>HYPERLINK("https://klasma.github.io/Logging_2182/tillsyn/A 41258-2022 tillsynsbegäran.docx", "A 41258-2022")</f>
        <v/>
      </c>
      <c r="Y454">
        <f>HYPERLINK("https://klasma.github.io/Logging_2182/tillsynsmail/A 41258-2022 tillsynsbegäran mail.docx", "A 41258-2022")</f>
        <v/>
      </c>
    </row>
    <row r="455" ht="15" customHeight="1">
      <c r="A455" t="inlineStr">
        <is>
          <t>A 42937-2022</t>
        </is>
      </c>
      <c r="B455" s="1" t="n">
        <v>44833</v>
      </c>
      <c r="C455" s="1" t="n">
        <v>45587</v>
      </c>
      <c r="D455" t="inlineStr">
        <is>
          <t>GÄVLEBORGS LÄN</t>
        </is>
      </c>
      <c r="E455" t="inlineStr">
        <is>
          <t>LJUSDAL</t>
        </is>
      </c>
      <c r="G455" t="n">
        <v>0.7</v>
      </c>
      <c r="H455" t="n">
        <v>0</v>
      </c>
      <c r="I455" t="n">
        <v>0</v>
      </c>
      <c r="J455" t="n">
        <v>1</v>
      </c>
      <c r="K455" t="n">
        <v>0</v>
      </c>
      <c r="L455" t="n">
        <v>0</v>
      </c>
      <c r="M455" t="n">
        <v>0</v>
      </c>
      <c r="N455" t="n">
        <v>0</v>
      </c>
      <c r="O455" t="n">
        <v>1</v>
      </c>
      <c r="P455" t="n">
        <v>0</v>
      </c>
      <c r="Q455" t="n">
        <v>1</v>
      </c>
      <c r="R455" s="2" t="inlineStr">
        <is>
          <t>Lunglav</t>
        </is>
      </c>
      <c r="S455">
        <f>HYPERLINK("https://klasma.github.io/Logging_2161/artfynd/A 42937-2022 artfynd.xlsx", "A 42937-2022")</f>
        <v/>
      </c>
      <c r="T455">
        <f>HYPERLINK("https://klasma.github.io/Logging_2161/kartor/A 42937-2022 karta.png", "A 42937-2022")</f>
        <v/>
      </c>
      <c r="V455">
        <f>HYPERLINK("https://klasma.github.io/Logging_2161/klagomål/A 42937-2022 FSC-klagomål.docx", "A 42937-2022")</f>
        <v/>
      </c>
      <c r="W455">
        <f>HYPERLINK("https://klasma.github.io/Logging_2161/klagomålsmail/A 42937-2022 FSC-klagomål mail.docx", "A 42937-2022")</f>
        <v/>
      </c>
      <c r="X455">
        <f>HYPERLINK("https://klasma.github.io/Logging_2161/tillsyn/A 42937-2022 tillsynsbegäran.docx", "A 42937-2022")</f>
        <v/>
      </c>
      <c r="Y455">
        <f>HYPERLINK("https://klasma.github.io/Logging_2161/tillsynsmail/A 42937-2022 tillsynsbegäran mail.docx", "A 42937-2022")</f>
        <v/>
      </c>
    </row>
    <row r="456" ht="15" customHeight="1">
      <c r="A456" t="inlineStr">
        <is>
          <t>A 45241-2022</t>
        </is>
      </c>
      <c r="B456" s="1" t="n">
        <v>44840</v>
      </c>
      <c r="C456" s="1" t="n">
        <v>45587</v>
      </c>
      <c r="D456" t="inlineStr">
        <is>
          <t>GÄVLEBORGS LÄN</t>
        </is>
      </c>
      <c r="E456" t="inlineStr">
        <is>
          <t>GÄVLE</t>
        </is>
      </c>
      <c r="F456" t="inlineStr">
        <is>
          <t>Bergvik skog väst AB</t>
        </is>
      </c>
      <c r="G456" t="n">
        <v>22</v>
      </c>
      <c r="H456" t="n">
        <v>1</v>
      </c>
      <c r="I456" t="n">
        <v>0</v>
      </c>
      <c r="J456" t="n">
        <v>0</v>
      </c>
      <c r="K456" t="n">
        <v>0</v>
      </c>
      <c r="L456" t="n">
        <v>0</v>
      </c>
      <c r="M456" t="n">
        <v>0</v>
      </c>
      <c r="N456" t="n">
        <v>0</v>
      </c>
      <c r="O456" t="n">
        <v>0</v>
      </c>
      <c r="P456" t="n">
        <v>0</v>
      </c>
      <c r="Q456" t="n">
        <v>1</v>
      </c>
      <c r="R456" s="2" t="inlineStr">
        <is>
          <t>Blåsippa</t>
        </is>
      </c>
      <c r="S456">
        <f>HYPERLINK("https://klasma.github.io/Logging_2180/artfynd/A 45241-2022 artfynd.xlsx", "A 45241-2022")</f>
        <v/>
      </c>
      <c r="T456">
        <f>HYPERLINK("https://klasma.github.io/Logging_2180/kartor/A 45241-2022 karta.png", "A 45241-2022")</f>
        <v/>
      </c>
      <c r="V456">
        <f>HYPERLINK("https://klasma.github.io/Logging_2180/klagomål/A 45241-2022 FSC-klagomål.docx", "A 45241-2022")</f>
        <v/>
      </c>
      <c r="W456">
        <f>HYPERLINK("https://klasma.github.io/Logging_2180/klagomålsmail/A 45241-2022 FSC-klagomål mail.docx", "A 45241-2022")</f>
        <v/>
      </c>
      <c r="X456">
        <f>HYPERLINK("https://klasma.github.io/Logging_2180/tillsyn/A 45241-2022 tillsynsbegäran.docx", "A 45241-2022")</f>
        <v/>
      </c>
      <c r="Y456">
        <f>HYPERLINK("https://klasma.github.io/Logging_2180/tillsynsmail/A 45241-2022 tillsynsbegäran mail.docx", "A 45241-2022")</f>
        <v/>
      </c>
    </row>
    <row r="457" ht="15" customHeight="1">
      <c r="A457" t="inlineStr">
        <is>
          <t>A 45909-2022</t>
        </is>
      </c>
      <c r="B457" s="1" t="n">
        <v>44846</v>
      </c>
      <c r="C457" s="1" t="n">
        <v>45587</v>
      </c>
      <c r="D457" t="inlineStr">
        <is>
          <t>GÄVLEBORGS LÄN</t>
        </is>
      </c>
      <c r="E457" t="inlineStr">
        <is>
          <t>SANDVIKEN</t>
        </is>
      </c>
      <c r="G457" t="n">
        <v>2.5</v>
      </c>
      <c r="H457" t="n">
        <v>0</v>
      </c>
      <c r="I457" t="n">
        <v>0</v>
      </c>
      <c r="J457" t="n">
        <v>1</v>
      </c>
      <c r="K457" t="n">
        <v>0</v>
      </c>
      <c r="L457" t="n">
        <v>0</v>
      </c>
      <c r="M457" t="n">
        <v>0</v>
      </c>
      <c r="N457" t="n">
        <v>0</v>
      </c>
      <c r="O457" t="n">
        <v>1</v>
      </c>
      <c r="P457" t="n">
        <v>0</v>
      </c>
      <c r="Q457" t="n">
        <v>1</v>
      </c>
      <c r="R457" s="2" t="inlineStr">
        <is>
          <t>Brunklöver</t>
        </is>
      </c>
      <c r="S457">
        <f>HYPERLINK("https://klasma.github.io/Logging_2181/artfynd/A 45909-2022 artfynd.xlsx", "A 45909-2022")</f>
        <v/>
      </c>
      <c r="T457">
        <f>HYPERLINK("https://klasma.github.io/Logging_2181/kartor/A 45909-2022 karta.png", "A 45909-2022")</f>
        <v/>
      </c>
      <c r="V457">
        <f>HYPERLINK("https://klasma.github.io/Logging_2181/klagomål/A 45909-2022 FSC-klagomål.docx", "A 45909-2022")</f>
        <v/>
      </c>
      <c r="W457">
        <f>HYPERLINK("https://klasma.github.io/Logging_2181/klagomålsmail/A 45909-2022 FSC-klagomål mail.docx", "A 45909-2022")</f>
        <v/>
      </c>
      <c r="X457">
        <f>HYPERLINK("https://klasma.github.io/Logging_2181/tillsyn/A 45909-2022 tillsynsbegäran.docx", "A 45909-2022")</f>
        <v/>
      </c>
      <c r="Y457">
        <f>HYPERLINK("https://klasma.github.io/Logging_2181/tillsynsmail/A 45909-2022 tillsynsbegäran mail.docx", "A 45909-2022")</f>
        <v/>
      </c>
    </row>
    <row r="458" ht="15" customHeight="1">
      <c r="A458" t="inlineStr">
        <is>
          <t>A 53259-2022</t>
        </is>
      </c>
      <c r="B458" s="1" t="n">
        <v>44876</v>
      </c>
      <c r="C458" s="1" t="n">
        <v>45587</v>
      </c>
      <c r="D458" t="inlineStr">
        <is>
          <t>GÄVLEBORGS LÄN</t>
        </is>
      </c>
      <c r="E458" t="inlineStr">
        <is>
          <t>SANDVIKEN</t>
        </is>
      </c>
      <c r="F458" t="inlineStr">
        <is>
          <t>Sveaskog</t>
        </is>
      </c>
      <c r="G458" t="n">
        <v>3.2</v>
      </c>
      <c r="H458" t="n">
        <v>1</v>
      </c>
      <c r="I458" t="n">
        <v>0</v>
      </c>
      <c r="J458" t="n">
        <v>0</v>
      </c>
      <c r="K458" t="n">
        <v>1</v>
      </c>
      <c r="L458" t="n">
        <v>0</v>
      </c>
      <c r="M458" t="n">
        <v>0</v>
      </c>
      <c r="N458" t="n">
        <v>0</v>
      </c>
      <c r="O458" t="n">
        <v>1</v>
      </c>
      <c r="P458" t="n">
        <v>1</v>
      </c>
      <c r="Q458" t="n">
        <v>1</v>
      </c>
      <c r="R458" s="2" t="inlineStr">
        <is>
          <t>Knärot</t>
        </is>
      </c>
      <c r="S458">
        <f>HYPERLINK("https://klasma.github.io/Logging_2181/artfynd/A 53259-2022 artfynd.xlsx", "A 53259-2022")</f>
        <v/>
      </c>
      <c r="T458">
        <f>HYPERLINK("https://klasma.github.io/Logging_2181/kartor/A 53259-2022 karta.png", "A 53259-2022")</f>
        <v/>
      </c>
      <c r="U458">
        <f>HYPERLINK("https://klasma.github.io/Logging_2181/knärot/A 53259-2022 karta knärot.png", "A 53259-2022")</f>
        <v/>
      </c>
      <c r="V458">
        <f>HYPERLINK("https://klasma.github.io/Logging_2181/klagomål/A 53259-2022 FSC-klagomål.docx", "A 53259-2022")</f>
        <v/>
      </c>
      <c r="W458">
        <f>HYPERLINK("https://klasma.github.io/Logging_2181/klagomålsmail/A 53259-2022 FSC-klagomål mail.docx", "A 53259-2022")</f>
        <v/>
      </c>
      <c r="X458">
        <f>HYPERLINK("https://klasma.github.io/Logging_2181/tillsyn/A 53259-2022 tillsynsbegäran.docx", "A 53259-2022")</f>
        <v/>
      </c>
      <c r="Y458">
        <f>HYPERLINK("https://klasma.github.io/Logging_2181/tillsynsmail/A 53259-2022 tillsynsbegäran mail.docx", "A 53259-2022")</f>
        <v/>
      </c>
    </row>
    <row r="459" ht="15" customHeight="1">
      <c r="A459" t="inlineStr">
        <is>
          <t>A 53457-2022</t>
        </is>
      </c>
      <c r="B459" s="1" t="n">
        <v>44879</v>
      </c>
      <c r="C459" s="1" t="n">
        <v>45587</v>
      </c>
      <c r="D459" t="inlineStr">
        <is>
          <t>GÄVLEBORGS LÄN</t>
        </is>
      </c>
      <c r="E459" t="inlineStr">
        <is>
          <t>LJUSDAL</t>
        </is>
      </c>
      <c r="F459" t="inlineStr">
        <is>
          <t>Sveaskog</t>
        </is>
      </c>
      <c r="G459" t="n">
        <v>17</v>
      </c>
      <c r="H459" t="n">
        <v>0</v>
      </c>
      <c r="I459" t="n">
        <v>0</v>
      </c>
      <c r="J459" t="n">
        <v>1</v>
      </c>
      <c r="K459" t="n">
        <v>0</v>
      </c>
      <c r="L459" t="n">
        <v>0</v>
      </c>
      <c r="M459" t="n">
        <v>0</v>
      </c>
      <c r="N459" t="n">
        <v>0</v>
      </c>
      <c r="O459" t="n">
        <v>1</v>
      </c>
      <c r="P459" t="n">
        <v>0</v>
      </c>
      <c r="Q459" t="n">
        <v>1</v>
      </c>
      <c r="R459" s="2" t="inlineStr">
        <is>
          <t>Kolflarnlav</t>
        </is>
      </c>
      <c r="S459">
        <f>HYPERLINK("https://klasma.github.io/Logging_2161/artfynd/A 53457-2022 artfynd.xlsx", "A 53457-2022")</f>
        <v/>
      </c>
      <c r="T459">
        <f>HYPERLINK("https://klasma.github.io/Logging_2161/kartor/A 53457-2022 karta.png", "A 53457-2022")</f>
        <v/>
      </c>
      <c r="V459">
        <f>HYPERLINK("https://klasma.github.io/Logging_2161/klagomål/A 53457-2022 FSC-klagomål.docx", "A 53457-2022")</f>
        <v/>
      </c>
      <c r="W459">
        <f>HYPERLINK("https://klasma.github.io/Logging_2161/klagomålsmail/A 53457-2022 FSC-klagomål mail.docx", "A 53457-2022")</f>
        <v/>
      </c>
      <c r="X459">
        <f>HYPERLINK("https://klasma.github.io/Logging_2161/tillsyn/A 53457-2022 tillsynsbegäran.docx", "A 53457-2022")</f>
        <v/>
      </c>
      <c r="Y459">
        <f>HYPERLINK("https://klasma.github.io/Logging_2161/tillsynsmail/A 53457-2022 tillsynsbegäran mail.docx", "A 53457-2022")</f>
        <v/>
      </c>
    </row>
    <row r="460" ht="15" customHeight="1">
      <c r="A460" t="inlineStr">
        <is>
          <t>A 53926-2022</t>
        </is>
      </c>
      <c r="B460" s="1" t="n">
        <v>44880</v>
      </c>
      <c r="C460" s="1" t="n">
        <v>45587</v>
      </c>
      <c r="D460" t="inlineStr">
        <is>
          <t>GÄVLEBORGS LÄN</t>
        </is>
      </c>
      <c r="E460" t="inlineStr">
        <is>
          <t>LJUSDAL</t>
        </is>
      </c>
      <c r="F460" t="inlineStr">
        <is>
          <t>Naturvårdsverket</t>
        </is>
      </c>
      <c r="G460" t="n">
        <v>9.1</v>
      </c>
      <c r="H460" t="n">
        <v>1</v>
      </c>
      <c r="I460" t="n">
        <v>0</v>
      </c>
      <c r="J460" t="n">
        <v>0</v>
      </c>
      <c r="K460" t="n">
        <v>0</v>
      </c>
      <c r="L460" t="n">
        <v>0</v>
      </c>
      <c r="M460" t="n">
        <v>0</v>
      </c>
      <c r="N460" t="n">
        <v>0</v>
      </c>
      <c r="O460" t="n">
        <v>0</v>
      </c>
      <c r="P460" t="n">
        <v>0</v>
      </c>
      <c r="Q460" t="n">
        <v>1</v>
      </c>
      <c r="R460" s="2" t="inlineStr">
        <is>
          <t>Lavskrika</t>
        </is>
      </c>
      <c r="S460">
        <f>HYPERLINK("https://klasma.github.io/Logging_2161/artfynd/A 53926-2022 artfynd.xlsx", "A 53926-2022")</f>
        <v/>
      </c>
      <c r="T460">
        <f>HYPERLINK("https://klasma.github.io/Logging_2161/kartor/A 53926-2022 karta.png", "A 53926-2022")</f>
        <v/>
      </c>
      <c r="V460">
        <f>HYPERLINK("https://klasma.github.io/Logging_2161/klagomål/A 53926-2022 FSC-klagomål.docx", "A 53926-2022")</f>
        <v/>
      </c>
      <c r="W460">
        <f>HYPERLINK("https://klasma.github.io/Logging_2161/klagomålsmail/A 53926-2022 FSC-klagomål mail.docx", "A 53926-2022")</f>
        <v/>
      </c>
      <c r="X460">
        <f>HYPERLINK("https://klasma.github.io/Logging_2161/tillsyn/A 53926-2022 tillsynsbegäran.docx", "A 53926-2022")</f>
        <v/>
      </c>
      <c r="Y460">
        <f>HYPERLINK("https://klasma.github.io/Logging_2161/tillsynsmail/A 53926-2022 tillsynsbegäran mail.docx", "A 53926-2022")</f>
        <v/>
      </c>
      <c r="Z460">
        <f>HYPERLINK("https://klasma.github.io/Logging_2161/fåglar/A 53926-2022 prioriterade fågelarter.docx", "A 53926-2022")</f>
        <v/>
      </c>
    </row>
    <row r="461" ht="15" customHeight="1">
      <c r="A461" t="inlineStr">
        <is>
          <t>A 54083-2022</t>
        </is>
      </c>
      <c r="B461" s="1" t="n">
        <v>44881</v>
      </c>
      <c r="C461" s="1" t="n">
        <v>45587</v>
      </c>
      <c r="D461" t="inlineStr">
        <is>
          <t>GÄVLEBORGS LÄN</t>
        </is>
      </c>
      <c r="E461" t="inlineStr">
        <is>
          <t>BOLLNÄS</t>
        </is>
      </c>
      <c r="F461" t="inlineStr">
        <is>
          <t>Sveaskog</t>
        </is>
      </c>
      <c r="G461" t="n">
        <v>2.7</v>
      </c>
      <c r="H461" t="n">
        <v>1</v>
      </c>
      <c r="I461" t="n">
        <v>0</v>
      </c>
      <c r="J461" t="n">
        <v>0</v>
      </c>
      <c r="K461" t="n">
        <v>0</v>
      </c>
      <c r="L461" t="n">
        <v>0</v>
      </c>
      <c r="M461" t="n">
        <v>0</v>
      </c>
      <c r="N461" t="n">
        <v>0</v>
      </c>
      <c r="O461" t="n">
        <v>0</v>
      </c>
      <c r="P461" t="n">
        <v>0</v>
      </c>
      <c r="Q461" t="n">
        <v>1</v>
      </c>
      <c r="R461" s="2" t="inlineStr">
        <is>
          <t>Fläcknycklar</t>
        </is>
      </c>
      <c r="S461">
        <f>HYPERLINK("https://klasma.github.io/Logging_2183/artfynd/A 54083-2022 artfynd.xlsx", "A 54083-2022")</f>
        <v/>
      </c>
      <c r="T461">
        <f>HYPERLINK("https://klasma.github.io/Logging_2183/kartor/A 54083-2022 karta.png", "A 54083-2022")</f>
        <v/>
      </c>
      <c r="V461">
        <f>HYPERLINK("https://klasma.github.io/Logging_2183/klagomål/A 54083-2022 FSC-klagomål.docx", "A 54083-2022")</f>
        <v/>
      </c>
      <c r="W461">
        <f>HYPERLINK("https://klasma.github.io/Logging_2183/klagomålsmail/A 54083-2022 FSC-klagomål mail.docx", "A 54083-2022")</f>
        <v/>
      </c>
      <c r="X461">
        <f>HYPERLINK("https://klasma.github.io/Logging_2183/tillsyn/A 54083-2022 tillsynsbegäran.docx", "A 54083-2022")</f>
        <v/>
      </c>
      <c r="Y461">
        <f>HYPERLINK("https://klasma.github.io/Logging_2183/tillsynsmail/A 54083-2022 tillsynsbegäran mail.docx", "A 54083-2022")</f>
        <v/>
      </c>
    </row>
    <row r="462" ht="15" customHeight="1">
      <c r="A462" t="inlineStr">
        <is>
          <t>A 54188-2022</t>
        </is>
      </c>
      <c r="B462" s="1" t="n">
        <v>44881</v>
      </c>
      <c r="C462" s="1" t="n">
        <v>45587</v>
      </c>
      <c r="D462" t="inlineStr">
        <is>
          <t>GÄVLEBORGS LÄN</t>
        </is>
      </c>
      <c r="E462" t="inlineStr">
        <is>
          <t>HOFORS</t>
        </is>
      </c>
      <c r="F462" t="inlineStr">
        <is>
          <t>Sveaskog</t>
        </is>
      </c>
      <c r="G462" t="n">
        <v>4.5</v>
      </c>
      <c r="H462" t="n">
        <v>1</v>
      </c>
      <c r="I462" t="n">
        <v>0</v>
      </c>
      <c r="J462" t="n">
        <v>0</v>
      </c>
      <c r="K462" t="n">
        <v>0</v>
      </c>
      <c r="L462" t="n">
        <v>0</v>
      </c>
      <c r="M462" t="n">
        <v>0</v>
      </c>
      <c r="N462" t="n">
        <v>0</v>
      </c>
      <c r="O462" t="n">
        <v>0</v>
      </c>
      <c r="P462" t="n">
        <v>0</v>
      </c>
      <c r="Q462" t="n">
        <v>1</v>
      </c>
      <c r="R462" s="2" t="inlineStr">
        <is>
          <t>Blåsippa</t>
        </is>
      </c>
      <c r="S462">
        <f>HYPERLINK("https://klasma.github.io/Logging_2104/artfynd/A 54188-2022 artfynd.xlsx", "A 54188-2022")</f>
        <v/>
      </c>
      <c r="T462">
        <f>HYPERLINK("https://klasma.github.io/Logging_2104/kartor/A 54188-2022 karta.png", "A 54188-2022")</f>
        <v/>
      </c>
      <c r="V462">
        <f>HYPERLINK("https://klasma.github.io/Logging_2104/klagomål/A 54188-2022 FSC-klagomål.docx", "A 54188-2022")</f>
        <v/>
      </c>
      <c r="W462">
        <f>HYPERLINK("https://klasma.github.io/Logging_2104/klagomålsmail/A 54188-2022 FSC-klagomål mail.docx", "A 54188-2022")</f>
        <v/>
      </c>
      <c r="X462">
        <f>HYPERLINK("https://klasma.github.io/Logging_2104/tillsyn/A 54188-2022 tillsynsbegäran.docx", "A 54188-2022")</f>
        <v/>
      </c>
      <c r="Y462">
        <f>HYPERLINK("https://klasma.github.io/Logging_2104/tillsynsmail/A 54188-2022 tillsynsbegäran mail.docx", "A 54188-2022")</f>
        <v/>
      </c>
    </row>
    <row r="463" ht="15" customHeight="1">
      <c r="A463" t="inlineStr">
        <is>
          <t>A 54319-2022</t>
        </is>
      </c>
      <c r="B463" s="1" t="n">
        <v>44882</v>
      </c>
      <c r="C463" s="1" t="n">
        <v>45587</v>
      </c>
      <c r="D463" t="inlineStr">
        <is>
          <t>GÄVLEBORGS LÄN</t>
        </is>
      </c>
      <c r="E463" t="inlineStr">
        <is>
          <t>HOFORS</t>
        </is>
      </c>
      <c r="F463" t="inlineStr">
        <is>
          <t>Sveaskog</t>
        </is>
      </c>
      <c r="G463" t="n">
        <v>10.8</v>
      </c>
      <c r="H463" t="n">
        <v>1</v>
      </c>
      <c r="I463" t="n">
        <v>0</v>
      </c>
      <c r="J463" t="n">
        <v>0</v>
      </c>
      <c r="K463" t="n">
        <v>0</v>
      </c>
      <c r="L463" t="n">
        <v>0</v>
      </c>
      <c r="M463" t="n">
        <v>0</v>
      </c>
      <c r="N463" t="n">
        <v>0</v>
      </c>
      <c r="O463" t="n">
        <v>0</v>
      </c>
      <c r="P463" t="n">
        <v>0</v>
      </c>
      <c r="Q463" t="n">
        <v>1</v>
      </c>
      <c r="R463" s="2" t="inlineStr">
        <is>
          <t>Blåsippa</t>
        </is>
      </c>
      <c r="S463">
        <f>HYPERLINK("https://klasma.github.io/Logging_2104/artfynd/A 54319-2022 artfynd.xlsx", "A 54319-2022")</f>
        <v/>
      </c>
      <c r="T463">
        <f>HYPERLINK("https://klasma.github.io/Logging_2104/kartor/A 54319-2022 karta.png", "A 54319-2022")</f>
        <v/>
      </c>
      <c r="V463">
        <f>HYPERLINK("https://klasma.github.io/Logging_2104/klagomål/A 54319-2022 FSC-klagomål.docx", "A 54319-2022")</f>
        <v/>
      </c>
      <c r="W463">
        <f>HYPERLINK("https://klasma.github.io/Logging_2104/klagomålsmail/A 54319-2022 FSC-klagomål mail.docx", "A 54319-2022")</f>
        <v/>
      </c>
      <c r="X463">
        <f>HYPERLINK("https://klasma.github.io/Logging_2104/tillsyn/A 54319-2022 tillsynsbegäran.docx", "A 54319-2022")</f>
        <v/>
      </c>
      <c r="Y463">
        <f>HYPERLINK("https://klasma.github.io/Logging_2104/tillsynsmail/A 54319-2022 tillsynsbegäran mail.docx", "A 54319-2022")</f>
        <v/>
      </c>
    </row>
    <row r="464" ht="15" customHeight="1">
      <c r="A464" t="inlineStr">
        <is>
          <t>A 62767-2022</t>
        </is>
      </c>
      <c r="B464" s="1" t="n">
        <v>44884</v>
      </c>
      <c r="C464" s="1" t="n">
        <v>45587</v>
      </c>
      <c r="D464" t="inlineStr">
        <is>
          <t>GÄVLEBORGS LÄN</t>
        </is>
      </c>
      <c r="E464" t="inlineStr">
        <is>
          <t>NORDANSTIG</t>
        </is>
      </c>
      <c r="F464" t="inlineStr">
        <is>
          <t>SCA</t>
        </is>
      </c>
      <c r="G464" t="n">
        <v>13.3</v>
      </c>
      <c r="H464" t="n">
        <v>1</v>
      </c>
      <c r="I464" t="n">
        <v>1</v>
      </c>
      <c r="J464" t="n">
        <v>0</v>
      </c>
      <c r="K464" t="n">
        <v>0</v>
      </c>
      <c r="L464" t="n">
        <v>0</v>
      </c>
      <c r="M464" t="n">
        <v>0</v>
      </c>
      <c r="N464" t="n">
        <v>0</v>
      </c>
      <c r="O464" t="n">
        <v>0</v>
      </c>
      <c r="P464" t="n">
        <v>0</v>
      </c>
      <c r="Q464" t="n">
        <v>1</v>
      </c>
      <c r="R464" s="2" t="inlineStr">
        <is>
          <t>Skogsknipprot</t>
        </is>
      </c>
      <c r="S464">
        <f>HYPERLINK("https://klasma.github.io/Logging_2132/artfynd/A 62767-2022 artfynd.xlsx", "A 62767-2022")</f>
        <v/>
      </c>
      <c r="T464">
        <f>HYPERLINK("https://klasma.github.io/Logging_2132/kartor/A 62767-2022 karta.png", "A 62767-2022")</f>
        <v/>
      </c>
      <c r="V464">
        <f>HYPERLINK("https://klasma.github.io/Logging_2132/klagomål/A 62767-2022 FSC-klagomål.docx", "A 62767-2022")</f>
        <v/>
      </c>
      <c r="W464">
        <f>HYPERLINK("https://klasma.github.io/Logging_2132/klagomålsmail/A 62767-2022 FSC-klagomål mail.docx", "A 62767-2022")</f>
        <v/>
      </c>
      <c r="X464">
        <f>HYPERLINK("https://klasma.github.io/Logging_2132/tillsyn/A 62767-2022 tillsynsbegäran.docx", "A 62767-2022")</f>
        <v/>
      </c>
      <c r="Y464">
        <f>HYPERLINK("https://klasma.github.io/Logging_2132/tillsynsmail/A 62767-2022 tillsynsbegäran mail.docx", "A 62767-2022")</f>
        <v/>
      </c>
    </row>
    <row r="465" ht="15" customHeight="1">
      <c r="A465" t="inlineStr">
        <is>
          <t>A 55216-2022</t>
        </is>
      </c>
      <c r="B465" s="1" t="n">
        <v>44886</v>
      </c>
      <c r="C465" s="1" t="n">
        <v>45587</v>
      </c>
      <c r="D465" t="inlineStr">
        <is>
          <t>GÄVLEBORGS LÄN</t>
        </is>
      </c>
      <c r="E465" t="inlineStr">
        <is>
          <t>LJUSDAL</t>
        </is>
      </c>
      <c r="F465" t="inlineStr">
        <is>
          <t>SCA</t>
        </is>
      </c>
      <c r="G465" t="n">
        <v>10.1</v>
      </c>
      <c r="H465" t="n">
        <v>1</v>
      </c>
      <c r="I465" t="n">
        <v>0</v>
      </c>
      <c r="J465" t="n">
        <v>0</v>
      </c>
      <c r="K465" t="n">
        <v>0</v>
      </c>
      <c r="L465" t="n">
        <v>0</v>
      </c>
      <c r="M465" t="n">
        <v>0</v>
      </c>
      <c r="N465" t="n">
        <v>0</v>
      </c>
      <c r="O465" t="n">
        <v>0</v>
      </c>
      <c r="P465" t="n">
        <v>0</v>
      </c>
      <c r="Q465" t="n">
        <v>1</v>
      </c>
      <c r="R465" s="2" t="inlineStr">
        <is>
          <t>Kungsfågel</t>
        </is>
      </c>
      <c r="S465">
        <f>HYPERLINK("https://klasma.github.io/Logging_2161/artfynd/A 55216-2022 artfynd.xlsx", "A 55216-2022")</f>
        <v/>
      </c>
      <c r="T465">
        <f>HYPERLINK("https://klasma.github.io/Logging_2161/kartor/A 55216-2022 karta.png", "A 55216-2022")</f>
        <v/>
      </c>
      <c r="V465">
        <f>HYPERLINK("https://klasma.github.io/Logging_2161/klagomål/A 55216-2022 FSC-klagomål.docx", "A 55216-2022")</f>
        <v/>
      </c>
      <c r="W465">
        <f>HYPERLINK("https://klasma.github.io/Logging_2161/klagomålsmail/A 55216-2022 FSC-klagomål mail.docx", "A 55216-2022")</f>
        <v/>
      </c>
      <c r="X465">
        <f>HYPERLINK("https://klasma.github.io/Logging_2161/tillsyn/A 55216-2022 tillsynsbegäran.docx", "A 55216-2022")</f>
        <v/>
      </c>
      <c r="Y465">
        <f>HYPERLINK("https://klasma.github.io/Logging_2161/tillsynsmail/A 55216-2022 tillsynsbegäran mail.docx", "A 55216-2022")</f>
        <v/>
      </c>
      <c r="Z465">
        <f>HYPERLINK("https://klasma.github.io/Logging_2161/fåglar/A 55216-2022 prioriterade fågelarter.docx", "A 55216-2022")</f>
        <v/>
      </c>
    </row>
    <row r="466" ht="15" customHeight="1">
      <c r="A466" t="inlineStr">
        <is>
          <t>A 55253-2022</t>
        </is>
      </c>
      <c r="B466" s="1" t="n">
        <v>44887</v>
      </c>
      <c r="C466" s="1" t="n">
        <v>45587</v>
      </c>
      <c r="D466" t="inlineStr">
        <is>
          <t>GÄVLEBORGS LÄN</t>
        </is>
      </c>
      <c r="E466" t="inlineStr">
        <is>
          <t>HUDIKSVALL</t>
        </is>
      </c>
      <c r="F466" t="inlineStr">
        <is>
          <t>Holmen skog AB</t>
        </is>
      </c>
      <c r="G466" t="n">
        <v>5.1</v>
      </c>
      <c r="H466" t="n">
        <v>1</v>
      </c>
      <c r="I466" t="n">
        <v>0</v>
      </c>
      <c r="J466" t="n">
        <v>0</v>
      </c>
      <c r="K466" t="n">
        <v>0</v>
      </c>
      <c r="L466" t="n">
        <v>0</v>
      </c>
      <c r="M466" t="n">
        <v>0</v>
      </c>
      <c r="N466" t="n">
        <v>0</v>
      </c>
      <c r="O466" t="n">
        <v>0</v>
      </c>
      <c r="P466" t="n">
        <v>0</v>
      </c>
      <c r="Q466" t="n">
        <v>1</v>
      </c>
      <c r="R466" s="2" t="inlineStr">
        <is>
          <t>Bivråk</t>
        </is>
      </c>
      <c r="S466">
        <f>HYPERLINK("https://klasma.github.io/Logging_2184/artfynd/A 55253-2022 artfynd.xlsx", "A 55253-2022")</f>
        <v/>
      </c>
      <c r="T466">
        <f>HYPERLINK("https://klasma.github.io/Logging_2184/kartor/A 55253-2022 karta.png", "A 55253-2022")</f>
        <v/>
      </c>
      <c r="U466">
        <f>HYPERLINK("https://klasma.github.io/Logging_2184/knärot/A 55253-2022 karta knärot.png", "A 55253-2022")</f>
        <v/>
      </c>
      <c r="V466">
        <f>HYPERLINK("https://klasma.github.io/Logging_2184/klagomål/A 55253-2022 FSC-klagomål.docx", "A 55253-2022")</f>
        <v/>
      </c>
      <c r="W466">
        <f>HYPERLINK("https://klasma.github.io/Logging_2184/klagomålsmail/A 55253-2022 FSC-klagomål mail.docx", "A 55253-2022")</f>
        <v/>
      </c>
      <c r="X466">
        <f>HYPERLINK("https://klasma.github.io/Logging_2184/tillsyn/A 55253-2022 tillsynsbegäran.docx", "A 55253-2022")</f>
        <v/>
      </c>
      <c r="Y466">
        <f>HYPERLINK("https://klasma.github.io/Logging_2184/tillsynsmail/A 55253-2022 tillsynsbegäran mail.docx", "A 55253-2022")</f>
        <v/>
      </c>
      <c r="Z466">
        <f>HYPERLINK("https://klasma.github.io/Logging_2184/fåglar/A 55253-2022 prioriterade fågelarter.docx", "A 55253-2022")</f>
        <v/>
      </c>
    </row>
    <row r="467" ht="15" customHeight="1">
      <c r="A467" t="inlineStr">
        <is>
          <t>A 58333-2022</t>
        </is>
      </c>
      <c r="B467" s="1" t="n">
        <v>44901</v>
      </c>
      <c r="C467" s="1" t="n">
        <v>45587</v>
      </c>
      <c r="D467" t="inlineStr">
        <is>
          <t>GÄVLEBORGS LÄN</t>
        </is>
      </c>
      <c r="E467" t="inlineStr">
        <is>
          <t>BOLLNÄS</t>
        </is>
      </c>
      <c r="G467" t="n">
        <v>1.8</v>
      </c>
      <c r="H467" t="n">
        <v>0</v>
      </c>
      <c r="I467" t="n">
        <v>0</v>
      </c>
      <c r="J467" t="n">
        <v>1</v>
      </c>
      <c r="K467" t="n">
        <v>0</v>
      </c>
      <c r="L467" t="n">
        <v>0</v>
      </c>
      <c r="M467" t="n">
        <v>0</v>
      </c>
      <c r="N467" t="n">
        <v>0</v>
      </c>
      <c r="O467" t="n">
        <v>1</v>
      </c>
      <c r="P467" t="n">
        <v>0</v>
      </c>
      <c r="Q467" t="n">
        <v>1</v>
      </c>
      <c r="R467" s="2" t="inlineStr">
        <is>
          <t>Granticka</t>
        </is>
      </c>
      <c r="S467">
        <f>HYPERLINK("https://klasma.github.io/Logging_2183/artfynd/A 58333-2022 artfynd.xlsx", "A 58333-2022")</f>
        <v/>
      </c>
      <c r="T467">
        <f>HYPERLINK("https://klasma.github.io/Logging_2183/kartor/A 58333-2022 karta.png", "A 58333-2022")</f>
        <v/>
      </c>
      <c r="V467">
        <f>HYPERLINK("https://klasma.github.io/Logging_2183/klagomål/A 58333-2022 FSC-klagomål.docx", "A 58333-2022")</f>
        <v/>
      </c>
      <c r="W467">
        <f>HYPERLINK("https://klasma.github.io/Logging_2183/klagomålsmail/A 58333-2022 FSC-klagomål mail.docx", "A 58333-2022")</f>
        <v/>
      </c>
      <c r="X467">
        <f>HYPERLINK("https://klasma.github.io/Logging_2183/tillsyn/A 58333-2022 tillsynsbegäran.docx", "A 58333-2022")</f>
        <v/>
      </c>
      <c r="Y467">
        <f>HYPERLINK("https://klasma.github.io/Logging_2183/tillsynsmail/A 58333-2022 tillsynsbegäran mail.docx", "A 58333-2022")</f>
        <v/>
      </c>
    </row>
    <row r="468" ht="15" customHeight="1">
      <c r="A468" t="inlineStr">
        <is>
          <t>A 58774-2022</t>
        </is>
      </c>
      <c r="B468" s="1" t="n">
        <v>44903</v>
      </c>
      <c r="C468" s="1" t="n">
        <v>45587</v>
      </c>
      <c r="D468" t="inlineStr">
        <is>
          <t>GÄVLEBORGS LÄN</t>
        </is>
      </c>
      <c r="E468" t="inlineStr">
        <is>
          <t>SANDVIKEN</t>
        </is>
      </c>
      <c r="F468" t="inlineStr">
        <is>
          <t>Bergvik skog öst AB</t>
        </is>
      </c>
      <c r="G468" t="n">
        <v>7.2</v>
      </c>
      <c r="H468" t="n">
        <v>0</v>
      </c>
      <c r="I468" t="n">
        <v>0</v>
      </c>
      <c r="J468" t="n">
        <v>1</v>
      </c>
      <c r="K468" t="n">
        <v>0</v>
      </c>
      <c r="L468" t="n">
        <v>0</v>
      </c>
      <c r="M468" t="n">
        <v>0</v>
      </c>
      <c r="N468" t="n">
        <v>0</v>
      </c>
      <c r="O468" t="n">
        <v>1</v>
      </c>
      <c r="P468" t="n">
        <v>0</v>
      </c>
      <c r="Q468" t="n">
        <v>1</v>
      </c>
      <c r="R468" s="2" t="inlineStr">
        <is>
          <t>Slåtterfibbla</t>
        </is>
      </c>
      <c r="S468">
        <f>HYPERLINK("https://klasma.github.io/Logging_2181/artfynd/A 58774-2022 artfynd.xlsx", "A 58774-2022")</f>
        <v/>
      </c>
      <c r="T468">
        <f>HYPERLINK("https://klasma.github.io/Logging_2181/kartor/A 58774-2022 karta.png", "A 58774-2022")</f>
        <v/>
      </c>
      <c r="V468">
        <f>HYPERLINK("https://klasma.github.io/Logging_2181/klagomål/A 58774-2022 FSC-klagomål.docx", "A 58774-2022")</f>
        <v/>
      </c>
      <c r="W468">
        <f>HYPERLINK("https://klasma.github.io/Logging_2181/klagomålsmail/A 58774-2022 FSC-klagomål mail.docx", "A 58774-2022")</f>
        <v/>
      </c>
      <c r="X468">
        <f>HYPERLINK("https://klasma.github.io/Logging_2181/tillsyn/A 58774-2022 tillsynsbegäran.docx", "A 58774-2022")</f>
        <v/>
      </c>
      <c r="Y468">
        <f>HYPERLINK("https://klasma.github.io/Logging_2181/tillsynsmail/A 58774-2022 tillsynsbegäran mail.docx", "A 58774-2022")</f>
        <v/>
      </c>
    </row>
    <row r="469" ht="15" customHeight="1">
      <c r="A469" t="inlineStr">
        <is>
          <t>A 234-2023</t>
        </is>
      </c>
      <c r="B469" s="1" t="n">
        <v>44928</v>
      </c>
      <c r="C469" s="1" t="n">
        <v>45587</v>
      </c>
      <c r="D469" t="inlineStr">
        <is>
          <t>GÄVLEBORGS LÄN</t>
        </is>
      </c>
      <c r="E469" t="inlineStr">
        <is>
          <t>HOFORS</t>
        </is>
      </c>
      <c r="F469" t="inlineStr">
        <is>
          <t>Sveaskog</t>
        </is>
      </c>
      <c r="G469" t="n">
        <v>5.1</v>
      </c>
      <c r="H469" t="n">
        <v>1</v>
      </c>
      <c r="I469" t="n">
        <v>0</v>
      </c>
      <c r="J469" t="n">
        <v>0</v>
      </c>
      <c r="K469" t="n">
        <v>1</v>
      </c>
      <c r="L469" t="n">
        <v>0</v>
      </c>
      <c r="M469" t="n">
        <v>0</v>
      </c>
      <c r="N469" t="n">
        <v>0</v>
      </c>
      <c r="O469" t="n">
        <v>1</v>
      </c>
      <c r="P469" t="n">
        <v>1</v>
      </c>
      <c r="Q469" t="n">
        <v>1</v>
      </c>
      <c r="R469" s="2" t="inlineStr">
        <is>
          <t>Knärot</t>
        </is>
      </c>
      <c r="S469">
        <f>HYPERLINK("https://klasma.github.io/Logging_2104/artfynd/A 234-2023 artfynd.xlsx", "A 234-2023")</f>
        <v/>
      </c>
      <c r="T469">
        <f>HYPERLINK("https://klasma.github.io/Logging_2104/kartor/A 234-2023 karta.png", "A 234-2023")</f>
        <v/>
      </c>
      <c r="U469">
        <f>HYPERLINK("https://klasma.github.io/Logging_2104/knärot/A 234-2023 karta knärot.png", "A 234-2023")</f>
        <v/>
      </c>
      <c r="V469">
        <f>HYPERLINK("https://klasma.github.io/Logging_2104/klagomål/A 234-2023 FSC-klagomål.docx", "A 234-2023")</f>
        <v/>
      </c>
      <c r="W469">
        <f>HYPERLINK("https://klasma.github.io/Logging_2104/klagomålsmail/A 234-2023 FSC-klagomål mail.docx", "A 234-2023")</f>
        <v/>
      </c>
      <c r="X469">
        <f>HYPERLINK("https://klasma.github.io/Logging_2104/tillsyn/A 234-2023 tillsynsbegäran.docx", "A 234-2023")</f>
        <v/>
      </c>
      <c r="Y469">
        <f>HYPERLINK("https://klasma.github.io/Logging_2104/tillsynsmail/A 234-2023 tillsynsbegäran mail.docx", "A 234-2023")</f>
        <v/>
      </c>
    </row>
    <row r="470" ht="15" customHeight="1">
      <c r="A470" t="inlineStr">
        <is>
          <t>A 3755-2023</t>
        </is>
      </c>
      <c r="B470" s="1" t="n">
        <v>44951</v>
      </c>
      <c r="C470" s="1" t="n">
        <v>45587</v>
      </c>
      <c r="D470" t="inlineStr">
        <is>
          <t>GÄVLEBORGS LÄN</t>
        </is>
      </c>
      <c r="E470" t="inlineStr">
        <is>
          <t>NORDANSTIG</t>
        </is>
      </c>
      <c r="G470" t="n">
        <v>8.199999999999999</v>
      </c>
      <c r="H470" t="n">
        <v>1</v>
      </c>
      <c r="I470" t="n">
        <v>0</v>
      </c>
      <c r="J470" t="n">
        <v>0</v>
      </c>
      <c r="K470" t="n">
        <v>0</v>
      </c>
      <c r="L470" t="n">
        <v>1</v>
      </c>
      <c r="M470" t="n">
        <v>0</v>
      </c>
      <c r="N470" t="n">
        <v>0</v>
      </c>
      <c r="O470" t="n">
        <v>1</v>
      </c>
      <c r="P470" t="n">
        <v>1</v>
      </c>
      <c r="Q470" t="n">
        <v>1</v>
      </c>
      <c r="R470" s="2" t="inlineStr">
        <is>
          <t>Bredgentiana</t>
        </is>
      </c>
      <c r="S470">
        <f>HYPERLINK("https://klasma.github.io/Logging_2132/artfynd/A 3755-2023 artfynd.xlsx", "A 3755-2023")</f>
        <v/>
      </c>
      <c r="T470">
        <f>HYPERLINK("https://klasma.github.io/Logging_2132/kartor/A 3755-2023 karta.png", "A 3755-2023")</f>
        <v/>
      </c>
      <c r="V470">
        <f>HYPERLINK("https://klasma.github.io/Logging_2132/klagomål/A 3755-2023 FSC-klagomål.docx", "A 3755-2023")</f>
        <v/>
      </c>
      <c r="W470">
        <f>HYPERLINK("https://klasma.github.io/Logging_2132/klagomålsmail/A 3755-2023 FSC-klagomål mail.docx", "A 3755-2023")</f>
        <v/>
      </c>
      <c r="X470">
        <f>HYPERLINK("https://klasma.github.io/Logging_2132/tillsyn/A 3755-2023 tillsynsbegäran.docx", "A 3755-2023")</f>
        <v/>
      </c>
      <c r="Y470">
        <f>HYPERLINK("https://klasma.github.io/Logging_2132/tillsynsmail/A 3755-2023 tillsynsbegäran mail.docx", "A 3755-2023")</f>
        <v/>
      </c>
    </row>
    <row r="471" ht="15" customHeight="1">
      <c r="A471" t="inlineStr">
        <is>
          <t>A 4696-2023</t>
        </is>
      </c>
      <c r="B471" s="1" t="n">
        <v>44957</v>
      </c>
      <c r="C471" s="1" t="n">
        <v>45587</v>
      </c>
      <c r="D471" t="inlineStr">
        <is>
          <t>GÄVLEBORGS LÄN</t>
        </is>
      </c>
      <c r="E471" t="inlineStr">
        <is>
          <t>LJUSDAL</t>
        </is>
      </c>
      <c r="F471" t="inlineStr">
        <is>
          <t>Holmen skog AB</t>
        </is>
      </c>
      <c r="G471" t="n">
        <v>7.3</v>
      </c>
      <c r="H471" t="n">
        <v>0</v>
      </c>
      <c r="I471" t="n">
        <v>1</v>
      </c>
      <c r="J471" t="n">
        <v>0</v>
      </c>
      <c r="K471" t="n">
        <v>0</v>
      </c>
      <c r="L471" t="n">
        <v>0</v>
      </c>
      <c r="M471" t="n">
        <v>0</v>
      </c>
      <c r="N471" t="n">
        <v>0</v>
      </c>
      <c r="O471" t="n">
        <v>0</v>
      </c>
      <c r="P471" t="n">
        <v>0</v>
      </c>
      <c r="Q471" t="n">
        <v>1</v>
      </c>
      <c r="R471" s="2" t="inlineStr">
        <is>
          <t>Vedticka</t>
        </is>
      </c>
      <c r="S471">
        <f>HYPERLINK("https://klasma.github.io/Logging_2161/artfynd/A 4696-2023 artfynd.xlsx", "A 4696-2023")</f>
        <v/>
      </c>
      <c r="T471">
        <f>HYPERLINK("https://klasma.github.io/Logging_2161/kartor/A 4696-2023 karta.png", "A 4696-2023")</f>
        <v/>
      </c>
      <c r="V471">
        <f>HYPERLINK("https://klasma.github.io/Logging_2161/klagomål/A 4696-2023 FSC-klagomål.docx", "A 4696-2023")</f>
        <v/>
      </c>
      <c r="W471">
        <f>HYPERLINK("https://klasma.github.io/Logging_2161/klagomålsmail/A 4696-2023 FSC-klagomål mail.docx", "A 4696-2023")</f>
        <v/>
      </c>
      <c r="X471">
        <f>HYPERLINK("https://klasma.github.io/Logging_2161/tillsyn/A 4696-2023 tillsynsbegäran.docx", "A 4696-2023")</f>
        <v/>
      </c>
      <c r="Y471">
        <f>HYPERLINK("https://klasma.github.io/Logging_2161/tillsynsmail/A 4696-2023 tillsynsbegäran mail.docx", "A 4696-2023")</f>
        <v/>
      </c>
    </row>
    <row r="472" ht="15" customHeight="1">
      <c r="A472" t="inlineStr">
        <is>
          <t>A 5015-2023</t>
        </is>
      </c>
      <c r="B472" s="1" t="n">
        <v>44958</v>
      </c>
      <c r="C472" s="1" t="n">
        <v>45587</v>
      </c>
      <c r="D472" t="inlineStr">
        <is>
          <t>GÄVLEBORGS LÄN</t>
        </is>
      </c>
      <c r="E472" t="inlineStr">
        <is>
          <t>SANDVIKEN</t>
        </is>
      </c>
      <c r="G472" t="n">
        <v>7.8</v>
      </c>
      <c r="H472" t="n">
        <v>0</v>
      </c>
      <c r="I472" t="n">
        <v>0</v>
      </c>
      <c r="J472" t="n">
        <v>1</v>
      </c>
      <c r="K472" t="n">
        <v>0</v>
      </c>
      <c r="L472" t="n">
        <v>0</v>
      </c>
      <c r="M472" t="n">
        <v>0</v>
      </c>
      <c r="N472" t="n">
        <v>0</v>
      </c>
      <c r="O472" t="n">
        <v>1</v>
      </c>
      <c r="P472" t="n">
        <v>0</v>
      </c>
      <c r="Q472" t="n">
        <v>1</v>
      </c>
      <c r="R472" s="2" t="inlineStr">
        <is>
          <t>Slåtterfibbla</t>
        </is>
      </c>
      <c r="S472">
        <f>HYPERLINK("https://klasma.github.io/Logging_2181/artfynd/A 5015-2023 artfynd.xlsx", "A 5015-2023")</f>
        <v/>
      </c>
      <c r="T472">
        <f>HYPERLINK("https://klasma.github.io/Logging_2181/kartor/A 5015-2023 karta.png", "A 5015-2023")</f>
        <v/>
      </c>
      <c r="V472">
        <f>HYPERLINK("https://klasma.github.io/Logging_2181/klagomål/A 5015-2023 FSC-klagomål.docx", "A 5015-2023")</f>
        <v/>
      </c>
      <c r="W472">
        <f>HYPERLINK("https://klasma.github.io/Logging_2181/klagomålsmail/A 5015-2023 FSC-klagomål mail.docx", "A 5015-2023")</f>
        <v/>
      </c>
      <c r="X472">
        <f>HYPERLINK("https://klasma.github.io/Logging_2181/tillsyn/A 5015-2023 tillsynsbegäran.docx", "A 5015-2023")</f>
        <v/>
      </c>
      <c r="Y472">
        <f>HYPERLINK("https://klasma.github.io/Logging_2181/tillsynsmail/A 5015-2023 tillsynsbegäran mail.docx", "A 5015-2023")</f>
        <v/>
      </c>
    </row>
    <row r="473" ht="15" customHeight="1">
      <c r="A473" t="inlineStr">
        <is>
          <t>A 6378-2023</t>
        </is>
      </c>
      <c r="B473" s="1" t="n">
        <v>44965</v>
      </c>
      <c r="C473" s="1" t="n">
        <v>45587</v>
      </c>
      <c r="D473" t="inlineStr">
        <is>
          <t>GÄVLEBORGS LÄN</t>
        </is>
      </c>
      <c r="E473" t="inlineStr">
        <is>
          <t>SANDVIKEN</t>
        </is>
      </c>
      <c r="G473" t="n">
        <v>4</v>
      </c>
      <c r="H473" t="n">
        <v>1</v>
      </c>
      <c r="I473" t="n">
        <v>0</v>
      </c>
      <c r="J473" t="n">
        <v>1</v>
      </c>
      <c r="K473" t="n">
        <v>0</v>
      </c>
      <c r="L473" t="n">
        <v>0</v>
      </c>
      <c r="M473" t="n">
        <v>0</v>
      </c>
      <c r="N473" t="n">
        <v>0</v>
      </c>
      <c r="O473" t="n">
        <v>1</v>
      </c>
      <c r="P473" t="n">
        <v>0</v>
      </c>
      <c r="Q473" t="n">
        <v>1</v>
      </c>
      <c r="R473" s="2" t="inlineStr">
        <is>
          <t>Rödvingetrast</t>
        </is>
      </c>
      <c r="S473">
        <f>HYPERLINK("https://klasma.github.io/Logging_2181/artfynd/A 6378-2023 artfynd.xlsx", "A 6378-2023")</f>
        <v/>
      </c>
      <c r="T473">
        <f>HYPERLINK("https://klasma.github.io/Logging_2181/kartor/A 6378-2023 karta.png", "A 6378-2023")</f>
        <v/>
      </c>
      <c r="V473">
        <f>HYPERLINK("https://klasma.github.io/Logging_2181/klagomål/A 6378-2023 FSC-klagomål.docx", "A 6378-2023")</f>
        <v/>
      </c>
      <c r="W473">
        <f>HYPERLINK("https://klasma.github.io/Logging_2181/klagomålsmail/A 6378-2023 FSC-klagomål mail.docx", "A 6378-2023")</f>
        <v/>
      </c>
      <c r="X473">
        <f>HYPERLINK("https://klasma.github.io/Logging_2181/tillsyn/A 6378-2023 tillsynsbegäran.docx", "A 6378-2023")</f>
        <v/>
      </c>
      <c r="Y473">
        <f>HYPERLINK("https://klasma.github.io/Logging_2181/tillsynsmail/A 6378-2023 tillsynsbegäran mail.docx", "A 6378-2023")</f>
        <v/>
      </c>
      <c r="Z473">
        <f>HYPERLINK("https://klasma.github.io/Logging_2181/fåglar/A 6378-2023 prioriterade fågelarter.docx", "A 6378-2023")</f>
        <v/>
      </c>
    </row>
    <row r="474" ht="15" customHeight="1">
      <c r="A474" t="inlineStr">
        <is>
          <t>A 7148-2023</t>
        </is>
      </c>
      <c r="B474" s="1" t="n">
        <v>44970</v>
      </c>
      <c r="C474" s="1" t="n">
        <v>45587</v>
      </c>
      <c r="D474" t="inlineStr">
        <is>
          <t>GÄVLEBORGS LÄN</t>
        </is>
      </c>
      <c r="E474" t="inlineStr">
        <is>
          <t>LJUSDAL</t>
        </is>
      </c>
      <c r="F474" t="inlineStr">
        <is>
          <t>Holmen skog AB</t>
        </is>
      </c>
      <c r="G474" t="n">
        <v>4.9</v>
      </c>
      <c r="H474" t="n">
        <v>0</v>
      </c>
      <c r="I474" t="n">
        <v>1</v>
      </c>
      <c r="J474" t="n">
        <v>0</v>
      </c>
      <c r="K474" t="n">
        <v>0</v>
      </c>
      <c r="L474" t="n">
        <v>0</v>
      </c>
      <c r="M474" t="n">
        <v>0</v>
      </c>
      <c r="N474" t="n">
        <v>0</v>
      </c>
      <c r="O474" t="n">
        <v>0</v>
      </c>
      <c r="P474" t="n">
        <v>0</v>
      </c>
      <c r="Q474" t="n">
        <v>1</v>
      </c>
      <c r="R474" s="2" t="inlineStr">
        <is>
          <t>Vedticka</t>
        </is>
      </c>
      <c r="S474">
        <f>HYPERLINK("https://klasma.github.io/Logging_2161/artfynd/A 7148-2023 artfynd.xlsx", "A 7148-2023")</f>
        <v/>
      </c>
      <c r="T474">
        <f>HYPERLINK("https://klasma.github.io/Logging_2161/kartor/A 7148-2023 karta.png", "A 7148-2023")</f>
        <v/>
      </c>
      <c r="V474">
        <f>HYPERLINK("https://klasma.github.io/Logging_2161/klagomål/A 7148-2023 FSC-klagomål.docx", "A 7148-2023")</f>
        <v/>
      </c>
      <c r="W474">
        <f>HYPERLINK("https://klasma.github.io/Logging_2161/klagomålsmail/A 7148-2023 FSC-klagomål mail.docx", "A 7148-2023")</f>
        <v/>
      </c>
      <c r="X474">
        <f>HYPERLINK("https://klasma.github.io/Logging_2161/tillsyn/A 7148-2023 tillsynsbegäran.docx", "A 7148-2023")</f>
        <v/>
      </c>
      <c r="Y474">
        <f>HYPERLINK("https://klasma.github.io/Logging_2161/tillsynsmail/A 7148-2023 tillsynsbegäran mail.docx", "A 7148-2023")</f>
        <v/>
      </c>
    </row>
    <row r="475" ht="15" customHeight="1">
      <c r="A475" t="inlineStr">
        <is>
          <t>A 8078-2023</t>
        </is>
      </c>
      <c r="B475" s="1" t="n">
        <v>44974</v>
      </c>
      <c r="C475" s="1" t="n">
        <v>45587</v>
      </c>
      <c r="D475" t="inlineStr">
        <is>
          <t>GÄVLEBORGS LÄN</t>
        </is>
      </c>
      <c r="E475" t="inlineStr">
        <is>
          <t>LJUSDAL</t>
        </is>
      </c>
      <c r="G475" t="n">
        <v>19.1</v>
      </c>
      <c r="H475" t="n">
        <v>0</v>
      </c>
      <c r="I475" t="n">
        <v>0</v>
      </c>
      <c r="J475" t="n">
        <v>0</v>
      </c>
      <c r="K475" t="n">
        <v>1</v>
      </c>
      <c r="L475" t="n">
        <v>0</v>
      </c>
      <c r="M475" t="n">
        <v>0</v>
      </c>
      <c r="N475" t="n">
        <v>0</v>
      </c>
      <c r="O475" t="n">
        <v>1</v>
      </c>
      <c r="P475" t="n">
        <v>1</v>
      </c>
      <c r="Q475" t="n">
        <v>1</v>
      </c>
      <c r="R475" s="2" t="inlineStr">
        <is>
          <t>Gräddporing</t>
        </is>
      </c>
      <c r="S475">
        <f>HYPERLINK("https://klasma.github.io/Logging_2161/artfynd/A 8078-2023 artfynd.xlsx", "A 8078-2023")</f>
        <v/>
      </c>
      <c r="T475">
        <f>HYPERLINK("https://klasma.github.io/Logging_2161/kartor/A 8078-2023 karta.png", "A 8078-2023")</f>
        <v/>
      </c>
      <c r="V475">
        <f>HYPERLINK("https://klasma.github.io/Logging_2161/klagomål/A 8078-2023 FSC-klagomål.docx", "A 8078-2023")</f>
        <v/>
      </c>
      <c r="W475">
        <f>HYPERLINK("https://klasma.github.io/Logging_2161/klagomålsmail/A 8078-2023 FSC-klagomål mail.docx", "A 8078-2023")</f>
        <v/>
      </c>
      <c r="X475">
        <f>HYPERLINK("https://klasma.github.io/Logging_2161/tillsyn/A 8078-2023 tillsynsbegäran.docx", "A 8078-2023")</f>
        <v/>
      </c>
      <c r="Y475">
        <f>HYPERLINK("https://klasma.github.io/Logging_2161/tillsynsmail/A 8078-2023 tillsynsbegäran mail.docx", "A 8078-2023")</f>
        <v/>
      </c>
    </row>
    <row r="476" ht="15" customHeight="1">
      <c r="A476" t="inlineStr">
        <is>
          <t>A 8622-2023</t>
        </is>
      </c>
      <c r="B476" s="1" t="n">
        <v>44977</v>
      </c>
      <c r="C476" s="1" t="n">
        <v>45587</v>
      </c>
      <c r="D476" t="inlineStr">
        <is>
          <t>GÄVLEBORGS LÄN</t>
        </is>
      </c>
      <c r="E476" t="inlineStr">
        <is>
          <t>GÄVLE</t>
        </is>
      </c>
      <c r="G476" t="n">
        <v>9.199999999999999</v>
      </c>
      <c r="H476" t="n">
        <v>1</v>
      </c>
      <c r="I476" t="n">
        <v>0</v>
      </c>
      <c r="J476" t="n">
        <v>0</v>
      </c>
      <c r="K476" t="n">
        <v>1</v>
      </c>
      <c r="L476" t="n">
        <v>0</v>
      </c>
      <c r="M476" t="n">
        <v>0</v>
      </c>
      <c r="N476" t="n">
        <v>0</v>
      </c>
      <c r="O476" t="n">
        <v>1</v>
      </c>
      <c r="P476" t="n">
        <v>1</v>
      </c>
      <c r="Q476" t="n">
        <v>1</v>
      </c>
      <c r="R476" s="2" t="inlineStr">
        <is>
          <t>Knärot</t>
        </is>
      </c>
      <c r="S476">
        <f>HYPERLINK("https://klasma.github.io/Logging_2180/artfynd/A 8622-2023 artfynd.xlsx", "A 8622-2023")</f>
        <v/>
      </c>
      <c r="T476">
        <f>HYPERLINK("https://klasma.github.io/Logging_2180/kartor/A 8622-2023 karta.png", "A 8622-2023")</f>
        <v/>
      </c>
      <c r="U476">
        <f>HYPERLINK("https://klasma.github.io/Logging_2180/knärot/A 8622-2023 karta knärot.png", "A 8622-2023")</f>
        <v/>
      </c>
      <c r="V476">
        <f>HYPERLINK("https://klasma.github.io/Logging_2180/klagomål/A 8622-2023 FSC-klagomål.docx", "A 8622-2023")</f>
        <v/>
      </c>
      <c r="W476">
        <f>HYPERLINK("https://klasma.github.io/Logging_2180/klagomålsmail/A 8622-2023 FSC-klagomål mail.docx", "A 8622-2023")</f>
        <v/>
      </c>
      <c r="X476">
        <f>HYPERLINK("https://klasma.github.io/Logging_2180/tillsyn/A 8622-2023 tillsynsbegäran.docx", "A 8622-2023")</f>
        <v/>
      </c>
      <c r="Y476">
        <f>HYPERLINK("https://klasma.github.io/Logging_2180/tillsynsmail/A 8622-2023 tillsynsbegäran mail.docx", "A 8622-2023")</f>
        <v/>
      </c>
    </row>
    <row r="477" ht="15" customHeight="1">
      <c r="A477" t="inlineStr">
        <is>
          <t>A 8636-2023</t>
        </is>
      </c>
      <c r="B477" s="1" t="n">
        <v>44977</v>
      </c>
      <c r="C477" s="1" t="n">
        <v>45587</v>
      </c>
      <c r="D477" t="inlineStr">
        <is>
          <t>GÄVLEBORGS LÄN</t>
        </is>
      </c>
      <c r="E477" t="inlineStr">
        <is>
          <t>HUDIKSVALL</t>
        </is>
      </c>
      <c r="G477" t="n">
        <v>2.7</v>
      </c>
      <c r="H477" t="n">
        <v>1</v>
      </c>
      <c r="I477" t="n">
        <v>0</v>
      </c>
      <c r="J477" t="n">
        <v>0</v>
      </c>
      <c r="K477" t="n">
        <v>0</v>
      </c>
      <c r="L477" t="n">
        <v>0</v>
      </c>
      <c r="M477" t="n">
        <v>0</v>
      </c>
      <c r="N477" t="n">
        <v>0</v>
      </c>
      <c r="O477" t="n">
        <v>0</v>
      </c>
      <c r="P477" t="n">
        <v>0</v>
      </c>
      <c r="Q477" t="n">
        <v>1</v>
      </c>
      <c r="R477" s="2" t="inlineStr">
        <is>
          <t>Fläcknycklar</t>
        </is>
      </c>
      <c r="S477">
        <f>HYPERLINK("https://klasma.github.io/Logging_2184/artfynd/A 8636-2023 artfynd.xlsx", "A 8636-2023")</f>
        <v/>
      </c>
      <c r="T477">
        <f>HYPERLINK("https://klasma.github.io/Logging_2184/kartor/A 8636-2023 karta.png", "A 8636-2023")</f>
        <v/>
      </c>
      <c r="V477">
        <f>HYPERLINK("https://klasma.github.io/Logging_2184/klagomål/A 8636-2023 FSC-klagomål.docx", "A 8636-2023")</f>
        <v/>
      </c>
      <c r="W477">
        <f>HYPERLINK("https://klasma.github.io/Logging_2184/klagomålsmail/A 8636-2023 FSC-klagomål mail.docx", "A 8636-2023")</f>
        <v/>
      </c>
      <c r="X477">
        <f>HYPERLINK("https://klasma.github.io/Logging_2184/tillsyn/A 8636-2023 tillsynsbegäran.docx", "A 8636-2023")</f>
        <v/>
      </c>
      <c r="Y477">
        <f>HYPERLINK("https://klasma.github.io/Logging_2184/tillsynsmail/A 8636-2023 tillsynsbegäran mail.docx", "A 8636-2023")</f>
        <v/>
      </c>
    </row>
    <row r="478" ht="15" customHeight="1">
      <c r="A478" t="inlineStr">
        <is>
          <t>A 9312-2023</t>
        </is>
      </c>
      <c r="B478" s="1" t="n">
        <v>44980</v>
      </c>
      <c r="C478" s="1" t="n">
        <v>45587</v>
      </c>
      <c r="D478" t="inlineStr">
        <is>
          <t>GÄVLEBORGS LÄN</t>
        </is>
      </c>
      <c r="E478" t="inlineStr">
        <is>
          <t>NORDANSTIG</t>
        </is>
      </c>
      <c r="F478" t="inlineStr">
        <is>
          <t>Holmen skog AB</t>
        </is>
      </c>
      <c r="G478" t="n">
        <v>11.7</v>
      </c>
      <c r="H478" t="n">
        <v>0</v>
      </c>
      <c r="I478" t="n">
        <v>0</v>
      </c>
      <c r="J478" t="n">
        <v>1</v>
      </c>
      <c r="K478" t="n">
        <v>0</v>
      </c>
      <c r="L478" t="n">
        <v>0</v>
      </c>
      <c r="M478" t="n">
        <v>0</v>
      </c>
      <c r="N478" t="n">
        <v>0</v>
      </c>
      <c r="O478" t="n">
        <v>1</v>
      </c>
      <c r="P478" t="n">
        <v>0</v>
      </c>
      <c r="Q478" t="n">
        <v>1</v>
      </c>
      <c r="R478" s="2" t="inlineStr">
        <is>
          <t>Vedtrappmossa</t>
        </is>
      </c>
      <c r="S478">
        <f>HYPERLINK("https://klasma.github.io/Logging_2132/artfynd/A 9312-2023 artfynd.xlsx", "A 9312-2023")</f>
        <v/>
      </c>
      <c r="T478">
        <f>HYPERLINK("https://klasma.github.io/Logging_2132/kartor/A 9312-2023 karta.png", "A 9312-2023")</f>
        <v/>
      </c>
      <c r="V478">
        <f>HYPERLINK("https://klasma.github.io/Logging_2132/klagomål/A 9312-2023 FSC-klagomål.docx", "A 9312-2023")</f>
        <v/>
      </c>
      <c r="W478">
        <f>HYPERLINK("https://klasma.github.io/Logging_2132/klagomålsmail/A 9312-2023 FSC-klagomål mail.docx", "A 9312-2023")</f>
        <v/>
      </c>
      <c r="X478">
        <f>HYPERLINK("https://klasma.github.io/Logging_2132/tillsyn/A 9312-2023 tillsynsbegäran.docx", "A 9312-2023")</f>
        <v/>
      </c>
      <c r="Y478">
        <f>HYPERLINK("https://klasma.github.io/Logging_2132/tillsynsmail/A 9312-2023 tillsynsbegäran mail.docx", "A 9312-2023")</f>
        <v/>
      </c>
    </row>
    <row r="479" ht="15" customHeight="1">
      <c r="A479" t="inlineStr">
        <is>
          <t>A 10646-2023</t>
        </is>
      </c>
      <c r="B479" s="1" t="n">
        <v>44988</v>
      </c>
      <c r="C479" s="1" t="n">
        <v>45587</v>
      </c>
      <c r="D479" t="inlineStr">
        <is>
          <t>GÄVLEBORGS LÄN</t>
        </is>
      </c>
      <c r="E479" t="inlineStr">
        <is>
          <t>LJUSDAL</t>
        </is>
      </c>
      <c r="G479" t="n">
        <v>3.5</v>
      </c>
      <c r="H479" t="n">
        <v>0</v>
      </c>
      <c r="I479" t="n">
        <v>0</v>
      </c>
      <c r="J479" t="n">
        <v>1</v>
      </c>
      <c r="K479" t="n">
        <v>0</v>
      </c>
      <c r="L479" t="n">
        <v>0</v>
      </c>
      <c r="M479" t="n">
        <v>0</v>
      </c>
      <c r="N479" t="n">
        <v>0</v>
      </c>
      <c r="O479" t="n">
        <v>1</v>
      </c>
      <c r="P479" t="n">
        <v>0</v>
      </c>
      <c r="Q479" t="n">
        <v>1</v>
      </c>
      <c r="R479" s="2" t="inlineStr">
        <is>
          <t>Garnlav</t>
        </is>
      </c>
      <c r="S479">
        <f>HYPERLINK("https://klasma.github.io/Logging_2161/artfynd/A 10646-2023 artfynd.xlsx", "A 10646-2023")</f>
        <v/>
      </c>
      <c r="T479">
        <f>HYPERLINK("https://klasma.github.io/Logging_2161/kartor/A 10646-2023 karta.png", "A 10646-2023")</f>
        <v/>
      </c>
      <c r="V479">
        <f>HYPERLINK("https://klasma.github.io/Logging_2161/klagomål/A 10646-2023 FSC-klagomål.docx", "A 10646-2023")</f>
        <v/>
      </c>
      <c r="W479">
        <f>HYPERLINK("https://klasma.github.io/Logging_2161/klagomålsmail/A 10646-2023 FSC-klagomål mail.docx", "A 10646-2023")</f>
        <v/>
      </c>
      <c r="X479">
        <f>HYPERLINK("https://klasma.github.io/Logging_2161/tillsyn/A 10646-2023 tillsynsbegäran.docx", "A 10646-2023")</f>
        <v/>
      </c>
      <c r="Y479">
        <f>HYPERLINK("https://klasma.github.io/Logging_2161/tillsynsmail/A 10646-2023 tillsynsbegäran mail.docx", "A 10646-2023")</f>
        <v/>
      </c>
    </row>
    <row r="480" ht="15" customHeight="1">
      <c r="A480" t="inlineStr">
        <is>
          <t>A 13742-2023</t>
        </is>
      </c>
      <c r="B480" s="1" t="n">
        <v>45007</v>
      </c>
      <c r="C480" s="1" t="n">
        <v>45587</v>
      </c>
      <c r="D480" t="inlineStr">
        <is>
          <t>GÄVLEBORGS LÄN</t>
        </is>
      </c>
      <c r="E480" t="inlineStr">
        <is>
          <t>HOFORS</t>
        </is>
      </c>
      <c r="F480" t="inlineStr">
        <is>
          <t>Övriga statliga verk och myndigheter</t>
        </is>
      </c>
      <c r="G480" t="n">
        <v>1</v>
      </c>
      <c r="H480" t="n">
        <v>1</v>
      </c>
      <c r="I480" t="n">
        <v>0</v>
      </c>
      <c r="J480" t="n">
        <v>1</v>
      </c>
      <c r="K480" t="n">
        <v>0</v>
      </c>
      <c r="L480" t="n">
        <v>0</v>
      </c>
      <c r="M480" t="n">
        <v>0</v>
      </c>
      <c r="N480" t="n">
        <v>0</v>
      </c>
      <c r="O480" t="n">
        <v>1</v>
      </c>
      <c r="P480" t="n">
        <v>0</v>
      </c>
      <c r="Q480" t="n">
        <v>1</v>
      </c>
      <c r="R480" s="2" t="inlineStr">
        <is>
          <t>Spillkråka</t>
        </is>
      </c>
      <c r="S480">
        <f>HYPERLINK("https://klasma.github.io/Logging_2104/artfynd/A 13742-2023 artfynd.xlsx", "A 13742-2023")</f>
        <v/>
      </c>
      <c r="T480">
        <f>HYPERLINK("https://klasma.github.io/Logging_2104/kartor/A 13742-2023 karta.png", "A 13742-2023")</f>
        <v/>
      </c>
      <c r="V480">
        <f>HYPERLINK("https://klasma.github.io/Logging_2104/klagomål/A 13742-2023 FSC-klagomål.docx", "A 13742-2023")</f>
        <v/>
      </c>
      <c r="W480">
        <f>HYPERLINK("https://klasma.github.io/Logging_2104/klagomålsmail/A 13742-2023 FSC-klagomål mail.docx", "A 13742-2023")</f>
        <v/>
      </c>
      <c r="X480">
        <f>HYPERLINK("https://klasma.github.io/Logging_2104/tillsyn/A 13742-2023 tillsynsbegäran.docx", "A 13742-2023")</f>
        <v/>
      </c>
      <c r="Y480">
        <f>HYPERLINK("https://klasma.github.io/Logging_2104/tillsynsmail/A 13742-2023 tillsynsbegäran mail.docx", "A 13742-2023")</f>
        <v/>
      </c>
      <c r="Z480">
        <f>HYPERLINK("https://klasma.github.io/Logging_2104/fåglar/A 13742-2023 prioriterade fågelarter.docx", "A 13742-2023")</f>
        <v/>
      </c>
    </row>
    <row r="481" ht="15" customHeight="1">
      <c r="A481" t="inlineStr">
        <is>
          <t>A 13741-2023</t>
        </is>
      </c>
      <c r="B481" s="1" t="n">
        <v>45007</v>
      </c>
      <c r="C481" s="1" t="n">
        <v>45587</v>
      </c>
      <c r="D481" t="inlineStr">
        <is>
          <t>GÄVLEBORGS LÄN</t>
        </is>
      </c>
      <c r="E481" t="inlineStr">
        <is>
          <t>HOFORS</t>
        </is>
      </c>
      <c r="F481" t="inlineStr">
        <is>
          <t>Övriga statliga verk och myndigheter</t>
        </is>
      </c>
      <c r="G481" t="n">
        <v>1.6</v>
      </c>
      <c r="H481" t="n">
        <v>0</v>
      </c>
      <c r="I481" t="n">
        <v>1</v>
      </c>
      <c r="J481" t="n">
        <v>0</v>
      </c>
      <c r="K481" t="n">
        <v>0</v>
      </c>
      <c r="L481" t="n">
        <v>0</v>
      </c>
      <c r="M481" t="n">
        <v>0</v>
      </c>
      <c r="N481" t="n">
        <v>0</v>
      </c>
      <c r="O481" t="n">
        <v>0</v>
      </c>
      <c r="P481" t="n">
        <v>0</v>
      </c>
      <c r="Q481" t="n">
        <v>1</v>
      </c>
      <c r="R481" s="2" t="inlineStr">
        <is>
          <t>Skarp dropptaggsvamp</t>
        </is>
      </c>
      <c r="S481">
        <f>HYPERLINK("https://klasma.github.io/Logging_2104/artfynd/A 13741-2023 artfynd.xlsx", "A 13741-2023")</f>
        <v/>
      </c>
      <c r="T481">
        <f>HYPERLINK("https://klasma.github.io/Logging_2104/kartor/A 13741-2023 karta.png", "A 13741-2023")</f>
        <v/>
      </c>
      <c r="V481">
        <f>HYPERLINK("https://klasma.github.io/Logging_2104/klagomål/A 13741-2023 FSC-klagomål.docx", "A 13741-2023")</f>
        <v/>
      </c>
      <c r="W481">
        <f>HYPERLINK("https://klasma.github.io/Logging_2104/klagomålsmail/A 13741-2023 FSC-klagomål mail.docx", "A 13741-2023")</f>
        <v/>
      </c>
      <c r="X481">
        <f>HYPERLINK("https://klasma.github.io/Logging_2104/tillsyn/A 13741-2023 tillsynsbegäran.docx", "A 13741-2023")</f>
        <v/>
      </c>
      <c r="Y481">
        <f>HYPERLINK("https://klasma.github.io/Logging_2104/tillsynsmail/A 13741-2023 tillsynsbegäran mail.docx", "A 13741-2023")</f>
        <v/>
      </c>
    </row>
    <row r="482" ht="15" customHeight="1">
      <c r="A482" t="inlineStr">
        <is>
          <t>A 14449-2023</t>
        </is>
      </c>
      <c r="B482" s="1" t="n">
        <v>45012</v>
      </c>
      <c r="C482" s="1" t="n">
        <v>45587</v>
      </c>
      <c r="D482" t="inlineStr">
        <is>
          <t>GÄVLEBORGS LÄN</t>
        </is>
      </c>
      <c r="E482" t="inlineStr">
        <is>
          <t>HUDIKSVALL</t>
        </is>
      </c>
      <c r="G482" t="n">
        <v>1.5</v>
      </c>
      <c r="H482" t="n">
        <v>1</v>
      </c>
      <c r="I482" t="n">
        <v>0</v>
      </c>
      <c r="J482" t="n">
        <v>0</v>
      </c>
      <c r="K482" t="n">
        <v>1</v>
      </c>
      <c r="L482" t="n">
        <v>0</v>
      </c>
      <c r="M482" t="n">
        <v>0</v>
      </c>
      <c r="N482" t="n">
        <v>0</v>
      </c>
      <c r="O482" t="n">
        <v>1</v>
      </c>
      <c r="P482" t="n">
        <v>1</v>
      </c>
      <c r="Q482" t="n">
        <v>1</v>
      </c>
      <c r="R482" s="2" t="inlineStr">
        <is>
          <t>Knärot</t>
        </is>
      </c>
      <c r="S482">
        <f>HYPERLINK("https://klasma.github.io/Logging_2184/artfynd/A 14449-2023 artfynd.xlsx", "A 14449-2023")</f>
        <v/>
      </c>
      <c r="T482">
        <f>HYPERLINK("https://klasma.github.io/Logging_2184/kartor/A 14449-2023 karta.png", "A 14449-2023")</f>
        <v/>
      </c>
      <c r="U482">
        <f>HYPERLINK("https://klasma.github.io/Logging_2184/knärot/A 14449-2023 karta knärot.png", "A 14449-2023")</f>
        <v/>
      </c>
      <c r="V482">
        <f>HYPERLINK("https://klasma.github.io/Logging_2184/klagomål/A 14449-2023 FSC-klagomål.docx", "A 14449-2023")</f>
        <v/>
      </c>
      <c r="W482">
        <f>HYPERLINK("https://klasma.github.io/Logging_2184/klagomålsmail/A 14449-2023 FSC-klagomål mail.docx", "A 14449-2023")</f>
        <v/>
      </c>
      <c r="X482">
        <f>HYPERLINK("https://klasma.github.io/Logging_2184/tillsyn/A 14449-2023 tillsynsbegäran.docx", "A 14449-2023")</f>
        <v/>
      </c>
      <c r="Y482">
        <f>HYPERLINK("https://klasma.github.io/Logging_2184/tillsynsmail/A 14449-2023 tillsynsbegäran mail.docx", "A 14449-2023")</f>
        <v/>
      </c>
    </row>
    <row r="483" ht="15" customHeight="1">
      <c r="A483" t="inlineStr">
        <is>
          <t>A 14358-2023</t>
        </is>
      </c>
      <c r="B483" s="1" t="n">
        <v>45012</v>
      </c>
      <c r="C483" s="1" t="n">
        <v>45587</v>
      </c>
      <c r="D483" t="inlineStr">
        <is>
          <t>GÄVLEBORGS LÄN</t>
        </is>
      </c>
      <c r="E483" t="inlineStr">
        <is>
          <t>HOFORS</t>
        </is>
      </c>
      <c r="F483" t="inlineStr">
        <is>
          <t>Övriga statliga verk och myndigheter</t>
        </is>
      </c>
      <c r="G483" t="n">
        <v>1.2</v>
      </c>
      <c r="H483" t="n">
        <v>0</v>
      </c>
      <c r="I483" t="n">
        <v>1</v>
      </c>
      <c r="J483" t="n">
        <v>0</v>
      </c>
      <c r="K483" t="n">
        <v>0</v>
      </c>
      <c r="L483" t="n">
        <v>0</v>
      </c>
      <c r="M483" t="n">
        <v>0</v>
      </c>
      <c r="N483" t="n">
        <v>0</v>
      </c>
      <c r="O483" t="n">
        <v>0</v>
      </c>
      <c r="P483" t="n">
        <v>0</v>
      </c>
      <c r="Q483" t="n">
        <v>1</v>
      </c>
      <c r="R483" s="2" t="inlineStr">
        <is>
          <t>Bronshjon</t>
        </is>
      </c>
      <c r="S483">
        <f>HYPERLINK("https://klasma.github.io/Logging_2104/artfynd/A 14358-2023 artfynd.xlsx", "A 14358-2023")</f>
        <v/>
      </c>
      <c r="T483">
        <f>HYPERLINK("https://klasma.github.io/Logging_2104/kartor/A 14358-2023 karta.png", "A 14358-2023")</f>
        <v/>
      </c>
      <c r="V483">
        <f>HYPERLINK("https://klasma.github.io/Logging_2104/klagomål/A 14358-2023 FSC-klagomål.docx", "A 14358-2023")</f>
        <v/>
      </c>
      <c r="W483">
        <f>HYPERLINK("https://klasma.github.io/Logging_2104/klagomålsmail/A 14358-2023 FSC-klagomål mail.docx", "A 14358-2023")</f>
        <v/>
      </c>
      <c r="X483">
        <f>HYPERLINK("https://klasma.github.io/Logging_2104/tillsyn/A 14358-2023 tillsynsbegäran.docx", "A 14358-2023")</f>
        <v/>
      </c>
      <c r="Y483">
        <f>HYPERLINK("https://klasma.github.io/Logging_2104/tillsynsmail/A 14358-2023 tillsynsbegäran mail.docx", "A 14358-2023")</f>
        <v/>
      </c>
    </row>
    <row r="484" ht="15" customHeight="1">
      <c r="A484" t="inlineStr">
        <is>
          <t>A 15841-2023</t>
        </is>
      </c>
      <c r="B484" s="1" t="n">
        <v>45022</v>
      </c>
      <c r="C484" s="1" t="n">
        <v>45587</v>
      </c>
      <c r="D484" t="inlineStr">
        <is>
          <t>GÄVLEBORGS LÄN</t>
        </is>
      </c>
      <c r="E484" t="inlineStr">
        <is>
          <t>OCKELBO</t>
        </is>
      </c>
      <c r="F484" t="inlineStr">
        <is>
          <t>Bergvik skog väst AB</t>
        </is>
      </c>
      <c r="G484" t="n">
        <v>2.1</v>
      </c>
      <c r="H484" t="n">
        <v>1</v>
      </c>
      <c r="I484" t="n">
        <v>0</v>
      </c>
      <c r="J484" t="n">
        <v>1</v>
      </c>
      <c r="K484" t="n">
        <v>0</v>
      </c>
      <c r="L484" t="n">
        <v>0</v>
      </c>
      <c r="M484" t="n">
        <v>0</v>
      </c>
      <c r="N484" t="n">
        <v>0</v>
      </c>
      <c r="O484" t="n">
        <v>1</v>
      </c>
      <c r="P484" t="n">
        <v>0</v>
      </c>
      <c r="Q484" t="n">
        <v>1</v>
      </c>
      <c r="R484" s="2" t="inlineStr">
        <is>
          <t>Havsörn</t>
        </is>
      </c>
      <c r="S484">
        <f>HYPERLINK("https://klasma.github.io/Logging_2101/artfynd/A 15841-2023 artfynd.xlsx", "A 15841-2023")</f>
        <v/>
      </c>
      <c r="T484">
        <f>HYPERLINK("https://klasma.github.io/Logging_2101/kartor/A 15841-2023 karta.png", "A 15841-2023")</f>
        <v/>
      </c>
      <c r="V484">
        <f>HYPERLINK("https://klasma.github.io/Logging_2101/klagomål/A 15841-2023 FSC-klagomål.docx", "A 15841-2023")</f>
        <v/>
      </c>
      <c r="W484">
        <f>HYPERLINK("https://klasma.github.io/Logging_2101/klagomålsmail/A 15841-2023 FSC-klagomål mail.docx", "A 15841-2023")</f>
        <v/>
      </c>
      <c r="X484">
        <f>HYPERLINK("https://klasma.github.io/Logging_2101/tillsyn/A 15841-2023 tillsynsbegäran.docx", "A 15841-2023")</f>
        <v/>
      </c>
      <c r="Y484">
        <f>HYPERLINK("https://klasma.github.io/Logging_2101/tillsynsmail/A 15841-2023 tillsynsbegäran mail.docx", "A 15841-2023")</f>
        <v/>
      </c>
      <c r="Z484">
        <f>HYPERLINK("https://klasma.github.io/Logging_2101/fåglar/A 15841-2023 prioriterade fågelarter.docx", "A 15841-2023")</f>
        <v/>
      </c>
    </row>
    <row r="485" ht="15" customHeight="1">
      <c r="A485" t="inlineStr">
        <is>
          <t>A 18683-2023</t>
        </is>
      </c>
      <c r="B485" s="1" t="n">
        <v>45043</v>
      </c>
      <c r="C485" s="1" t="n">
        <v>45587</v>
      </c>
      <c r="D485" t="inlineStr">
        <is>
          <t>GÄVLEBORGS LÄN</t>
        </is>
      </c>
      <c r="E485" t="inlineStr">
        <is>
          <t>HOFORS</t>
        </is>
      </c>
      <c r="G485" t="n">
        <v>32.2</v>
      </c>
      <c r="H485" t="n">
        <v>1</v>
      </c>
      <c r="I485" t="n">
        <v>0</v>
      </c>
      <c r="J485" t="n">
        <v>0</v>
      </c>
      <c r="K485" t="n">
        <v>0</v>
      </c>
      <c r="L485" t="n">
        <v>0</v>
      </c>
      <c r="M485" t="n">
        <v>0</v>
      </c>
      <c r="N485" t="n">
        <v>0</v>
      </c>
      <c r="O485" t="n">
        <v>0</v>
      </c>
      <c r="P485" t="n">
        <v>0</v>
      </c>
      <c r="Q485" t="n">
        <v>1</v>
      </c>
      <c r="R485" s="2" t="inlineStr">
        <is>
          <t>Blåsippa</t>
        </is>
      </c>
      <c r="S485">
        <f>HYPERLINK("https://klasma.github.io/Logging_2104/artfynd/A 18683-2023 artfynd.xlsx", "A 18683-2023")</f>
        <v/>
      </c>
      <c r="T485">
        <f>HYPERLINK("https://klasma.github.io/Logging_2104/kartor/A 18683-2023 karta.png", "A 18683-2023")</f>
        <v/>
      </c>
      <c r="V485">
        <f>HYPERLINK("https://klasma.github.io/Logging_2104/klagomål/A 18683-2023 FSC-klagomål.docx", "A 18683-2023")</f>
        <v/>
      </c>
      <c r="W485">
        <f>HYPERLINK("https://klasma.github.io/Logging_2104/klagomålsmail/A 18683-2023 FSC-klagomål mail.docx", "A 18683-2023")</f>
        <v/>
      </c>
      <c r="X485">
        <f>HYPERLINK("https://klasma.github.io/Logging_2104/tillsyn/A 18683-2023 tillsynsbegäran.docx", "A 18683-2023")</f>
        <v/>
      </c>
      <c r="Y485">
        <f>HYPERLINK("https://klasma.github.io/Logging_2104/tillsynsmail/A 18683-2023 tillsynsbegäran mail.docx", "A 18683-2023")</f>
        <v/>
      </c>
    </row>
    <row r="486" ht="15" customHeight="1">
      <c r="A486" t="inlineStr">
        <is>
          <t>A 20661-2023</t>
        </is>
      </c>
      <c r="B486" s="1" t="n">
        <v>45058</v>
      </c>
      <c r="C486" s="1" t="n">
        <v>45587</v>
      </c>
      <c r="D486" t="inlineStr">
        <is>
          <t>GÄVLEBORGS LÄN</t>
        </is>
      </c>
      <c r="E486" t="inlineStr">
        <is>
          <t>OVANÅKER</t>
        </is>
      </c>
      <c r="F486" t="inlineStr">
        <is>
          <t>Sveaskog</t>
        </is>
      </c>
      <c r="G486" t="n">
        <v>3.6</v>
      </c>
      <c r="H486" t="n">
        <v>1</v>
      </c>
      <c r="I486" t="n">
        <v>0</v>
      </c>
      <c r="J486" t="n">
        <v>0</v>
      </c>
      <c r="K486" t="n">
        <v>0</v>
      </c>
      <c r="L486" t="n">
        <v>0</v>
      </c>
      <c r="M486" t="n">
        <v>0</v>
      </c>
      <c r="N486" t="n">
        <v>0</v>
      </c>
      <c r="O486" t="n">
        <v>0</v>
      </c>
      <c r="P486" t="n">
        <v>0</v>
      </c>
      <c r="Q486" t="n">
        <v>1</v>
      </c>
      <c r="R486" s="2" t="inlineStr">
        <is>
          <t>Blåsippa</t>
        </is>
      </c>
      <c r="S486">
        <f>HYPERLINK("https://klasma.github.io/Logging_2121/artfynd/A 20661-2023 artfynd.xlsx", "A 20661-2023")</f>
        <v/>
      </c>
      <c r="T486">
        <f>HYPERLINK("https://klasma.github.io/Logging_2121/kartor/A 20661-2023 karta.png", "A 20661-2023")</f>
        <v/>
      </c>
      <c r="V486">
        <f>HYPERLINK("https://klasma.github.io/Logging_2121/klagomål/A 20661-2023 FSC-klagomål.docx", "A 20661-2023")</f>
        <v/>
      </c>
      <c r="W486">
        <f>HYPERLINK("https://klasma.github.io/Logging_2121/klagomålsmail/A 20661-2023 FSC-klagomål mail.docx", "A 20661-2023")</f>
        <v/>
      </c>
      <c r="X486">
        <f>HYPERLINK("https://klasma.github.io/Logging_2121/tillsyn/A 20661-2023 tillsynsbegäran.docx", "A 20661-2023")</f>
        <v/>
      </c>
      <c r="Y486">
        <f>HYPERLINK("https://klasma.github.io/Logging_2121/tillsynsmail/A 20661-2023 tillsynsbegäran mail.docx", "A 20661-2023")</f>
        <v/>
      </c>
    </row>
    <row r="487" ht="15" customHeight="1">
      <c r="A487" t="inlineStr">
        <is>
          <t>A 21030-2023</t>
        </is>
      </c>
      <c r="B487" s="1" t="n">
        <v>45061</v>
      </c>
      <c r="C487" s="1" t="n">
        <v>45587</v>
      </c>
      <c r="D487" t="inlineStr">
        <is>
          <t>GÄVLEBORGS LÄN</t>
        </is>
      </c>
      <c r="E487" t="inlineStr">
        <is>
          <t>HOFORS</t>
        </is>
      </c>
      <c r="G487" t="n">
        <v>6.8</v>
      </c>
      <c r="H487" t="n">
        <v>1</v>
      </c>
      <c r="I487" t="n">
        <v>0</v>
      </c>
      <c r="J487" t="n">
        <v>0</v>
      </c>
      <c r="K487" t="n">
        <v>1</v>
      </c>
      <c r="L487" t="n">
        <v>0</v>
      </c>
      <c r="M487" t="n">
        <v>0</v>
      </c>
      <c r="N487" t="n">
        <v>0</v>
      </c>
      <c r="O487" t="n">
        <v>1</v>
      </c>
      <c r="P487" t="n">
        <v>1</v>
      </c>
      <c r="Q487" t="n">
        <v>1</v>
      </c>
      <c r="R487" s="2" t="inlineStr">
        <is>
          <t>Havstrut</t>
        </is>
      </c>
      <c r="S487">
        <f>HYPERLINK("https://klasma.github.io/Logging_2104/artfynd/A 21030-2023 artfynd.xlsx", "A 21030-2023")</f>
        <v/>
      </c>
      <c r="T487">
        <f>HYPERLINK("https://klasma.github.io/Logging_2104/kartor/A 21030-2023 karta.png", "A 21030-2023")</f>
        <v/>
      </c>
      <c r="V487">
        <f>HYPERLINK("https://klasma.github.io/Logging_2104/klagomål/A 21030-2023 FSC-klagomål.docx", "A 21030-2023")</f>
        <v/>
      </c>
      <c r="W487">
        <f>HYPERLINK("https://klasma.github.io/Logging_2104/klagomålsmail/A 21030-2023 FSC-klagomål mail.docx", "A 21030-2023")</f>
        <v/>
      </c>
      <c r="X487">
        <f>HYPERLINK("https://klasma.github.io/Logging_2104/tillsyn/A 21030-2023 tillsynsbegäran.docx", "A 21030-2023")</f>
        <v/>
      </c>
      <c r="Y487">
        <f>HYPERLINK("https://klasma.github.io/Logging_2104/tillsynsmail/A 21030-2023 tillsynsbegäran mail.docx", "A 21030-2023")</f>
        <v/>
      </c>
    </row>
    <row r="488" ht="15" customHeight="1">
      <c r="A488" t="inlineStr">
        <is>
          <t>A 21245-2023</t>
        </is>
      </c>
      <c r="B488" s="1" t="n">
        <v>45062</v>
      </c>
      <c r="C488" s="1" t="n">
        <v>45587</v>
      </c>
      <c r="D488" t="inlineStr">
        <is>
          <t>GÄVLEBORGS LÄN</t>
        </is>
      </c>
      <c r="E488" t="inlineStr">
        <is>
          <t>OCKELBO</t>
        </is>
      </c>
      <c r="F488" t="inlineStr">
        <is>
          <t>Bergvik skog väst AB</t>
        </is>
      </c>
      <c r="G488" t="n">
        <v>21.7</v>
      </c>
      <c r="H488" t="n">
        <v>1</v>
      </c>
      <c r="I488" t="n">
        <v>0</v>
      </c>
      <c r="J488" t="n">
        <v>0</v>
      </c>
      <c r="K488" t="n">
        <v>0</v>
      </c>
      <c r="L488" t="n">
        <v>0</v>
      </c>
      <c r="M488" t="n">
        <v>0</v>
      </c>
      <c r="N488" t="n">
        <v>0</v>
      </c>
      <c r="O488" t="n">
        <v>0</v>
      </c>
      <c r="P488" t="n">
        <v>0</v>
      </c>
      <c r="Q488" t="n">
        <v>1</v>
      </c>
      <c r="R488" s="2" t="inlineStr">
        <is>
          <t>Tjäder</t>
        </is>
      </c>
      <c r="S488">
        <f>HYPERLINK("https://klasma.github.io/Logging_2101/artfynd/A 21245-2023 artfynd.xlsx", "A 21245-2023")</f>
        <v/>
      </c>
      <c r="T488">
        <f>HYPERLINK("https://klasma.github.io/Logging_2101/kartor/A 21245-2023 karta.png", "A 21245-2023")</f>
        <v/>
      </c>
      <c r="V488">
        <f>HYPERLINK("https://klasma.github.io/Logging_2101/klagomål/A 21245-2023 FSC-klagomål.docx", "A 21245-2023")</f>
        <v/>
      </c>
      <c r="W488">
        <f>HYPERLINK("https://klasma.github.io/Logging_2101/klagomålsmail/A 21245-2023 FSC-klagomål mail.docx", "A 21245-2023")</f>
        <v/>
      </c>
      <c r="X488">
        <f>HYPERLINK("https://klasma.github.io/Logging_2101/tillsyn/A 21245-2023 tillsynsbegäran.docx", "A 21245-2023")</f>
        <v/>
      </c>
      <c r="Y488">
        <f>HYPERLINK("https://klasma.github.io/Logging_2101/tillsynsmail/A 21245-2023 tillsynsbegäran mail.docx", "A 21245-2023")</f>
        <v/>
      </c>
      <c r="Z488">
        <f>HYPERLINK("https://klasma.github.io/Logging_2101/fåglar/A 21245-2023 prioriterade fågelarter.docx", "A 21245-2023")</f>
        <v/>
      </c>
    </row>
    <row r="489" ht="15" customHeight="1">
      <c r="A489" t="inlineStr">
        <is>
          <t>A 21889-2023</t>
        </is>
      </c>
      <c r="B489" s="1" t="n">
        <v>45068</v>
      </c>
      <c r="C489" s="1" t="n">
        <v>45587</v>
      </c>
      <c r="D489" t="inlineStr">
        <is>
          <t>GÄVLEBORGS LÄN</t>
        </is>
      </c>
      <c r="E489" t="inlineStr">
        <is>
          <t>OCKELBO</t>
        </is>
      </c>
      <c r="F489" t="inlineStr">
        <is>
          <t>Bergvik skog väst AB</t>
        </is>
      </c>
      <c r="G489" t="n">
        <v>2.9</v>
      </c>
      <c r="H489" t="n">
        <v>0</v>
      </c>
      <c r="I489" t="n">
        <v>1</v>
      </c>
      <c r="J489" t="n">
        <v>0</v>
      </c>
      <c r="K489" t="n">
        <v>0</v>
      </c>
      <c r="L489" t="n">
        <v>0</v>
      </c>
      <c r="M489" t="n">
        <v>0</v>
      </c>
      <c r="N489" t="n">
        <v>0</v>
      </c>
      <c r="O489" t="n">
        <v>0</v>
      </c>
      <c r="P489" t="n">
        <v>0</v>
      </c>
      <c r="Q489" t="n">
        <v>1</v>
      </c>
      <c r="R489" s="2" t="inlineStr">
        <is>
          <t>Tibast</t>
        </is>
      </c>
      <c r="S489">
        <f>HYPERLINK("https://klasma.github.io/Logging_2101/artfynd/A 21889-2023 artfynd.xlsx", "A 21889-2023")</f>
        <v/>
      </c>
      <c r="T489">
        <f>HYPERLINK("https://klasma.github.io/Logging_2101/kartor/A 21889-2023 karta.png", "A 21889-2023")</f>
        <v/>
      </c>
      <c r="V489">
        <f>HYPERLINK("https://klasma.github.io/Logging_2101/klagomål/A 21889-2023 FSC-klagomål.docx", "A 21889-2023")</f>
        <v/>
      </c>
      <c r="W489">
        <f>HYPERLINK("https://klasma.github.io/Logging_2101/klagomålsmail/A 21889-2023 FSC-klagomål mail.docx", "A 21889-2023")</f>
        <v/>
      </c>
      <c r="X489">
        <f>HYPERLINK("https://klasma.github.io/Logging_2101/tillsyn/A 21889-2023 tillsynsbegäran.docx", "A 21889-2023")</f>
        <v/>
      </c>
      <c r="Y489">
        <f>HYPERLINK("https://klasma.github.io/Logging_2101/tillsynsmail/A 21889-2023 tillsynsbegäran mail.docx", "A 21889-2023")</f>
        <v/>
      </c>
    </row>
    <row r="490" ht="15" customHeight="1">
      <c r="A490" t="inlineStr">
        <is>
          <t>A 21887-2023</t>
        </is>
      </c>
      <c r="B490" s="1" t="n">
        <v>45068</v>
      </c>
      <c r="C490" s="1" t="n">
        <v>45587</v>
      </c>
      <c r="D490" t="inlineStr">
        <is>
          <t>GÄVLEBORGS LÄN</t>
        </is>
      </c>
      <c r="E490" t="inlineStr">
        <is>
          <t>OCKELBO</t>
        </is>
      </c>
      <c r="F490" t="inlineStr">
        <is>
          <t>Bergvik skog väst AB</t>
        </is>
      </c>
      <c r="G490" t="n">
        <v>1.6</v>
      </c>
      <c r="H490" t="n">
        <v>0</v>
      </c>
      <c r="I490" t="n">
        <v>0</v>
      </c>
      <c r="J490" t="n">
        <v>0</v>
      </c>
      <c r="K490" t="n">
        <v>0</v>
      </c>
      <c r="L490" t="n">
        <v>0</v>
      </c>
      <c r="M490" t="n">
        <v>1</v>
      </c>
      <c r="N490" t="n">
        <v>0</v>
      </c>
      <c r="O490" t="n">
        <v>1</v>
      </c>
      <c r="P490" t="n">
        <v>1</v>
      </c>
      <c r="Q490" t="n">
        <v>1</v>
      </c>
      <c r="R490" s="2" t="inlineStr">
        <is>
          <t>Skogsalm</t>
        </is>
      </c>
      <c r="S490">
        <f>HYPERLINK("https://klasma.github.io/Logging_2101/artfynd/A 21887-2023 artfynd.xlsx", "A 21887-2023")</f>
        <v/>
      </c>
      <c r="T490">
        <f>HYPERLINK("https://klasma.github.io/Logging_2101/kartor/A 21887-2023 karta.png", "A 21887-2023")</f>
        <v/>
      </c>
      <c r="V490">
        <f>HYPERLINK("https://klasma.github.io/Logging_2101/klagomål/A 21887-2023 FSC-klagomål.docx", "A 21887-2023")</f>
        <v/>
      </c>
      <c r="W490">
        <f>HYPERLINK("https://klasma.github.io/Logging_2101/klagomålsmail/A 21887-2023 FSC-klagomål mail.docx", "A 21887-2023")</f>
        <v/>
      </c>
      <c r="X490">
        <f>HYPERLINK("https://klasma.github.io/Logging_2101/tillsyn/A 21887-2023 tillsynsbegäran.docx", "A 21887-2023")</f>
        <v/>
      </c>
      <c r="Y490">
        <f>HYPERLINK("https://klasma.github.io/Logging_2101/tillsynsmail/A 21887-2023 tillsynsbegäran mail.docx", "A 21887-2023")</f>
        <v/>
      </c>
    </row>
    <row r="491" ht="15" customHeight="1">
      <c r="A491" t="inlineStr">
        <is>
          <t>A 22973-2023</t>
        </is>
      </c>
      <c r="B491" s="1" t="n">
        <v>45072</v>
      </c>
      <c r="C491" s="1" t="n">
        <v>45587</v>
      </c>
      <c r="D491" t="inlineStr">
        <is>
          <t>GÄVLEBORGS LÄN</t>
        </is>
      </c>
      <c r="E491" t="inlineStr">
        <is>
          <t>LJUSDAL</t>
        </is>
      </c>
      <c r="F491" t="inlineStr">
        <is>
          <t>Sveaskog</t>
        </is>
      </c>
      <c r="G491" t="n">
        <v>20.4</v>
      </c>
      <c r="H491" t="n">
        <v>0</v>
      </c>
      <c r="I491" t="n">
        <v>0</v>
      </c>
      <c r="J491" t="n">
        <v>1</v>
      </c>
      <c r="K491" t="n">
        <v>0</v>
      </c>
      <c r="L491" t="n">
        <v>0</v>
      </c>
      <c r="M491" t="n">
        <v>0</v>
      </c>
      <c r="N491" t="n">
        <v>0</v>
      </c>
      <c r="O491" t="n">
        <v>1</v>
      </c>
      <c r="P491" t="n">
        <v>0</v>
      </c>
      <c r="Q491" t="n">
        <v>1</v>
      </c>
      <c r="R491" s="2" t="inlineStr">
        <is>
          <t>Kolflarnlav</t>
        </is>
      </c>
      <c r="S491">
        <f>HYPERLINK("https://klasma.github.io/Logging_2161/artfynd/A 22973-2023 artfynd.xlsx", "A 22973-2023")</f>
        <v/>
      </c>
      <c r="T491">
        <f>HYPERLINK("https://klasma.github.io/Logging_2161/kartor/A 22973-2023 karta.png", "A 22973-2023")</f>
        <v/>
      </c>
      <c r="V491">
        <f>HYPERLINK("https://klasma.github.io/Logging_2161/klagomål/A 22973-2023 FSC-klagomål.docx", "A 22973-2023")</f>
        <v/>
      </c>
      <c r="W491">
        <f>HYPERLINK("https://klasma.github.io/Logging_2161/klagomålsmail/A 22973-2023 FSC-klagomål mail.docx", "A 22973-2023")</f>
        <v/>
      </c>
      <c r="X491">
        <f>HYPERLINK("https://klasma.github.io/Logging_2161/tillsyn/A 22973-2023 tillsynsbegäran.docx", "A 22973-2023")</f>
        <v/>
      </c>
      <c r="Y491">
        <f>HYPERLINK("https://klasma.github.io/Logging_2161/tillsynsmail/A 22973-2023 tillsynsbegäran mail.docx", "A 22973-2023")</f>
        <v/>
      </c>
    </row>
    <row r="492" ht="15" customHeight="1">
      <c r="A492" t="inlineStr">
        <is>
          <t>A 25114-2023</t>
        </is>
      </c>
      <c r="B492" s="1" t="n">
        <v>45086</v>
      </c>
      <c r="C492" s="1" t="n">
        <v>45587</v>
      </c>
      <c r="D492" t="inlineStr">
        <is>
          <t>GÄVLEBORGS LÄN</t>
        </is>
      </c>
      <c r="E492" t="inlineStr">
        <is>
          <t>LJUSDAL</t>
        </is>
      </c>
      <c r="G492" t="n">
        <v>0.9</v>
      </c>
      <c r="H492" t="n">
        <v>0</v>
      </c>
      <c r="I492" t="n">
        <v>1</v>
      </c>
      <c r="J492" t="n">
        <v>0</v>
      </c>
      <c r="K492" t="n">
        <v>0</v>
      </c>
      <c r="L492" t="n">
        <v>0</v>
      </c>
      <c r="M492" t="n">
        <v>0</v>
      </c>
      <c r="N492" t="n">
        <v>0</v>
      </c>
      <c r="O492" t="n">
        <v>0</v>
      </c>
      <c r="P492" t="n">
        <v>0</v>
      </c>
      <c r="Q492" t="n">
        <v>1</v>
      </c>
      <c r="R492" s="2" t="inlineStr">
        <is>
          <t>Vedticka</t>
        </is>
      </c>
      <c r="S492">
        <f>HYPERLINK("https://klasma.github.io/Logging_2161/artfynd/A 25114-2023 artfynd.xlsx", "A 25114-2023")</f>
        <v/>
      </c>
      <c r="T492">
        <f>HYPERLINK("https://klasma.github.io/Logging_2161/kartor/A 25114-2023 karta.png", "A 25114-2023")</f>
        <v/>
      </c>
      <c r="U492">
        <f>HYPERLINK("https://klasma.github.io/Logging_2161/knärot/A 25114-2023 karta knärot.png", "A 25114-2023")</f>
        <v/>
      </c>
      <c r="V492">
        <f>HYPERLINK("https://klasma.github.io/Logging_2161/klagomål/A 25114-2023 FSC-klagomål.docx", "A 25114-2023")</f>
        <v/>
      </c>
      <c r="W492">
        <f>HYPERLINK("https://klasma.github.io/Logging_2161/klagomålsmail/A 25114-2023 FSC-klagomål mail.docx", "A 25114-2023")</f>
        <v/>
      </c>
      <c r="X492">
        <f>HYPERLINK("https://klasma.github.io/Logging_2161/tillsyn/A 25114-2023 tillsynsbegäran.docx", "A 25114-2023")</f>
        <v/>
      </c>
      <c r="Y492">
        <f>HYPERLINK("https://klasma.github.io/Logging_2161/tillsynsmail/A 25114-2023 tillsynsbegäran mail.docx", "A 25114-2023")</f>
        <v/>
      </c>
    </row>
    <row r="493" ht="15" customHeight="1">
      <c r="A493" t="inlineStr">
        <is>
          <t>A 26003-2023</t>
        </is>
      </c>
      <c r="B493" s="1" t="n">
        <v>45090</v>
      </c>
      <c r="C493" s="1" t="n">
        <v>45587</v>
      </c>
      <c r="D493" t="inlineStr">
        <is>
          <t>GÄVLEBORGS LÄN</t>
        </is>
      </c>
      <c r="E493" t="inlineStr">
        <is>
          <t>LJUSDAL</t>
        </is>
      </c>
      <c r="F493" t="inlineStr">
        <is>
          <t>SCA</t>
        </is>
      </c>
      <c r="G493" t="n">
        <v>19.8</v>
      </c>
      <c r="H493" t="n">
        <v>0</v>
      </c>
      <c r="I493" t="n">
        <v>0</v>
      </c>
      <c r="J493" t="n">
        <v>1</v>
      </c>
      <c r="K493" t="n">
        <v>0</v>
      </c>
      <c r="L493" t="n">
        <v>0</v>
      </c>
      <c r="M493" t="n">
        <v>0</v>
      </c>
      <c r="N493" t="n">
        <v>0</v>
      </c>
      <c r="O493" t="n">
        <v>1</v>
      </c>
      <c r="P493" t="n">
        <v>0</v>
      </c>
      <c r="Q493" t="n">
        <v>1</v>
      </c>
      <c r="R493" s="2" t="inlineStr">
        <is>
          <t>Lunglav</t>
        </is>
      </c>
      <c r="S493">
        <f>HYPERLINK("https://klasma.github.io/Logging_2161/artfynd/A 26003-2023 artfynd.xlsx", "A 26003-2023")</f>
        <v/>
      </c>
      <c r="T493">
        <f>HYPERLINK("https://klasma.github.io/Logging_2161/kartor/A 26003-2023 karta.png", "A 26003-2023")</f>
        <v/>
      </c>
      <c r="V493">
        <f>HYPERLINK("https://klasma.github.io/Logging_2161/klagomål/A 26003-2023 FSC-klagomål.docx", "A 26003-2023")</f>
        <v/>
      </c>
      <c r="W493">
        <f>HYPERLINK("https://klasma.github.io/Logging_2161/klagomålsmail/A 26003-2023 FSC-klagomål mail.docx", "A 26003-2023")</f>
        <v/>
      </c>
      <c r="X493">
        <f>HYPERLINK("https://klasma.github.io/Logging_2161/tillsyn/A 26003-2023 tillsynsbegäran.docx", "A 26003-2023")</f>
        <v/>
      </c>
      <c r="Y493">
        <f>HYPERLINK("https://klasma.github.io/Logging_2161/tillsynsmail/A 26003-2023 tillsynsbegäran mail.docx", "A 26003-2023")</f>
        <v/>
      </c>
    </row>
    <row r="494" ht="15" customHeight="1">
      <c r="A494" t="inlineStr">
        <is>
          <t>A 25802-2023</t>
        </is>
      </c>
      <c r="B494" s="1" t="n">
        <v>45090</v>
      </c>
      <c r="C494" s="1" t="n">
        <v>45587</v>
      </c>
      <c r="D494" t="inlineStr">
        <is>
          <t>GÄVLEBORGS LÄN</t>
        </is>
      </c>
      <c r="E494" t="inlineStr">
        <is>
          <t>BOLLNÄS</t>
        </is>
      </c>
      <c r="G494" t="n">
        <v>12.1</v>
      </c>
      <c r="H494" t="n">
        <v>1</v>
      </c>
      <c r="I494" t="n">
        <v>0</v>
      </c>
      <c r="J494" t="n">
        <v>0</v>
      </c>
      <c r="K494" t="n">
        <v>0</v>
      </c>
      <c r="L494" t="n">
        <v>0</v>
      </c>
      <c r="M494" t="n">
        <v>0</v>
      </c>
      <c r="N494" t="n">
        <v>0</v>
      </c>
      <c r="O494" t="n">
        <v>0</v>
      </c>
      <c r="P494" t="n">
        <v>0</v>
      </c>
      <c r="Q494" t="n">
        <v>1</v>
      </c>
      <c r="R494" s="2" t="inlineStr">
        <is>
          <t>Fläcknycklar</t>
        </is>
      </c>
      <c r="S494">
        <f>HYPERLINK("https://klasma.github.io/Logging_2183/artfynd/A 25802-2023 artfynd.xlsx", "A 25802-2023")</f>
        <v/>
      </c>
      <c r="T494">
        <f>HYPERLINK("https://klasma.github.io/Logging_2183/kartor/A 25802-2023 karta.png", "A 25802-2023")</f>
        <v/>
      </c>
      <c r="V494">
        <f>HYPERLINK("https://klasma.github.io/Logging_2183/klagomål/A 25802-2023 FSC-klagomål.docx", "A 25802-2023")</f>
        <v/>
      </c>
      <c r="W494">
        <f>HYPERLINK("https://klasma.github.io/Logging_2183/klagomålsmail/A 25802-2023 FSC-klagomål mail.docx", "A 25802-2023")</f>
        <v/>
      </c>
      <c r="X494">
        <f>HYPERLINK("https://klasma.github.io/Logging_2183/tillsyn/A 25802-2023 tillsynsbegäran.docx", "A 25802-2023")</f>
        <v/>
      </c>
      <c r="Y494">
        <f>HYPERLINK("https://klasma.github.io/Logging_2183/tillsynsmail/A 25802-2023 tillsynsbegäran mail.docx", "A 25802-2023")</f>
        <v/>
      </c>
    </row>
    <row r="495" ht="15" customHeight="1">
      <c r="A495" t="inlineStr">
        <is>
          <t>A 26526-2023</t>
        </is>
      </c>
      <c r="B495" s="1" t="n">
        <v>45092</v>
      </c>
      <c r="C495" s="1" t="n">
        <v>45587</v>
      </c>
      <c r="D495" t="inlineStr">
        <is>
          <t>GÄVLEBORGS LÄN</t>
        </is>
      </c>
      <c r="E495" t="inlineStr">
        <is>
          <t>LJUSDAL</t>
        </is>
      </c>
      <c r="F495" t="inlineStr">
        <is>
          <t>Sveaskog</t>
        </is>
      </c>
      <c r="G495" t="n">
        <v>3.6</v>
      </c>
      <c r="H495" t="n">
        <v>0</v>
      </c>
      <c r="I495" t="n">
        <v>0</v>
      </c>
      <c r="J495" t="n">
        <v>1</v>
      </c>
      <c r="K495" t="n">
        <v>0</v>
      </c>
      <c r="L495" t="n">
        <v>0</v>
      </c>
      <c r="M495" t="n">
        <v>0</v>
      </c>
      <c r="N495" t="n">
        <v>0</v>
      </c>
      <c r="O495" t="n">
        <v>1</v>
      </c>
      <c r="P495" t="n">
        <v>0</v>
      </c>
      <c r="Q495" t="n">
        <v>1</v>
      </c>
      <c r="R495" s="2" t="inlineStr">
        <is>
          <t>Kolflarnlav</t>
        </is>
      </c>
      <c r="S495">
        <f>HYPERLINK("https://klasma.github.io/Logging_2161/artfynd/A 26526-2023 artfynd.xlsx", "A 26526-2023")</f>
        <v/>
      </c>
      <c r="T495">
        <f>HYPERLINK("https://klasma.github.io/Logging_2161/kartor/A 26526-2023 karta.png", "A 26526-2023")</f>
        <v/>
      </c>
      <c r="V495">
        <f>HYPERLINK("https://klasma.github.io/Logging_2161/klagomål/A 26526-2023 FSC-klagomål.docx", "A 26526-2023")</f>
        <v/>
      </c>
      <c r="W495">
        <f>HYPERLINK("https://klasma.github.io/Logging_2161/klagomålsmail/A 26526-2023 FSC-klagomål mail.docx", "A 26526-2023")</f>
        <v/>
      </c>
      <c r="X495">
        <f>HYPERLINK("https://klasma.github.io/Logging_2161/tillsyn/A 26526-2023 tillsynsbegäran.docx", "A 26526-2023")</f>
        <v/>
      </c>
      <c r="Y495">
        <f>HYPERLINK("https://klasma.github.io/Logging_2161/tillsynsmail/A 26526-2023 tillsynsbegäran mail.docx", "A 26526-2023")</f>
        <v/>
      </c>
    </row>
    <row r="496" ht="15" customHeight="1">
      <c r="A496" t="inlineStr">
        <is>
          <t>A 26538-2023</t>
        </is>
      </c>
      <c r="B496" s="1" t="n">
        <v>45092</v>
      </c>
      <c r="C496" s="1" t="n">
        <v>45587</v>
      </c>
      <c r="D496" t="inlineStr">
        <is>
          <t>GÄVLEBORGS LÄN</t>
        </is>
      </c>
      <c r="E496" t="inlineStr">
        <is>
          <t>LJUSDAL</t>
        </is>
      </c>
      <c r="F496" t="inlineStr">
        <is>
          <t>Sveaskog</t>
        </is>
      </c>
      <c r="G496" t="n">
        <v>22.1</v>
      </c>
      <c r="H496" t="n">
        <v>0</v>
      </c>
      <c r="I496" t="n">
        <v>0</v>
      </c>
      <c r="J496" t="n">
        <v>1</v>
      </c>
      <c r="K496" t="n">
        <v>0</v>
      </c>
      <c r="L496" t="n">
        <v>0</v>
      </c>
      <c r="M496" t="n">
        <v>0</v>
      </c>
      <c r="N496" t="n">
        <v>0</v>
      </c>
      <c r="O496" t="n">
        <v>1</v>
      </c>
      <c r="P496" t="n">
        <v>0</v>
      </c>
      <c r="Q496" t="n">
        <v>1</v>
      </c>
      <c r="R496" s="2" t="inlineStr">
        <is>
          <t>Lunglav</t>
        </is>
      </c>
      <c r="S496">
        <f>HYPERLINK("https://klasma.github.io/Logging_2161/artfynd/A 26538-2023 artfynd.xlsx", "A 26538-2023")</f>
        <v/>
      </c>
      <c r="T496">
        <f>HYPERLINK("https://klasma.github.io/Logging_2161/kartor/A 26538-2023 karta.png", "A 26538-2023")</f>
        <v/>
      </c>
      <c r="V496">
        <f>HYPERLINK("https://klasma.github.io/Logging_2161/klagomål/A 26538-2023 FSC-klagomål.docx", "A 26538-2023")</f>
        <v/>
      </c>
      <c r="W496">
        <f>HYPERLINK("https://klasma.github.io/Logging_2161/klagomålsmail/A 26538-2023 FSC-klagomål mail.docx", "A 26538-2023")</f>
        <v/>
      </c>
      <c r="X496">
        <f>HYPERLINK("https://klasma.github.io/Logging_2161/tillsyn/A 26538-2023 tillsynsbegäran.docx", "A 26538-2023")</f>
        <v/>
      </c>
      <c r="Y496">
        <f>HYPERLINK("https://klasma.github.io/Logging_2161/tillsynsmail/A 26538-2023 tillsynsbegäran mail.docx", "A 26538-2023")</f>
        <v/>
      </c>
    </row>
    <row r="497" ht="15" customHeight="1">
      <c r="A497" t="inlineStr">
        <is>
          <t>A 26929-2023</t>
        </is>
      </c>
      <c r="B497" s="1" t="n">
        <v>45093</v>
      </c>
      <c r="C497" s="1" t="n">
        <v>45587</v>
      </c>
      <c r="D497" t="inlineStr">
        <is>
          <t>GÄVLEBORGS LÄN</t>
        </is>
      </c>
      <c r="E497" t="inlineStr">
        <is>
          <t>BOLLNÄS</t>
        </is>
      </c>
      <c r="F497" t="inlineStr">
        <is>
          <t>Sveaskog</t>
        </is>
      </c>
      <c r="G497" t="n">
        <v>7.6</v>
      </c>
      <c r="H497" t="n">
        <v>1</v>
      </c>
      <c r="I497" t="n">
        <v>0</v>
      </c>
      <c r="J497" t="n">
        <v>0</v>
      </c>
      <c r="K497" t="n">
        <v>1</v>
      </c>
      <c r="L497" t="n">
        <v>0</v>
      </c>
      <c r="M497" t="n">
        <v>0</v>
      </c>
      <c r="N497" t="n">
        <v>0</v>
      </c>
      <c r="O497" t="n">
        <v>1</v>
      </c>
      <c r="P497" t="n">
        <v>1</v>
      </c>
      <c r="Q497" t="n">
        <v>1</v>
      </c>
      <c r="R497" s="2" t="inlineStr">
        <is>
          <t>Knärot</t>
        </is>
      </c>
      <c r="S497">
        <f>HYPERLINK("https://klasma.github.io/Logging_2183/artfynd/A 26929-2023 artfynd.xlsx", "A 26929-2023")</f>
        <v/>
      </c>
      <c r="T497">
        <f>HYPERLINK("https://klasma.github.io/Logging_2183/kartor/A 26929-2023 karta.png", "A 26929-2023")</f>
        <v/>
      </c>
      <c r="U497">
        <f>HYPERLINK("https://klasma.github.io/Logging_2183/knärot/A 26929-2023 karta knärot.png", "A 26929-2023")</f>
        <v/>
      </c>
      <c r="V497">
        <f>HYPERLINK("https://klasma.github.io/Logging_2183/klagomål/A 26929-2023 FSC-klagomål.docx", "A 26929-2023")</f>
        <v/>
      </c>
      <c r="W497">
        <f>HYPERLINK("https://klasma.github.io/Logging_2183/klagomålsmail/A 26929-2023 FSC-klagomål mail.docx", "A 26929-2023")</f>
        <v/>
      </c>
      <c r="X497">
        <f>HYPERLINK("https://klasma.github.io/Logging_2183/tillsyn/A 26929-2023 tillsynsbegäran.docx", "A 26929-2023")</f>
        <v/>
      </c>
      <c r="Y497">
        <f>HYPERLINK("https://klasma.github.io/Logging_2183/tillsynsmail/A 26929-2023 tillsynsbegäran mail.docx", "A 26929-2023")</f>
        <v/>
      </c>
    </row>
    <row r="498" ht="15" customHeight="1">
      <c r="A498" t="inlineStr">
        <is>
          <t>A 27148-2023</t>
        </is>
      </c>
      <c r="B498" s="1" t="n">
        <v>45096</v>
      </c>
      <c r="C498" s="1" t="n">
        <v>45587</v>
      </c>
      <c r="D498" t="inlineStr">
        <is>
          <t>GÄVLEBORGS LÄN</t>
        </is>
      </c>
      <c r="E498" t="inlineStr">
        <is>
          <t>SÖDERHAMN</t>
        </is>
      </c>
      <c r="G498" t="n">
        <v>3.8</v>
      </c>
      <c r="H498" t="n">
        <v>0</v>
      </c>
      <c r="I498" t="n">
        <v>1</v>
      </c>
      <c r="J498" t="n">
        <v>0</v>
      </c>
      <c r="K498" t="n">
        <v>0</v>
      </c>
      <c r="L498" t="n">
        <v>0</v>
      </c>
      <c r="M498" t="n">
        <v>0</v>
      </c>
      <c r="N498" t="n">
        <v>0</v>
      </c>
      <c r="O498" t="n">
        <v>0</v>
      </c>
      <c r="P498" t="n">
        <v>0</v>
      </c>
      <c r="Q498" t="n">
        <v>1</v>
      </c>
      <c r="R498" s="2" t="inlineStr">
        <is>
          <t>Gulskölding</t>
        </is>
      </c>
      <c r="S498">
        <f>HYPERLINK("https://klasma.github.io/Logging_2182/artfynd/A 27148-2023 artfynd.xlsx", "A 27148-2023")</f>
        <v/>
      </c>
      <c r="T498">
        <f>HYPERLINK("https://klasma.github.io/Logging_2182/kartor/A 27148-2023 karta.png", "A 27148-2023")</f>
        <v/>
      </c>
      <c r="V498">
        <f>HYPERLINK("https://klasma.github.io/Logging_2182/klagomål/A 27148-2023 FSC-klagomål.docx", "A 27148-2023")</f>
        <v/>
      </c>
      <c r="W498">
        <f>HYPERLINK("https://klasma.github.io/Logging_2182/klagomålsmail/A 27148-2023 FSC-klagomål mail.docx", "A 27148-2023")</f>
        <v/>
      </c>
      <c r="X498">
        <f>HYPERLINK("https://klasma.github.io/Logging_2182/tillsyn/A 27148-2023 tillsynsbegäran.docx", "A 27148-2023")</f>
        <v/>
      </c>
      <c r="Y498">
        <f>HYPERLINK("https://klasma.github.io/Logging_2182/tillsynsmail/A 27148-2023 tillsynsbegäran mail.docx", "A 27148-2023")</f>
        <v/>
      </c>
    </row>
    <row r="499" ht="15" customHeight="1">
      <c r="A499" t="inlineStr">
        <is>
          <t>A 27637-2023</t>
        </is>
      </c>
      <c r="B499" s="1" t="n">
        <v>45097</v>
      </c>
      <c r="C499" s="1" t="n">
        <v>45587</v>
      </c>
      <c r="D499" t="inlineStr">
        <is>
          <t>GÄVLEBORGS LÄN</t>
        </is>
      </c>
      <c r="E499" t="inlineStr">
        <is>
          <t>NORDANSTIG</t>
        </is>
      </c>
      <c r="F499" t="inlineStr">
        <is>
          <t>Holmen skog AB</t>
        </is>
      </c>
      <c r="G499" t="n">
        <v>1.8</v>
      </c>
      <c r="H499" t="n">
        <v>0</v>
      </c>
      <c r="I499" t="n">
        <v>1</v>
      </c>
      <c r="J499" t="n">
        <v>0</v>
      </c>
      <c r="K499" t="n">
        <v>0</v>
      </c>
      <c r="L499" t="n">
        <v>0</v>
      </c>
      <c r="M499" t="n">
        <v>0</v>
      </c>
      <c r="N499" t="n">
        <v>0</v>
      </c>
      <c r="O499" t="n">
        <v>0</v>
      </c>
      <c r="P499" t="n">
        <v>0</v>
      </c>
      <c r="Q499" t="n">
        <v>1</v>
      </c>
      <c r="R499" s="2" t="inlineStr">
        <is>
          <t>Skogshakmossa</t>
        </is>
      </c>
      <c r="S499">
        <f>HYPERLINK("https://klasma.github.io/Logging_2132/artfynd/A 27637-2023 artfynd.xlsx", "A 27637-2023")</f>
        <v/>
      </c>
      <c r="T499">
        <f>HYPERLINK("https://klasma.github.io/Logging_2132/kartor/A 27637-2023 karta.png", "A 27637-2023")</f>
        <v/>
      </c>
      <c r="V499">
        <f>HYPERLINK("https://klasma.github.io/Logging_2132/klagomål/A 27637-2023 FSC-klagomål.docx", "A 27637-2023")</f>
        <v/>
      </c>
      <c r="W499">
        <f>HYPERLINK("https://klasma.github.io/Logging_2132/klagomålsmail/A 27637-2023 FSC-klagomål mail.docx", "A 27637-2023")</f>
        <v/>
      </c>
      <c r="X499">
        <f>HYPERLINK("https://klasma.github.io/Logging_2132/tillsyn/A 27637-2023 tillsynsbegäran.docx", "A 27637-2023")</f>
        <v/>
      </c>
      <c r="Y499">
        <f>HYPERLINK("https://klasma.github.io/Logging_2132/tillsynsmail/A 27637-2023 tillsynsbegäran mail.docx", "A 27637-2023")</f>
        <v/>
      </c>
    </row>
    <row r="500" ht="15" customHeight="1">
      <c r="A500" t="inlineStr">
        <is>
          <t>A 29400-2023</t>
        </is>
      </c>
      <c r="B500" s="1" t="n">
        <v>45106</v>
      </c>
      <c r="C500" s="1" t="n">
        <v>45587</v>
      </c>
      <c r="D500" t="inlineStr">
        <is>
          <t>GÄVLEBORGS LÄN</t>
        </is>
      </c>
      <c r="E500" t="inlineStr">
        <is>
          <t>HOFORS</t>
        </is>
      </c>
      <c r="G500" t="n">
        <v>6.8</v>
      </c>
      <c r="H500" t="n">
        <v>1</v>
      </c>
      <c r="I500" t="n">
        <v>0</v>
      </c>
      <c r="J500" t="n">
        <v>0</v>
      </c>
      <c r="K500" t="n">
        <v>1</v>
      </c>
      <c r="L500" t="n">
        <v>0</v>
      </c>
      <c r="M500" t="n">
        <v>0</v>
      </c>
      <c r="N500" t="n">
        <v>0</v>
      </c>
      <c r="O500" t="n">
        <v>1</v>
      </c>
      <c r="P500" t="n">
        <v>1</v>
      </c>
      <c r="Q500" t="n">
        <v>1</v>
      </c>
      <c r="R500" s="2" t="inlineStr">
        <is>
          <t>Knärot</t>
        </is>
      </c>
      <c r="S500">
        <f>HYPERLINK("https://klasma.github.io/Logging_2104/artfynd/A 29400-2023 artfynd.xlsx", "A 29400-2023")</f>
        <v/>
      </c>
      <c r="T500">
        <f>HYPERLINK("https://klasma.github.io/Logging_2104/kartor/A 29400-2023 karta.png", "A 29400-2023")</f>
        <v/>
      </c>
      <c r="U500">
        <f>HYPERLINK("https://klasma.github.io/Logging_2104/knärot/A 29400-2023 karta knärot.png", "A 29400-2023")</f>
        <v/>
      </c>
      <c r="V500">
        <f>HYPERLINK("https://klasma.github.io/Logging_2104/klagomål/A 29400-2023 FSC-klagomål.docx", "A 29400-2023")</f>
        <v/>
      </c>
      <c r="W500">
        <f>HYPERLINK("https://klasma.github.io/Logging_2104/klagomålsmail/A 29400-2023 FSC-klagomål mail.docx", "A 29400-2023")</f>
        <v/>
      </c>
      <c r="X500">
        <f>HYPERLINK("https://klasma.github.io/Logging_2104/tillsyn/A 29400-2023 tillsynsbegäran.docx", "A 29400-2023")</f>
        <v/>
      </c>
      <c r="Y500">
        <f>HYPERLINK("https://klasma.github.io/Logging_2104/tillsynsmail/A 29400-2023 tillsynsbegäran mail.docx", "A 29400-2023")</f>
        <v/>
      </c>
    </row>
    <row r="501" ht="15" customHeight="1">
      <c r="A501" t="inlineStr">
        <is>
          <t>A 29578-2023</t>
        </is>
      </c>
      <c r="B501" s="1" t="n">
        <v>45106</v>
      </c>
      <c r="C501" s="1" t="n">
        <v>45587</v>
      </c>
      <c r="D501" t="inlineStr">
        <is>
          <t>GÄVLEBORGS LÄN</t>
        </is>
      </c>
      <c r="E501" t="inlineStr">
        <is>
          <t>NORDANSTIG</t>
        </is>
      </c>
      <c r="F501" t="inlineStr">
        <is>
          <t>Holmen skog AB</t>
        </is>
      </c>
      <c r="G501" t="n">
        <v>5.3</v>
      </c>
      <c r="H501" t="n">
        <v>1</v>
      </c>
      <c r="I501" t="n">
        <v>0</v>
      </c>
      <c r="J501" t="n">
        <v>0</v>
      </c>
      <c r="K501" t="n">
        <v>0</v>
      </c>
      <c r="L501" t="n">
        <v>0</v>
      </c>
      <c r="M501" t="n">
        <v>0</v>
      </c>
      <c r="N501" t="n">
        <v>0</v>
      </c>
      <c r="O501" t="n">
        <v>0</v>
      </c>
      <c r="P501" t="n">
        <v>0</v>
      </c>
      <c r="Q501" t="n">
        <v>1</v>
      </c>
      <c r="R501" s="2" t="inlineStr">
        <is>
          <t>Blåsippa</t>
        </is>
      </c>
      <c r="S501">
        <f>HYPERLINK("https://klasma.github.io/Logging_2132/artfynd/A 29578-2023 artfynd.xlsx", "A 29578-2023")</f>
        <v/>
      </c>
      <c r="T501">
        <f>HYPERLINK("https://klasma.github.io/Logging_2132/kartor/A 29578-2023 karta.png", "A 29578-2023")</f>
        <v/>
      </c>
      <c r="V501">
        <f>HYPERLINK("https://klasma.github.io/Logging_2132/klagomål/A 29578-2023 FSC-klagomål.docx", "A 29578-2023")</f>
        <v/>
      </c>
      <c r="W501">
        <f>HYPERLINK("https://klasma.github.io/Logging_2132/klagomålsmail/A 29578-2023 FSC-klagomål mail.docx", "A 29578-2023")</f>
        <v/>
      </c>
      <c r="X501">
        <f>HYPERLINK("https://klasma.github.io/Logging_2132/tillsyn/A 29578-2023 tillsynsbegäran.docx", "A 29578-2023")</f>
        <v/>
      </c>
      <c r="Y501">
        <f>HYPERLINK("https://klasma.github.io/Logging_2132/tillsynsmail/A 29578-2023 tillsynsbegäran mail.docx", "A 29578-2023")</f>
        <v/>
      </c>
    </row>
    <row r="502" ht="15" customHeight="1">
      <c r="A502" t="inlineStr">
        <is>
          <t>A 29464-2023</t>
        </is>
      </c>
      <c r="B502" s="1" t="n">
        <v>45106</v>
      </c>
      <c r="C502" s="1" t="n">
        <v>45587</v>
      </c>
      <c r="D502" t="inlineStr">
        <is>
          <t>GÄVLEBORGS LÄN</t>
        </is>
      </c>
      <c r="E502" t="inlineStr">
        <is>
          <t>LJUSDAL</t>
        </is>
      </c>
      <c r="F502" t="inlineStr">
        <is>
          <t>Sveaskog</t>
        </is>
      </c>
      <c r="G502" t="n">
        <v>3.7</v>
      </c>
      <c r="H502" t="n">
        <v>1</v>
      </c>
      <c r="I502" t="n">
        <v>0</v>
      </c>
      <c r="J502" t="n">
        <v>0</v>
      </c>
      <c r="K502" t="n">
        <v>0</v>
      </c>
      <c r="L502" t="n">
        <v>0</v>
      </c>
      <c r="M502" t="n">
        <v>0</v>
      </c>
      <c r="N502" t="n">
        <v>0</v>
      </c>
      <c r="O502" t="n">
        <v>0</v>
      </c>
      <c r="P502" t="n">
        <v>0</v>
      </c>
      <c r="Q502" t="n">
        <v>1</v>
      </c>
      <c r="R502" s="2" t="inlineStr">
        <is>
          <t>Orre</t>
        </is>
      </c>
      <c r="S502">
        <f>HYPERLINK("https://klasma.github.io/Logging_2161/artfynd/A 29464-2023 artfynd.xlsx", "A 29464-2023")</f>
        <v/>
      </c>
      <c r="T502">
        <f>HYPERLINK("https://klasma.github.io/Logging_2161/kartor/A 29464-2023 karta.png", "A 29464-2023")</f>
        <v/>
      </c>
      <c r="V502">
        <f>HYPERLINK("https://klasma.github.io/Logging_2161/klagomål/A 29464-2023 FSC-klagomål.docx", "A 29464-2023")</f>
        <v/>
      </c>
      <c r="W502">
        <f>HYPERLINK("https://klasma.github.io/Logging_2161/klagomålsmail/A 29464-2023 FSC-klagomål mail.docx", "A 29464-2023")</f>
        <v/>
      </c>
      <c r="X502">
        <f>HYPERLINK("https://klasma.github.io/Logging_2161/tillsyn/A 29464-2023 tillsynsbegäran.docx", "A 29464-2023")</f>
        <v/>
      </c>
      <c r="Y502">
        <f>HYPERLINK("https://klasma.github.io/Logging_2161/tillsynsmail/A 29464-2023 tillsynsbegäran mail.docx", "A 29464-2023")</f>
        <v/>
      </c>
      <c r="Z502">
        <f>HYPERLINK("https://klasma.github.io/Logging_2161/fåglar/A 29464-2023 prioriterade fågelarter.docx", "A 29464-2023")</f>
        <v/>
      </c>
    </row>
    <row r="503" ht="15" customHeight="1">
      <c r="A503" t="inlineStr">
        <is>
          <t>A 29784-2023</t>
        </is>
      </c>
      <c r="B503" s="1" t="n">
        <v>45107</v>
      </c>
      <c r="C503" s="1" t="n">
        <v>45587</v>
      </c>
      <c r="D503" t="inlineStr">
        <is>
          <t>GÄVLEBORGS LÄN</t>
        </is>
      </c>
      <c r="E503" t="inlineStr">
        <is>
          <t>LJUSDAL</t>
        </is>
      </c>
      <c r="F503" t="inlineStr">
        <is>
          <t>Sveaskog</t>
        </is>
      </c>
      <c r="G503" t="n">
        <v>17.1</v>
      </c>
      <c r="H503" t="n">
        <v>1</v>
      </c>
      <c r="I503" t="n">
        <v>0</v>
      </c>
      <c r="J503" t="n">
        <v>0</v>
      </c>
      <c r="K503" t="n">
        <v>0</v>
      </c>
      <c r="L503" t="n">
        <v>0</v>
      </c>
      <c r="M503" t="n">
        <v>0</v>
      </c>
      <c r="N503" t="n">
        <v>0</v>
      </c>
      <c r="O503" t="n">
        <v>0</v>
      </c>
      <c r="P503" t="n">
        <v>0</v>
      </c>
      <c r="Q503" t="n">
        <v>1</v>
      </c>
      <c r="R503" s="2" t="inlineStr">
        <is>
          <t>Nattviol</t>
        </is>
      </c>
      <c r="S503">
        <f>HYPERLINK("https://klasma.github.io/Logging_2161/artfynd/A 29784-2023 artfynd.xlsx", "A 29784-2023")</f>
        <v/>
      </c>
      <c r="T503">
        <f>HYPERLINK("https://klasma.github.io/Logging_2161/kartor/A 29784-2023 karta.png", "A 29784-2023")</f>
        <v/>
      </c>
      <c r="V503">
        <f>HYPERLINK("https://klasma.github.io/Logging_2161/klagomål/A 29784-2023 FSC-klagomål.docx", "A 29784-2023")</f>
        <v/>
      </c>
      <c r="W503">
        <f>HYPERLINK("https://klasma.github.io/Logging_2161/klagomålsmail/A 29784-2023 FSC-klagomål mail.docx", "A 29784-2023")</f>
        <v/>
      </c>
      <c r="X503">
        <f>HYPERLINK("https://klasma.github.io/Logging_2161/tillsyn/A 29784-2023 tillsynsbegäran.docx", "A 29784-2023")</f>
        <v/>
      </c>
      <c r="Y503">
        <f>HYPERLINK("https://klasma.github.io/Logging_2161/tillsynsmail/A 29784-2023 tillsynsbegäran mail.docx", "A 29784-2023")</f>
        <v/>
      </c>
    </row>
    <row r="504" ht="15" customHeight="1">
      <c r="A504" t="inlineStr">
        <is>
          <t>A 29821-2023</t>
        </is>
      </c>
      <c r="B504" s="1" t="n">
        <v>45107</v>
      </c>
      <c r="C504" s="1" t="n">
        <v>45587</v>
      </c>
      <c r="D504" t="inlineStr">
        <is>
          <t>GÄVLEBORGS LÄN</t>
        </is>
      </c>
      <c r="E504" t="inlineStr">
        <is>
          <t>GÄVLE</t>
        </is>
      </c>
      <c r="G504" t="n">
        <v>5.3</v>
      </c>
      <c r="H504" t="n">
        <v>1</v>
      </c>
      <c r="I504" t="n">
        <v>0</v>
      </c>
      <c r="J504" t="n">
        <v>1</v>
      </c>
      <c r="K504" t="n">
        <v>0</v>
      </c>
      <c r="L504" t="n">
        <v>0</v>
      </c>
      <c r="M504" t="n">
        <v>0</v>
      </c>
      <c r="N504" t="n">
        <v>0</v>
      </c>
      <c r="O504" t="n">
        <v>1</v>
      </c>
      <c r="P504" t="n">
        <v>0</v>
      </c>
      <c r="Q504" t="n">
        <v>1</v>
      </c>
      <c r="R504" s="2" t="inlineStr">
        <is>
          <t>Svartvit flugsnappare</t>
        </is>
      </c>
      <c r="S504">
        <f>HYPERLINK("https://klasma.github.io/Logging_2180/artfynd/A 29821-2023 artfynd.xlsx", "A 29821-2023")</f>
        <v/>
      </c>
      <c r="T504">
        <f>HYPERLINK("https://klasma.github.io/Logging_2180/kartor/A 29821-2023 karta.png", "A 29821-2023")</f>
        <v/>
      </c>
      <c r="V504">
        <f>HYPERLINK("https://klasma.github.io/Logging_2180/klagomål/A 29821-2023 FSC-klagomål.docx", "A 29821-2023")</f>
        <v/>
      </c>
      <c r="W504">
        <f>HYPERLINK("https://klasma.github.io/Logging_2180/klagomålsmail/A 29821-2023 FSC-klagomål mail.docx", "A 29821-2023")</f>
        <v/>
      </c>
      <c r="X504">
        <f>HYPERLINK("https://klasma.github.io/Logging_2180/tillsyn/A 29821-2023 tillsynsbegäran.docx", "A 29821-2023")</f>
        <v/>
      </c>
      <c r="Y504">
        <f>HYPERLINK("https://klasma.github.io/Logging_2180/tillsynsmail/A 29821-2023 tillsynsbegäran mail.docx", "A 29821-2023")</f>
        <v/>
      </c>
      <c r="Z504">
        <f>HYPERLINK("https://klasma.github.io/Logging_2180/fåglar/A 29821-2023 prioriterade fågelarter.docx", "A 29821-2023")</f>
        <v/>
      </c>
    </row>
    <row r="505" ht="15" customHeight="1">
      <c r="A505" t="inlineStr">
        <is>
          <t>A 32171-2023</t>
        </is>
      </c>
      <c r="B505" s="1" t="n">
        <v>45107</v>
      </c>
      <c r="C505" s="1" t="n">
        <v>45587</v>
      </c>
      <c r="D505" t="inlineStr">
        <is>
          <t>GÄVLEBORGS LÄN</t>
        </is>
      </c>
      <c r="E505" t="inlineStr">
        <is>
          <t>LJUSDAL</t>
        </is>
      </c>
      <c r="G505" t="n">
        <v>1.5</v>
      </c>
      <c r="H505" t="n">
        <v>1</v>
      </c>
      <c r="I505" t="n">
        <v>0</v>
      </c>
      <c r="J505" t="n">
        <v>1</v>
      </c>
      <c r="K505" t="n">
        <v>0</v>
      </c>
      <c r="L505" t="n">
        <v>0</v>
      </c>
      <c r="M505" t="n">
        <v>0</v>
      </c>
      <c r="N505" t="n">
        <v>0</v>
      </c>
      <c r="O505" t="n">
        <v>1</v>
      </c>
      <c r="P505" t="n">
        <v>0</v>
      </c>
      <c r="Q505" t="n">
        <v>1</v>
      </c>
      <c r="R505" s="2" t="inlineStr">
        <is>
          <t>Talltita</t>
        </is>
      </c>
      <c r="S505">
        <f>HYPERLINK("https://klasma.github.io/Logging_2161/artfynd/A 32171-2023 artfynd.xlsx", "A 32171-2023")</f>
        <v/>
      </c>
      <c r="T505">
        <f>HYPERLINK("https://klasma.github.io/Logging_2161/kartor/A 32171-2023 karta.png", "A 32171-2023")</f>
        <v/>
      </c>
      <c r="V505">
        <f>HYPERLINK("https://klasma.github.io/Logging_2161/klagomål/A 32171-2023 FSC-klagomål.docx", "A 32171-2023")</f>
        <v/>
      </c>
      <c r="W505">
        <f>HYPERLINK("https://klasma.github.io/Logging_2161/klagomålsmail/A 32171-2023 FSC-klagomål mail.docx", "A 32171-2023")</f>
        <v/>
      </c>
      <c r="X505">
        <f>HYPERLINK("https://klasma.github.io/Logging_2161/tillsyn/A 32171-2023 tillsynsbegäran.docx", "A 32171-2023")</f>
        <v/>
      </c>
      <c r="Y505">
        <f>HYPERLINK("https://klasma.github.io/Logging_2161/tillsynsmail/A 32171-2023 tillsynsbegäran mail.docx", "A 32171-2023")</f>
        <v/>
      </c>
      <c r="Z505">
        <f>HYPERLINK("https://klasma.github.io/Logging_2161/fåglar/A 32171-2023 prioriterade fågelarter.docx", "A 32171-2023")</f>
        <v/>
      </c>
    </row>
    <row r="506" ht="15" customHeight="1">
      <c r="A506" t="inlineStr">
        <is>
          <t>A 30245-2023</t>
        </is>
      </c>
      <c r="B506" s="1" t="n">
        <v>45110</v>
      </c>
      <c r="C506" s="1" t="n">
        <v>45587</v>
      </c>
      <c r="D506" t="inlineStr">
        <is>
          <t>GÄVLEBORGS LÄN</t>
        </is>
      </c>
      <c r="E506" t="inlineStr">
        <is>
          <t>LJUSDAL</t>
        </is>
      </c>
      <c r="F506" t="inlineStr">
        <is>
          <t>Sveaskog</t>
        </is>
      </c>
      <c r="G506" t="n">
        <v>32.1</v>
      </c>
      <c r="H506" t="n">
        <v>0</v>
      </c>
      <c r="I506" t="n">
        <v>0</v>
      </c>
      <c r="J506" t="n">
        <v>1</v>
      </c>
      <c r="K506" t="n">
        <v>0</v>
      </c>
      <c r="L506" t="n">
        <v>0</v>
      </c>
      <c r="M506" t="n">
        <v>0</v>
      </c>
      <c r="N506" t="n">
        <v>0</v>
      </c>
      <c r="O506" t="n">
        <v>1</v>
      </c>
      <c r="P506" t="n">
        <v>0</v>
      </c>
      <c r="Q506" t="n">
        <v>1</v>
      </c>
      <c r="R506" s="2" t="inlineStr">
        <is>
          <t>Kolflarnlav</t>
        </is>
      </c>
      <c r="S506">
        <f>HYPERLINK("https://klasma.github.io/Logging_2161/artfynd/A 30245-2023 artfynd.xlsx", "A 30245-2023")</f>
        <v/>
      </c>
      <c r="T506">
        <f>HYPERLINK("https://klasma.github.io/Logging_2161/kartor/A 30245-2023 karta.png", "A 30245-2023")</f>
        <v/>
      </c>
      <c r="V506">
        <f>HYPERLINK("https://klasma.github.io/Logging_2161/klagomål/A 30245-2023 FSC-klagomål.docx", "A 30245-2023")</f>
        <v/>
      </c>
      <c r="W506">
        <f>HYPERLINK("https://klasma.github.io/Logging_2161/klagomålsmail/A 30245-2023 FSC-klagomål mail.docx", "A 30245-2023")</f>
        <v/>
      </c>
      <c r="X506">
        <f>HYPERLINK("https://klasma.github.io/Logging_2161/tillsyn/A 30245-2023 tillsynsbegäran.docx", "A 30245-2023")</f>
        <v/>
      </c>
      <c r="Y506">
        <f>HYPERLINK("https://klasma.github.io/Logging_2161/tillsynsmail/A 30245-2023 tillsynsbegäran mail.docx", "A 30245-2023")</f>
        <v/>
      </c>
    </row>
    <row r="507" ht="15" customHeight="1">
      <c r="A507" t="inlineStr">
        <is>
          <t>A 30610-2023</t>
        </is>
      </c>
      <c r="B507" s="1" t="n">
        <v>45112</v>
      </c>
      <c r="C507" s="1" t="n">
        <v>45587</v>
      </c>
      <c r="D507" t="inlineStr">
        <is>
          <t>GÄVLEBORGS LÄN</t>
        </is>
      </c>
      <c r="E507" t="inlineStr">
        <is>
          <t>LJUSDAL</t>
        </is>
      </c>
      <c r="F507" t="inlineStr">
        <is>
          <t>Sveaskog</t>
        </is>
      </c>
      <c r="G507" t="n">
        <v>3.2</v>
      </c>
      <c r="H507" t="n">
        <v>1</v>
      </c>
      <c r="I507" t="n">
        <v>0</v>
      </c>
      <c r="J507" t="n">
        <v>0</v>
      </c>
      <c r="K507" t="n">
        <v>1</v>
      </c>
      <c r="L507" t="n">
        <v>0</v>
      </c>
      <c r="M507" t="n">
        <v>0</v>
      </c>
      <c r="N507" t="n">
        <v>0</v>
      </c>
      <c r="O507" t="n">
        <v>1</v>
      </c>
      <c r="P507" t="n">
        <v>1</v>
      </c>
      <c r="Q507" t="n">
        <v>1</v>
      </c>
      <c r="R507" s="2" t="inlineStr">
        <is>
          <t>Knärot</t>
        </is>
      </c>
      <c r="S507">
        <f>HYPERLINK("https://klasma.github.io/Logging_2161/artfynd/A 30610-2023 artfynd.xlsx", "A 30610-2023")</f>
        <v/>
      </c>
      <c r="T507">
        <f>HYPERLINK("https://klasma.github.io/Logging_2161/kartor/A 30610-2023 karta.png", "A 30610-2023")</f>
        <v/>
      </c>
      <c r="U507">
        <f>HYPERLINK("https://klasma.github.io/Logging_2161/knärot/A 30610-2023 karta knärot.png", "A 30610-2023")</f>
        <v/>
      </c>
      <c r="V507">
        <f>HYPERLINK("https://klasma.github.io/Logging_2161/klagomål/A 30610-2023 FSC-klagomål.docx", "A 30610-2023")</f>
        <v/>
      </c>
      <c r="W507">
        <f>HYPERLINK("https://klasma.github.io/Logging_2161/klagomålsmail/A 30610-2023 FSC-klagomål mail.docx", "A 30610-2023")</f>
        <v/>
      </c>
      <c r="X507">
        <f>HYPERLINK("https://klasma.github.io/Logging_2161/tillsyn/A 30610-2023 tillsynsbegäran.docx", "A 30610-2023")</f>
        <v/>
      </c>
      <c r="Y507">
        <f>HYPERLINK("https://klasma.github.io/Logging_2161/tillsynsmail/A 30610-2023 tillsynsbegäran mail.docx", "A 30610-2023")</f>
        <v/>
      </c>
    </row>
    <row r="508" ht="15" customHeight="1">
      <c r="A508" t="inlineStr">
        <is>
          <t>A 31125-2023</t>
        </is>
      </c>
      <c r="B508" s="1" t="n">
        <v>45113</v>
      </c>
      <c r="C508" s="1" t="n">
        <v>45587</v>
      </c>
      <c r="D508" t="inlineStr">
        <is>
          <t>GÄVLEBORGS LÄN</t>
        </is>
      </c>
      <c r="E508" t="inlineStr">
        <is>
          <t>LJUSDAL</t>
        </is>
      </c>
      <c r="F508" t="inlineStr">
        <is>
          <t>Sveaskog</t>
        </is>
      </c>
      <c r="G508" t="n">
        <v>1.8</v>
      </c>
      <c r="H508" t="n">
        <v>0</v>
      </c>
      <c r="I508" t="n">
        <v>1</v>
      </c>
      <c r="J508" t="n">
        <v>0</v>
      </c>
      <c r="K508" t="n">
        <v>0</v>
      </c>
      <c r="L508" t="n">
        <v>0</v>
      </c>
      <c r="M508" t="n">
        <v>0</v>
      </c>
      <c r="N508" t="n">
        <v>0</v>
      </c>
      <c r="O508" t="n">
        <v>0</v>
      </c>
      <c r="P508" t="n">
        <v>0</v>
      </c>
      <c r="Q508" t="n">
        <v>1</v>
      </c>
      <c r="R508" s="2" t="inlineStr">
        <is>
          <t>Stuplav</t>
        </is>
      </c>
      <c r="S508">
        <f>HYPERLINK("https://klasma.github.io/Logging_2161/artfynd/A 31125-2023 artfynd.xlsx", "A 31125-2023")</f>
        <v/>
      </c>
      <c r="T508">
        <f>HYPERLINK("https://klasma.github.io/Logging_2161/kartor/A 31125-2023 karta.png", "A 31125-2023")</f>
        <v/>
      </c>
      <c r="V508">
        <f>HYPERLINK("https://klasma.github.io/Logging_2161/klagomål/A 31125-2023 FSC-klagomål.docx", "A 31125-2023")</f>
        <v/>
      </c>
      <c r="W508">
        <f>HYPERLINK("https://klasma.github.io/Logging_2161/klagomålsmail/A 31125-2023 FSC-klagomål mail.docx", "A 31125-2023")</f>
        <v/>
      </c>
      <c r="X508">
        <f>HYPERLINK("https://klasma.github.io/Logging_2161/tillsyn/A 31125-2023 tillsynsbegäran.docx", "A 31125-2023")</f>
        <v/>
      </c>
      <c r="Y508">
        <f>HYPERLINK("https://klasma.github.io/Logging_2161/tillsynsmail/A 31125-2023 tillsynsbegäran mail.docx", "A 31125-2023")</f>
        <v/>
      </c>
    </row>
    <row r="509" ht="15" customHeight="1">
      <c r="A509" t="inlineStr">
        <is>
          <t>A 31127-2023</t>
        </is>
      </c>
      <c r="B509" s="1" t="n">
        <v>45113</v>
      </c>
      <c r="C509" s="1" t="n">
        <v>45587</v>
      </c>
      <c r="D509" t="inlineStr">
        <is>
          <t>GÄVLEBORGS LÄN</t>
        </is>
      </c>
      <c r="E509" t="inlineStr">
        <is>
          <t>LJUSDAL</t>
        </is>
      </c>
      <c r="F509" t="inlineStr">
        <is>
          <t>Sveaskog</t>
        </is>
      </c>
      <c r="G509" t="n">
        <v>6.8</v>
      </c>
      <c r="H509" t="n">
        <v>0</v>
      </c>
      <c r="I509" t="n">
        <v>0</v>
      </c>
      <c r="J509" t="n">
        <v>1</v>
      </c>
      <c r="K509" t="n">
        <v>0</v>
      </c>
      <c r="L509" t="n">
        <v>0</v>
      </c>
      <c r="M509" t="n">
        <v>0</v>
      </c>
      <c r="N509" t="n">
        <v>0</v>
      </c>
      <c r="O509" t="n">
        <v>1</v>
      </c>
      <c r="P509" t="n">
        <v>0</v>
      </c>
      <c r="Q509" t="n">
        <v>1</v>
      </c>
      <c r="R509" s="2" t="inlineStr">
        <is>
          <t>Mörk kolflarnlav</t>
        </is>
      </c>
      <c r="S509">
        <f>HYPERLINK("https://klasma.github.io/Logging_2161/artfynd/A 31127-2023 artfynd.xlsx", "A 31127-2023")</f>
        <v/>
      </c>
      <c r="T509">
        <f>HYPERLINK("https://klasma.github.io/Logging_2161/kartor/A 31127-2023 karta.png", "A 31127-2023")</f>
        <v/>
      </c>
      <c r="V509">
        <f>HYPERLINK("https://klasma.github.io/Logging_2161/klagomål/A 31127-2023 FSC-klagomål.docx", "A 31127-2023")</f>
        <v/>
      </c>
      <c r="W509">
        <f>HYPERLINK("https://klasma.github.io/Logging_2161/klagomålsmail/A 31127-2023 FSC-klagomål mail.docx", "A 31127-2023")</f>
        <v/>
      </c>
      <c r="X509">
        <f>HYPERLINK("https://klasma.github.io/Logging_2161/tillsyn/A 31127-2023 tillsynsbegäran.docx", "A 31127-2023")</f>
        <v/>
      </c>
      <c r="Y509">
        <f>HYPERLINK("https://klasma.github.io/Logging_2161/tillsynsmail/A 31127-2023 tillsynsbegäran mail.docx", "A 31127-2023")</f>
        <v/>
      </c>
    </row>
    <row r="510" ht="15" customHeight="1">
      <c r="A510" t="inlineStr">
        <is>
          <t>A 33491-2023</t>
        </is>
      </c>
      <c r="B510" s="1" t="n">
        <v>45118</v>
      </c>
      <c r="C510" s="1" t="n">
        <v>45587</v>
      </c>
      <c r="D510" t="inlineStr">
        <is>
          <t>GÄVLEBORGS LÄN</t>
        </is>
      </c>
      <c r="E510" t="inlineStr">
        <is>
          <t>HOFORS</t>
        </is>
      </c>
      <c r="F510" t="inlineStr">
        <is>
          <t>Bergvik skog väst AB</t>
        </is>
      </c>
      <c r="G510" t="n">
        <v>32.3</v>
      </c>
      <c r="H510" t="n">
        <v>1</v>
      </c>
      <c r="I510" t="n">
        <v>0</v>
      </c>
      <c r="J510" t="n">
        <v>0</v>
      </c>
      <c r="K510" t="n">
        <v>0</v>
      </c>
      <c r="L510" t="n">
        <v>0</v>
      </c>
      <c r="M510" t="n">
        <v>0</v>
      </c>
      <c r="N510" t="n">
        <v>0</v>
      </c>
      <c r="O510" t="n">
        <v>0</v>
      </c>
      <c r="P510" t="n">
        <v>0</v>
      </c>
      <c r="Q510" t="n">
        <v>1</v>
      </c>
      <c r="R510" s="2" t="inlineStr">
        <is>
          <t>Revlummer</t>
        </is>
      </c>
      <c r="S510">
        <f>HYPERLINK("https://klasma.github.io/Logging_2104/artfynd/A 33491-2023 artfynd.xlsx", "A 33491-2023")</f>
        <v/>
      </c>
      <c r="T510">
        <f>HYPERLINK("https://klasma.github.io/Logging_2104/kartor/A 33491-2023 karta.png", "A 33491-2023")</f>
        <v/>
      </c>
      <c r="V510">
        <f>HYPERLINK("https://klasma.github.io/Logging_2104/klagomål/A 33491-2023 FSC-klagomål.docx", "A 33491-2023")</f>
        <v/>
      </c>
      <c r="W510">
        <f>HYPERLINK("https://klasma.github.io/Logging_2104/klagomålsmail/A 33491-2023 FSC-klagomål mail.docx", "A 33491-2023")</f>
        <v/>
      </c>
      <c r="X510">
        <f>HYPERLINK("https://klasma.github.io/Logging_2104/tillsyn/A 33491-2023 tillsynsbegäran.docx", "A 33491-2023")</f>
        <v/>
      </c>
      <c r="Y510">
        <f>HYPERLINK("https://klasma.github.io/Logging_2104/tillsynsmail/A 33491-2023 tillsynsbegäran mail.docx", "A 33491-2023")</f>
        <v/>
      </c>
    </row>
    <row r="511" ht="15" customHeight="1">
      <c r="A511" t="inlineStr">
        <is>
          <t>A 32254-2023</t>
        </is>
      </c>
      <c r="B511" s="1" t="n">
        <v>45120</v>
      </c>
      <c r="C511" s="1" t="n">
        <v>45587</v>
      </c>
      <c r="D511" t="inlineStr">
        <is>
          <t>GÄVLEBORGS LÄN</t>
        </is>
      </c>
      <c r="E511" t="inlineStr">
        <is>
          <t>GÄVLE</t>
        </is>
      </c>
      <c r="G511" t="n">
        <v>2.5</v>
      </c>
      <c r="H511" t="n">
        <v>0</v>
      </c>
      <c r="I511" t="n">
        <v>0</v>
      </c>
      <c r="J511" t="n">
        <v>1</v>
      </c>
      <c r="K511" t="n">
        <v>0</v>
      </c>
      <c r="L511" t="n">
        <v>0</v>
      </c>
      <c r="M511" t="n">
        <v>0</v>
      </c>
      <c r="N511" t="n">
        <v>0</v>
      </c>
      <c r="O511" t="n">
        <v>1</v>
      </c>
      <c r="P511" t="n">
        <v>0</v>
      </c>
      <c r="Q511" t="n">
        <v>1</v>
      </c>
      <c r="R511" s="2" t="inlineStr">
        <is>
          <t>Slåtterfibbla</t>
        </is>
      </c>
      <c r="S511">
        <f>HYPERLINK("https://klasma.github.io/Logging_2180/artfynd/A 32254-2023 artfynd.xlsx", "A 32254-2023")</f>
        <v/>
      </c>
      <c r="T511">
        <f>HYPERLINK("https://klasma.github.io/Logging_2180/kartor/A 32254-2023 karta.png", "A 32254-2023")</f>
        <v/>
      </c>
      <c r="V511">
        <f>HYPERLINK("https://klasma.github.io/Logging_2180/klagomål/A 32254-2023 FSC-klagomål.docx", "A 32254-2023")</f>
        <v/>
      </c>
      <c r="W511">
        <f>HYPERLINK("https://klasma.github.io/Logging_2180/klagomålsmail/A 32254-2023 FSC-klagomål mail.docx", "A 32254-2023")</f>
        <v/>
      </c>
      <c r="X511">
        <f>HYPERLINK("https://klasma.github.io/Logging_2180/tillsyn/A 32254-2023 tillsynsbegäran.docx", "A 32254-2023")</f>
        <v/>
      </c>
      <c r="Y511">
        <f>HYPERLINK("https://klasma.github.io/Logging_2180/tillsynsmail/A 32254-2023 tillsynsbegäran mail.docx", "A 32254-2023")</f>
        <v/>
      </c>
    </row>
    <row r="512" ht="15" customHeight="1">
      <c r="A512" t="inlineStr">
        <is>
          <t>A 32499-2023</t>
        </is>
      </c>
      <c r="B512" s="1" t="n">
        <v>45121</v>
      </c>
      <c r="C512" s="1" t="n">
        <v>45587</v>
      </c>
      <c r="D512" t="inlineStr">
        <is>
          <t>GÄVLEBORGS LÄN</t>
        </is>
      </c>
      <c r="E512" t="inlineStr">
        <is>
          <t>LJUSDAL</t>
        </is>
      </c>
      <c r="F512" t="inlineStr">
        <is>
          <t>Sveaskog</t>
        </is>
      </c>
      <c r="G512" t="n">
        <v>2.6</v>
      </c>
      <c r="H512" t="n">
        <v>1</v>
      </c>
      <c r="I512" t="n">
        <v>0</v>
      </c>
      <c r="J512" t="n">
        <v>0</v>
      </c>
      <c r="K512" t="n">
        <v>1</v>
      </c>
      <c r="L512" t="n">
        <v>0</v>
      </c>
      <c r="M512" t="n">
        <v>0</v>
      </c>
      <c r="N512" t="n">
        <v>0</v>
      </c>
      <c r="O512" t="n">
        <v>1</v>
      </c>
      <c r="P512" t="n">
        <v>1</v>
      </c>
      <c r="Q512" t="n">
        <v>1</v>
      </c>
      <c r="R512" s="2" t="inlineStr">
        <is>
          <t>Knärot</t>
        </is>
      </c>
      <c r="S512">
        <f>HYPERLINK("https://klasma.github.io/Logging_2161/artfynd/A 32499-2023 artfynd.xlsx", "A 32499-2023")</f>
        <v/>
      </c>
      <c r="T512">
        <f>HYPERLINK("https://klasma.github.io/Logging_2161/kartor/A 32499-2023 karta.png", "A 32499-2023")</f>
        <v/>
      </c>
      <c r="U512">
        <f>HYPERLINK("https://klasma.github.io/Logging_2161/knärot/A 32499-2023 karta knärot.png", "A 32499-2023")</f>
        <v/>
      </c>
      <c r="V512">
        <f>HYPERLINK("https://klasma.github.io/Logging_2161/klagomål/A 32499-2023 FSC-klagomål.docx", "A 32499-2023")</f>
        <v/>
      </c>
      <c r="W512">
        <f>HYPERLINK("https://klasma.github.io/Logging_2161/klagomålsmail/A 32499-2023 FSC-klagomål mail.docx", "A 32499-2023")</f>
        <v/>
      </c>
      <c r="X512">
        <f>HYPERLINK("https://klasma.github.io/Logging_2161/tillsyn/A 32499-2023 tillsynsbegäran.docx", "A 32499-2023")</f>
        <v/>
      </c>
      <c r="Y512">
        <f>HYPERLINK("https://klasma.github.io/Logging_2161/tillsynsmail/A 32499-2023 tillsynsbegäran mail.docx", "A 32499-2023")</f>
        <v/>
      </c>
    </row>
    <row r="513" ht="15" customHeight="1">
      <c r="A513" t="inlineStr">
        <is>
          <t>A 32497-2023</t>
        </is>
      </c>
      <c r="B513" s="1" t="n">
        <v>45121</v>
      </c>
      <c r="C513" s="1" t="n">
        <v>45587</v>
      </c>
      <c r="D513" t="inlineStr">
        <is>
          <t>GÄVLEBORGS LÄN</t>
        </is>
      </c>
      <c r="E513" t="inlineStr">
        <is>
          <t>LJUSDAL</t>
        </is>
      </c>
      <c r="F513" t="inlineStr">
        <is>
          <t>Sveaskog</t>
        </is>
      </c>
      <c r="G513" t="n">
        <v>2.6</v>
      </c>
      <c r="H513" t="n">
        <v>1</v>
      </c>
      <c r="I513" t="n">
        <v>0</v>
      </c>
      <c r="J513" t="n">
        <v>0</v>
      </c>
      <c r="K513" t="n">
        <v>1</v>
      </c>
      <c r="L513" t="n">
        <v>0</v>
      </c>
      <c r="M513" t="n">
        <v>0</v>
      </c>
      <c r="N513" t="n">
        <v>0</v>
      </c>
      <c r="O513" t="n">
        <v>1</v>
      </c>
      <c r="P513" t="n">
        <v>1</v>
      </c>
      <c r="Q513" t="n">
        <v>1</v>
      </c>
      <c r="R513" s="2" t="inlineStr">
        <is>
          <t>Knärot</t>
        </is>
      </c>
      <c r="S513">
        <f>HYPERLINK("https://klasma.github.io/Logging_2161/artfynd/A 32497-2023 artfynd.xlsx", "A 32497-2023")</f>
        <v/>
      </c>
      <c r="T513">
        <f>HYPERLINK("https://klasma.github.io/Logging_2161/kartor/A 32497-2023 karta.png", "A 32497-2023")</f>
        <v/>
      </c>
      <c r="U513">
        <f>HYPERLINK("https://klasma.github.io/Logging_2161/knärot/A 32497-2023 karta knärot.png", "A 32497-2023")</f>
        <v/>
      </c>
      <c r="V513">
        <f>HYPERLINK("https://klasma.github.io/Logging_2161/klagomål/A 32497-2023 FSC-klagomål.docx", "A 32497-2023")</f>
        <v/>
      </c>
      <c r="W513">
        <f>HYPERLINK("https://klasma.github.io/Logging_2161/klagomålsmail/A 32497-2023 FSC-klagomål mail.docx", "A 32497-2023")</f>
        <v/>
      </c>
      <c r="X513">
        <f>HYPERLINK("https://klasma.github.io/Logging_2161/tillsyn/A 32497-2023 tillsynsbegäran.docx", "A 32497-2023")</f>
        <v/>
      </c>
      <c r="Y513">
        <f>HYPERLINK("https://klasma.github.io/Logging_2161/tillsynsmail/A 32497-2023 tillsynsbegäran mail.docx", "A 32497-2023")</f>
        <v/>
      </c>
    </row>
    <row r="514" ht="15" customHeight="1">
      <c r="A514" t="inlineStr">
        <is>
          <t>A 33298-2023</t>
        </is>
      </c>
      <c r="B514" s="1" t="n">
        <v>45127</v>
      </c>
      <c r="C514" s="1" t="n">
        <v>45587</v>
      </c>
      <c r="D514" t="inlineStr">
        <is>
          <t>GÄVLEBORGS LÄN</t>
        </is>
      </c>
      <c r="E514" t="inlineStr">
        <is>
          <t>HOFORS</t>
        </is>
      </c>
      <c r="F514" t="inlineStr">
        <is>
          <t>Sveaskog</t>
        </is>
      </c>
      <c r="G514" t="n">
        <v>5.6</v>
      </c>
      <c r="H514" t="n">
        <v>0</v>
      </c>
      <c r="I514" t="n">
        <v>1</v>
      </c>
      <c r="J514" t="n">
        <v>0</v>
      </c>
      <c r="K514" t="n">
        <v>0</v>
      </c>
      <c r="L514" t="n">
        <v>0</v>
      </c>
      <c r="M514" t="n">
        <v>0</v>
      </c>
      <c r="N514" t="n">
        <v>0</v>
      </c>
      <c r="O514" t="n">
        <v>0</v>
      </c>
      <c r="P514" t="n">
        <v>0</v>
      </c>
      <c r="Q514" t="n">
        <v>1</v>
      </c>
      <c r="R514" s="2" t="inlineStr">
        <is>
          <t>Vedticka</t>
        </is>
      </c>
      <c r="S514">
        <f>HYPERLINK("https://klasma.github.io/Logging_2104/artfynd/A 33298-2023 artfynd.xlsx", "A 33298-2023")</f>
        <v/>
      </c>
      <c r="T514">
        <f>HYPERLINK("https://klasma.github.io/Logging_2104/kartor/A 33298-2023 karta.png", "A 33298-2023")</f>
        <v/>
      </c>
      <c r="V514">
        <f>HYPERLINK("https://klasma.github.io/Logging_2104/klagomål/A 33298-2023 FSC-klagomål.docx", "A 33298-2023")</f>
        <v/>
      </c>
      <c r="W514">
        <f>HYPERLINK("https://klasma.github.io/Logging_2104/klagomålsmail/A 33298-2023 FSC-klagomål mail.docx", "A 33298-2023")</f>
        <v/>
      </c>
      <c r="X514">
        <f>HYPERLINK("https://klasma.github.io/Logging_2104/tillsyn/A 33298-2023 tillsynsbegäran.docx", "A 33298-2023")</f>
        <v/>
      </c>
      <c r="Y514">
        <f>HYPERLINK("https://klasma.github.io/Logging_2104/tillsynsmail/A 33298-2023 tillsynsbegäran mail.docx", "A 33298-2023")</f>
        <v/>
      </c>
    </row>
    <row r="515" ht="15" customHeight="1">
      <c r="A515" t="inlineStr">
        <is>
          <t>A 34244-2023</t>
        </is>
      </c>
      <c r="B515" s="1" t="n">
        <v>45138</v>
      </c>
      <c r="C515" s="1" t="n">
        <v>45587</v>
      </c>
      <c r="D515" t="inlineStr">
        <is>
          <t>GÄVLEBORGS LÄN</t>
        </is>
      </c>
      <c r="E515" t="inlineStr">
        <is>
          <t>HOFORS</t>
        </is>
      </c>
      <c r="F515" t="inlineStr">
        <is>
          <t>Sveaskog</t>
        </is>
      </c>
      <c r="G515" t="n">
        <v>3.3</v>
      </c>
      <c r="H515" t="n">
        <v>1</v>
      </c>
      <c r="I515" t="n">
        <v>0</v>
      </c>
      <c r="J515" t="n">
        <v>0</v>
      </c>
      <c r="K515" t="n">
        <v>0</v>
      </c>
      <c r="L515" t="n">
        <v>0</v>
      </c>
      <c r="M515" t="n">
        <v>0</v>
      </c>
      <c r="N515" t="n">
        <v>0</v>
      </c>
      <c r="O515" t="n">
        <v>0</v>
      </c>
      <c r="P515" t="n">
        <v>0</v>
      </c>
      <c r="Q515" t="n">
        <v>1</v>
      </c>
      <c r="R515" s="2" t="inlineStr">
        <is>
          <t>Fläcknycklar</t>
        </is>
      </c>
      <c r="S515">
        <f>HYPERLINK("https://klasma.github.io/Logging_2104/artfynd/A 34244-2023 artfynd.xlsx", "A 34244-2023")</f>
        <v/>
      </c>
      <c r="T515">
        <f>HYPERLINK("https://klasma.github.io/Logging_2104/kartor/A 34244-2023 karta.png", "A 34244-2023")</f>
        <v/>
      </c>
      <c r="V515">
        <f>HYPERLINK("https://klasma.github.io/Logging_2104/klagomål/A 34244-2023 FSC-klagomål.docx", "A 34244-2023")</f>
        <v/>
      </c>
      <c r="W515">
        <f>HYPERLINK("https://klasma.github.io/Logging_2104/klagomålsmail/A 34244-2023 FSC-klagomål mail.docx", "A 34244-2023")</f>
        <v/>
      </c>
      <c r="X515">
        <f>HYPERLINK("https://klasma.github.io/Logging_2104/tillsyn/A 34244-2023 tillsynsbegäran.docx", "A 34244-2023")</f>
        <v/>
      </c>
      <c r="Y515">
        <f>HYPERLINK("https://klasma.github.io/Logging_2104/tillsynsmail/A 34244-2023 tillsynsbegäran mail.docx", "A 34244-2023")</f>
        <v/>
      </c>
    </row>
    <row r="516" ht="15" customHeight="1">
      <c r="A516" t="inlineStr">
        <is>
          <t>A 35086-2023</t>
        </is>
      </c>
      <c r="B516" s="1" t="n">
        <v>45145</v>
      </c>
      <c r="C516" s="1" t="n">
        <v>45587</v>
      </c>
      <c r="D516" t="inlineStr">
        <is>
          <t>GÄVLEBORGS LÄN</t>
        </is>
      </c>
      <c r="E516" t="inlineStr">
        <is>
          <t>LJUSDAL</t>
        </is>
      </c>
      <c r="F516" t="inlineStr">
        <is>
          <t>Sveaskog</t>
        </is>
      </c>
      <c r="G516" t="n">
        <v>5</v>
      </c>
      <c r="H516" t="n">
        <v>0</v>
      </c>
      <c r="I516" t="n">
        <v>0</v>
      </c>
      <c r="J516" t="n">
        <v>1</v>
      </c>
      <c r="K516" t="n">
        <v>0</v>
      </c>
      <c r="L516" t="n">
        <v>0</v>
      </c>
      <c r="M516" t="n">
        <v>0</v>
      </c>
      <c r="N516" t="n">
        <v>0</v>
      </c>
      <c r="O516" t="n">
        <v>1</v>
      </c>
      <c r="P516" t="n">
        <v>0</v>
      </c>
      <c r="Q516" t="n">
        <v>1</v>
      </c>
      <c r="R516" s="2" t="inlineStr">
        <is>
          <t>Kolflarnlav</t>
        </is>
      </c>
      <c r="S516">
        <f>HYPERLINK("https://klasma.github.io/Logging_2161/artfynd/A 35086-2023 artfynd.xlsx", "A 35086-2023")</f>
        <v/>
      </c>
      <c r="T516">
        <f>HYPERLINK("https://klasma.github.io/Logging_2161/kartor/A 35086-2023 karta.png", "A 35086-2023")</f>
        <v/>
      </c>
      <c r="V516">
        <f>HYPERLINK("https://klasma.github.io/Logging_2161/klagomål/A 35086-2023 FSC-klagomål.docx", "A 35086-2023")</f>
        <v/>
      </c>
      <c r="W516">
        <f>HYPERLINK("https://klasma.github.io/Logging_2161/klagomålsmail/A 35086-2023 FSC-klagomål mail.docx", "A 35086-2023")</f>
        <v/>
      </c>
      <c r="X516">
        <f>HYPERLINK("https://klasma.github.io/Logging_2161/tillsyn/A 35086-2023 tillsynsbegäran.docx", "A 35086-2023")</f>
        <v/>
      </c>
      <c r="Y516">
        <f>HYPERLINK("https://klasma.github.io/Logging_2161/tillsynsmail/A 35086-2023 tillsynsbegäran mail.docx", "A 35086-2023")</f>
        <v/>
      </c>
    </row>
    <row r="517" ht="15" customHeight="1">
      <c r="A517" t="inlineStr">
        <is>
          <t>A 35080-2023</t>
        </is>
      </c>
      <c r="B517" s="1" t="n">
        <v>45145</v>
      </c>
      <c r="C517" s="1" t="n">
        <v>45587</v>
      </c>
      <c r="D517" t="inlineStr">
        <is>
          <t>GÄVLEBORGS LÄN</t>
        </is>
      </c>
      <c r="E517" t="inlineStr">
        <is>
          <t>LJUSDAL</t>
        </is>
      </c>
      <c r="F517" t="inlineStr">
        <is>
          <t>Sveaskog</t>
        </is>
      </c>
      <c r="G517" t="n">
        <v>2.9</v>
      </c>
      <c r="H517" t="n">
        <v>0</v>
      </c>
      <c r="I517" t="n">
        <v>0</v>
      </c>
      <c r="J517" t="n">
        <v>1</v>
      </c>
      <c r="K517" t="n">
        <v>0</v>
      </c>
      <c r="L517" t="n">
        <v>0</v>
      </c>
      <c r="M517" t="n">
        <v>0</v>
      </c>
      <c r="N517" t="n">
        <v>0</v>
      </c>
      <c r="O517" t="n">
        <v>1</v>
      </c>
      <c r="P517" t="n">
        <v>0</v>
      </c>
      <c r="Q517" t="n">
        <v>1</v>
      </c>
      <c r="R517" s="2" t="inlineStr">
        <is>
          <t>Vedflamlav</t>
        </is>
      </c>
      <c r="S517">
        <f>HYPERLINK("https://klasma.github.io/Logging_2161/artfynd/A 35080-2023 artfynd.xlsx", "A 35080-2023")</f>
        <v/>
      </c>
      <c r="T517">
        <f>HYPERLINK("https://klasma.github.io/Logging_2161/kartor/A 35080-2023 karta.png", "A 35080-2023")</f>
        <v/>
      </c>
      <c r="V517">
        <f>HYPERLINK("https://klasma.github.io/Logging_2161/klagomål/A 35080-2023 FSC-klagomål.docx", "A 35080-2023")</f>
        <v/>
      </c>
      <c r="W517">
        <f>HYPERLINK("https://klasma.github.io/Logging_2161/klagomålsmail/A 35080-2023 FSC-klagomål mail.docx", "A 35080-2023")</f>
        <v/>
      </c>
      <c r="X517">
        <f>HYPERLINK("https://klasma.github.io/Logging_2161/tillsyn/A 35080-2023 tillsynsbegäran.docx", "A 35080-2023")</f>
        <v/>
      </c>
      <c r="Y517">
        <f>HYPERLINK("https://klasma.github.io/Logging_2161/tillsynsmail/A 35080-2023 tillsynsbegäran mail.docx", "A 35080-2023")</f>
        <v/>
      </c>
    </row>
    <row r="518" ht="15" customHeight="1">
      <c r="A518" t="inlineStr">
        <is>
          <t>A 35614-2023</t>
        </is>
      </c>
      <c r="B518" s="1" t="n">
        <v>45147</v>
      </c>
      <c r="C518" s="1" t="n">
        <v>45587</v>
      </c>
      <c r="D518" t="inlineStr">
        <is>
          <t>GÄVLEBORGS LÄN</t>
        </is>
      </c>
      <c r="E518" t="inlineStr">
        <is>
          <t>HOFORS</t>
        </is>
      </c>
      <c r="G518" t="n">
        <v>0.9</v>
      </c>
      <c r="H518" t="n">
        <v>0</v>
      </c>
      <c r="I518" t="n">
        <v>0</v>
      </c>
      <c r="J518" t="n">
        <v>1</v>
      </c>
      <c r="K518" t="n">
        <v>0</v>
      </c>
      <c r="L518" t="n">
        <v>0</v>
      </c>
      <c r="M518" t="n">
        <v>0</v>
      </c>
      <c r="N518" t="n">
        <v>0</v>
      </c>
      <c r="O518" t="n">
        <v>1</v>
      </c>
      <c r="P518" t="n">
        <v>0</v>
      </c>
      <c r="Q518" t="n">
        <v>1</v>
      </c>
      <c r="R518" s="2" t="inlineStr">
        <is>
          <t>Slät tallkapuschongbagge</t>
        </is>
      </c>
      <c r="S518">
        <f>HYPERLINK("https://klasma.github.io/Logging_2104/artfynd/A 35614-2023 artfynd.xlsx", "A 35614-2023")</f>
        <v/>
      </c>
      <c r="T518">
        <f>HYPERLINK("https://klasma.github.io/Logging_2104/kartor/A 35614-2023 karta.png", "A 35614-2023")</f>
        <v/>
      </c>
      <c r="V518">
        <f>HYPERLINK("https://klasma.github.io/Logging_2104/klagomål/A 35614-2023 FSC-klagomål.docx", "A 35614-2023")</f>
        <v/>
      </c>
      <c r="W518">
        <f>HYPERLINK("https://klasma.github.io/Logging_2104/klagomålsmail/A 35614-2023 FSC-klagomål mail.docx", "A 35614-2023")</f>
        <v/>
      </c>
      <c r="X518">
        <f>HYPERLINK("https://klasma.github.io/Logging_2104/tillsyn/A 35614-2023 tillsynsbegäran.docx", "A 35614-2023")</f>
        <v/>
      </c>
      <c r="Y518">
        <f>HYPERLINK("https://klasma.github.io/Logging_2104/tillsynsmail/A 35614-2023 tillsynsbegäran mail.docx", "A 35614-2023")</f>
        <v/>
      </c>
    </row>
    <row r="519" ht="15" customHeight="1">
      <c r="A519" t="inlineStr">
        <is>
          <t>A 36101-2023</t>
        </is>
      </c>
      <c r="B519" s="1" t="n">
        <v>45149</v>
      </c>
      <c r="C519" s="1" t="n">
        <v>45587</v>
      </c>
      <c r="D519" t="inlineStr">
        <is>
          <t>GÄVLEBORGS LÄN</t>
        </is>
      </c>
      <c r="E519" t="inlineStr">
        <is>
          <t>LJUSDAL</t>
        </is>
      </c>
      <c r="F519" t="inlineStr">
        <is>
          <t>Sveaskog</t>
        </is>
      </c>
      <c r="G519" t="n">
        <v>1.2</v>
      </c>
      <c r="H519" t="n">
        <v>0</v>
      </c>
      <c r="I519" t="n">
        <v>0</v>
      </c>
      <c r="J519" t="n">
        <v>1</v>
      </c>
      <c r="K519" t="n">
        <v>0</v>
      </c>
      <c r="L519" t="n">
        <v>0</v>
      </c>
      <c r="M519" t="n">
        <v>0</v>
      </c>
      <c r="N519" t="n">
        <v>0</v>
      </c>
      <c r="O519" t="n">
        <v>1</v>
      </c>
      <c r="P519" t="n">
        <v>0</v>
      </c>
      <c r="Q519" t="n">
        <v>1</v>
      </c>
      <c r="R519" s="2" t="inlineStr">
        <is>
          <t>Lunglav</t>
        </is>
      </c>
      <c r="S519">
        <f>HYPERLINK("https://klasma.github.io/Logging_2161/artfynd/A 36101-2023 artfynd.xlsx", "A 36101-2023")</f>
        <v/>
      </c>
      <c r="T519">
        <f>HYPERLINK("https://klasma.github.io/Logging_2161/kartor/A 36101-2023 karta.png", "A 36101-2023")</f>
        <v/>
      </c>
      <c r="V519">
        <f>HYPERLINK("https://klasma.github.io/Logging_2161/klagomål/A 36101-2023 FSC-klagomål.docx", "A 36101-2023")</f>
        <v/>
      </c>
      <c r="W519">
        <f>HYPERLINK("https://klasma.github.io/Logging_2161/klagomålsmail/A 36101-2023 FSC-klagomål mail.docx", "A 36101-2023")</f>
        <v/>
      </c>
      <c r="X519">
        <f>HYPERLINK("https://klasma.github.io/Logging_2161/tillsyn/A 36101-2023 tillsynsbegäran.docx", "A 36101-2023")</f>
        <v/>
      </c>
      <c r="Y519">
        <f>HYPERLINK("https://klasma.github.io/Logging_2161/tillsynsmail/A 36101-2023 tillsynsbegäran mail.docx", "A 36101-2023")</f>
        <v/>
      </c>
    </row>
    <row r="520" ht="15" customHeight="1">
      <c r="A520" t="inlineStr">
        <is>
          <t>A 36184-2023</t>
        </is>
      </c>
      <c r="B520" s="1" t="n">
        <v>45149</v>
      </c>
      <c r="C520" s="1" t="n">
        <v>45587</v>
      </c>
      <c r="D520" t="inlineStr">
        <is>
          <t>GÄVLEBORGS LÄN</t>
        </is>
      </c>
      <c r="E520" t="inlineStr">
        <is>
          <t>LJUSDAL</t>
        </is>
      </c>
      <c r="F520" t="inlineStr">
        <is>
          <t>Sveaskog</t>
        </is>
      </c>
      <c r="G520" t="n">
        <v>3</v>
      </c>
      <c r="H520" t="n">
        <v>0</v>
      </c>
      <c r="I520" t="n">
        <v>0</v>
      </c>
      <c r="J520" t="n">
        <v>1</v>
      </c>
      <c r="K520" t="n">
        <v>0</v>
      </c>
      <c r="L520" t="n">
        <v>0</v>
      </c>
      <c r="M520" t="n">
        <v>0</v>
      </c>
      <c r="N520" t="n">
        <v>0</v>
      </c>
      <c r="O520" t="n">
        <v>1</v>
      </c>
      <c r="P520" t="n">
        <v>0</v>
      </c>
      <c r="Q520" t="n">
        <v>1</v>
      </c>
      <c r="R520" s="2" t="inlineStr">
        <is>
          <t>Kolflarnlav</t>
        </is>
      </c>
      <c r="S520">
        <f>HYPERLINK("https://klasma.github.io/Logging_2161/artfynd/A 36184-2023 artfynd.xlsx", "A 36184-2023")</f>
        <v/>
      </c>
      <c r="T520">
        <f>HYPERLINK("https://klasma.github.io/Logging_2161/kartor/A 36184-2023 karta.png", "A 36184-2023")</f>
        <v/>
      </c>
      <c r="V520">
        <f>HYPERLINK("https://klasma.github.io/Logging_2161/klagomål/A 36184-2023 FSC-klagomål.docx", "A 36184-2023")</f>
        <v/>
      </c>
      <c r="W520">
        <f>HYPERLINK("https://klasma.github.io/Logging_2161/klagomålsmail/A 36184-2023 FSC-klagomål mail.docx", "A 36184-2023")</f>
        <v/>
      </c>
      <c r="X520">
        <f>HYPERLINK("https://klasma.github.io/Logging_2161/tillsyn/A 36184-2023 tillsynsbegäran.docx", "A 36184-2023")</f>
        <v/>
      </c>
      <c r="Y520">
        <f>HYPERLINK("https://klasma.github.io/Logging_2161/tillsynsmail/A 36184-2023 tillsynsbegäran mail.docx", "A 36184-2023")</f>
        <v/>
      </c>
    </row>
    <row r="521" ht="15" customHeight="1">
      <c r="A521" t="inlineStr">
        <is>
          <t>A 36809-2023</t>
        </is>
      </c>
      <c r="B521" s="1" t="n">
        <v>45154</v>
      </c>
      <c r="C521" s="1" t="n">
        <v>45587</v>
      </c>
      <c r="D521" t="inlineStr">
        <is>
          <t>GÄVLEBORGS LÄN</t>
        </is>
      </c>
      <c r="E521" t="inlineStr">
        <is>
          <t>OVANÅKER</t>
        </is>
      </c>
      <c r="F521" t="inlineStr">
        <is>
          <t>Bergvik skog väst AB</t>
        </is>
      </c>
      <c r="G521" t="n">
        <v>1.7</v>
      </c>
      <c r="H521" t="n">
        <v>0</v>
      </c>
      <c r="I521" t="n">
        <v>0</v>
      </c>
      <c r="J521" t="n">
        <v>1</v>
      </c>
      <c r="K521" t="n">
        <v>0</v>
      </c>
      <c r="L521" t="n">
        <v>0</v>
      </c>
      <c r="M521" t="n">
        <v>0</v>
      </c>
      <c r="N521" t="n">
        <v>0</v>
      </c>
      <c r="O521" t="n">
        <v>1</v>
      </c>
      <c r="P521" t="n">
        <v>0</v>
      </c>
      <c r="Q521" t="n">
        <v>1</v>
      </c>
      <c r="R521" s="2" t="inlineStr">
        <is>
          <t>Garnlav</t>
        </is>
      </c>
      <c r="S521">
        <f>HYPERLINK("https://klasma.github.io/Logging_2121/artfynd/A 36809-2023 artfynd.xlsx", "A 36809-2023")</f>
        <v/>
      </c>
      <c r="T521">
        <f>HYPERLINK("https://klasma.github.io/Logging_2121/kartor/A 36809-2023 karta.png", "A 36809-2023")</f>
        <v/>
      </c>
      <c r="V521">
        <f>HYPERLINK("https://klasma.github.io/Logging_2121/klagomål/A 36809-2023 FSC-klagomål.docx", "A 36809-2023")</f>
        <v/>
      </c>
      <c r="W521">
        <f>HYPERLINK("https://klasma.github.io/Logging_2121/klagomålsmail/A 36809-2023 FSC-klagomål mail.docx", "A 36809-2023")</f>
        <v/>
      </c>
      <c r="X521">
        <f>HYPERLINK("https://klasma.github.io/Logging_2121/tillsyn/A 36809-2023 tillsynsbegäran.docx", "A 36809-2023")</f>
        <v/>
      </c>
      <c r="Y521">
        <f>HYPERLINK("https://klasma.github.io/Logging_2121/tillsynsmail/A 36809-2023 tillsynsbegäran mail.docx", "A 36809-2023")</f>
        <v/>
      </c>
    </row>
    <row r="522" ht="15" customHeight="1">
      <c r="A522" t="inlineStr">
        <is>
          <t>A 37610-2023</t>
        </is>
      </c>
      <c r="B522" s="1" t="n">
        <v>45159</v>
      </c>
      <c r="C522" s="1" t="n">
        <v>45587</v>
      </c>
      <c r="D522" t="inlineStr">
        <is>
          <t>GÄVLEBORGS LÄN</t>
        </is>
      </c>
      <c r="E522" t="inlineStr">
        <is>
          <t>LJUSDAL</t>
        </is>
      </c>
      <c r="F522" t="inlineStr">
        <is>
          <t>Sveaskog</t>
        </is>
      </c>
      <c r="G522" t="n">
        <v>1.2</v>
      </c>
      <c r="H522" t="n">
        <v>0</v>
      </c>
      <c r="I522" t="n">
        <v>0</v>
      </c>
      <c r="J522" t="n">
        <v>1</v>
      </c>
      <c r="K522" t="n">
        <v>0</v>
      </c>
      <c r="L522" t="n">
        <v>0</v>
      </c>
      <c r="M522" t="n">
        <v>0</v>
      </c>
      <c r="N522" t="n">
        <v>0</v>
      </c>
      <c r="O522" t="n">
        <v>1</v>
      </c>
      <c r="P522" t="n">
        <v>0</v>
      </c>
      <c r="Q522" t="n">
        <v>1</v>
      </c>
      <c r="R522" s="2" t="inlineStr">
        <is>
          <t>Kolflarnlav</t>
        </is>
      </c>
      <c r="S522">
        <f>HYPERLINK("https://klasma.github.io/Logging_2161/artfynd/A 37610-2023 artfynd.xlsx", "A 37610-2023")</f>
        <v/>
      </c>
      <c r="T522">
        <f>HYPERLINK("https://klasma.github.io/Logging_2161/kartor/A 37610-2023 karta.png", "A 37610-2023")</f>
        <v/>
      </c>
      <c r="V522">
        <f>HYPERLINK("https://klasma.github.io/Logging_2161/klagomål/A 37610-2023 FSC-klagomål.docx", "A 37610-2023")</f>
        <v/>
      </c>
      <c r="W522">
        <f>HYPERLINK("https://klasma.github.io/Logging_2161/klagomålsmail/A 37610-2023 FSC-klagomål mail.docx", "A 37610-2023")</f>
        <v/>
      </c>
      <c r="X522">
        <f>HYPERLINK("https://klasma.github.io/Logging_2161/tillsyn/A 37610-2023 tillsynsbegäran.docx", "A 37610-2023")</f>
        <v/>
      </c>
      <c r="Y522">
        <f>HYPERLINK("https://klasma.github.io/Logging_2161/tillsynsmail/A 37610-2023 tillsynsbegäran mail.docx", "A 37610-2023")</f>
        <v/>
      </c>
    </row>
    <row r="523" ht="15" customHeight="1">
      <c r="A523" t="inlineStr">
        <is>
          <t>A 37660-2023</t>
        </is>
      </c>
      <c r="B523" s="1" t="n">
        <v>45159</v>
      </c>
      <c r="C523" s="1" t="n">
        <v>45587</v>
      </c>
      <c r="D523" t="inlineStr">
        <is>
          <t>GÄVLEBORGS LÄN</t>
        </is>
      </c>
      <c r="E523" t="inlineStr">
        <is>
          <t>LJUSDAL</t>
        </is>
      </c>
      <c r="F523" t="inlineStr">
        <is>
          <t>Sveaskog</t>
        </is>
      </c>
      <c r="G523" t="n">
        <v>8.300000000000001</v>
      </c>
      <c r="H523" t="n">
        <v>0</v>
      </c>
      <c r="I523" t="n">
        <v>0</v>
      </c>
      <c r="J523" t="n">
        <v>1</v>
      </c>
      <c r="K523" t="n">
        <v>0</v>
      </c>
      <c r="L523" t="n">
        <v>0</v>
      </c>
      <c r="M523" t="n">
        <v>0</v>
      </c>
      <c r="N523" t="n">
        <v>0</v>
      </c>
      <c r="O523" t="n">
        <v>1</v>
      </c>
      <c r="P523" t="n">
        <v>0</v>
      </c>
      <c r="Q523" t="n">
        <v>1</v>
      </c>
      <c r="R523" s="2" t="inlineStr">
        <is>
          <t>Lunglav</t>
        </is>
      </c>
      <c r="S523">
        <f>HYPERLINK("https://klasma.github.io/Logging_2161/artfynd/A 37660-2023 artfynd.xlsx", "A 37660-2023")</f>
        <v/>
      </c>
      <c r="T523">
        <f>HYPERLINK("https://klasma.github.io/Logging_2161/kartor/A 37660-2023 karta.png", "A 37660-2023")</f>
        <v/>
      </c>
      <c r="V523">
        <f>HYPERLINK("https://klasma.github.io/Logging_2161/klagomål/A 37660-2023 FSC-klagomål.docx", "A 37660-2023")</f>
        <v/>
      </c>
      <c r="W523">
        <f>HYPERLINK("https://klasma.github.io/Logging_2161/klagomålsmail/A 37660-2023 FSC-klagomål mail.docx", "A 37660-2023")</f>
        <v/>
      </c>
      <c r="X523">
        <f>HYPERLINK("https://klasma.github.io/Logging_2161/tillsyn/A 37660-2023 tillsynsbegäran.docx", "A 37660-2023")</f>
        <v/>
      </c>
      <c r="Y523">
        <f>HYPERLINK("https://klasma.github.io/Logging_2161/tillsynsmail/A 37660-2023 tillsynsbegäran mail.docx", "A 37660-2023")</f>
        <v/>
      </c>
    </row>
    <row r="524" ht="15" customHeight="1">
      <c r="A524" t="inlineStr">
        <is>
          <t>A 38400-2023</t>
        </is>
      </c>
      <c r="B524" s="1" t="n">
        <v>45162</v>
      </c>
      <c r="C524" s="1" t="n">
        <v>45587</v>
      </c>
      <c r="D524" t="inlineStr">
        <is>
          <t>GÄVLEBORGS LÄN</t>
        </is>
      </c>
      <c r="E524" t="inlineStr">
        <is>
          <t>LJUSDAL</t>
        </is>
      </c>
      <c r="G524" t="n">
        <v>7</v>
      </c>
      <c r="H524" t="n">
        <v>1</v>
      </c>
      <c r="I524" t="n">
        <v>0</v>
      </c>
      <c r="J524" t="n">
        <v>0</v>
      </c>
      <c r="K524" t="n">
        <v>1</v>
      </c>
      <c r="L524" t="n">
        <v>0</v>
      </c>
      <c r="M524" t="n">
        <v>0</v>
      </c>
      <c r="N524" t="n">
        <v>0</v>
      </c>
      <c r="O524" t="n">
        <v>1</v>
      </c>
      <c r="P524" t="n">
        <v>1</v>
      </c>
      <c r="Q524" t="n">
        <v>1</v>
      </c>
      <c r="R524" s="2" t="inlineStr">
        <is>
          <t>Knärot</t>
        </is>
      </c>
      <c r="S524">
        <f>HYPERLINK("https://klasma.github.io/Logging_2161/artfynd/A 38400-2023 artfynd.xlsx", "A 38400-2023")</f>
        <v/>
      </c>
      <c r="T524">
        <f>HYPERLINK("https://klasma.github.io/Logging_2161/kartor/A 38400-2023 karta.png", "A 38400-2023")</f>
        <v/>
      </c>
      <c r="U524">
        <f>HYPERLINK("https://klasma.github.io/Logging_2161/knärot/A 38400-2023 karta knärot.png", "A 38400-2023")</f>
        <v/>
      </c>
      <c r="V524">
        <f>HYPERLINK("https://klasma.github.io/Logging_2161/klagomål/A 38400-2023 FSC-klagomål.docx", "A 38400-2023")</f>
        <v/>
      </c>
      <c r="W524">
        <f>HYPERLINK("https://klasma.github.io/Logging_2161/klagomålsmail/A 38400-2023 FSC-klagomål mail.docx", "A 38400-2023")</f>
        <v/>
      </c>
      <c r="X524">
        <f>HYPERLINK("https://klasma.github.io/Logging_2161/tillsyn/A 38400-2023 tillsynsbegäran.docx", "A 38400-2023")</f>
        <v/>
      </c>
      <c r="Y524">
        <f>HYPERLINK("https://klasma.github.io/Logging_2161/tillsynsmail/A 38400-2023 tillsynsbegäran mail.docx", "A 38400-2023")</f>
        <v/>
      </c>
    </row>
    <row r="525" ht="15" customHeight="1">
      <c r="A525" t="inlineStr">
        <is>
          <t>A 39001-2023</t>
        </is>
      </c>
      <c r="B525" s="1" t="n">
        <v>45163</v>
      </c>
      <c r="C525" s="1" t="n">
        <v>45587</v>
      </c>
      <c r="D525" t="inlineStr">
        <is>
          <t>GÄVLEBORGS LÄN</t>
        </is>
      </c>
      <c r="E525" t="inlineStr">
        <is>
          <t>HOFORS</t>
        </is>
      </c>
      <c r="F525" t="inlineStr">
        <is>
          <t>Sveaskog</t>
        </is>
      </c>
      <c r="G525" t="n">
        <v>2.1</v>
      </c>
      <c r="H525" t="n">
        <v>1</v>
      </c>
      <c r="I525" t="n">
        <v>0</v>
      </c>
      <c r="J525" t="n">
        <v>0</v>
      </c>
      <c r="K525" t="n">
        <v>0</v>
      </c>
      <c r="L525" t="n">
        <v>0</v>
      </c>
      <c r="M525" t="n">
        <v>0</v>
      </c>
      <c r="N525" t="n">
        <v>0</v>
      </c>
      <c r="O525" t="n">
        <v>0</v>
      </c>
      <c r="P525" t="n">
        <v>0</v>
      </c>
      <c r="Q525" t="n">
        <v>1</v>
      </c>
      <c r="R525" s="2" t="inlineStr">
        <is>
          <t>Revlummer</t>
        </is>
      </c>
      <c r="S525">
        <f>HYPERLINK("https://klasma.github.io/Logging_2104/artfynd/A 39001-2023 artfynd.xlsx", "A 39001-2023")</f>
        <v/>
      </c>
      <c r="T525">
        <f>HYPERLINK("https://klasma.github.io/Logging_2104/kartor/A 39001-2023 karta.png", "A 39001-2023")</f>
        <v/>
      </c>
      <c r="V525">
        <f>HYPERLINK("https://klasma.github.io/Logging_2104/klagomål/A 39001-2023 FSC-klagomål.docx", "A 39001-2023")</f>
        <v/>
      </c>
      <c r="W525">
        <f>HYPERLINK("https://klasma.github.io/Logging_2104/klagomålsmail/A 39001-2023 FSC-klagomål mail.docx", "A 39001-2023")</f>
        <v/>
      </c>
      <c r="X525">
        <f>HYPERLINK("https://klasma.github.io/Logging_2104/tillsyn/A 39001-2023 tillsynsbegäran.docx", "A 39001-2023")</f>
        <v/>
      </c>
      <c r="Y525">
        <f>HYPERLINK("https://klasma.github.io/Logging_2104/tillsynsmail/A 39001-2023 tillsynsbegäran mail.docx", "A 39001-2023")</f>
        <v/>
      </c>
    </row>
    <row r="526" ht="15" customHeight="1">
      <c r="A526" t="inlineStr">
        <is>
          <t>A 40943-2023</t>
        </is>
      </c>
      <c r="B526" s="1" t="n">
        <v>45173</v>
      </c>
      <c r="C526" s="1" t="n">
        <v>45587</v>
      </c>
      <c r="D526" t="inlineStr">
        <is>
          <t>GÄVLEBORGS LÄN</t>
        </is>
      </c>
      <c r="E526" t="inlineStr">
        <is>
          <t>LJUSDAL</t>
        </is>
      </c>
      <c r="G526" t="n">
        <v>5.8</v>
      </c>
      <c r="H526" t="n">
        <v>0</v>
      </c>
      <c r="I526" t="n">
        <v>0</v>
      </c>
      <c r="J526" t="n">
        <v>1</v>
      </c>
      <c r="K526" t="n">
        <v>0</v>
      </c>
      <c r="L526" t="n">
        <v>0</v>
      </c>
      <c r="M526" t="n">
        <v>0</v>
      </c>
      <c r="N526" t="n">
        <v>0</v>
      </c>
      <c r="O526" t="n">
        <v>1</v>
      </c>
      <c r="P526" t="n">
        <v>0</v>
      </c>
      <c r="Q526" t="n">
        <v>1</v>
      </c>
      <c r="R526" s="2" t="inlineStr">
        <is>
          <t>Mörk kolflarnlav</t>
        </is>
      </c>
      <c r="S526">
        <f>HYPERLINK("https://klasma.github.io/Logging_2161/artfynd/A 40943-2023 artfynd.xlsx", "A 40943-2023")</f>
        <v/>
      </c>
      <c r="T526">
        <f>HYPERLINK("https://klasma.github.io/Logging_2161/kartor/A 40943-2023 karta.png", "A 40943-2023")</f>
        <v/>
      </c>
      <c r="V526">
        <f>HYPERLINK("https://klasma.github.io/Logging_2161/klagomål/A 40943-2023 FSC-klagomål.docx", "A 40943-2023")</f>
        <v/>
      </c>
      <c r="W526">
        <f>HYPERLINK("https://klasma.github.io/Logging_2161/klagomålsmail/A 40943-2023 FSC-klagomål mail.docx", "A 40943-2023")</f>
        <v/>
      </c>
      <c r="X526">
        <f>HYPERLINK("https://klasma.github.io/Logging_2161/tillsyn/A 40943-2023 tillsynsbegäran.docx", "A 40943-2023")</f>
        <v/>
      </c>
      <c r="Y526">
        <f>HYPERLINK("https://klasma.github.io/Logging_2161/tillsynsmail/A 40943-2023 tillsynsbegäran mail.docx", "A 40943-2023")</f>
        <v/>
      </c>
    </row>
    <row r="527" ht="15" customHeight="1">
      <c r="A527" t="inlineStr">
        <is>
          <t>A 42115-2023</t>
        </is>
      </c>
      <c r="B527" s="1" t="n">
        <v>45177</v>
      </c>
      <c r="C527" s="1" t="n">
        <v>45587</v>
      </c>
      <c r="D527" t="inlineStr">
        <is>
          <t>GÄVLEBORGS LÄN</t>
        </is>
      </c>
      <c r="E527" t="inlineStr">
        <is>
          <t>SANDVIKEN</t>
        </is>
      </c>
      <c r="F527" t="inlineStr">
        <is>
          <t>Sveaskog</t>
        </is>
      </c>
      <c r="G527" t="n">
        <v>2.4</v>
      </c>
      <c r="H527" t="n">
        <v>1</v>
      </c>
      <c r="I527" t="n">
        <v>0</v>
      </c>
      <c r="J527" t="n">
        <v>1</v>
      </c>
      <c r="K527" t="n">
        <v>0</v>
      </c>
      <c r="L527" t="n">
        <v>0</v>
      </c>
      <c r="M527" t="n">
        <v>0</v>
      </c>
      <c r="N527" t="n">
        <v>0</v>
      </c>
      <c r="O527" t="n">
        <v>1</v>
      </c>
      <c r="P527" t="n">
        <v>0</v>
      </c>
      <c r="Q527" t="n">
        <v>1</v>
      </c>
      <c r="R527" s="2" t="inlineStr">
        <is>
          <t>Talltita</t>
        </is>
      </c>
      <c r="S527">
        <f>HYPERLINK("https://klasma.github.io/Logging_2181/artfynd/A 42115-2023 artfynd.xlsx", "A 42115-2023")</f>
        <v/>
      </c>
      <c r="T527">
        <f>HYPERLINK("https://klasma.github.io/Logging_2181/kartor/A 42115-2023 karta.png", "A 42115-2023")</f>
        <v/>
      </c>
      <c r="V527">
        <f>HYPERLINK("https://klasma.github.io/Logging_2181/klagomål/A 42115-2023 FSC-klagomål.docx", "A 42115-2023")</f>
        <v/>
      </c>
      <c r="W527">
        <f>HYPERLINK("https://klasma.github.io/Logging_2181/klagomålsmail/A 42115-2023 FSC-klagomål mail.docx", "A 42115-2023")</f>
        <v/>
      </c>
      <c r="X527">
        <f>HYPERLINK("https://klasma.github.io/Logging_2181/tillsyn/A 42115-2023 tillsynsbegäran.docx", "A 42115-2023")</f>
        <v/>
      </c>
      <c r="Y527">
        <f>HYPERLINK("https://klasma.github.io/Logging_2181/tillsynsmail/A 42115-2023 tillsynsbegäran mail.docx", "A 42115-2023")</f>
        <v/>
      </c>
      <c r="Z527">
        <f>HYPERLINK("https://klasma.github.io/Logging_2181/fåglar/A 42115-2023 prioriterade fågelarter.docx", "A 42115-2023")</f>
        <v/>
      </c>
    </row>
    <row r="528" ht="15" customHeight="1">
      <c r="A528" t="inlineStr">
        <is>
          <t>A 44032-2023</t>
        </is>
      </c>
      <c r="B528" s="1" t="n">
        <v>45188</v>
      </c>
      <c r="C528" s="1" t="n">
        <v>45587</v>
      </c>
      <c r="D528" t="inlineStr">
        <is>
          <t>GÄVLEBORGS LÄN</t>
        </is>
      </c>
      <c r="E528" t="inlineStr">
        <is>
          <t>NORDANSTIG</t>
        </is>
      </c>
      <c r="F528" t="inlineStr">
        <is>
          <t>Holmen skog AB</t>
        </is>
      </c>
      <c r="G528" t="n">
        <v>5.3</v>
      </c>
      <c r="H528" t="n">
        <v>1</v>
      </c>
      <c r="I528" t="n">
        <v>0</v>
      </c>
      <c r="J528" t="n">
        <v>0</v>
      </c>
      <c r="K528" t="n">
        <v>0</v>
      </c>
      <c r="L528" t="n">
        <v>0</v>
      </c>
      <c r="M528" t="n">
        <v>0</v>
      </c>
      <c r="N528" t="n">
        <v>0</v>
      </c>
      <c r="O528" t="n">
        <v>0</v>
      </c>
      <c r="P528" t="n">
        <v>0</v>
      </c>
      <c r="Q528" t="n">
        <v>1</v>
      </c>
      <c r="R528" s="2" t="inlineStr">
        <is>
          <t>Revlummer</t>
        </is>
      </c>
      <c r="S528">
        <f>HYPERLINK("https://klasma.github.io/Logging_2132/artfynd/A 44032-2023 artfynd.xlsx", "A 44032-2023")</f>
        <v/>
      </c>
      <c r="T528">
        <f>HYPERLINK("https://klasma.github.io/Logging_2132/kartor/A 44032-2023 karta.png", "A 44032-2023")</f>
        <v/>
      </c>
      <c r="V528">
        <f>HYPERLINK("https://klasma.github.io/Logging_2132/klagomål/A 44032-2023 FSC-klagomål.docx", "A 44032-2023")</f>
        <v/>
      </c>
      <c r="W528">
        <f>HYPERLINK("https://klasma.github.io/Logging_2132/klagomålsmail/A 44032-2023 FSC-klagomål mail.docx", "A 44032-2023")</f>
        <v/>
      </c>
      <c r="X528">
        <f>HYPERLINK("https://klasma.github.io/Logging_2132/tillsyn/A 44032-2023 tillsynsbegäran.docx", "A 44032-2023")</f>
        <v/>
      </c>
      <c r="Y528">
        <f>HYPERLINK("https://klasma.github.io/Logging_2132/tillsynsmail/A 44032-2023 tillsynsbegäran mail.docx", "A 44032-2023")</f>
        <v/>
      </c>
    </row>
    <row r="529" ht="15" customHeight="1">
      <c r="A529" t="inlineStr">
        <is>
          <t>A 45204-2023</t>
        </is>
      </c>
      <c r="B529" s="1" t="n">
        <v>45191</v>
      </c>
      <c r="C529" s="1" t="n">
        <v>45587</v>
      </c>
      <c r="D529" t="inlineStr">
        <is>
          <t>GÄVLEBORGS LÄN</t>
        </is>
      </c>
      <c r="E529" t="inlineStr">
        <is>
          <t>LJUSDAL</t>
        </is>
      </c>
      <c r="F529" t="inlineStr">
        <is>
          <t>Sveaskog</t>
        </is>
      </c>
      <c r="G529" t="n">
        <v>5.1</v>
      </c>
      <c r="H529" t="n">
        <v>0</v>
      </c>
      <c r="I529" t="n">
        <v>0</v>
      </c>
      <c r="J529" t="n">
        <v>1</v>
      </c>
      <c r="K529" t="n">
        <v>0</v>
      </c>
      <c r="L529" t="n">
        <v>0</v>
      </c>
      <c r="M529" t="n">
        <v>0</v>
      </c>
      <c r="N529" t="n">
        <v>0</v>
      </c>
      <c r="O529" t="n">
        <v>1</v>
      </c>
      <c r="P529" t="n">
        <v>0</v>
      </c>
      <c r="Q529" t="n">
        <v>1</v>
      </c>
      <c r="R529" s="2" t="inlineStr">
        <is>
          <t>Lunglav</t>
        </is>
      </c>
      <c r="S529">
        <f>HYPERLINK("https://klasma.github.io/Logging_2161/artfynd/A 45204-2023 artfynd.xlsx", "A 45204-2023")</f>
        <v/>
      </c>
      <c r="T529">
        <f>HYPERLINK("https://klasma.github.io/Logging_2161/kartor/A 45204-2023 karta.png", "A 45204-2023")</f>
        <v/>
      </c>
      <c r="V529">
        <f>HYPERLINK("https://klasma.github.io/Logging_2161/klagomål/A 45204-2023 FSC-klagomål.docx", "A 45204-2023")</f>
        <v/>
      </c>
      <c r="W529">
        <f>HYPERLINK("https://klasma.github.io/Logging_2161/klagomålsmail/A 45204-2023 FSC-klagomål mail.docx", "A 45204-2023")</f>
        <v/>
      </c>
      <c r="X529">
        <f>HYPERLINK("https://klasma.github.io/Logging_2161/tillsyn/A 45204-2023 tillsynsbegäran.docx", "A 45204-2023")</f>
        <v/>
      </c>
      <c r="Y529">
        <f>HYPERLINK("https://klasma.github.io/Logging_2161/tillsynsmail/A 45204-2023 tillsynsbegäran mail.docx", "A 45204-2023")</f>
        <v/>
      </c>
    </row>
    <row r="530" ht="15" customHeight="1">
      <c r="A530" t="inlineStr">
        <is>
          <t>A 45427-2023</t>
        </is>
      </c>
      <c r="B530" s="1" t="n">
        <v>45194</v>
      </c>
      <c r="C530" s="1" t="n">
        <v>45587</v>
      </c>
      <c r="D530" t="inlineStr">
        <is>
          <t>GÄVLEBORGS LÄN</t>
        </is>
      </c>
      <c r="E530" t="inlineStr">
        <is>
          <t>SANDVIKEN</t>
        </is>
      </c>
      <c r="F530" t="inlineStr">
        <is>
          <t>Bergvik skog öst AB</t>
        </is>
      </c>
      <c r="G530" t="n">
        <v>3.5</v>
      </c>
      <c r="H530" t="n">
        <v>1</v>
      </c>
      <c r="I530" t="n">
        <v>0</v>
      </c>
      <c r="J530" t="n">
        <v>0</v>
      </c>
      <c r="K530" t="n">
        <v>0</v>
      </c>
      <c r="L530" t="n">
        <v>0</v>
      </c>
      <c r="M530" t="n">
        <v>0</v>
      </c>
      <c r="N530" t="n">
        <v>0</v>
      </c>
      <c r="O530" t="n">
        <v>0</v>
      </c>
      <c r="P530" t="n">
        <v>0</v>
      </c>
      <c r="Q530" t="n">
        <v>1</v>
      </c>
      <c r="R530" s="2" t="inlineStr">
        <is>
          <t>Mattlummer</t>
        </is>
      </c>
      <c r="S530">
        <f>HYPERLINK("https://klasma.github.io/Logging_2181/artfynd/A 45427-2023 artfynd.xlsx", "A 45427-2023")</f>
        <v/>
      </c>
      <c r="T530">
        <f>HYPERLINK("https://klasma.github.io/Logging_2181/kartor/A 45427-2023 karta.png", "A 45427-2023")</f>
        <v/>
      </c>
      <c r="V530">
        <f>HYPERLINK("https://klasma.github.io/Logging_2181/klagomål/A 45427-2023 FSC-klagomål.docx", "A 45427-2023")</f>
        <v/>
      </c>
      <c r="W530">
        <f>HYPERLINK("https://klasma.github.io/Logging_2181/klagomålsmail/A 45427-2023 FSC-klagomål mail.docx", "A 45427-2023")</f>
        <v/>
      </c>
      <c r="X530">
        <f>HYPERLINK("https://klasma.github.io/Logging_2181/tillsyn/A 45427-2023 tillsynsbegäran.docx", "A 45427-2023")</f>
        <v/>
      </c>
      <c r="Y530">
        <f>HYPERLINK("https://klasma.github.io/Logging_2181/tillsynsmail/A 45427-2023 tillsynsbegäran mail.docx", "A 45427-2023")</f>
        <v/>
      </c>
    </row>
    <row r="531" ht="15" customHeight="1">
      <c r="A531" t="inlineStr">
        <is>
          <t>A 46903-2023</t>
        </is>
      </c>
      <c r="B531" s="1" t="n">
        <v>45201</v>
      </c>
      <c r="C531" s="1" t="n">
        <v>45587</v>
      </c>
      <c r="D531" t="inlineStr">
        <is>
          <t>GÄVLEBORGS LÄN</t>
        </is>
      </c>
      <c r="E531" t="inlineStr">
        <is>
          <t>HUDIKSVALL</t>
        </is>
      </c>
      <c r="G531" t="n">
        <v>4.9</v>
      </c>
      <c r="H531" t="n">
        <v>1</v>
      </c>
      <c r="I531" t="n">
        <v>0</v>
      </c>
      <c r="J531" t="n">
        <v>0</v>
      </c>
      <c r="K531" t="n">
        <v>1</v>
      </c>
      <c r="L531" t="n">
        <v>0</v>
      </c>
      <c r="M531" t="n">
        <v>0</v>
      </c>
      <c r="N531" t="n">
        <v>0</v>
      </c>
      <c r="O531" t="n">
        <v>1</v>
      </c>
      <c r="P531" t="n">
        <v>1</v>
      </c>
      <c r="Q531" t="n">
        <v>1</v>
      </c>
      <c r="R531" s="2" t="inlineStr">
        <is>
          <t>Knärot</t>
        </is>
      </c>
      <c r="S531">
        <f>HYPERLINK("https://klasma.github.io/Logging_2184/artfynd/A 46903-2023 artfynd.xlsx", "A 46903-2023")</f>
        <v/>
      </c>
      <c r="T531">
        <f>HYPERLINK("https://klasma.github.io/Logging_2184/kartor/A 46903-2023 karta.png", "A 46903-2023")</f>
        <v/>
      </c>
      <c r="U531">
        <f>HYPERLINK("https://klasma.github.io/Logging_2184/knärot/A 46903-2023 karta knärot.png", "A 46903-2023")</f>
        <v/>
      </c>
      <c r="V531">
        <f>HYPERLINK("https://klasma.github.io/Logging_2184/klagomål/A 46903-2023 FSC-klagomål.docx", "A 46903-2023")</f>
        <v/>
      </c>
      <c r="W531">
        <f>HYPERLINK("https://klasma.github.io/Logging_2184/klagomålsmail/A 46903-2023 FSC-klagomål mail.docx", "A 46903-2023")</f>
        <v/>
      </c>
      <c r="X531">
        <f>HYPERLINK("https://klasma.github.io/Logging_2184/tillsyn/A 46903-2023 tillsynsbegäran.docx", "A 46903-2023")</f>
        <v/>
      </c>
      <c r="Y531">
        <f>HYPERLINK("https://klasma.github.io/Logging_2184/tillsynsmail/A 46903-2023 tillsynsbegäran mail.docx", "A 46903-2023")</f>
        <v/>
      </c>
    </row>
    <row r="532" ht="15" customHeight="1">
      <c r="A532" t="inlineStr">
        <is>
          <t>A 47459-2023</t>
        </is>
      </c>
      <c r="B532" s="1" t="n">
        <v>45202</v>
      </c>
      <c r="C532" s="1" t="n">
        <v>45587</v>
      </c>
      <c r="D532" t="inlineStr">
        <is>
          <t>GÄVLEBORGS LÄN</t>
        </is>
      </c>
      <c r="E532" t="inlineStr">
        <is>
          <t>HOFORS</t>
        </is>
      </c>
      <c r="G532" t="n">
        <v>6</v>
      </c>
      <c r="H532" t="n">
        <v>0</v>
      </c>
      <c r="I532" t="n">
        <v>1</v>
      </c>
      <c r="J532" t="n">
        <v>0</v>
      </c>
      <c r="K532" t="n">
        <v>0</v>
      </c>
      <c r="L532" t="n">
        <v>0</v>
      </c>
      <c r="M532" t="n">
        <v>0</v>
      </c>
      <c r="N532" t="n">
        <v>0</v>
      </c>
      <c r="O532" t="n">
        <v>0</v>
      </c>
      <c r="P532" t="n">
        <v>0</v>
      </c>
      <c r="Q532" t="n">
        <v>1</v>
      </c>
      <c r="R532" s="2" t="inlineStr">
        <is>
          <t>Grönpyrola</t>
        </is>
      </c>
      <c r="S532">
        <f>HYPERLINK("https://klasma.github.io/Logging_2104/artfynd/A 47459-2023 artfynd.xlsx", "A 47459-2023")</f>
        <v/>
      </c>
      <c r="T532">
        <f>HYPERLINK("https://klasma.github.io/Logging_2104/kartor/A 47459-2023 karta.png", "A 47459-2023")</f>
        <v/>
      </c>
      <c r="V532">
        <f>HYPERLINK("https://klasma.github.io/Logging_2104/klagomål/A 47459-2023 FSC-klagomål.docx", "A 47459-2023")</f>
        <v/>
      </c>
      <c r="W532">
        <f>HYPERLINK("https://klasma.github.io/Logging_2104/klagomålsmail/A 47459-2023 FSC-klagomål mail.docx", "A 47459-2023")</f>
        <v/>
      </c>
      <c r="X532">
        <f>HYPERLINK("https://klasma.github.io/Logging_2104/tillsyn/A 47459-2023 tillsynsbegäran.docx", "A 47459-2023")</f>
        <v/>
      </c>
      <c r="Y532">
        <f>HYPERLINK("https://klasma.github.io/Logging_2104/tillsynsmail/A 47459-2023 tillsynsbegäran mail.docx", "A 47459-2023")</f>
        <v/>
      </c>
    </row>
    <row r="533" ht="15" customHeight="1">
      <c r="A533" t="inlineStr">
        <is>
          <t>A 47717-2023</t>
        </is>
      </c>
      <c r="B533" s="1" t="n">
        <v>45203</v>
      </c>
      <c r="C533" s="1" t="n">
        <v>45587</v>
      </c>
      <c r="D533" t="inlineStr">
        <is>
          <t>GÄVLEBORGS LÄN</t>
        </is>
      </c>
      <c r="E533" t="inlineStr">
        <is>
          <t>LJUSDAL</t>
        </is>
      </c>
      <c r="F533" t="inlineStr">
        <is>
          <t>Sveaskog</t>
        </is>
      </c>
      <c r="G533" t="n">
        <v>3.8</v>
      </c>
      <c r="H533" t="n">
        <v>0</v>
      </c>
      <c r="I533" t="n">
        <v>0</v>
      </c>
      <c r="J533" t="n">
        <v>1</v>
      </c>
      <c r="K533" t="n">
        <v>0</v>
      </c>
      <c r="L533" t="n">
        <v>0</v>
      </c>
      <c r="M533" t="n">
        <v>0</v>
      </c>
      <c r="N533" t="n">
        <v>0</v>
      </c>
      <c r="O533" t="n">
        <v>1</v>
      </c>
      <c r="P533" t="n">
        <v>0</v>
      </c>
      <c r="Q533" t="n">
        <v>1</v>
      </c>
      <c r="R533" s="2" t="inlineStr">
        <is>
          <t>Lunglav</t>
        </is>
      </c>
      <c r="S533">
        <f>HYPERLINK("https://klasma.github.io/Logging_2161/artfynd/A 47717-2023 artfynd.xlsx", "A 47717-2023")</f>
        <v/>
      </c>
      <c r="T533">
        <f>HYPERLINK("https://klasma.github.io/Logging_2161/kartor/A 47717-2023 karta.png", "A 47717-2023")</f>
        <v/>
      </c>
      <c r="V533">
        <f>HYPERLINK("https://klasma.github.io/Logging_2161/klagomål/A 47717-2023 FSC-klagomål.docx", "A 47717-2023")</f>
        <v/>
      </c>
      <c r="W533">
        <f>HYPERLINK("https://klasma.github.io/Logging_2161/klagomålsmail/A 47717-2023 FSC-klagomål mail.docx", "A 47717-2023")</f>
        <v/>
      </c>
      <c r="X533">
        <f>HYPERLINK("https://klasma.github.io/Logging_2161/tillsyn/A 47717-2023 tillsynsbegäran.docx", "A 47717-2023")</f>
        <v/>
      </c>
      <c r="Y533">
        <f>HYPERLINK("https://klasma.github.io/Logging_2161/tillsynsmail/A 47717-2023 tillsynsbegäran mail.docx", "A 47717-2023")</f>
        <v/>
      </c>
    </row>
    <row r="534" ht="15" customHeight="1">
      <c r="A534" t="inlineStr">
        <is>
          <t>A 49122-2023</t>
        </is>
      </c>
      <c r="B534" s="1" t="n">
        <v>45205</v>
      </c>
      <c r="C534" s="1" t="n">
        <v>45587</v>
      </c>
      <c r="D534" t="inlineStr">
        <is>
          <t>GÄVLEBORGS LÄN</t>
        </is>
      </c>
      <c r="E534" t="inlineStr">
        <is>
          <t>SÖDERHAMN</t>
        </is>
      </c>
      <c r="G534" t="n">
        <v>5</v>
      </c>
      <c r="H534" t="n">
        <v>0</v>
      </c>
      <c r="I534" t="n">
        <v>0</v>
      </c>
      <c r="J534" t="n">
        <v>1</v>
      </c>
      <c r="K534" t="n">
        <v>0</v>
      </c>
      <c r="L534" t="n">
        <v>0</v>
      </c>
      <c r="M534" t="n">
        <v>0</v>
      </c>
      <c r="N534" t="n">
        <v>0</v>
      </c>
      <c r="O534" t="n">
        <v>1</v>
      </c>
      <c r="P534" t="n">
        <v>0</v>
      </c>
      <c r="Q534" t="n">
        <v>1</v>
      </c>
      <c r="R534" s="2" t="inlineStr">
        <is>
          <t>Dofttaggsvamp</t>
        </is>
      </c>
      <c r="S534">
        <f>HYPERLINK("https://klasma.github.io/Logging_2182/artfynd/A 49122-2023 artfynd.xlsx", "A 49122-2023")</f>
        <v/>
      </c>
      <c r="T534">
        <f>HYPERLINK("https://klasma.github.io/Logging_2182/kartor/A 49122-2023 karta.png", "A 49122-2023")</f>
        <v/>
      </c>
      <c r="V534">
        <f>HYPERLINK("https://klasma.github.io/Logging_2182/klagomål/A 49122-2023 FSC-klagomål.docx", "A 49122-2023")</f>
        <v/>
      </c>
      <c r="W534">
        <f>HYPERLINK("https://klasma.github.io/Logging_2182/klagomålsmail/A 49122-2023 FSC-klagomål mail.docx", "A 49122-2023")</f>
        <v/>
      </c>
      <c r="X534">
        <f>HYPERLINK("https://klasma.github.io/Logging_2182/tillsyn/A 49122-2023 tillsynsbegäran.docx", "A 49122-2023")</f>
        <v/>
      </c>
      <c r="Y534">
        <f>HYPERLINK("https://klasma.github.io/Logging_2182/tillsynsmail/A 49122-2023 tillsynsbegäran mail.docx", "A 49122-2023")</f>
        <v/>
      </c>
    </row>
    <row r="535" ht="15" customHeight="1">
      <c r="A535" t="inlineStr">
        <is>
          <t>A 48983-2023</t>
        </is>
      </c>
      <c r="B535" s="1" t="n">
        <v>45209</v>
      </c>
      <c r="C535" s="1" t="n">
        <v>45587</v>
      </c>
      <c r="D535" t="inlineStr">
        <is>
          <t>GÄVLEBORGS LÄN</t>
        </is>
      </c>
      <c r="E535" t="inlineStr">
        <is>
          <t>BOLLNÄS</t>
        </is>
      </c>
      <c r="G535" t="n">
        <v>4.4</v>
      </c>
      <c r="H535" t="n">
        <v>1</v>
      </c>
      <c r="I535" t="n">
        <v>0</v>
      </c>
      <c r="J535" t="n">
        <v>1</v>
      </c>
      <c r="K535" t="n">
        <v>0</v>
      </c>
      <c r="L535" t="n">
        <v>0</v>
      </c>
      <c r="M535" t="n">
        <v>0</v>
      </c>
      <c r="N535" t="n">
        <v>0</v>
      </c>
      <c r="O535" t="n">
        <v>1</v>
      </c>
      <c r="P535" t="n">
        <v>0</v>
      </c>
      <c r="Q535" t="n">
        <v>1</v>
      </c>
      <c r="R535" s="2" t="inlineStr">
        <is>
          <t>Tretåig hackspett</t>
        </is>
      </c>
      <c r="S535">
        <f>HYPERLINK("https://klasma.github.io/Logging_2183/artfynd/A 48983-2023 artfynd.xlsx", "A 48983-2023")</f>
        <v/>
      </c>
      <c r="T535">
        <f>HYPERLINK("https://klasma.github.io/Logging_2183/kartor/A 48983-2023 karta.png", "A 48983-2023")</f>
        <v/>
      </c>
      <c r="V535">
        <f>HYPERLINK("https://klasma.github.io/Logging_2183/klagomål/A 48983-2023 FSC-klagomål.docx", "A 48983-2023")</f>
        <v/>
      </c>
      <c r="W535">
        <f>HYPERLINK("https://klasma.github.io/Logging_2183/klagomålsmail/A 48983-2023 FSC-klagomål mail.docx", "A 48983-2023")</f>
        <v/>
      </c>
      <c r="X535">
        <f>HYPERLINK("https://klasma.github.io/Logging_2183/tillsyn/A 48983-2023 tillsynsbegäran.docx", "A 48983-2023")</f>
        <v/>
      </c>
      <c r="Y535">
        <f>HYPERLINK("https://klasma.github.io/Logging_2183/tillsynsmail/A 48983-2023 tillsynsbegäran mail.docx", "A 48983-2023")</f>
        <v/>
      </c>
      <c r="Z535">
        <f>HYPERLINK("https://klasma.github.io/Logging_2183/fåglar/A 48983-2023 prioriterade fågelarter.docx", "A 48983-2023")</f>
        <v/>
      </c>
    </row>
    <row r="536" ht="15" customHeight="1">
      <c r="A536" t="inlineStr">
        <is>
          <t>A 49279-2023</t>
        </is>
      </c>
      <c r="B536" s="1" t="n">
        <v>45210</v>
      </c>
      <c r="C536" s="1" t="n">
        <v>45587</v>
      </c>
      <c r="D536" t="inlineStr">
        <is>
          <t>GÄVLEBORGS LÄN</t>
        </is>
      </c>
      <c r="E536" t="inlineStr">
        <is>
          <t>OVANÅKER</t>
        </is>
      </c>
      <c r="F536" t="inlineStr">
        <is>
          <t>Bergvik skog öst AB</t>
        </is>
      </c>
      <c r="G536" t="n">
        <v>13.6</v>
      </c>
      <c r="H536" t="n">
        <v>0</v>
      </c>
      <c r="I536" t="n">
        <v>1</v>
      </c>
      <c r="J536" t="n">
        <v>0</v>
      </c>
      <c r="K536" t="n">
        <v>0</v>
      </c>
      <c r="L536" t="n">
        <v>0</v>
      </c>
      <c r="M536" t="n">
        <v>0</v>
      </c>
      <c r="N536" t="n">
        <v>0</v>
      </c>
      <c r="O536" t="n">
        <v>0</v>
      </c>
      <c r="P536" t="n">
        <v>0</v>
      </c>
      <c r="Q536" t="n">
        <v>1</v>
      </c>
      <c r="R536" s="2" t="inlineStr">
        <is>
          <t>Smal svampklubba</t>
        </is>
      </c>
      <c r="S536">
        <f>HYPERLINK("https://klasma.github.io/Logging_2121/artfynd/A 49279-2023 artfynd.xlsx", "A 49279-2023")</f>
        <v/>
      </c>
      <c r="T536">
        <f>HYPERLINK("https://klasma.github.io/Logging_2121/kartor/A 49279-2023 karta.png", "A 49279-2023")</f>
        <v/>
      </c>
      <c r="V536">
        <f>HYPERLINK("https://klasma.github.io/Logging_2121/klagomål/A 49279-2023 FSC-klagomål.docx", "A 49279-2023")</f>
        <v/>
      </c>
      <c r="W536">
        <f>HYPERLINK("https://klasma.github.io/Logging_2121/klagomålsmail/A 49279-2023 FSC-klagomål mail.docx", "A 49279-2023")</f>
        <v/>
      </c>
      <c r="X536">
        <f>HYPERLINK("https://klasma.github.io/Logging_2121/tillsyn/A 49279-2023 tillsynsbegäran.docx", "A 49279-2023")</f>
        <v/>
      </c>
      <c r="Y536">
        <f>HYPERLINK("https://klasma.github.io/Logging_2121/tillsynsmail/A 49279-2023 tillsynsbegäran mail.docx", "A 49279-2023")</f>
        <v/>
      </c>
    </row>
    <row r="537" ht="15" customHeight="1">
      <c r="A537" t="inlineStr">
        <is>
          <t>A 49376-2023</t>
        </is>
      </c>
      <c r="B537" s="1" t="n">
        <v>45211</v>
      </c>
      <c r="C537" s="1" t="n">
        <v>45587</v>
      </c>
      <c r="D537" t="inlineStr">
        <is>
          <t>GÄVLEBORGS LÄN</t>
        </is>
      </c>
      <c r="E537" t="inlineStr">
        <is>
          <t>OVANÅKER</t>
        </is>
      </c>
      <c r="F537" t="inlineStr">
        <is>
          <t>Bergvik skog öst AB</t>
        </is>
      </c>
      <c r="G537" t="n">
        <v>9.199999999999999</v>
      </c>
      <c r="H537" t="n">
        <v>0</v>
      </c>
      <c r="I537" t="n">
        <v>0</v>
      </c>
      <c r="J537" t="n">
        <v>1</v>
      </c>
      <c r="K537" t="n">
        <v>0</v>
      </c>
      <c r="L537" t="n">
        <v>0</v>
      </c>
      <c r="M537" t="n">
        <v>0</v>
      </c>
      <c r="N537" t="n">
        <v>0</v>
      </c>
      <c r="O537" t="n">
        <v>1</v>
      </c>
      <c r="P537" t="n">
        <v>0</v>
      </c>
      <c r="Q537" t="n">
        <v>1</v>
      </c>
      <c r="R537" s="2" t="inlineStr">
        <is>
          <t>Dofttaggsvamp</t>
        </is>
      </c>
      <c r="S537">
        <f>HYPERLINK("https://klasma.github.io/Logging_2121/artfynd/A 49376-2023 artfynd.xlsx", "A 49376-2023")</f>
        <v/>
      </c>
      <c r="T537">
        <f>HYPERLINK("https://klasma.github.io/Logging_2121/kartor/A 49376-2023 karta.png", "A 49376-2023")</f>
        <v/>
      </c>
      <c r="V537">
        <f>HYPERLINK("https://klasma.github.io/Logging_2121/klagomål/A 49376-2023 FSC-klagomål.docx", "A 49376-2023")</f>
        <v/>
      </c>
      <c r="W537">
        <f>HYPERLINK("https://klasma.github.io/Logging_2121/klagomålsmail/A 49376-2023 FSC-klagomål mail.docx", "A 49376-2023")</f>
        <v/>
      </c>
      <c r="X537">
        <f>HYPERLINK("https://klasma.github.io/Logging_2121/tillsyn/A 49376-2023 tillsynsbegäran.docx", "A 49376-2023")</f>
        <v/>
      </c>
      <c r="Y537">
        <f>HYPERLINK("https://klasma.github.io/Logging_2121/tillsynsmail/A 49376-2023 tillsynsbegäran mail.docx", "A 49376-2023")</f>
        <v/>
      </c>
    </row>
    <row r="538" ht="15" customHeight="1">
      <c r="A538" t="inlineStr">
        <is>
          <t>A 50257-2023</t>
        </is>
      </c>
      <c r="B538" s="1" t="n">
        <v>45216</v>
      </c>
      <c r="C538" s="1" t="n">
        <v>45587</v>
      </c>
      <c r="D538" t="inlineStr">
        <is>
          <t>GÄVLEBORGS LÄN</t>
        </is>
      </c>
      <c r="E538" t="inlineStr">
        <is>
          <t>LJUSDAL</t>
        </is>
      </c>
      <c r="F538" t="inlineStr">
        <is>
          <t>Sveaskog</t>
        </is>
      </c>
      <c r="G538" t="n">
        <v>1.2</v>
      </c>
      <c r="H538" t="n">
        <v>0</v>
      </c>
      <c r="I538" t="n">
        <v>0</v>
      </c>
      <c r="J538" t="n">
        <v>1</v>
      </c>
      <c r="K538" t="n">
        <v>0</v>
      </c>
      <c r="L538" t="n">
        <v>0</v>
      </c>
      <c r="M538" t="n">
        <v>0</v>
      </c>
      <c r="N538" t="n">
        <v>0</v>
      </c>
      <c r="O538" t="n">
        <v>1</v>
      </c>
      <c r="P538" t="n">
        <v>0</v>
      </c>
      <c r="Q538" t="n">
        <v>1</v>
      </c>
      <c r="R538" s="2" t="inlineStr">
        <is>
          <t>Kolflarnlav</t>
        </is>
      </c>
      <c r="S538">
        <f>HYPERLINK("https://klasma.github.io/Logging_2161/artfynd/A 50257-2023 artfynd.xlsx", "A 50257-2023")</f>
        <v/>
      </c>
      <c r="T538">
        <f>HYPERLINK("https://klasma.github.io/Logging_2161/kartor/A 50257-2023 karta.png", "A 50257-2023")</f>
        <v/>
      </c>
      <c r="V538">
        <f>HYPERLINK("https://klasma.github.io/Logging_2161/klagomål/A 50257-2023 FSC-klagomål.docx", "A 50257-2023")</f>
        <v/>
      </c>
      <c r="W538">
        <f>HYPERLINK("https://klasma.github.io/Logging_2161/klagomålsmail/A 50257-2023 FSC-klagomål mail.docx", "A 50257-2023")</f>
        <v/>
      </c>
      <c r="X538">
        <f>HYPERLINK("https://klasma.github.io/Logging_2161/tillsyn/A 50257-2023 tillsynsbegäran.docx", "A 50257-2023")</f>
        <v/>
      </c>
      <c r="Y538">
        <f>HYPERLINK("https://klasma.github.io/Logging_2161/tillsynsmail/A 50257-2023 tillsynsbegäran mail.docx", "A 50257-2023")</f>
        <v/>
      </c>
    </row>
    <row r="539" ht="15" customHeight="1">
      <c r="A539" t="inlineStr">
        <is>
          <t>A 50822-2023</t>
        </is>
      </c>
      <c r="B539" s="1" t="n">
        <v>45217</v>
      </c>
      <c r="C539" s="1" t="n">
        <v>45587</v>
      </c>
      <c r="D539" t="inlineStr">
        <is>
          <t>GÄVLEBORGS LÄN</t>
        </is>
      </c>
      <c r="E539" t="inlineStr">
        <is>
          <t>HUDIKSVALL</t>
        </is>
      </c>
      <c r="G539" t="n">
        <v>1.2</v>
      </c>
      <c r="H539" t="n">
        <v>1</v>
      </c>
      <c r="I539" t="n">
        <v>0</v>
      </c>
      <c r="J539" t="n">
        <v>1</v>
      </c>
      <c r="K539" t="n">
        <v>0</v>
      </c>
      <c r="L539" t="n">
        <v>0</v>
      </c>
      <c r="M539" t="n">
        <v>0</v>
      </c>
      <c r="N539" t="n">
        <v>0</v>
      </c>
      <c r="O539" t="n">
        <v>1</v>
      </c>
      <c r="P539" t="n">
        <v>0</v>
      </c>
      <c r="Q539" t="n">
        <v>1</v>
      </c>
      <c r="R539" s="2" t="inlineStr">
        <is>
          <t>Järpe</t>
        </is>
      </c>
      <c r="S539">
        <f>HYPERLINK("https://klasma.github.io/Logging_2184/artfynd/A 50822-2023 artfynd.xlsx", "A 50822-2023")</f>
        <v/>
      </c>
      <c r="T539">
        <f>HYPERLINK("https://klasma.github.io/Logging_2184/kartor/A 50822-2023 karta.png", "A 50822-2023")</f>
        <v/>
      </c>
      <c r="V539">
        <f>HYPERLINK("https://klasma.github.io/Logging_2184/klagomål/A 50822-2023 FSC-klagomål.docx", "A 50822-2023")</f>
        <v/>
      </c>
      <c r="W539">
        <f>HYPERLINK("https://klasma.github.io/Logging_2184/klagomålsmail/A 50822-2023 FSC-klagomål mail.docx", "A 50822-2023")</f>
        <v/>
      </c>
      <c r="X539">
        <f>HYPERLINK("https://klasma.github.io/Logging_2184/tillsyn/A 50822-2023 tillsynsbegäran.docx", "A 50822-2023")</f>
        <v/>
      </c>
      <c r="Y539">
        <f>HYPERLINK("https://klasma.github.io/Logging_2184/tillsynsmail/A 50822-2023 tillsynsbegäran mail.docx", "A 50822-2023")</f>
        <v/>
      </c>
      <c r="Z539">
        <f>HYPERLINK("https://klasma.github.io/Logging_2184/fåglar/A 50822-2023 prioriterade fågelarter.docx", "A 50822-2023")</f>
        <v/>
      </c>
    </row>
    <row r="540" ht="15" customHeight="1">
      <c r="A540" t="inlineStr">
        <is>
          <t>A 51232-2023</t>
        </is>
      </c>
      <c r="B540" s="1" t="n">
        <v>45219</v>
      </c>
      <c r="C540" s="1" t="n">
        <v>45587</v>
      </c>
      <c r="D540" t="inlineStr">
        <is>
          <t>GÄVLEBORGS LÄN</t>
        </is>
      </c>
      <c r="E540" t="inlineStr">
        <is>
          <t>LJUSDAL</t>
        </is>
      </c>
      <c r="F540" t="inlineStr">
        <is>
          <t>Sveaskog</t>
        </is>
      </c>
      <c r="G540" t="n">
        <v>1.9</v>
      </c>
      <c r="H540" t="n">
        <v>0</v>
      </c>
      <c r="I540" t="n">
        <v>0</v>
      </c>
      <c r="J540" t="n">
        <v>1</v>
      </c>
      <c r="K540" t="n">
        <v>0</v>
      </c>
      <c r="L540" t="n">
        <v>0</v>
      </c>
      <c r="M540" t="n">
        <v>0</v>
      </c>
      <c r="N540" t="n">
        <v>0</v>
      </c>
      <c r="O540" t="n">
        <v>1</v>
      </c>
      <c r="P540" t="n">
        <v>0</v>
      </c>
      <c r="Q540" t="n">
        <v>1</v>
      </c>
      <c r="R540" s="2" t="inlineStr">
        <is>
          <t>Lunglav</t>
        </is>
      </c>
      <c r="S540">
        <f>HYPERLINK("https://klasma.github.io/Logging_2161/artfynd/A 51232-2023 artfynd.xlsx", "A 51232-2023")</f>
        <v/>
      </c>
      <c r="T540">
        <f>HYPERLINK("https://klasma.github.io/Logging_2161/kartor/A 51232-2023 karta.png", "A 51232-2023")</f>
        <v/>
      </c>
      <c r="V540">
        <f>HYPERLINK("https://klasma.github.io/Logging_2161/klagomål/A 51232-2023 FSC-klagomål.docx", "A 51232-2023")</f>
        <v/>
      </c>
      <c r="W540">
        <f>HYPERLINK("https://klasma.github.io/Logging_2161/klagomålsmail/A 51232-2023 FSC-klagomål mail.docx", "A 51232-2023")</f>
        <v/>
      </c>
      <c r="X540">
        <f>HYPERLINK("https://klasma.github.io/Logging_2161/tillsyn/A 51232-2023 tillsynsbegäran.docx", "A 51232-2023")</f>
        <v/>
      </c>
      <c r="Y540">
        <f>HYPERLINK("https://klasma.github.io/Logging_2161/tillsynsmail/A 51232-2023 tillsynsbegäran mail.docx", "A 51232-2023")</f>
        <v/>
      </c>
    </row>
    <row r="541" ht="15" customHeight="1">
      <c r="A541" t="inlineStr">
        <is>
          <t>A 51498-2023</t>
        </is>
      </c>
      <c r="B541" s="1" t="n">
        <v>45222</v>
      </c>
      <c r="C541" s="1" t="n">
        <v>45587</v>
      </c>
      <c r="D541" t="inlineStr">
        <is>
          <t>GÄVLEBORGS LÄN</t>
        </is>
      </c>
      <c r="E541" t="inlineStr">
        <is>
          <t>LJUSDAL</t>
        </is>
      </c>
      <c r="G541" t="n">
        <v>4.9</v>
      </c>
      <c r="H541" t="n">
        <v>1</v>
      </c>
      <c r="I541" t="n">
        <v>1</v>
      </c>
      <c r="J541" t="n">
        <v>0</v>
      </c>
      <c r="K541" t="n">
        <v>0</v>
      </c>
      <c r="L541" t="n">
        <v>0</v>
      </c>
      <c r="M541" t="n">
        <v>0</v>
      </c>
      <c r="N541" t="n">
        <v>0</v>
      </c>
      <c r="O541" t="n">
        <v>0</v>
      </c>
      <c r="P541" t="n">
        <v>0</v>
      </c>
      <c r="Q541" t="n">
        <v>1</v>
      </c>
      <c r="R541" s="2" t="inlineStr">
        <is>
          <t>Tvåblad</t>
        </is>
      </c>
      <c r="S541">
        <f>HYPERLINK("https://klasma.github.io/Logging_2161/artfynd/A 51498-2023 artfynd.xlsx", "A 51498-2023")</f>
        <v/>
      </c>
      <c r="T541">
        <f>HYPERLINK("https://klasma.github.io/Logging_2161/kartor/A 51498-2023 karta.png", "A 51498-2023")</f>
        <v/>
      </c>
      <c r="V541">
        <f>HYPERLINK("https://klasma.github.io/Logging_2161/klagomål/A 51498-2023 FSC-klagomål.docx", "A 51498-2023")</f>
        <v/>
      </c>
      <c r="W541">
        <f>HYPERLINK("https://klasma.github.io/Logging_2161/klagomålsmail/A 51498-2023 FSC-klagomål mail.docx", "A 51498-2023")</f>
        <v/>
      </c>
      <c r="X541">
        <f>HYPERLINK("https://klasma.github.io/Logging_2161/tillsyn/A 51498-2023 tillsynsbegäran.docx", "A 51498-2023")</f>
        <v/>
      </c>
      <c r="Y541">
        <f>HYPERLINK("https://klasma.github.io/Logging_2161/tillsynsmail/A 51498-2023 tillsynsbegäran mail.docx", "A 51498-2023")</f>
        <v/>
      </c>
    </row>
    <row r="542" ht="15" customHeight="1">
      <c r="A542" t="inlineStr">
        <is>
          <t>A 51550-2023</t>
        </is>
      </c>
      <c r="B542" s="1" t="n">
        <v>45222</v>
      </c>
      <c r="C542" s="1" t="n">
        <v>45587</v>
      </c>
      <c r="D542" t="inlineStr">
        <is>
          <t>GÄVLEBORGS LÄN</t>
        </is>
      </c>
      <c r="E542" t="inlineStr">
        <is>
          <t>GÄVLE</t>
        </is>
      </c>
      <c r="F542" t="inlineStr">
        <is>
          <t>Bergvik skog öst AB</t>
        </is>
      </c>
      <c r="G542" t="n">
        <v>16.4</v>
      </c>
      <c r="H542" t="n">
        <v>1</v>
      </c>
      <c r="I542" t="n">
        <v>0</v>
      </c>
      <c r="J542" t="n">
        <v>0</v>
      </c>
      <c r="K542" t="n">
        <v>0</v>
      </c>
      <c r="L542" t="n">
        <v>0</v>
      </c>
      <c r="M542" t="n">
        <v>0</v>
      </c>
      <c r="N542" t="n">
        <v>0</v>
      </c>
      <c r="O542" t="n">
        <v>0</v>
      </c>
      <c r="P542" t="n">
        <v>0</v>
      </c>
      <c r="Q542" t="n">
        <v>1</v>
      </c>
      <c r="R542" s="2" t="inlineStr">
        <is>
          <t>Revlummer</t>
        </is>
      </c>
      <c r="S542">
        <f>HYPERLINK("https://klasma.github.io/Logging_2180/artfynd/A 51550-2023 artfynd.xlsx", "A 51550-2023")</f>
        <v/>
      </c>
      <c r="T542">
        <f>HYPERLINK("https://klasma.github.io/Logging_2180/kartor/A 51550-2023 karta.png", "A 51550-2023")</f>
        <v/>
      </c>
      <c r="V542">
        <f>HYPERLINK("https://klasma.github.io/Logging_2180/klagomål/A 51550-2023 FSC-klagomål.docx", "A 51550-2023")</f>
        <v/>
      </c>
      <c r="W542">
        <f>HYPERLINK("https://klasma.github.io/Logging_2180/klagomålsmail/A 51550-2023 FSC-klagomål mail.docx", "A 51550-2023")</f>
        <v/>
      </c>
      <c r="X542">
        <f>HYPERLINK("https://klasma.github.io/Logging_2180/tillsyn/A 51550-2023 tillsynsbegäran.docx", "A 51550-2023")</f>
        <v/>
      </c>
      <c r="Y542">
        <f>HYPERLINK("https://klasma.github.io/Logging_2180/tillsynsmail/A 51550-2023 tillsynsbegäran mail.docx", "A 51550-2023")</f>
        <v/>
      </c>
    </row>
    <row r="543" ht="15" customHeight="1">
      <c r="A543" t="inlineStr">
        <is>
          <t>A 52822-2023</t>
        </is>
      </c>
      <c r="B543" s="1" t="n">
        <v>45226</v>
      </c>
      <c r="C543" s="1" t="n">
        <v>45587</v>
      </c>
      <c r="D543" t="inlineStr">
        <is>
          <t>GÄVLEBORGS LÄN</t>
        </is>
      </c>
      <c r="E543" t="inlineStr">
        <is>
          <t>OCKELBO</t>
        </is>
      </c>
      <c r="F543" t="inlineStr">
        <is>
          <t>Bergvik skog väst AB</t>
        </is>
      </c>
      <c r="G543" t="n">
        <v>5.6</v>
      </c>
      <c r="H543" t="n">
        <v>1</v>
      </c>
      <c r="I543" t="n">
        <v>0</v>
      </c>
      <c r="J543" t="n">
        <v>0</v>
      </c>
      <c r="K543" t="n">
        <v>0</v>
      </c>
      <c r="L543" t="n">
        <v>0</v>
      </c>
      <c r="M543" t="n">
        <v>0</v>
      </c>
      <c r="N543" t="n">
        <v>0</v>
      </c>
      <c r="O543" t="n">
        <v>0</v>
      </c>
      <c r="P543" t="n">
        <v>0</v>
      </c>
      <c r="Q543" t="n">
        <v>1</v>
      </c>
      <c r="R543" s="2" t="inlineStr">
        <is>
          <t>Pärluggla</t>
        </is>
      </c>
      <c r="S543">
        <f>HYPERLINK("https://klasma.github.io/Logging_2101/artfynd/A 52822-2023 artfynd.xlsx", "A 52822-2023")</f>
        <v/>
      </c>
      <c r="T543">
        <f>HYPERLINK("https://klasma.github.io/Logging_2101/kartor/A 52822-2023 karta.png", "A 52822-2023")</f>
        <v/>
      </c>
      <c r="V543">
        <f>HYPERLINK("https://klasma.github.io/Logging_2101/klagomål/A 52822-2023 FSC-klagomål.docx", "A 52822-2023")</f>
        <v/>
      </c>
      <c r="W543">
        <f>HYPERLINK("https://klasma.github.io/Logging_2101/klagomålsmail/A 52822-2023 FSC-klagomål mail.docx", "A 52822-2023")</f>
        <v/>
      </c>
      <c r="X543">
        <f>HYPERLINK("https://klasma.github.io/Logging_2101/tillsyn/A 52822-2023 tillsynsbegäran.docx", "A 52822-2023")</f>
        <v/>
      </c>
      <c r="Y543">
        <f>HYPERLINK("https://klasma.github.io/Logging_2101/tillsynsmail/A 52822-2023 tillsynsbegäran mail.docx", "A 52822-2023")</f>
        <v/>
      </c>
      <c r="Z543">
        <f>HYPERLINK("https://klasma.github.io/Logging_2101/fåglar/A 52822-2023 prioriterade fågelarter.docx", "A 52822-2023")</f>
        <v/>
      </c>
    </row>
    <row r="544" ht="15" customHeight="1">
      <c r="A544" t="inlineStr">
        <is>
          <t>A 53286-2023</t>
        </is>
      </c>
      <c r="B544" s="1" t="n">
        <v>45229</v>
      </c>
      <c r="C544" s="1" t="n">
        <v>45587</v>
      </c>
      <c r="D544" t="inlineStr">
        <is>
          <t>GÄVLEBORGS LÄN</t>
        </is>
      </c>
      <c r="E544" t="inlineStr">
        <is>
          <t>LJUSDAL</t>
        </is>
      </c>
      <c r="F544" t="inlineStr">
        <is>
          <t>Sveaskog</t>
        </is>
      </c>
      <c r="G544" t="n">
        <v>8</v>
      </c>
      <c r="H544" t="n">
        <v>0</v>
      </c>
      <c r="I544" t="n">
        <v>0</v>
      </c>
      <c r="J544" t="n">
        <v>1</v>
      </c>
      <c r="K544" t="n">
        <v>0</v>
      </c>
      <c r="L544" t="n">
        <v>0</v>
      </c>
      <c r="M544" t="n">
        <v>0</v>
      </c>
      <c r="N544" t="n">
        <v>0</v>
      </c>
      <c r="O544" t="n">
        <v>1</v>
      </c>
      <c r="P544" t="n">
        <v>0</v>
      </c>
      <c r="Q544" t="n">
        <v>1</v>
      </c>
      <c r="R544" s="2" t="inlineStr">
        <is>
          <t>Kolflarnlav</t>
        </is>
      </c>
      <c r="S544">
        <f>HYPERLINK("https://klasma.github.io/Logging_2161/artfynd/A 53286-2023 artfynd.xlsx", "A 53286-2023")</f>
        <v/>
      </c>
      <c r="T544">
        <f>HYPERLINK("https://klasma.github.io/Logging_2161/kartor/A 53286-2023 karta.png", "A 53286-2023")</f>
        <v/>
      </c>
      <c r="V544">
        <f>HYPERLINK("https://klasma.github.io/Logging_2161/klagomål/A 53286-2023 FSC-klagomål.docx", "A 53286-2023")</f>
        <v/>
      </c>
      <c r="W544">
        <f>HYPERLINK("https://klasma.github.io/Logging_2161/klagomålsmail/A 53286-2023 FSC-klagomål mail.docx", "A 53286-2023")</f>
        <v/>
      </c>
      <c r="X544">
        <f>HYPERLINK("https://klasma.github.io/Logging_2161/tillsyn/A 53286-2023 tillsynsbegäran.docx", "A 53286-2023")</f>
        <v/>
      </c>
      <c r="Y544">
        <f>HYPERLINK("https://klasma.github.io/Logging_2161/tillsynsmail/A 53286-2023 tillsynsbegäran mail.docx", "A 53286-2023")</f>
        <v/>
      </c>
    </row>
    <row r="545" ht="15" customHeight="1">
      <c r="A545" t="inlineStr">
        <is>
          <t>A 53392-2023</t>
        </is>
      </c>
      <c r="B545" s="1" t="n">
        <v>45229</v>
      </c>
      <c r="C545" s="1" t="n">
        <v>45587</v>
      </c>
      <c r="D545" t="inlineStr">
        <is>
          <t>GÄVLEBORGS LÄN</t>
        </is>
      </c>
      <c r="E545" t="inlineStr">
        <is>
          <t>NORDANSTIG</t>
        </is>
      </c>
      <c r="G545" t="n">
        <v>1.9</v>
      </c>
      <c r="H545" t="n">
        <v>1</v>
      </c>
      <c r="I545" t="n">
        <v>0</v>
      </c>
      <c r="J545" t="n">
        <v>0</v>
      </c>
      <c r="K545" t="n">
        <v>0</v>
      </c>
      <c r="L545" t="n">
        <v>0</v>
      </c>
      <c r="M545" t="n">
        <v>0</v>
      </c>
      <c r="N545" t="n">
        <v>0</v>
      </c>
      <c r="O545" t="n">
        <v>0</v>
      </c>
      <c r="P545" t="n">
        <v>0</v>
      </c>
      <c r="Q545" t="n">
        <v>1</v>
      </c>
      <c r="R545" s="2" t="inlineStr">
        <is>
          <t>Blåsippa</t>
        </is>
      </c>
      <c r="S545">
        <f>HYPERLINK("https://klasma.github.io/Logging_2132/artfynd/A 53392-2023 artfynd.xlsx", "A 53392-2023")</f>
        <v/>
      </c>
      <c r="T545">
        <f>HYPERLINK("https://klasma.github.io/Logging_2132/kartor/A 53392-2023 karta.png", "A 53392-2023")</f>
        <v/>
      </c>
      <c r="V545">
        <f>HYPERLINK("https://klasma.github.io/Logging_2132/klagomål/A 53392-2023 FSC-klagomål.docx", "A 53392-2023")</f>
        <v/>
      </c>
      <c r="W545">
        <f>HYPERLINK("https://klasma.github.io/Logging_2132/klagomålsmail/A 53392-2023 FSC-klagomål mail.docx", "A 53392-2023")</f>
        <v/>
      </c>
      <c r="X545">
        <f>HYPERLINK("https://klasma.github.io/Logging_2132/tillsyn/A 53392-2023 tillsynsbegäran.docx", "A 53392-2023")</f>
        <v/>
      </c>
      <c r="Y545">
        <f>HYPERLINK("https://klasma.github.io/Logging_2132/tillsynsmail/A 53392-2023 tillsynsbegäran mail.docx", "A 53392-2023")</f>
        <v/>
      </c>
    </row>
    <row r="546" ht="15" customHeight="1">
      <c r="A546" t="inlineStr">
        <is>
          <t>A 53460-2023</t>
        </is>
      </c>
      <c r="B546" s="1" t="n">
        <v>45230</v>
      </c>
      <c r="C546" s="1" t="n">
        <v>45587</v>
      </c>
      <c r="D546" t="inlineStr">
        <is>
          <t>GÄVLEBORGS LÄN</t>
        </is>
      </c>
      <c r="E546" t="inlineStr">
        <is>
          <t>HUDIKSVALL</t>
        </is>
      </c>
      <c r="G546" t="n">
        <v>1.6</v>
      </c>
      <c r="H546" t="n">
        <v>0</v>
      </c>
      <c r="I546" t="n">
        <v>0</v>
      </c>
      <c r="J546" t="n">
        <v>1</v>
      </c>
      <c r="K546" t="n">
        <v>0</v>
      </c>
      <c r="L546" t="n">
        <v>0</v>
      </c>
      <c r="M546" t="n">
        <v>0</v>
      </c>
      <c r="N546" t="n">
        <v>0</v>
      </c>
      <c r="O546" t="n">
        <v>1</v>
      </c>
      <c r="P546" t="n">
        <v>0</v>
      </c>
      <c r="Q546" t="n">
        <v>1</v>
      </c>
      <c r="R546" s="2" t="inlineStr">
        <is>
          <t>Lunglav</t>
        </is>
      </c>
      <c r="S546">
        <f>HYPERLINK("https://klasma.github.io/Logging_2184/artfynd/A 53460-2023 artfynd.xlsx", "A 53460-2023")</f>
        <v/>
      </c>
      <c r="T546">
        <f>HYPERLINK("https://klasma.github.io/Logging_2184/kartor/A 53460-2023 karta.png", "A 53460-2023")</f>
        <v/>
      </c>
      <c r="V546">
        <f>HYPERLINK("https://klasma.github.io/Logging_2184/klagomål/A 53460-2023 FSC-klagomål.docx", "A 53460-2023")</f>
        <v/>
      </c>
      <c r="W546">
        <f>HYPERLINK("https://klasma.github.io/Logging_2184/klagomålsmail/A 53460-2023 FSC-klagomål mail.docx", "A 53460-2023")</f>
        <v/>
      </c>
      <c r="X546">
        <f>HYPERLINK("https://klasma.github.io/Logging_2184/tillsyn/A 53460-2023 tillsynsbegäran.docx", "A 53460-2023")</f>
        <v/>
      </c>
      <c r="Y546">
        <f>HYPERLINK("https://klasma.github.io/Logging_2184/tillsynsmail/A 53460-2023 tillsynsbegäran mail.docx", "A 53460-2023")</f>
        <v/>
      </c>
    </row>
    <row r="547" ht="15" customHeight="1">
      <c r="A547" t="inlineStr">
        <is>
          <t>A 53858-2023</t>
        </is>
      </c>
      <c r="B547" s="1" t="n">
        <v>45231</v>
      </c>
      <c r="C547" s="1" t="n">
        <v>45587</v>
      </c>
      <c r="D547" t="inlineStr">
        <is>
          <t>GÄVLEBORGS LÄN</t>
        </is>
      </c>
      <c r="E547" t="inlineStr">
        <is>
          <t>LJUSDAL</t>
        </is>
      </c>
      <c r="F547" t="inlineStr">
        <is>
          <t>Allmännings- och besparingsskogar</t>
        </is>
      </c>
      <c r="G547" t="n">
        <v>2.3</v>
      </c>
      <c r="H547" t="n">
        <v>1</v>
      </c>
      <c r="I547" t="n">
        <v>0</v>
      </c>
      <c r="J547" t="n">
        <v>0</v>
      </c>
      <c r="K547" t="n">
        <v>1</v>
      </c>
      <c r="L547" t="n">
        <v>0</v>
      </c>
      <c r="M547" t="n">
        <v>0</v>
      </c>
      <c r="N547" t="n">
        <v>0</v>
      </c>
      <c r="O547" t="n">
        <v>1</v>
      </c>
      <c r="P547" t="n">
        <v>1</v>
      </c>
      <c r="Q547" t="n">
        <v>1</v>
      </c>
      <c r="R547" s="2" t="inlineStr">
        <is>
          <t>Mellanlummer</t>
        </is>
      </c>
      <c r="S547">
        <f>HYPERLINK("https://klasma.github.io/Logging_2161/artfynd/A 53858-2023 artfynd.xlsx", "A 53858-2023")</f>
        <v/>
      </c>
      <c r="T547">
        <f>HYPERLINK("https://klasma.github.io/Logging_2161/kartor/A 53858-2023 karta.png", "A 53858-2023")</f>
        <v/>
      </c>
      <c r="V547">
        <f>HYPERLINK("https://klasma.github.io/Logging_2161/klagomål/A 53858-2023 FSC-klagomål.docx", "A 53858-2023")</f>
        <v/>
      </c>
      <c r="W547">
        <f>HYPERLINK("https://klasma.github.io/Logging_2161/klagomålsmail/A 53858-2023 FSC-klagomål mail.docx", "A 53858-2023")</f>
        <v/>
      </c>
      <c r="X547">
        <f>HYPERLINK("https://klasma.github.io/Logging_2161/tillsyn/A 53858-2023 tillsynsbegäran.docx", "A 53858-2023")</f>
        <v/>
      </c>
      <c r="Y547">
        <f>HYPERLINK("https://klasma.github.io/Logging_2161/tillsynsmail/A 53858-2023 tillsynsbegäran mail.docx", "A 53858-2023")</f>
        <v/>
      </c>
    </row>
    <row r="548" ht="15" customHeight="1">
      <c r="A548" t="inlineStr">
        <is>
          <t>A 57279-2023</t>
        </is>
      </c>
      <c r="B548" s="1" t="n">
        <v>45239</v>
      </c>
      <c r="C548" s="1" t="n">
        <v>45587</v>
      </c>
      <c r="D548" t="inlineStr">
        <is>
          <t>GÄVLEBORGS LÄN</t>
        </is>
      </c>
      <c r="E548" t="inlineStr">
        <is>
          <t>BOLLNÄS</t>
        </is>
      </c>
      <c r="F548" t="inlineStr">
        <is>
          <t>Kommuner</t>
        </is>
      </c>
      <c r="G548" t="n">
        <v>3.2</v>
      </c>
      <c r="H548" t="n">
        <v>0</v>
      </c>
      <c r="I548" t="n">
        <v>0</v>
      </c>
      <c r="J548" t="n">
        <v>1</v>
      </c>
      <c r="K548" t="n">
        <v>0</v>
      </c>
      <c r="L548" t="n">
        <v>0</v>
      </c>
      <c r="M548" t="n">
        <v>0</v>
      </c>
      <c r="N548" t="n">
        <v>0</v>
      </c>
      <c r="O548" t="n">
        <v>1</v>
      </c>
      <c r="P548" t="n">
        <v>0</v>
      </c>
      <c r="Q548" t="n">
        <v>1</v>
      </c>
      <c r="R548" s="2" t="inlineStr">
        <is>
          <t>Rosenticka</t>
        </is>
      </c>
      <c r="S548">
        <f>HYPERLINK("https://klasma.github.io/Logging_2183/artfynd/A 57279-2023 artfynd.xlsx", "A 57279-2023")</f>
        <v/>
      </c>
      <c r="T548">
        <f>HYPERLINK("https://klasma.github.io/Logging_2183/kartor/A 57279-2023 karta.png", "A 57279-2023")</f>
        <v/>
      </c>
      <c r="V548">
        <f>HYPERLINK("https://klasma.github.io/Logging_2183/klagomål/A 57279-2023 FSC-klagomål.docx", "A 57279-2023")</f>
        <v/>
      </c>
      <c r="W548">
        <f>HYPERLINK("https://klasma.github.io/Logging_2183/klagomålsmail/A 57279-2023 FSC-klagomål mail.docx", "A 57279-2023")</f>
        <v/>
      </c>
      <c r="X548">
        <f>HYPERLINK("https://klasma.github.io/Logging_2183/tillsyn/A 57279-2023 tillsynsbegäran.docx", "A 57279-2023")</f>
        <v/>
      </c>
      <c r="Y548">
        <f>HYPERLINK("https://klasma.github.io/Logging_2183/tillsynsmail/A 57279-2023 tillsynsbegäran mail.docx", "A 57279-2023")</f>
        <v/>
      </c>
    </row>
    <row r="549" ht="15" customHeight="1">
      <c r="A549" t="inlineStr">
        <is>
          <t>A 56368-2023</t>
        </is>
      </c>
      <c r="B549" s="1" t="n">
        <v>45243</v>
      </c>
      <c r="C549" s="1" t="n">
        <v>45587</v>
      </c>
      <c r="D549" t="inlineStr">
        <is>
          <t>GÄVLEBORGS LÄN</t>
        </is>
      </c>
      <c r="E549" t="inlineStr">
        <is>
          <t>GÄVLE</t>
        </is>
      </c>
      <c r="G549" t="n">
        <v>10.8</v>
      </c>
      <c r="H549" t="n">
        <v>1</v>
      </c>
      <c r="I549" t="n">
        <v>0</v>
      </c>
      <c r="J549" t="n">
        <v>0</v>
      </c>
      <c r="K549" t="n">
        <v>1</v>
      </c>
      <c r="L549" t="n">
        <v>0</v>
      </c>
      <c r="M549" t="n">
        <v>0</v>
      </c>
      <c r="N549" t="n">
        <v>0</v>
      </c>
      <c r="O549" t="n">
        <v>1</v>
      </c>
      <c r="P549" t="n">
        <v>1</v>
      </c>
      <c r="Q549" t="n">
        <v>1</v>
      </c>
      <c r="R549" s="2" t="inlineStr">
        <is>
          <t>Knärot</t>
        </is>
      </c>
      <c r="S549">
        <f>HYPERLINK("https://klasma.github.io/Logging_2180/artfynd/A 56368-2023 artfynd.xlsx", "A 56368-2023")</f>
        <v/>
      </c>
      <c r="T549">
        <f>HYPERLINK("https://klasma.github.io/Logging_2180/kartor/A 56368-2023 karta.png", "A 56368-2023")</f>
        <v/>
      </c>
      <c r="U549">
        <f>HYPERLINK("https://klasma.github.io/Logging_2180/knärot/A 56368-2023 karta knärot.png", "A 56368-2023")</f>
        <v/>
      </c>
      <c r="V549">
        <f>HYPERLINK("https://klasma.github.io/Logging_2180/klagomål/A 56368-2023 FSC-klagomål.docx", "A 56368-2023")</f>
        <v/>
      </c>
      <c r="W549">
        <f>HYPERLINK("https://klasma.github.io/Logging_2180/klagomålsmail/A 56368-2023 FSC-klagomål mail.docx", "A 56368-2023")</f>
        <v/>
      </c>
      <c r="X549">
        <f>HYPERLINK("https://klasma.github.io/Logging_2180/tillsyn/A 56368-2023 tillsynsbegäran.docx", "A 56368-2023")</f>
        <v/>
      </c>
      <c r="Y549">
        <f>HYPERLINK("https://klasma.github.io/Logging_2180/tillsynsmail/A 56368-2023 tillsynsbegäran mail.docx", "A 56368-2023")</f>
        <v/>
      </c>
    </row>
    <row r="550" ht="15" customHeight="1">
      <c r="A550" t="inlineStr">
        <is>
          <t>A 57086-2023</t>
        </is>
      </c>
      <c r="B550" s="1" t="n">
        <v>45245</v>
      </c>
      <c r="C550" s="1" t="n">
        <v>45587</v>
      </c>
      <c r="D550" t="inlineStr">
        <is>
          <t>GÄVLEBORGS LÄN</t>
        </is>
      </c>
      <c r="E550" t="inlineStr">
        <is>
          <t>SANDVIKEN</t>
        </is>
      </c>
      <c r="F550" t="inlineStr">
        <is>
          <t>Bergvik skog öst AB</t>
        </is>
      </c>
      <c r="G550" t="n">
        <v>6.9</v>
      </c>
      <c r="H550" t="n">
        <v>1</v>
      </c>
      <c r="I550" t="n">
        <v>0</v>
      </c>
      <c r="J550" t="n">
        <v>0</v>
      </c>
      <c r="K550" t="n">
        <v>0</v>
      </c>
      <c r="L550" t="n">
        <v>0</v>
      </c>
      <c r="M550" t="n">
        <v>0</v>
      </c>
      <c r="N550" t="n">
        <v>0</v>
      </c>
      <c r="O550" t="n">
        <v>0</v>
      </c>
      <c r="P550" t="n">
        <v>0</v>
      </c>
      <c r="Q550" t="n">
        <v>1</v>
      </c>
      <c r="R550" s="2" t="inlineStr">
        <is>
          <t>Blåsippa</t>
        </is>
      </c>
      <c r="S550">
        <f>HYPERLINK("https://klasma.github.io/Logging_2181/artfynd/A 57086-2023 artfynd.xlsx", "A 57086-2023")</f>
        <v/>
      </c>
      <c r="T550">
        <f>HYPERLINK("https://klasma.github.io/Logging_2181/kartor/A 57086-2023 karta.png", "A 57086-2023")</f>
        <v/>
      </c>
      <c r="V550">
        <f>HYPERLINK("https://klasma.github.io/Logging_2181/klagomål/A 57086-2023 FSC-klagomål.docx", "A 57086-2023")</f>
        <v/>
      </c>
      <c r="W550">
        <f>HYPERLINK("https://klasma.github.io/Logging_2181/klagomålsmail/A 57086-2023 FSC-klagomål mail.docx", "A 57086-2023")</f>
        <v/>
      </c>
      <c r="X550">
        <f>HYPERLINK("https://klasma.github.io/Logging_2181/tillsyn/A 57086-2023 tillsynsbegäran.docx", "A 57086-2023")</f>
        <v/>
      </c>
      <c r="Y550">
        <f>HYPERLINK("https://klasma.github.io/Logging_2181/tillsynsmail/A 57086-2023 tillsynsbegäran mail.docx", "A 57086-2023")</f>
        <v/>
      </c>
    </row>
    <row r="551" ht="15" customHeight="1">
      <c r="A551" t="inlineStr">
        <is>
          <t>A 57946-2023</t>
        </is>
      </c>
      <c r="B551" s="1" t="n">
        <v>45247</v>
      </c>
      <c r="C551" s="1" t="n">
        <v>45587</v>
      </c>
      <c r="D551" t="inlineStr">
        <is>
          <t>GÄVLEBORGS LÄN</t>
        </is>
      </c>
      <c r="E551" t="inlineStr">
        <is>
          <t>OCKELBO</t>
        </is>
      </c>
      <c r="F551" t="inlineStr">
        <is>
          <t>Bergvik skog väst AB</t>
        </is>
      </c>
      <c r="G551" t="n">
        <v>2.4</v>
      </c>
      <c r="H551" t="n">
        <v>1</v>
      </c>
      <c r="I551" t="n">
        <v>0</v>
      </c>
      <c r="J551" t="n">
        <v>0</v>
      </c>
      <c r="K551" t="n">
        <v>0</v>
      </c>
      <c r="L551" t="n">
        <v>0</v>
      </c>
      <c r="M551" t="n">
        <v>0</v>
      </c>
      <c r="N551" t="n">
        <v>0</v>
      </c>
      <c r="O551" t="n">
        <v>0</v>
      </c>
      <c r="P551" t="n">
        <v>0</v>
      </c>
      <c r="Q551" t="n">
        <v>1</v>
      </c>
      <c r="R551" s="2" t="inlineStr">
        <is>
          <t>Revlummer</t>
        </is>
      </c>
      <c r="S551">
        <f>HYPERLINK("https://klasma.github.io/Logging_2101/artfynd/A 57946-2023 artfynd.xlsx", "A 57946-2023")</f>
        <v/>
      </c>
      <c r="T551">
        <f>HYPERLINK("https://klasma.github.io/Logging_2101/kartor/A 57946-2023 karta.png", "A 57946-2023")</f>
        <v/>
      </c>
      <c r="V551">
        <f>HYPERLINK("https://klasma.github.io/Logging_2101/klagomål/A 57946-2023 FSC-klagomål.docx", "A 57946-2023")</f>
        <v/>
      </c>
      <c r="W551">
        <f>HYPERLINK("https://klasma.github.io/Logging_2101/klagomålsmail/A 57946-2023 FSC-klagomål mail.docx", "A 57946-2023")</f>
        <v/>
      </c>
      <c r="X551">
        <f>HYPERLINK("https://klasma.github.io/Logging_2101/tillsyn/A 57946-2023 tillsynsbegäran.docx", "A 57946-2023")</f>
        <v/>
      </c>
      <c r="Y551">
        <f>HYPERLINK("https://klasma.github.io/Logging_2101/tillsynsmail/A 57946-2023 tillsynsbegäran mail.docx", "A 57946-2023")</f>
        <v/>
      </c>
    </row>
    <row r="552" ht="15" customHeight="1">
      <c r="A552" t="inlineStr">
        <is>
          <t>A 57901-2023</t>
        </is>
      </c>
      <c r="B552" s="1" t="n">
        <v>45247</v>
      </c>
      <c r="C552" s="1" t="n">
        <v>45587</v>
      </c>
      <c r="D552" t="inlineStr">
        <is>
          <t>GÄVLEBORGS LÄN</t>
        </is>
      </c>
      <c r="E552" t="inlineStr">
        <is>
          <t>OCKELBO</t>
        </is>
      </c>
      <c r="F552" t="inlineStr">
        <is>
          <t>Bergvik skog väst AB</t>
        </is>
      </c>
      <c r="G552" t="n">
        <v>2</v>
      </c>
      <c r="H552" t="n">
        <v>1</v>
      </c>
      <c r="I552" t="n">
        <v>0</v>
      </c>
      <c r="J552" t="n">
        <v>0</v>
      </c>
      <c r="K552" t="n">
        <v>0</v>
      </c>
      <c r="L552" t="n">
        <v>0</v>
      </c>
      <c r="M552" t="n">
        <v>0</v>
      </c>
      <c r="N552" t="n">
        <v>0</v>
      </c>
      <c r="O552" t="n">
        <v>0</v>
      </c>
      <c r="P552" t="n">
        <v>0</v>
      </c>
      <c r="Q552" t="n">
        <v>1</v>
      </c>
      <c r="R552" s="2" t="inlineStr">
        <is>
          <t>Revlummer</t>
        </is>
      </c>
      <c r="S552">
        <f>HYPERLINK("https://klasma.github.io/Logging_2101/artfynd/A 57901-2023 artfynd.xlsx", "A 57901-2023")</f>
        <v/>
      </c>
      <c r="T552">
        <f>HYPERLINK("https://klasma.github.io/Logging_2101/kartor/A 57901-2023 karta.png", "A 57901-2023")</f>
        <v/>
      </c>
      <c r="V552">
        <f>HYPERLINK("https://klasma.github.io/Logging_2101/klagomål/A 57901-2023 FSC-klagomål.docx", "A 57901-2023")</f>
        <v/>
      </c>
      <c r="W552">
        <f>HYPERLINK("https://klasma.github.io/Logging_2101/klagomålsmail/A 57901-2023 FSC-klagomål mail.docx", "A 57901-2023")</f>
        <v/>
      </c>
      <c r="X552">
        <f>HYPERLINK("https://klasma.github.io/Logging_2101/tillsyn/A 57901-2023 tillsynsbegäran.docx", "A 57901-2023")</f>
        <v/>
      </c>
      <c r="Y552">
        <f>HYPERLINK("https://klasma.github.io/Logging_2101/tillsynsmail/A 57901-2023 tillsynsbegäran mail.docx", "A 57901-2023")</f>
        <v/>
      </c>
    </row>
    <row r="553" ht="15" customHeight="1">
      <c r="A553" t="inlineStr">
        <is>
          <t>A 58785-2023</t>
        </is>
      </c>
      <c r="B553" s="1" t="n">
        <v>45252</v>
      </c>
      <c r="C553" s="1" t="n">
        <v>45587</v>
      </c>
      <c r="D553" t="inlineStr">
        <is>
          <t>GÄVLEBORGS LÄN</t>
        </is>
      </c>
      <c r="E553" t="inlineStr">
        <is>
          <t>SANDVIKEN</t>
        </is>
      </c>
      <c r="F553" t="inlineStr">
        <is>
          <t>Bergvik skog öst AB</t>
        </is>
      </c>
      <c r="G553" t="n">
        <v>6.9</v>
      </c>
      <c r="H553" t="n">
        <v>1</v>
      </c>
      <c r="I553" t="n">
        <v>0</v>
      </c>
      <c r="J553" t="n">
        <v>0</v>
      </c>
      <c r="K553" t="n">
        <v>0</v>
      </c>
      <c r="L553" t="n">
        <v>0</v>
      </c>
      <c r="M553" t="n">
        <v>0</v>
      </c>
      <c r="N553" t="n">
        <v>0</v>
      </c>
      <c r="O553" t="n">
        <v>0</v>
      </c>
      <c r="P553" t="n">
        <v>0</v>
      </c>
      <c r="Q553" t="n">
        <v>1</v>
      </c>
      <c r="R553" s="2" t="inlineStr">
        <is>
          <t>Blåsippa</t>
        </is>
      </c>
      <c r="S553">
        <f>HYPERLINK("https://klasma.github.io/Logging_2181/artfynd/A 58785-2023 artfynd.xlsx", "A 58785-2023")</f>
        <v/>
      </c>
      <c r="T553">
        <f>HYPERLINK("https://klasma.github.io/Logging_2181/kartor/A 58785-2023 karta.png", "A 58785-2023")</f>
        <v/>
      </c>
      <c r="V553">
        <f>HYPERLINK("https://klasma.github.io/Logging_2181/klagomål/A 58785-2023 FSC-klagomål.docx", "A 58785-2023")</f>
        <v/>
      </c>
      <c r="W553">
        <f>HYPERLINK("https://klasma.github.io/Logging_2181/klagomålsmail/A 58785-2023 FSC-klagomål mail.docx", "A 58785-2023")</f>
        <v/>
      </c>
      <c r="X553">
        <f>HYPERLINK("https://klasma.github.io/Logging_2181/tillsyn/A 58785-2023 tillsynsbegäran.docx", "A 58785-2023")</f>
        <v/>
      </c>
      <c r="Y553">
        <f>HYPERLINK("https://klasma.github.io/Logging_2181/tillsynsmail/A 58785-2023 tillsynsbegäran mail.docx", "A 58785-2023")</f>
        <v/>
      </c>
    </row>
    <row r="554" ht="15" customHeight="1">
      <c r="A554" t="inlineStr">
        <is>
          <t>A 58845-2023</t>
        </is>
      </c>
      <c r="B554" s="1" t="n">
        <v>45252</v>
      </c>
      <c r="C554" s="1" t="n">
        <v>45587</v>
      </c>
      <c r="D554" t="inlineStr">
        <is>
          <t>GÄVLEBORGS LÄN</t>
        </is>
      </c>
      <c r="E554" t="inlineStr">
        <is>
          <t>SANDVIKEN</t>
        </is>
      </c>
      <c r="G554" t="n">
        <v>1.5</v>
      </c>
      <c r="H554" t="n">
        <v>1</v>
      </c>
      <c r="I554" t="n">
        <v>0</v>
      </c>
      <c r="J554" t="n">
        <v>0</v>
      </c>
      <c r="K554" t="n">
        <v>0</v>
      </c>
      <c r="L554" t="n">
        <v>0</v>
      </c>
      <c r="M554" t="n">
        <v>0</v>
      </c>
      <c r="N554" t="n">
        <v>0</v>
      </c>
      <c r="O554" t="n">
        <v>0</v>
      </c>
      <c r="P554" t="n">
        <v>0</v>
      </c>
      <c r="Q554" t="n">
        <v>1</v>
      </c>
      <c r="R554" s="2" t="inlineStr">
        <is>
          <t>Vanlig padda</t>
        </is>
      </c>
      <c r="S554">
        <f>HYPERLINK("https://klasma.github.io/Logging_2181/artfynd/A 58845-2023 artfynd.xlsx", "A 58845-2023")</f>
        <v/>
      </c>
      <c r="T554">
        <f>HYPERLINK("https://klasma.github.io/Logging_2181/kartor/A 58845-2023 karta.png", "A 58845-2023")</f>
        <v/>
      </c>
      <c r="V554">
        <f>HYPERLINK("https://klasma.github.io/Logging_2181/klagomål/A 58845-2023 FSC-klagomål.docx", "A 58845-2023")</f>
        <v/>
      </c>
      <c r="W554">
        <f>HYPERLINK("https://klasma.github.io/Logging_2181/klagomålsmail/A 58845-2023 FSC-klagomål mail.docx", "A 58845-2023")</f>
        <v/>
      </c>
      <c r="X554">
        <f>HYPERLINK("https://klasma.github.io/Logging_2181/tillsyn/A 58845-2023 tillsynsbegäran.docx", "A 58845-2023")</f>
        <v/>
      </c>
      <c r="Y554">
        <f>HYPERLINK("https://klasma.github.io/Logging_2181/tillsynsmail/A 58845-2023 tillsynsbegäran mail.docx", "A 58845-2023")</f>
        <v/>
      </c>
    </row>
    <row r="555" ht="15" customHeight="1">
      <c r="A555" t="inlineStr">
        <is>
          <t>A 60157-2023</t>
        </is>
      </c>
      <c r="B555" s="1" t="n">
        <v>45258</v>
      </c>
      <c r="C555" s="1" t="n">
        <v>45587</v>
      </c>
      <c r="D555" t="inlineStr">
        <is>
          <t>GÄVLEBORGS LÄN</t>
        </is>
      </c>
      <c r="E555" t="inlineStr">
        <is>
          <t>NORDANSTIG</t>
        </is>
      </c>
      <c r="G555" t="n">
        <v>3.9</v>
      </c>
      <c r="H555" t="n">
        <v>1</v>
      </c>
      <c r="I555" t="n">
        <v>0</v>
      </c>
      <c r="J555" t="n">
        <v>0</v>
      </c>
      <c r="K555" t="n">
        <v>0</v>
      </c>
      <c r="L555" t="n">
        <v>1</v>
      </c>
      <c r="M555" t="n">
        <v>0</v>
      </c>
      <c r="N555" t="n">
        <v>0</v>
      </c>
      <c r="O555" t="n">
        <v>1</v>
      </c>
      <c r="P555" t="n">
        <v>1</v>
      </c>
      <c r="Q555" t="n">
        <v>1</v>
      </c>
      <c r="R555" s="2" t="inlineStr">
        <is>
          <t>Bredgentiana</t>
        </is>
      </c>
      <c r="S555">
        <f>HYPERLINK("https://klasma.github.io/Logging_2132/artfynd/A 60157-2023 artfynd.xlsx", "A 60157-2023")</f>
        <v/>
      </c>
      <c r="T555">
        <f>HYPERLINK("https://klasma.github.io/Logging_2132/kartor/A 60157-2023 karta.png", "A 60157-2023")</f>
        <v/>
      </c>
      <c r="V555">
        <f>HYPERLINK("https://klasma.github.io/Logging_2132/klagomål/A 60157-2023 FSC-klagomål.docx", "A 60157-2023")</f>
        <v/>
      </c>
      <c r="W555">
        <f>HYPERLINK("https://klasma.github.io/Logging_2132/klagomålsmail/A 60157-2023 FSC-klagomål mail.docx", "A 60157-2023")</f>
        <v/>
      </c>
      <c r="X555">
        <f>HYPERLINK("https://klasma.github.io/Logging_2132/tillsyn/A 60157-2023 tillsynsbegäran.docx", "A 60157-2023")</f>
        <v/>
      </c>
      <c r="Y555">
        <f>HYPERLINK("https://klasma.github.io/Logging_2132/tillsynsmail/A 60157-2023 tillsynsbegäran mail.docx", "A 60157-2023")</f>
        <v/>
      </c>
    </row>
    <row r="556" ht="15" customHeight="1">
      <c r="A556" t="inlineStr">
        <is>
          <t>A 64328-2023</t>
        </is>
      </c>
      <c r="B556" s="1" t="n">
        <v>45280</v>
      </c>
      <c r="C556" s="1" t="n">
        <v>45587</v>
      </c>
      <c r="D556" t="inlineStr">
        <is>
          <t>GÄVLEBORGS LÄN</t>
        </is>
      </c>
      <c r="E556" t="inlineStr">
        <is>
          <t>OVANÅKER</t>
        </is>
      </c>
      <c r="G556" t="n">
        <v>3.5</v>
      </c>
      <c r="H556" t="n">
        <v>1</v>
      </c>
      <c r="I556" t="n">
        <v>0</v>
      </c>
      <c r="J556" t="n">
        <v>0</v>
      </c>
      <c r="K556" t="n">
        <v>0</v>
      </c>
      <c r="L556" t="n">
        <v>0</v>
      </c>
      <c r="M556" t="n">
        <v>0</v>
      </c>
      <c r="N556" t="n">
        <v>0</v>
      </c>
      <c r="O556" t="n">
        <v>0</v>
      </c>
      <c r="P556" t="n">
        <v>0</v>
      </c>
      <c r="Q556" t="n">
        <v>1</v>
      </c>
      <c r="R556" s="2" t="inlineStr">
        <is>
          <t>Revlummer</t>
        </is>
      </c>
      <c r="S556">
        <f>HYPERLINK("https://klasma.github.io/Logging_2121/artfynd/A 64328-2023 artfynd.xlsx", "A 64328-2023")</f>
        <v/>
      </c>
      <c r="T556">
        <f>HYPERLINK("https://klasma.github.io/Logging_2121/kartor/A 64328-2023 karta.png", "A 64328-2023")</f>
        <v/>
      </c>
      <c r="V556">
        <f>HYPERLINK("https://klasma.github.io/Logging_2121/klagomål/A 64328-2023 FSC-klagomål.docx", "A 64328-2023")</f>
        <v/>
      </c>
      <c r="W556">
        <f>HYPERLINK("https://klasma.github.io/Logging_2121/klagomålsmail/A 64328-2023 FSC-klagomål mail.docx", "A 64328-2023")</f>
        <v/>
      </c>
      <c r="X556">
        <f>HYPERLINK("https://klasma.github.io/Logging_2121/tillsyn/A 64328-2023 tillsynsbegäran.docx", "A 64328-2023")</f>
        <v/>
      </c>
      <c r="Y556">
        <f>HYPERLINK("https://klasma.github.io/Logging_2121/tillsynsmail/A 64328-2023 tillsynsbegäran mail.docx", "A 64328-2023")</f>
        <v/>
      </c>
    </row>
    <row r="557" ht="15" customHeight="1">
      <c r="A557" t="inlineStr">
        <is>
          <t>A 109-2024</t>
        </is>
      </c>
      <c r="B557" s="1" t="n">
        <v>45294</v>
      </c>
      <c r="C557" s="1" t="n">
        <v>45587</v>
      </c>
      <c r="D557" t="inlineStr">
        <is>
          <t>GÄVLEBORGS LÄN</t>
        </is>
      </c>
      <c r="E557" t="inlineStr">
        <is>
          <t>HUDIKSVALL</t>
        </is>
      </c>
      <c r="F557" t="inlineStr">
        <is>
          <t>Holmen skog AB</t>
        </is>
      </c>
      <c r="G557" t="n">
        <v>5.1</v>
      </c>
      <c r="H557" t="n">
        <v>0</v>
      </c>
      <c r="I557" t="n">
        <v>0</v>
      </c>
      <c r="J557" t="n">
        <v>1</v>
      </c>
      <c r="K557" t="n">
        <v>0</v>
      </c>
      <c r="L557" t="n">
        <v>0</v>
      </c>
      <c r="M557" t="n">
        <v>0</v>
      </c>
      <c r="N557" t="n">
        <v>0</v>
      </c>
      <c r="O557" t="n">
        <v>1</v>
      </c>
      <c r="P557" t="n">
        <v>0</v>
      </c>
      <c r="Q557" t="n">
        <v>1</v>
      </c>
      <c r="R557" s="2" t="inlineStr">
        <is>
          <t>Ullticka</t>
        </is>
      </c>
      <c r="S557">
        <f>HYPERLINK("https://klasma.github.io/Logging_2184/artfynd/A 109-2024 artfynd.xlsx", "A 109-2024")</f>
        <v/>
      </c>
      <c r="T557">
        <f>HYPERLINK("https://klasma.github.io/Logging_2184/kartor/A 109-2024 karta.png", "A 109-2024")</f>
        <v/>
      </c>
      <c r="V557">
        <f>HYPERLINK("https://klasma.github.io/Logging_2184/klagomål/A 109-2024 FSC-klagomål.docx", "A 109-2024")</f>
        <v/>
      </c>
      <c r="W557">
        <f>HYPERLINK("https://klasma.github.io/Logging_2184/klagomålsmail/A 109-2024 FSC-klagomål mail.docx", "A 109-2024")</f>
        <v/>
      </c>
      <c r="X557">
        <f>HYPERLINK("https://klasma.github.io/Logging_2184/tillsyn/A 109-2024 tillsynsbegäran.docx", "A 109-2024")</f>
        <v/>
      </c>
      <c r="Y557">
        <f>HYPERLINK("https://klasma.github.io/Logging_2184/tillsynsmail/A 109-2024 tillsynsbegäran mail.docx", "A 109-2024")</f>
        <v/>
      </c>
    </row>
    <row r="558" ht="15" customHeight="1">
      <c r="A558" t="inlineStr">
        <is>
          <t>A 311-2024</t>
        </is>
      </c>
      <c r="B558" s="1" t="n">
        <v>45295</v>
      </c>
      <c r="C558" s="1" t="n">
        <v>45587</v>
      </c>
      <c r="D558" t="inlineStr">
        <is>
          <t>GÄVLEBORGS LÄN</t>
        </is>
      </c>
      <c r="E558" t="inlineStr">
        <is>
          <t>SANDVIKEN</t>
        </is>
      </c>
      <c r="G558" t="n">
        <v>1.3</v>
      </c>
      <c r="H558" t="n">
        <v>1</v>
      </c>
      <c r="I558" t="n">
        <v>1</v>
      </c>
      <c r="J558" t="n">
        <v>0</v>
      </c>
      <c r="K558" t="n">
        <v>0</v>
      </c>
      <c r="L558" t="n">
        <v>0</v>
      </c>
      <c r="M558" t="n">
        <v>0</v>
      </c>
      <c r="N558" t="n">
        <v>0</v>
      </c>
      <c r="O558" t="n">
        <v>0</v>
      </c>
      <c r="P558" t="n">
        <v>0</v>
      </c>
      <c r="Q558" t="n">
        <v>1</v>
      </c>
      <c r="R558" s="2" t="inlineStr">
        <is>
          <t>Plattlummer</t>
        </is>
      </c>
      <c r="S558">
        <f>HYPERLINK("https://klasma.github.io/Logging_2181/artfynd/A 311-2024 artfynd.xlsx", "A 311-2024")</f>
        <v/>
      </c>
      <c r="T558">
        <f>HYPERLINK("https://klasma.github.io/Logging_2181/kartor/A 311-2024 karta.png", "A 311-2024")</f>
        <v/>
      </c>
      <c r="V558">
        <f>HYPERLINK("https://klasma.github.io/Logging_2181/klagomål/A 311-2024 FSC-klagomål.docx", "A 311-2024")</f>
        <v/>
      </c>
      <c r="W558">
        <f>HYPERLINK("https://klasma.github.io/Logging_2181/klagomålsmail/A 311-2024 FSC-klagomål mail.docx", "A 311-2024")</f>
        <v/>
      </c>
      <c r="X558">
        <f>HYPERLINK("https://klasma.github.io/Logging_2181/tillsyn/A 311-2024 tillsynsbegäran.docx", "A 311-2024")</f>
        <v/>
      </c>
      <c r="Y558">
        <f>HYPERLINK("https://klasma.github.io/Logging_2181/tillsynsmail/A 311-2024 tillsynsbegäran mail.docx", "A 311-2024")</f>
        <v/>
      </c>
    </row>
    <row r="559" ht="15" customHeight="1">
      <c r="A559" t="inlineStr">
        <is>
          <t>A 470-2024</t>
        </is>
      </c>
      <c r="B559" s="1" t="n">
        <v>45297</v>
      </c>
      <c r="C559" s="1" t="n">
        <v>45587</v>
      </c>
      <c r="D559" t="inlineStr">
        <is>
          <t>GÄVLEBORGS LÄN</t>
        </is>
      </c>
      <c r="E559" t="inlineStr">
        <is>
          <t>NORDANSTIG</t>
        </is>
      </c>
      <c r="F559" t="inlineStr">
        <is>
          <t>Holmen skog AB</t>
        </is>
      </c>
      <c r="G559" t="n">
        <v>4.1</v>
      </c>
      <c r="H559" t="n">
        <v>1</v>
      </c>
      <c r="I559" t="n">
        <v>0</v>
      </c>
      <c r="J559" t="n">
        <v>1</v>
      </c>
      <c r="K559" t="n">
        <v>0</v>
      </c>
      <c r="L559" t="n">
        <v>0</v>
      </c>
      <c r="M559" t="n">
        <v>0</v>
      </c>
      <c r="N559" t="n">
        <v>0</v>
      </c>
      <c r="O559" t="n">
        <v>1</v>
      </c>
      <c r="P559" t="n">
        <v>0</v>
      </c>
      <c r="Q559" t="n">
        <v>1</v>
      </c>
      <c r="R559" s="2" t="inlineStr">
        <is>
          <t>Duvhök</t>
        </is>
      </c>
      <c r="S559">
        <f>HYPERLINK("https://klasma.github.io/Logging_2132/artfynd/A 470-2024 artfynd.xlsx", "A 470-2024")</f>
        <v/>
      </c>
      <c r="T559">
        <f>HYPERLINK("https://klasma.github.io/Logging_2132/kartor/A 470-2024 karta.png", "A 470-2024")</f>
        <v/>
      </c>
      <c r="V559">
        <f>HYPERLINK("https://klasma.github.io/Logging_2132/klagomål/A 470-2024 FSC-klagomål.docx", "A 470-2024")</f>
        <v/>
      </c>
      <c r="W559">
        <f>HYPERLINK("https://klasma.github.io/Logging_2132/klagomålsmail/A 470-2024 FSC-klagomål mail.docx", "A 470-2024")</f>
        <v/>
      </c>
      <c r="X559">
        <f>HYPERLINK("https://klasma.github.io/Logging_2132/tillsyn/A 470-2024 tillsynsbegäran.docx", "A 470-2024")</f>
        <v/>
      </c>
      <c r="Y559">
        <f>HYPERLINK("https://klasma.github.io/Logging_2132/tillsynsmail/A 470-2024 tillsynsbegäran mail.docx", "A 470-2024")</f>
        <v/>
      </c>
      <c r="Z559">
        <f>HYPERLINK("https://klasma.github.io/Logging_2132/fåglar/A 470-2024 prioriterade fågelarter.docx", "A 470-2024")</f>
        <v/>
      </c>
    </row>
    <row r="560" ht="15" customHeight="1">
      <c r="A560" t="inlineStr">
        <is>
          <t>A 684-2024</t>
        </is>
      </c>
      <c r="B560" s="1" t="n">
        <v>45300</v>
      </c>
      <c r="C560" s="1" t="n">
        <v>45587</v>
      </c>
      <c r="D560" t="inlineStr">
        <is>
          <t>GÄVLEBORGS LÄN</t>
        </is>
      </c>
      <c r="E560" t="inlineStr">
        <is>
          <t>HUDIKSVALL</t>
        </is>
      </c>
      <c r="F560" t="inlineStr">
        <is>
          <t>Holmen skog AB</t>
        </is>
      </c>
      <c r="G560" t="n">
        <v>14.7</v>
      </c>
      <c r="H560" t="n">
        <v>0</v>
      </c>
      <c r="I560" t="n">
        <v>0</v>
      </c>
      <c r="J560" t="n">
        <v>1</v>
      </c>
      <c r="K560" t="n">
        <v>0</v>
      </c>
      <c r="L560" t="n">
        <v>0</v>
      </c>
      <c r="M560" t="n">
        <v>0</v>
      </c>
      <c r="N560" t="n">
        <v>0</v>
      </c>
      <c r="O560" t="n">
        <v>1</v>
      </c>
      <c r="P560" t="n">
        <v>0</v>
      </c>
      <c r="Q560" t="n">
        <v>1</v>
      </c>
      <c r="R560" s="2" t="inlineStr">
        <is>
          <t>Brunpudrad nållav</t>
        </is>
      </c>
      <c r="S560">
        <f>HYPERLINK("https://klasma.github.io/Logging_2184/artfynd/A 684-2024 artfynd.xlsx", "A 684-2024")</f>
        <v/>
      </c>
      <c r="T560">
        <f>HYPERLINK("https://klasma.github.io/Logging_2184/kartor/A 684-2024 karta.png", "A 684-2024")</f>
        <v/>
      </c>
      <c r="V560">
        <f>HYPERLINK("https://klasma.github.io/Logging_2184/klagomål/A 684-2024 FSC-klagomål.docx", "A 684-2024")</f>
        <v/>
      </c>
      <c r="W560">
        <f>HYPERLINK("https://klasma.github.io/Logging_2184/klagomålsmail/A 684-2024 FSC-klagomål mail.docx", "A 684-2024")</f>
        <v/>
      </c>
      <c r="X560">
        <f>HYPERLINK("https://klasma.github.io/Logging_2184/tillsyn/A 684-2024 tillsynsbegäran.docx", "A 684-2024")</f>
        <v/>
      </c>
      <c r="Y560">
        <f>HYPERLINK("https://klasma.github.io/Logging_2184/tillsynsmail/A 684-2024 tillsynsbegäran mail.docx", "A 684-2024")</f>
        <v/>
      </c>
    </row>
    <row r="561" ht="15" customHeight="1">
      <c r="A561" t="inlineStr">
        <is>
          <t>A 1193-2024</t>
        </is>
      </c>
      <c r="B561" s="1" t="n">
        <v>45302</v>
      </c>
      <c r="C561" s="1" t="n">
        <v>45587</v>
      </c>
      <c r="D561" t="inlineStr">
        <is>
          <t>GÄVLEBORGS LÄN</t>
        </is>
      </c>
      <c r="E561" t="inlineStr">
        <is>
          <t>OVANÅKER</t>
        </is>
      </c>
      <c r="F561" t="inlineStr">
        <is>
          <t>Bergvik skog väst AB</t>
        </is>
      </c>
      <c r="G561" t="n">
        <v>10.5</v>
      </c>
      <c r="H561" t="n">
        <v>1</v>
      </c>
      <c r="I561" t="n">
        <v>0</v>
      </c>
      <c r="J561" t="n">
        <v>0</v>
      </c>
      <c r="K561" t="n">
        <v>0</v>
      </c>
      <c r="L561" t="n">
        <v>0</v>
      </c>
      <c r="M561" t="n">
        <v>0</v>
      </c>
      <c r="N561" t="n">
        <v>0</v>
      </c>
      <c r="O561" t="n">
        <v>0</v>
      </c>
      <c r="P561" t="n">
        <v>0</v>
      </c>
      <c r="Q561" t="n">
        <v>1</v>
      </c>
      <c r="R561" s="2" t="inlineStr">
        <is>
          <t>Blåsippa</t>
        </is>
      </c>
      <c r="S561">
        <f>HYPERLINK("https://klasma.github.io/Logging_2121/artfynd/A 1193-2024 artfynd.xlsx", "A 1193-2024")</f>
        <v/>
      </c>
      <c r="T561">
        <f>HYPERLINK("https://klasma.github.io/Logging_2121/kartor/A 1193-2024 karta.png", "A 1193-2024")</f>
        <v/>
      </c>
      <c r="V561">
        <f>HYPERLINK("https://klasma.github.io/Logging_2121/klagomål/A 1193-2024 FSC-klagomål.docx", "A 1193-2024")</f>
        <v/>
      </c>
      <c r="W561">
        <f>HYPERLINK("https://klasma.github.io/Logging_2121/klagomålsmail/A 1193-2024 FSC-klagomål mail.docx", "A 1193-2024")</f>
        <v/>
      </c>
      <c r="X561">
        <f>HYPERLINK("https://klasma.github.io/Logging_2121/tillsyn/A 1193-2024 tillsynsbegäran.docx", "A 1193-2024")</f>
        <v/>
      </c>
      <c r="Y561">
        <f>HYPERLINK("https://klasma.github.io/Logging_2121/tillsynsmail/A 1193-2024 tillsynsbegäran mail.docx", "A 1193-2024")</f>
        <v/>
      </c>
    </row>
    <row r="562" ht="15" customHeight="1">
      <c r="A562" t="inlineStr">
        <is>
          <t>A 1214-2024</t>
        </is>
      </c>
      <c r="B562" s="1" t="n">
        <v>45302</v>
      </c>
      <c r="C562" s="1" t="n">
        <v>45587</v>
      </c>
      <c r="D562" t="inlineStr">
        <is>
          <t>GÄVLEBORGS LÄN</t>
        </is>
      </c>
      <c r="E562" t="inlineStr">
        <is>
          <t>OVANÅKER</t>
        </is>
      </c>
      <c r="F562" t="inlineStr">
        <is>
          <t>Bergvik skog väst AB</t>
        </is>
      </c>
      <c r="G562" t="n">
        <v>3.2</v>
      </c>
      <c r="H562" t="n">
        <v>1</v>
      </c>
      <c r="I562" t="n">
        <v>0</v>
      </c>
      <c r="J562" t="n">
        <v>0</v>
      </c>
      <c r="K562" t="n">
        <v>0</v>
      </c>
      <c r="L562" t="n">
        <v>0</v>
      </c>
      <c r="M562" t="n">
        <v>0</v>
      </c>
      <c r="N562" t="n">
        <v>0</v>
      </c>
      <c r="O562" t="n">
        <v>0</v>
      </c>
      <c r="P562" t="n">
        <v>0</v>
      </c>
      <c r="Q562" t="n">
        <v>1</v>
      </c>
      <c r="R562" s="2" t="inlineStr">
        <is>
          <t>Fläcknycklar</t>
        </is>
      </c>
      <c r="S562">
        <f>HYPERLINK("https://klasma.github.io/Logging_2121/artfynd/A 1214-2024 artfynd.xlsx", "A 1214-2024")</f>
        <v/>
      </c>
      <c r="T562">
        <f>HYPERLINK("https://klasma.github.io/Logging_2121/kartor/A 1214-2024 karta.png", "A 1214-2024")</f>
        <v/>
      </c>
      <c r="V562">
        <f>HYPERLINK("https://klasma.github.io/Logging_2121/klagomål/A 1214-2024 FSC-klagomål.docx", "A 1214-2024")</f>
        <v/>
      </c>
      <c r="W562">
        <f>HYPERLINK("https://klasma.github.io/Logging_2121/klagomålsmail/A 1214-2024 FSC-klagomål mail.docx", "A 1214-2024")</f>
        <v/>
      </c>
      <c r="X562">
        <f>HYPERLINK("https://klasma.github.io/Logging_2121/tillsyn/A 1214-2024 tillsynsbegäran.docx", "A 1214-2024")</f>
        <v/>
      </c>
      <c r="Y562">
        <f>HYPERLINK("https://klasma.github.io/Logging_2121/tillsynsmail/A 1214-2024 tillsynsbegäran mail.docx", "A 1214-2024")</f>
        <v/>
      </c>
    </row>
    <row r="563" ht="15" customHeight="1">
      <c r="A563" t="inlineStr">
        <is>
          <t>A 3387-2024</t>
        </is>
      </c>
      <c r="B563" s="1" t="n">
        <v>45317</v>
      </c>
      <c r="C563" s="1" t="n">
        <v>45587</v>
      </c>
      <c r="D563" t="inlineStr">
        <is>
          <t>GÄVLEBORGS LÄN</t>
        </is>
      </c>
      <c r="E563" t="inlineStr">
        <is>
          <t>NORDANSTIG</t>
        </is>
      </c>
      <c r="F563" t="inlineStr">
        <is>
          <t>SCA</t>
        </is>
      </c>
      <c r="G563" t="n">
        <v>7.7</v>
      </c>
      <c r="H563" t="n">
        <v>1</v>
      </c>
      <c r="I563" t="n">
        <v>0</v>
      </c>
      <c r="J563" t="n">
        <v>0</v>
      </c>
      <c r="K563" t="n">
        <v>0</v>
      </c>
      <c r="L563" t="n">
        <v>0</v>
      </c>
      <c r="M563" t="n">
        <v>0</v>
      </c>
      <c r="N563" t="n">
        <v>0</v>
      </c>
      <c r="O563" t="n">
        <v>0</v>
      </c>
      <c r="P563" t="n">
        <v>0</v>
      </c>
      <c r="Q563" t="n">
        <v>1</v>
      </c>
      <c r="R563" s="2" t="inlineStr">
        <is>
          <t>Revlummer</t>
        </is>
      </c>
      <c r="S563">
        <f>HYPERLINK("https://klasma.github.io/Logging_2132/artfynd/A 3387-2024 artfynd.xlsx", "A 3387-2024")</f>
        <v/>
      </c>
      <c r="T563">
        <f>HYPERLINK("https://klasma.github.io/Logging_2132/kartor/A 3387-2024 karta.png", "A 3387-2024")</f>
        <v/>
      </c>
      <c r="V563">
        <f>HYPERLINK("https://klasma.github.io/Logging_2132/klagomål/A 3387-2024 FSC-klagomål.docx", "A 3387-2024")</f>
        <v/>
      </c>
      <c r="W563">
        <f>HYPERLINK("https://klasma.github.io/Logging_2132/klagomålsmail/A 3387-2024 FSC-klagomål mail.docx", "A 3387-2024")</f>
        <v/>
      </c>
      <c r="X563">
        <f>HYPERLINK("https://klasma.github.io/Logging_2132/tillsyn/A 3387-2024 tillsynsbegäran.docx", "A 3387-2024")</f>
        <v/>
      </c>
      <c r="Y563">
        <f>HYPERLINK("https://klasma.github.io/Logging_2132/tillsynsmail/A 3387-2024 tillsynsbegäran mail.docx", "A 3387-2024")</f>
        <v/>
      </c>
    </row>
    <row r="564" ht="15" customHeight="1">
      <c r="A564" t="inlineStr">
        <is>
          <t>A 4839-2024</t>
        </is>
      </c>
      <c r="B564" s="1" t="n">
        <v>45329</v>
      </c>
      <c r="C564" s="1" t="n">
        <v>45587</v>
      </c>
      <c r="D564" t="inlineStr">
        <is>
          <t>GÄVLEBORGS LÄN</t>
        </is>
      </c>
      <c r="E564" t="inlineStr">
        <is>
          <t>LJUSDAL</t>
        </is>
      </c>
      <c r="G564" t="n">
        <v>2.5</v>
      </c>
      <c r="H564" t="n">
        <v>1</v>
      </c>
      <c r="I564" t="n">
        <v>0</v>
      </c>
      <c r="J564" t="n">
        <v>1</v>
      </c>
      <c r="K564" t="n">
        <v>0</v>
      </c>
      <c r="L564" t="n">
        <v>0</v>
      </c>
      <c r="M564" t="n">
        <v>0</v>
      </c>
      <c r="N564" t="n">
        <v>0</v>
      </c>
      <c r="O564" t="n">
        <v>1</v>
      </c>
      <c r="P564" t="n">
        <v>0</v>
      </c>
      <c r="Q564" t="n">
        <v>1</v>
      </c>
      <c r="R564" s="2" t="inlineStr">
        <is>
          <t>Ävjepilört</t>
        </is>
      </c>
      <c r="S564">
        <f>HYPERLINK("https://klasma.github.io/Logging_2161/artfynd/A 4839-2024 artfynd.xlsx", "A 4839-2024")</f>
        <v/>
      </c>
      <c r="T564">
        <f>HYPERLINK("https://klasma.github.io/Logging_2161/kartor/A 4839-2024 karta.png", "A 4839-2024")</f>
        <v/>
      </c>
      <c r="V564">
        <f>HYPERLINK("https://klasma.github.io/Logging_2161/klagomål/A 4839-2024 FSC-klagomål.docx", "A 4839-2024")</f>
        <v/>
      </c>
      <c r="W564">
        <f>HYPERLINK("https://klasma.github.io/Logging_2161/klagomålsmail/A 4839-2024 FSC-klagomål mail.docx", "A 4839-2024")</f>
        <v/>
      </c>
      <c r="X564">
        <f>HYPERLINK("https://klasma.github.io/Logging_2161/tillsyn/A 4839-2024 tillsynsbegäran.docx", "A 4839-2024")</f>
        <v/>
      </c>
      <c r="Y564">
        <f>HYPERLINK("https://klasma.github.io/Logging_2161/tillsynsmail/A 4839-2024 tillsynsbegäran mail.docx", "A 4839-2024")</f>
        <v/>
      </c>
    </row>
    <row r="565" ht="15" customHeight="1">
      <c r="A565" t="inlineStr">
        <is>
          <t>A 5445-2024</t>
        </is>
      </c>
      <c r="B565" s="1" t="n">
        <v>45331</v>
      </c>
      <c r="C565" s="1" t="n">
        <v>45587</v>
      </c>
      <c r="D565" t="inlineStr">
        <is>
          <t>GÄVLEBORGS LÄN</t>
        </is>
      </c>
      <c r="E565" t="inlineStr">
        <is>
          <t>LJUSDAL</t>
        </is>
      </c>
      <c r="F565" t="inlineStr">
        <is>
          <t>SCA</t>
        </is>
      </c>
      <c r="G565" t="n">
        <v>14.8</v>
      </c>
      <c r="H565" t="n">
        <v>1</v>
      </c>
      <c r="I565" t="n">
        <v>0</v>
      </c>
      <c r="J565" t="n">
        <v>0</v>
      </c>
      <c r="K565" t="n">
        <v>0</v>
      </c>
      <c r="L565" t="n">
        <v>0</v>
      </c>
      <c r="M565" t="n">
        <v>0</v>
      </c>
      <c r="N565" t="n">
        <v>0</v>
      </c>
      <c r="O565" t="n">
        <v>0</v>
      </c>
      <c r="P565" t="n">
        <v>0</v>
      </c>
      <c r="Q565" t="n">
        <v>1</v>
      </c>
      <c r="R565" s="2" t="inlineStr">
        <is>
          <t>Revlummer</t>
        </is>
      </c>
      <c r="S565">
        <f>HYPERLINK("https://klasma.github.io/Logging_2161/artfynd/A 5445-2024 artfynd.xlsx", "A 5445-2024")</f>
        <v/>
      </c>
      <c r="T565">
        <f>HYPERLINK("https://klasma.github.io/Logging_2161/kartor/A 5445-2024 karta.png", "A 5445-2024")</f>
        <v/>
      </c>
      <c r="V565">
        <f>HYPERLINK("https://klasma.github.io/Logging_2161/klagomål/A 5445-2024 FSC-klagomål.docx", "A 5445-2024")</f>
        <v/>
      </c>
      <c r="W565">
        <f>HYPERLINK("https://klasma.github.io/Logging_2161/klagomålsmail/A 5445-2024 FSC-klagomål mail.docx", "A 5445-2024")</f>
        <v/>
      </c>
      <c r="X565">
        <f>HYPERLINK("https://klasma.github.io/Logging_2161/tillsyn/A 5445-2024 tillsynsbegäran.docx", "A 5445-2024")</f>
        <v/>
      </c>
      <c r="Y565">
        <f>HYPERLINK("https://klasma.github.io/Logging_2161/tillsynsmail/A 5445-2024 tillsynsbegäran mail.docx", "A 5445-2024")</f>
        <v/>
      </c>
    </row>
    <row r="566" ht="15" customHeight="1">
      <c r="A566" t="inlineStr">
        <is>
          <t>A 7296-2024</t>
        </is>
      </c>
      <c r="B566" s="1" t="n">
        <v>45344</v>
      </c>
      <c r="C566" s="1" t="n">
        <v>45587</v>
      </c>
      <c r="D566" t="inlineStr">
        <is>
          <t>GÄVLEBORGS LÄN</t>
        </is>
      </c>
      <c r="E566" t="inlineStr">
        <is>
          <t>GÄVLE</t>
        </is>
      </c>
      <c r="G566" t="n">
        <v>1.4</v>
      </c>
      <c r="H566" t="n">
        <v>1</v>
      </c>
      <c r="I566" t="n">
        <v>0</v>
      </c>
      <c r="J566" t="n">
        <v>0</v>
      </c>
      <c r="K566" t="n">
        <v>0</v>
      </c>
      <c r="L566" t="n">
        <v>0</v>
      </c>
      <c r="M566" t="n">
        <v>0</v>
      </c>
      <c r="N566" t="n">
        <v>0</v>
      </c>
      <c r="O566" t="n">
        <v>0</v>
      </c>
      <c r="P566" t="n">
        <v>0</v>
      </c>
      <c r="Q566" t="n">
        <v>1</v>
      </c>
      <c r="R566" s="2" t="inlineStr">
        <is>
          <t>Blåsippa</t>
        </is>
      </c>
      <c r="S566">
        <f>HYPERLINK("https://klasma.github.io/Logging_2180/artfynd/A 7296-2024 artfynd.xlsx", "A 7296-2024")</f>
        <v/>
      </c>
      <c r="T566">
        <f>HYPERLINK("https://klasma.github.io/Logging_2180/kartor/A 7296-2024 karta.png", "A 7296-2024")</f>
        <v/>
      </c>
      <c r="V566">
        <f>HYPERLINK("https://klasma.github.io/Logging_2180/klagomål/A 7296-2024 FSC-klagomål.docx", "A 7296-2024")</f>
        <v/>
      </c>
      <c r="W566">
        <f>HYPERLINK("https://klasma.github.io/Logging_2180/klagomålsmail/A 7296-2024 FSC-klagomål mail.docx", "A 7296-2024")</f>
        <v/>
      </c>
      <c r="X566">
        <f>HYPERLINK("https://klasma.github.io/Logging_2180/tillsyn/A 7296-2024 tillsynsbegäran.docx", "A 7296-2024")</f>
        <v/>
      </c>
      <c r="Y566">
        <f>HYPERLINK("https://klasma.github.io/Logging_2180/tillsynsmail/A 7296-2024 tillsynsbegäran mail.docx", "A 7296-2024")</f>
        <v/>
      </c>
    </row>
    <row r="567" ht="15" customHeight="1">
      <c r="A567" t="inlineStr">
        <is>
          <t>A 7354-2024</t>
        </is>
      </c>
      <c r="B567" s="1" t="n">
        <v>45345</v>
      </c>
      <c r="C567" s="1" t="n">
        <v>45587</v>
      </c>
      <c r="D567" t="inlineStr">
        <is>
          <t>GÄVLEBORGS LÄN</t>
        </is>
      </c>
      <c r="E567" t="inlineStr">
        <is>
          <t>HUDIKSVALL</t>
        </is>
      </c>
      <c r="F567" t="inlineStr">
        <is>
          <t>Holmen skog AB</t>
        </is>
      </c>
      <c r="G567" t="n">
        <v>12.9</v>
      </c>
      <c r="H567" t="n">
        <v>1</v>
      </c>
      <c r="I567" t="n">
        <v>0</v>
      </c>
      <c r="J567" t="n">
        <v>0</v>
      </c>
      <c r="K567" t="n">
        <v>0</v>
      </c>
      <c r="L567" t="n">
        <v>0</v>
      </c>
      <c r="M567" t="n">
        <v>0</v>
      </c>
      <c r="N567" t="n">
        <v>0</v>
      </c>
      <c r="O567" t="n">
        <v>0</v>
      </c>
      <c r="P567" t="n">
        <v>0</v>
      </c>
      <c r="Q567" t="n">
        <v>1</v>
      </c>
      <c r="R567" s="2" t="inlineStr">
        <is>
          <t>Nattviol</t>
        </is>
      </c>
      <c r="S567">
        <f>HYPERLINK("https://klasma.github.io/Logging_2184/artfynd/A 7354-2024 artfynd.xlsx", "A 7354-2024")</f>
        <v/>
      </c>
      <c r="T567">
        <f>HYPERLINK("https://klasma.github.io/Logging_2184/kartor/A 7354-2024 karta.png", "A 7354-2024")</f>
        <v/>
      </c>
      <c r="V567">
        <f>HYPERLINK("https://klasma.github.io/Logging_2184/klagomål/A 7354-2024 FSC-klagomål.docx", "A 7354-2024")</f>
        <v/>
      </c>
      <c r="W567">
        <f>HYPERLINK("https://klasma.github.io/Logging_2184/klagomålsmail/A 7354-2024 FSC-klagomål mail.docx", "A 7354-2024")</f>
        <v/>
      </c>
      <c r="X567">
        <f>HYPERLINK("https://klasma.github.io/Logging_2184/tillsyn/A 7354-2024 tillsynsbegäran.docx", "A 7354-2024")</f>
        <v/>
      </c>
      <c r="Y567">
        <f>HYPERLINK("https://klasma.github.io/Logging_2184/tillsynsmail/A 7354-2024 tillsynsbegäran mail.docx", "A 7354-2024")</f>
        <v/>
      </c>
    </row>
    <row r="568" ht="15" customHeight="1">
      <c r="A568" t="inlineStr">
        <is>
          <t>A 7543-2024</t>
        </is>
      </c>
      <c r="B568" s="1" t="n">
        <v>45348</v>
      </c>
      <c r="C568" s="1" t="n">
        <v>45587</v>
      </c>
      <c r="D568" t="inlineStr">
        <is>
          <t>GÄVLEBORGS LÄN</t>
        </is>
      </c>
      <c r="E568" t="inlineStr">
        <is>
          <t>HOFORS</t>
        </is>
      </c>
      <c r="G568" t="n">
        <v>3.2</v>
      </c>
      <c r="H568" t="n">
        <v>0</v>
      </c>
      <c r="I568" t="n">
        <v>1</v>
      </c>
      <c r="J568" t="n">
        <v>0</v>
      </c>
      <c r="K568" t="n">
        <v>0</v>
      </c>
      <c r="L568" t="n">
        <v>0</v>
      </c>
      <c r="M568" t="n">
        <v>0</v>
      </c>
      <c r="N568" t="n">
        <v>0</v>
      </c>
      <c r="O568" t="n">
        <v>0</v>
      </c>
      <c r="P568" t="n">
        <v>0</v>
      </c>
      <c r="Q568" t="n">
        <v>1</v>
      </c>
      <c r="R568" s="2" t="inlineStr">
        <is>
          <t>Svart trolldruva</t>
        </is>
      </c>
      <c r="S568">
        <f>HYPERLINK("https://klasma.github.io/Logging_2104/artfynd/A 7543-2024 artfynd.xlsx", "A 7543-2024")</f>
        <v/>
      </c>
      <c r="T568">
        <f>HYPERLINK("https://klasma.github.io/Logging_2104/kartor/A 7543-2024 karta.png", "A 7543-2024")</f>
        <v/>
      </c>
      <c r="V568">
        <f>HYPERLINK("https://klasma.github.io/Logging_2104/klagomål/A 7543-2024 FSC-klagomål.docx", "A 7543-2024")</f>
        <v/>
      </c>
      <c r="W568">
        <f>HYPERLINK("https://klasma.github.io/Logging_2104/klagomålsmail/A 7543-2024 FSC-klagomål mail.docx", "A 7543-2024")</f>
        <v/>
      </c>
      <c r="X568">
        <f>HYPERLINK("https://klasma.github.io/Logging_2104/tillsyn/A 7543-2024 tillsynsbegäran.docx", "A 7543-2024")</f>
        <v/>
      </c>
      <c r="Y568">
        <f>HYPERLINK("https://klasma.github.io/Logging_2104/tillsynsmail/A 7543-2024 tillsynsbegäran mail.docx", "A 7543-2024")</f>
        <v/>
      </c>
    </row>
    <row r="569" ht="15" customHeight="1">
      <c r="A569" t="inlineStr">
        <is>
          <t>A 10533-2024</t>
        </is>
      </c>
      <c r="B569" s="1" t="n">
        <v>45366</v>
      </c>
      <c r="C569" s="1" t="n">
        <v>45587</v>
      </c>
      <c r="D569" t="inlineStr">
        <is>
          <t>GÄVLEBORGS LÄN</t>
        </is>
      </c>
      <c r="E569" t="inlineStr">
        <is>
          <t>OCKELBO</t>
        </is>
      </c>
      <c r="G569" t="n">
        <v>8.5</v>
      </c>
      <c r="H569" t="n">
        <v>0</v>
      </c>
      <c r="I569" t="n">
        <v>0</v>
      </c>
      <c r="J569" t="n">
        <v>1</v>
      </c>
      <c r="K569" t="n">
        <v>0</v>
      </c>
      <c r="L569" t="n">
        <v>0</v>
      </c>
      <c r="M569" t="n">
        <v>0</v>
      </c>
      <c r="N569" t="n">
        <v>0</v>
      </c>
      <c r="O569" t="n">
        <v>1</v>
      </c>
      <c r="P569" t="n">
        <v>0</v>
      </c>
      <c r="Q569" t="n">
        <v>1</v>
      </c>
      <c r="R569" s="2" t="inlineStr">
        <is>
          <t>Violettgrå tagellav</t>
        </is>
      </c>
      <c r="S569">
        <f>HYPERLINK("https://klasma.github.io/Logging_2101/artfynd/A 10533-2024 artfynd.xlsx", "A 10533-2024")</f>
        <v/>
      </c>
      <c r="T569">
        <f>HYPERLINK("https://klasma.github.io/Logging_2101/kartor/A 10533-2024 karta.png", "A 10533-2024")</f>
        <v/>
      </c>
      <c r="V569">
        <f>HYPERLINK("https://klasma.github.io/Logging_2101/klagomål/A 10533-2024 FSC-klagomål.docx", "A 10533-2024")</f>
        <v/>
      </c>
      <c r="W569">
        <f>HYPERLINK("https://klasma.github.io/Logging_2101/klagomålsmail/A 10533-2024 FSC-klagomål mail.docx", "A 10533-2024")</f>
        <v/>
      </c>
      <c r="X569">
        <f>HYPERLINK("https://klasma.github.io/Logging_2101/tillsyn/A 10533-2024 tillsynsbegäran.docx", "A 10533-2024")</f>
        <v/>
      </c>
      <c r="Y569">
        <f>HYPERLINK("https://klasma.github.io/Logging_2101/tillsynsmail/A 10533-2024 tillsynsbegäran mail.docx", "A 10533-2024")</f>
        <v/>
      </c>
    </row>
    <row r="570" ht="15" customHeight="1">
      <c r="A570" t="inlineStr">
        <is>
          <t>A 10783-2024</t>
        </is>
      </c>
      <c r="B570" s="1" t="n">
        <v>45369</v>
      </c>
      <c r="C570" s="1" t="n">
        <v>45587</v>
      </c>
      <c r="D570" t="inlineStr">
        <is>
          <t>GÄVLEBORGS LÄN</t>
        </is>
      </c>
      <c r="E570" t="inlineStr">
        <is>
          <t>SANDVIKEN</t>
        </is>
      </c>
      <c r="G570" t="n">
        <v>5</v>
      </c>
      <c r="H570" t="n">
        <v>1</v>
      </c>
      <c r="I570" t="n">
        <v>0</v>
      </c>
      <c r="J570" t="n">
        <v>0</v>
      </c>
      <c r="K570" t="n">
        <v>0</v>
      </c>
      <c r="L570" t="n">
        <v>0</v>
      </c>
      <c r="M570" t="n">
        <v>0</v>
      </c>
      <c r="N570" t="n">
        <v>0</v>
      </c>
      <c r="O570" t="n">
        <v>0</v>
      </c>
      <c r="P570" t="n">
        <v>0</v>
      </c>
      <c r="Q570" t="n">
        <v>1</v>
      </c>
      <c r="R570" s="2" t="inlineStr">
        <is>
          <t>Blåsippa</t>
        </is>
      </c>
      <c r="S570">
        <f>HYPERLINK("https://klasma.github.io/Logging_2181/artfynd/A 10783-2024 artfynd.xlsx", "A 10783-2024")</f>
        <v/>
      </c>
      <c r="T570">
        <f>HYPERLINK("https://klasma.github.io/Logging_2181/kartor/A 10783-2024 karta.png", "A 10783-2024")</f>
        <v/>
      </c>
      <c r="V570">
        <f>HYPERLINK("https://klasma.github.io/Logging_2181/klagomål/A 10783-2024 FSC-klagomål.docx", "A 10783-2024")</f>
        <v/>
      </c>
      <c r="W570">
        <f>HYPERLINK("https://klasma.github.io/Logging_2181/klagomålsmail/A 10783-2024 FSC-klagomål mail.docx", "A 10783-2024")</f>
        <v/>
      </c>
      <c r="X570">
        <f>HYPERLINK("https://klasma.github.io/Logging_2181/tillsyn/A 10783-2024 tillsynsbegäran.docx", "A 10783-2024")</f>
        <v/>
      </c>
      <c r="Y570">
        <f>HYPERLINK("https://klasma.github.io/Logging_2181/tillsynsmail/A 10783-2024 tillsynsbegäran mail.docx", "A 10783-2024")</f>
        <v/>
      </c>
    </row>
    <row r="571" ht="15" customHeight="1">
      <c r="A571" t="inlineStr">
        <is>
          <t>A 13048-2024</t>
        </is>
      </c>
      <c r="B571" s="1" t="n">
        <v>45385</v>
      </c>
      <c r="C571" s="1" t="n">
        <v>45587</v>
      </c>
      <c r="D571" t="inlineStr">
        <is>
          <t>GÄVLEBORGS LÄN</t>
        </is>
      </c>
      <c r="E571" t="inlineStr">
        <is>
          <t>SÖDERHAMN</t>
        </is>
      </c>
      <c r="G571" t="n">
        <v>1.6</v>
      </c>
      <c r="H571" t="n">
        <v>0</v>
      </c>
      <c r="I571" t="n">
        <v>0</v>
      </c>
      <c r="J571" t="n">
        <v>1</v>
      </c>
      <c r="K571" t="n">
        <v>0</v>
      </c>
      <c r="L571" t="n">
        <v>0</v>
      </c>
      <c r="M571" t="n">
        <v>0</v>
      </c>
      <c r="N571" t="n">
        <v>0</v>
      </c>
      <c r="O571" t="n">
        <v>1</v>
      </c>
      <c r="P571" t="n">
        <v>0</v>
      </c>
      <c r="Q571" t="n">
        <v>1</v>
      </c>
      <c r="R571" s="2" t="inlineStr">
        <is>
          <t>Dofttaggsvamp</t>
        </is>
      </c>
      <c r="S571">
        <f>HYPERLINK("https://klasma.github.io/Logging_2182/artfynd/A 13048-2024 artfynd.xlsx", "A 13048-2024")</f>
        <v/>
      </c>
      <c r="T571">
        <f>HYPERLINK("https://klasma.github.io/Logging_2182/kartor/A 13048-2024 karta.png", "A 13048-2024")</f>
        <v/>
      </c>
      <c r="V571">
        <f>HYPERLINK("https://klasma.github.io/Logging_2182/klagomål/A 13048-2024 FSC-klagomål.docx", "A 13048-2024")</f>
        <v/>
      </c>
      <c r="W571">
        <f>HYPERLINK("https://klasma.github.io/Logging_2182/klagomålsmail/A 13048-2024 FSC-klagomål mail.docx", "A 13048-2024")</f>
        <v/>
      </c>
      <c r="X571">
        <f>HYPERLINK("https://klasma.github.io/Logging_2182/tillsyn/A 13048-2024 tillsynsbegäran.docx", "A 13048-2024")</f>
        <v/>
      </c>
      <c r="Y571">
        <f>HYPERLINK("https://klasma.github.io/Logging_2182/tillsynsmail/A 13048-2024 tillsynsbegäran mail.docx", "A 13048-2024")</f>
        <v/>
      </c>
    </row>
    <row r="572" ht="15" customHeight="1">
      <c r="A572" t="inlineStr">
        <is>
          <t>A 14194-2024</t>
        </is>
      </c>
      <c r="B572" s="1" t="n">
        <v>45393</v>
      </c>
      <c r="C572" s="1" t="n">
        <v>45587</v>
      </c>
      <c r="D572" t="inlineStr">
        <is>
          <t>GÄVLEBORGS LÄN</t>
        </is>
      </c>
      <c r="E572" t="inlineStr">
        <is>
          <t>NORDANSTIG</t>
        </is>
      </c>
      <c r="G572" t="n">
        <v>20</v>
      </c>
      <c r="H572" t="n">
        <v>1</v>
      </c>
      <c r="I572" t="n">
        <v>0</v>
      </c>
      <c r="J572" t="n">
        <v>0</v>
      </c>
      <c r="K572" t="n">
        <v>0</v>
      </c>
      <c r="L572" t="n">
        <v>0</v>
      </c>
      <c r="M572" t="n">
        <v>0</v>
      </c>
      <c r="N572" t="n">
        <v>0</v>
      </c>
      <c r="O572" t="n">
        <v>0</v>
      </c>
      <c r="P572" t="n">
        <v>0</v>
      </c>
      <c r="Q572" t="n">
        <v>1</v>
      </c>
      <c r="R572" s="2" t="inlineStr">
        <is>
          <t>Fläcknycklar</t>
        </is>
      </c>
      <c r="S572">
        <f>HYPERLINK("https://klasma.github.io/Logging_2132/artfynd/A 14194-2024 artfynd.xlsx", "A 14194-2024")</f>
        <v/>
      </c>
      <c r="T572">
        <f>HYPERLINK("https://klasma.github.io/Logging_2132/kartor/A 14194-2024 karta.png", "A 14194-2024")</f>
        <v/>
      </c>
      <c r="V572">
        <f>HYPERLINK("https://klasma.github.io/Logging_2132/klagomål/A 14194-2024 FSC-klagomål.docx", "A 14194-2024")</f>
        <v/>
      </c>
      <c r="W572">
        <f>HYPERLINK("https://klasma.github.io/Logging_2132/klagomålsmail/A 14194-2024 FSC-klagomål mail.docx", "A 14194-2024")</f>
        <v/>
      </c>
      <c r="X572">
        <f>HYPERLINK("https://klasma.github.io/Logging_2132/tillsyn/A 14194-2024 tillsynsbegäran.docx", "A 14194-2024")</f>
        <v/>
      </c>
      <c r="Y572">
        <f>HYPERLINK("https://klasma.github.io/Logging_2132/tillsynsmail/A 14194-2024 tillsynsbegäran mail.docx", "A 14194-2024")</f>
        <v/>
      </c>
    </row>
    <row r="573" ht="15" customHeight="1">
      <c r="A573" t="inlineStr">
        <is>
          <t>A 14726-2024</t>
        </is>
      </c>
      <c r="B573" s="1" t="n">
        <v>45397</v>
      </c>
      <c r="C573" s="1" t="n">
        <v>45587</v>
      </c>
      <c r="D573" t="inlineStr">
        <is>
          <t>GÄVLEBORGS LÄN</t>
        </is>
      </c>
      <c r="E573" t="inlineStr">
        <is>
          <t>GÄVLE</t>
        </is>
      </c>
      <c r="F573" t="inlineStr">
        <is>
          <t>Bergvik skog öst AB</t>
        </is>
      </c>
      <c r="G573" t="n">
        <v>9.9</v>
      </c>
      <c r="H573" t="n">
        <v>0</v>
      </c>
      <c r="I573" t="n">
        <v>1</v>
      </c>
      <c r="J573" t="n">
        <v>0</v>
      </c>
      <c r="K573" t="n">
        <v>0</v>
      </c>
      <c r="L573" t="n">
        <v>0</v>
      </c>
      <c r="M573" t="n">
        <v>0</v>
      </c>
      <c r="N573" t="n">
        <v>0</v>
      </c>
      <c r="O573" t="n">
        <v>0</v>
      </c>
      <c r="P573" t="n">
        <v>0</v>
      </c>
      <c r="Q573" t="n">
        <v>1</v>
      </c>
      <c r="R573" s="2" t="inlineStr">
        <is>
          <t>Grönpyrola</t>
        </is>
      </c>
      <c r="S573">
        <f>HYPERLINK("https://klasma.github.io/Logging_2180/artfynd/A 14726-2024 artfynd.xlsx", "A 14726-2024")</f>
        <v/>
      </c>
      <c r="T573">
        <f>HYPERLINK("https://klasma.github.io/Logging_2180/kartor/A 14726-2024 karta.png", "A 14726-2024")</f>
        <v/>
      </c>
      <c r="V573">
        <f>HYPERLINK("https://klasma.github.io/Logging_2180/klagomål/A 14726-2024 FSC-klagomål.docx", "A 14726-2024")</f>
        <v/>
      </c>
      <c r="W573">
        <f>HYPERLINK("https://klasma.github.io/Logging_2180/klagomålsmail/A 14726-2024 FSC-klagomål mail.docx", "A 14726-2024")</f>
        <v/>
      </c>
      <c r="X573">
        <f>HYPERLINK("https://klasma.github.io/Logging_2180/tillsyn/A 14726-2024 tillsynsbegäran.docx", "A 14726-2024")</f>
        <v/>
      </c>
      <c r="Y573">
        <f>HYPERLINK("https://klasma.github.io/Logging_2180/tillsynsmail/A 14726-2024 tillsynsbegäran mail.docx", "A 14726-2024")</f>
        <v/>
      </c>
    </row>
    <row r="574" ht="15" customHeight="1">
      <c r="A574" t="inlineStr">
        <is>
          <t>A 14847-2024</t>
        </is>
      </c>
      <c r="B574" s="1" t="n">
        <v>45398</v>
      </c>
      <c r="C574" s="1" t="n">
        <v>45587</v>
      </c>
      <c r="D574" t="inlineStr">
        <is>
          <t>GÄVLEBORGS LÄN</t>
        </is>
      </c>
      <c r="E574" t="inlineStr">
        <is>
          <t>GÄVLE</t>
        </is>
      </c>
      <c r="F574" t="inlineStr">
        <is>
          <t>Bergvik skog öst AB</t>
        </is>
      </c>
      <c r="G574" t="n">
        <v>23.2</v>
      </c>
      <c r="H574" t="n">
        <v>0</v>
      </c>
      <c r="I574" t="n">
        <v>0</v>
      </c>
      <c r="J574" t="n">
        <v>1</v>
      </c>
      <c r="K574" t="n">
        <v>0</v>
      </c>
      <c r="L574" t="n">
        <v>0</v>
      </c>
      <c r="M574" t="n">
        <v>0</v>
      </c>
      <c r="N574" t="n">
        <v>0</v>
      </c>
      <c r="O574" t="n">
        <v>1</v>
      </c>
      <c r="P574" t="n">
        <v>0</v>
      </c>
      <c r="Q574" t="n">
        <v>1</v>
      </c>
      <c r="R574" s="2" t="inlineStr">
        <is>
          <t>Skogsklocka</t>
        </is>
      </c>
      <c r="S574">
        <f>HYPERLINK("https://klasma.github.io/Logging_2180/artfynd/A 14847-2024 artfynd.xlsx", "A 14847-2024")</f>
        <v/>
      </c>
      <c r="T574">
        <f>HYPERLINK("https://klasma.github.io/Logging_2180/kartor/A 14847-2024 karta.png", "A 14847-2024")</f>
        <v/>
      </c>
      <c r="V574">
        <f>HYPERLINK("https://klasma.github.io/Logging_2180/klagomål/A 14847-2024 FSC-klagomål.docx", "A 14847-2024")</f>
        <v/>
      </c>
      <c r="W574">
        <f>HYPERLINK("https://klasma.github.io/Logging_2180/klagomålsmail/A 14847-2024 FSC-klagomål mail.docx", "A 14847-2024")</f>
        <v/>
      </c>
      <c r="X574">
        <f>HYPERLINK("https://klasma.github.io/Logging_2180/tillsyn/A 14847-2024 tillsynsbegäran.docx", "A 14847-2024")</f>
        <v/>
      </c>
      <c r="Y574">
        <f>HYPERLINK("https://klasma.github.io/Logging_2180/tillsynsmail/A 14847-2024 tillsynsbegäran mail.docx", "A 14847-2024")</f>
        <v/>
      </c>
    </row>
    <row r="575" ht="15" customHeight="1">
      <c r="A575" t="inlineStr">
        <is>
          <t>A 15659-2024</t>
        </is>
      </c>
      <c r="B575" s="1" t="n">
        <v>45404</v>
      </c>
      <c r="C575" s="1" t="n">
        <v>45587</v>
      </c>
      <c r="D575" t="inlineStr">
        <is>
          <t>GÄVLEBORGS LÄN</t>
        </is>
      </c>
      <c r="E575" t="inlineStr">
        <is>
          <t>OCKELBO</t>
        </is>
      </c>
      <c r="F575" t="inlineStr">
        <is>
          <t>Bergvik skog väst AB</t>
        </is>
      </c>
      <c r="G575" t="n">
        <v>6.4</v>
      </c>
      <c r="H575" t="n">
        <v>1</v>
      </c>
      <c r="I575" t="n">
        <v>0</v>
      </c>
      <c r="J575" t="n">
        <v>0</v>
      </c>
      <c r="K575" t="n">
        <v>0</v>
      </c>
      <c r="L575" t="n">
        <v>0</v>
      </c>
      <c r="M575" t="n">
        <v>0</v>
      </c>
      <c r="N575" t="n">
        <v>0</v>
      </c>
      <c r="O575" t="n">
        <v>0</v>
      </c>
      <c r="P575" t="n">
        <v>0</v>
      </c>
      <c r="Q575" t="n">
        <v>1</v>
      </c>
      <c r="R575" s="2" t="inlineStr">
        <is>
          <t>Fläcknycklar</t>
        </is>
      </c>
      <c r="S575">
        <f>HYPERLINK("https://klasma.github.io/Logging_2101/artfynd/A 15659-2024 artfynd.xlsx", "A 15659-2024")</f>
        <v/>
      </c>
      <c r="T575">
        <f>HYPERLINK("https://klasma.github.io/Logging_2101/kartor/A 15659-2024 karta.png", "A 15659-2024")</f>
        <v/>
      </c>
      <c r="V575">
        <f>HYPERLINK("https://klasma.github.io/Logging_2101/klagomål/A 15659-2024 FSC-klagomål.docx", "A 15659-2024")</f>
        <v/>
      </c>
      <c r="W575">
        <f>HYPERLINK("https://klasma.github.io/Logging_2101/klagomålsmail/A 15659-2024 FSC-klagomål mail.docx", "A 15659-2024")</f>
        <v/>
      </c>
      <c r="X575">
        <f>HYPERLINK("https://klasma.github.io/Logging_2101/tillsyn/A 15659-2024 tillsynsbegäran.docx", "A 15659-2024")</f>
        <v/>
      </c>
      <c r="Y575">
        <f>HYPERLINK("https://klasma.github.io/Logging_2101/tillsynsmail/A 15659-2024 tillsynsbegäran mail.docx", "A 15659-2024")</f>
        <v/>
      </c>
    </row>
    <row r="576" ht="15" customHeight="1">
      <c r="A576" t="inlineStr">
        <is>
          <t>A 16580-2024</t>
        </is>
      </c>
      <c r="B576" s="1" t="n">
        <v>45408</v>
      </c>
      <c r="C576" s="1" t="n">
        <v>45587</v>
      </c>
      <c r="D576" t="inlineStr">
        <is>
          <t>GÄVLEBORGS LÄN</t>
        </is>
      </c>
      <c r="E576" t="inlineStr">
        <is>
          <t>OCKELBO</t>
        </is>
      </c>
      <c r="F576" t="inlineStr">
        <is>
          <t>Bergvik skog väst AB</t>
        </is>
      </c>
      <c r="G576" t="n">
        <v>14.9</v>
      </c>
      <c r="H576" t="n">
        <v>1</v>
      </c>
      <c r="I576" t="n">
        <v>0</v>
      </c>
      <c r="J576" t="n">
        <v>0</v>
      </c>
      <c r="K576" t="n">
        <v>0</v>
      </c>
      <c r="L576" t="n">
        <v>0</v>
      </c>
      <c r="M576" t="n">
        <v>0</v>
      </c>
      <c r="N576" t="n">
        <v>0</v>
      </c>
      <c r="O576" t="n">
        <v>0</v>
      </c>
      <c r="P576" t="n">
        <v>0</v>
      </c>
      <c r="Q576" t="n">
        <v>1</v>
      </c>
      <c r="R576" s="2" t="inlineStr">
        <is>
          <t>Fläcknycklar</t>
        </is>
      </c>
      <c r="S576">
        <f>HYPERLINK("https://klasma.github.io/Logging_2101/artfynd/A 16580-2024 artfynd.xlsx", "A 16580-2024")</f>
        <v/>
      </c>
      <c r="T576">
        <f>HYPERLINK("https://klasma.github.io/Logging_2101/kartor/A 16580-2024 karta.png", "A 16580-2024")</f>
        <v/>
      </c>
      <c r="V576">
        <f>HYPERLINK("https://klasma.github.io/Logging_2101/klagomål/A 16580-2024 FSC-klagomål.docx", "A 16580-2024")</f>
        <v/>
      </c>
      <c r="W576">
        <f>HYPERLINK("https://klasma.github.io/Logging_2101/klagomålsmail/A 16580-2024 FSC-klagomål mail.docx", "A 16580-2024")</f>
        <v/>
      </c>
      <c r="X576">
        <f>HYPERLINK("https://klasma.github.io/Logging_2101/tillsyn/A 16580-2024 tillsynsbegäran.docx", "A 16580-2024")</f>
        <v/>
      </c>
      <c r="Y576">
        <f>HYPERLINK("https://klasma.github.io/Logging_2101/tillsynsmail/A 16580-2024 tillsynsbegäran mail.docx", "A 16580-2024")</f>
        <v/>
      </c>
    </row>
    <row r="577" ht="15" customHeight="1">
      <c r="A577" t="inlineStr">
        <is>
          <t>A 18215-2024</t>
        </is>
      </c>
      <c r="B577" s="1" t="n">
        <v>45420</v>
      </c>
      <c r="C577" s="1" t="n">
        <v>45587</v>
      </c>
      <c r="D577" t="inlineStr">
        <is>
          <t>GÄVLEBORGS LÄN</t>
        </is>
      </c>
      <c r="E577" t="inlineStr">
        <is>
          <t>GÄVLE</t>
        </is>
      </c>
      <c r="F577" t="inlineStr">
        <is>
          <t>Bergvik skog väst AB</t>
        </is>
      </c>
      <c r="G577" t="n">
        <v>68.59999999999999</v>
      </c>
      <c r="H577" t="n">
        <v>1</v>
      </c>
      <c r="I577" t="n">
        <v>0</v>
      </c>
      <c r="J577" t="n">
        <v>0</v>
      </c>
      <c r="K577" t="n">
        <v>0</v>
      </c>
      <c r="L577" t="n">
        <v>0</v>
      </c>
      <c r="M577" t="n">
        <v>0</v>
      </c>
      <c r="N577" t="n">
        <v>0</v>
      </c>
      <c r="O577" t="n">
        <v>0</v>
      </c>
      <c r="P577" t="n">
        <v>0</v>
      </c>
      <c r="Q577" t="n">
        <v>1</v>
      </c>
      <c r="R577" s="2" t="inlineStr">
        <is>
          <t>Huggorm</t>
        </is>
      </c>
      <c r="S577">
        <f>HYPERLINK("https://klasma.github.io/Logging_2180/artfynd/A 18215-2024 artfynd.xlsx", "A 18215-2024")</f>
        <v/>
      </c>
      <c r="T577">
        <f>HYPERLINK("https://klasma.github.io/Logging_2180/kartor/A 18215-2024 karta.png", "A 18215-2024")</f>
        <v/>
      </c>
      <c r="V577">
        <f>HYPERLINK("https://klasma.github.io/Logging_2180/klagomål/A 18215-2024 FSC-klagomål.docx", "A 18215-2024")</f>
        <v/>
      </c>
      <c r="W577">
        <f>HYPERLINK("https://klasma.github.io/Logging_2180/klagomålsmail/A 18215-2024 FSC-klagomål mail.docx", "A 18215-2024")</f>
        <v/>
      </c>
      <c r="X577">
        <f>HYPERLINK("https://klasma.github.io/Logging_2180/tillsyn/A 18215-2024 tillsynsbegäran.docx", "A 18215-2024")</f>
        <v/>
      </c>
      <c r="Y577">
        <f>HYPERLINK("https://klasma.github.io/Logging_2180/tillsynsmail/A 18215-2024 tillsynsbegäran mail.docx", "A 18215-2024")</f>
        <v/>
      </c>
    </row>
    <row r="578" ht="15" customHeight="1">
      <c r="A578" t="inlineStr">
        <is>
          <t>A 18376-2024</t>
        </is>
      </c>
      <c r="B578" s="1" t="n">
        <v>45423</v>
      </c>
      <c r="C578" s="1" t="n">
        <v>45587</v>
      </c>
      <c r="D578" t="inlineStr">
        <is>
          <t>GÄVLEBORGS LÄN</t>
        </is>
      </c>
      <c r="E578" t="inlineStr">
        <is>
          <t>GÄVLE</t>
        </is>
      </c>
      <c r="F578" t="inlineStr">
        <is>
          <t>Bergvik skog väst AB</t>
        </is>
      </c>
      <c r="G578" t="n">
        <v>2.9</v>
      </c>
      <c r="H578" t="n">
        <v>0</v>
      </c>
      <c r="I578" t="n">
        <v>0</v>
      </c>
      <c r="J578" t="n">
        <v>1</v>
      </c>
      <c r="K578" t="n">
        <v>0</v>
      </c>
      <c r="L578" t="n">
        <v>0</v>
      </c>
      <c r="M578" t="n">
        <v>0</v>
      </c>
      <c r="N578" t="n">
        <v>0</v>
      </c>
      <c r="O578" t="n">
        <v>1</v>
      </c>
      <c r="P578" t="n">
        <v>0</v>
      </c>
      <c r="Q578" t="n">
        <v>1</v>
      </c>
      <c r="R578" s="2" t="inlineStr">
        <is>
          <t>Svart taggsvamp</t>
        </is>
      </c>
      <c r="S578">
        <f>HYPERLINK("https://klasma.github.io/Logging_2180/artfynd/A 18376-2024 artfynd.xlsx", "A 18376-2024")</f>
        <v/>
      </c>
      <c r="T578">
        <f>HYPERLINK("https://klasma.github.io/Logging_2180/kartor/A 18376-2024 karta.png", "A 18376-2024")</f>
        <v/>
      </c>
      <c r="V578">
        <f>HYPERLINK("https://klasma.github.io/Logging_2180/klagomål/A 18376-2024 FSC-klagomål.docx", "A 18376-2024")</f>
        <v/>
      </c>
      <c r="W578">
        <f>HYPERLINK("https://klasma.github.io/Logging_2180/klagomålsmail/A 18376-2024 FSC-klagomål mail.docx", "A 18376-2024")</f>
        <v/>
      </c>
      <c r="X578">
        <f>HYPERLINK("https://klasma.github.io/Logging_2180/tillsyn/A 18376-2024 tillsynsbegäran.docx", "A 18376-2024")</f>
        <v/>
      </c>
      <c r="Y578">
        <f>HYPERLINK("https://klasma.github.io/Logging_2180/tillsynsmail/A 18376-2024 tillsynsbegäran mail.docx", "A 18376-2024")</f>
        <v/>
      </c>
    </row>
    <row r="579" ht="15" customHeight="1">
      <c r="A579" t="inlineStr">
        <is>
          <t>A 19406-2024</t>
        </is>
      </c>
      <c r="B579" s="1" t="n">
        <v>45429</v>
      </c>
      <c r="C579" s="1" t="n">
        <v>45587</v>
      </c>
      <c r="D579" t="inlineStr">
        <is>
          <t>GÄVLEBORGS LÄN</t>
        </is>
      </c>
      <c r="E579" t="inlineStr">
        <is>
          <t>LJUSDAL</t>
        </is>
      </c>
      <c r="F579" t="inlineStr">
        <is>
          <t>Sveaskog</t>
        </is>
      </c>
      <c r="G579" t="n">
        <v>18.4</v>
      </c>
      <c r="H579" t="n">
        <v>1</v>
      </c>
      <c r="I579" t="n">
        <v>0</v>
      </c>
      <c r="J579" t="n">
        <v>0</v>
      </c>
      <c r="K579" t="n">
        <v>0</v>
      </c>
      <c r="L579" t="n">
        <v>0</v>
      </c>
      <c r="M579" t="n">
        <v>0</v>
      </c>
      <c r="N579" t="n">
        <v>0</v>
      </c>
      <c r="O579" t="n">
        <v>0</v>
      </c>
      <c r="P579" t="n">
        <v>0</v>
      </c>
      <c r="Q579" t="n">
        <v>1</v>
      </c>
      <c r="R579" s="2" t="inlineStr">
        <is>
          <t>Blåsippa</t>
        </is>
      </c>
      <c r="S579">
        <f>HYPERLINK("https://klasma.github.io/Logging_2161/artfynd/A 19406-2024 artfynd.xlsx", "A 19406-2024")</f>
        <v/>
      </c>
      <c r="T579">
        <f>HYPERLINK("https://klasma.github.io/Logging_2161/kartor/A 19406-2024 karta.png", "A 19406-2024")</f>
        <v/>
      </c>
      <c r="V579">
        <f>HYPERLINK("https://klasma.github.io/Logging_2161/klagomål/A 19406-2024 FSC-klagomål.docx", "A 19406-2024")</f>
        <v/>
      </c>
      <c r="W579">
        <f>HYPERLINK("https://klasma.github.io/Logging_2161/klagomålsmail/A 19406-2024 FSC-klagomål mail.docx", "A 19406-2024")</f>
        <v/>
      </c>
      <c r="X579">
        <f>HYPERLINK("https://klasma.github.io/Logging_2161/tillsyn/A 19406-2024 tillsynsbegäran.docx", "A 19406-2024")</f>
        <v/>
      </c>
      <c r="Y579">
        <f>HYPERLINK("https://klasma.github.io/Logging_2161/tillsynsmail/A 19406-2024 tillsynsbegäran mail.docx", "A 19406-2024")</f>
        <v/>
      </c>
    </row>
    <row r="580" ht="15" customHeight="1">
      <c r="A580" t="inlineStr">
        <is>
          <t>A 20051-2024</t>
        </is>
      </c>
      <c r="B580" s="1" t="n">
        <v>45434</v>
      </c>
      <c r="C580" s="1" t="n">
        <v>45587</v>
      </c>
      <c r="D580" t="inlineStr">
        <is>
          <t>GÄVLEBORGS LÄN</t>
        </is>
      </c>
      <c r="E580" t="inlineStr">
        <is>
          <t>LJUSDAL</t>
        </is>
      </c>
      <c r="G580" t="n">
        <v>8.699999999999999</v>
      </c>
      <c r="H580" t="n">
        <v>1</v>
      </c>
      <c r="I580" t="n">
        <v>0</v>
      </c>
      <c r="J580" t="n">
        <v>0</v>
      </c>
      <c r="K580" t="n">
        <v>0</v>
      </c>
      <c r="L580" t="n">
        <v>1</v>
      </c>
      <c r="M580" t="n">
        <v>0</v>
      </c>
      <c r="N580" t="n">
        <v>0</v>
      </c>
      <c r="O580" t="n">
        <v>1</v>
      </c>
      <c r="P580" t="n">
        <v>1</v>
      </c>
      <c r="Q580" t="n">
        <v>1</v>
      </c>
      <c r="R580" s="2" t="inlineStr">
        <is>
          <t>Mosippa</t>
        </is>
      </c>
      <c r="S580">
        <f>HYPERLINK("https://klasma.github.io/Logging_2161/artfynd/A 20051-2024 artfynd.xlsx", "A 20051-2024")</f>
        <v/>
      </c>
      <c r="T580">
        <f>HYPERLINK("https://klasma.github.io/Logging_2161/kartor/A 20051-2024 karta.png", "A 20051-2024")</f>
        <v/>
      </c>
      <c r="V580">
        <f>HYPERLINK("https://klasma.github.io/Logging_2161/klagomål/A 20051-2024 FSC-klagomål.docx", "A 20051-2024")</f>
        <v/>
      </c>
      <c r="W580">
        <f>HYPERLINK("https://klasma.github.io/Logging_2161/klagomålsmail/A 20051-2024 FSC-klagomål mail.docx", "A 20051-2024")</f>
        <v/>
      </c>
      <c r="X580">
        <f>HYPERLINK("https://klasma.github.io/Logging_2161/tillsyn/A 20051-2024 tillsynsbegäran.docx", "A 20051-2024")</f>
        <v/>
      </c>
      <c r="Y580">
        <f>HYPERLINK("https://klasma.github.io/Logging_2161/tillsynsmail/A 20051-2024 tillsynsbegäran mail.docx", "A 20051-2024")</f>
        <v/>
      </c>
    </row>
    <row r="581" ht="15" customHeight="1">
      <c r="A581" t="inlineStr">
        <is>
          <t>A 20152-2024</t>
        </is>
      </c>
      <c r="B581" s="1" t="n">
        <v>45434</v>
      </c>
      <c r="C581" s="1" t="n">
        <v>45587</v>
      </c>
      <c r="D581" t="inlineStr">
        <is>
          <t>GÄVLEBORGS LÄN</t>
        </is>
      </c>
      <c r="E581" t="inlineStr">
        <is>
          <t>GÄVLE</t>
        </is>
      </c>
      <c r="F581" t="inlineStr">
        <is>
          <t>Bergvik skog väst AB</t>
        </is>
      </c>
      <c r="G581" t="n">
        <v>13.4</v>
      </c>
      <c r="H581" t="n">
        <v>1</v>
      </c>
      <c r="I581" t="n">
        <v>0</v>
      </c>
      <c r="J581" t="n">
        <v>0</v>
      </c>
      <c r="K581" t="n">
        <v>0</v>
      </c>
      <c r="L581" t="n">
        <v>0</v>
      </c>
      <c r="M581" t="n">
        <v>0</v>
      </c>
      <c r="N581" t="n">
        <v>0</v>
      </c>
      <c r="O581" t="n">
        <v>0</v>
      </c>
      <c r="P581" t="n">
        <v>0</v>
      </c>
      <c r="Q581" t="n">
        <v>1</v>
      </c>
      <c r="R581" s="2" t="inlineStr">
        <is>
          <t>Blåsippa</t>
        </is>
      </c>
      <c r="S581">
        <f>HYPERLINK("https://klasma.github.io/Logging_2180/artfynd/A 20152-2024 artfynd.xlsx", "A 20152-2024")</f>
        <v/>
      </c>
      <c r="T581">
        <f>HYPERLINK("https://klasma.github.io/Logging_2180/kartor/A 20152-2024 karta.png", "A 20152-2024")</f>
        <v/>
      </c>
      <c r="V581">
        <f>HYPERLINK("https://klasma.github.io/Logging_2180/klagomål/A 20152-2024 FSC-klagomål.docx", "A 20152-2024")</f>
        <v/>
      </c>
      <c r="W581">
        <f>HYPERLINK("https://klasma.github.io/Logging_2180/klagomålsmail/A 20152-2024 FSC-klagomål mail.docx", "A 20152-2024")</f>
        <v/>
      </c>
      <c r="X581">
        <f>HYPERLINK("https://klasma.github.io/Logging_2180/tillsyn/A 20152-2024 tillsynsbegäran.docx", "A 20152-2024")</f>
        <v/>
      </c>
      <c r="Y581">
        <f>HYPERLINK("https://klasma.github.io/Logging_2180/tillsynsmail/A 20152-2024 tillsynsbegäran mail.docx", "A 20152-2024")</f>
        <v/>
      </c>
    </row>
    <row r="582" ht="15" customHeight="1">
      <c r="A582" t="inlineStr">
        <is>
          <t>A 20381-2024</t>
        </is>
      </c>
      <c r="B582" s="1" t="n">
        <v>45435</v>
      </c>
      <c r="C582" s="1" t="n">
        <v>45587</v>
      </c>
      <c r="D582" t="inlineStr">
        <is>
          <t>GÄVLEBORGS LÄN</t>
        </is>
      </c>
      <c r="E582" t="inlineStr">
        <is>
          <t>LJUSDAL</t>
        </is>
      </c>
      <c r="F582" t="inlineStr">
        <is>
          <t>Sveaskog</t>
        </is>
      </c>
      <c r="G582" t="n">
        <v>10.8</v>
      </c>
      <c r="H582" t="n">
        <v>1</v>
      </c>
      <c r="I582" t="n">
        <v>0</v>
      </c>
      <c r="J582" t="n">
        <v>0</v>
      </c>
      <c r="K582" t="n">
        <v>1</v>
      </c>
      <c r="L582" t="n">
        <v>0</v>
      </c>
      <c r="M582" t="n">
        <v>0</v>
      </c>
      <c r="N582" t="n">
        <v>0</v>
      </c>
      <c r="O582" t="n">
        <v>1</v>
      </c>
      <c r="P582" t="n">
        <v>1</v>
      </c>
      <c r="Q582" t="n">
        <v>1</v>
      </c>
      <c r="R582" s="2" t="inlineStr">
        <is>
          <t>Knärot</t>
        </is>
      </c>
      <c r="S582">
        <f>HYPERLINK("https://klasma.github.io/Logging_2161/artfynd/A 20381-2024 artfynd.xlsx", "A 20381-2024")</f>
        <v/>
      </c>
      <c r="T582">
        <f>HYPERLINK("https://klasma.github.io/Logging_2161/kartor/A 20381-2024 karta.png", "A 20381-2024")</f>
        <v/>
      </c>
      <c r="U582">
        <f>HYPERLINK("https://klasma.github.io/Logging_2161/knärot/A 20381-2024 karta knärot.png", "A 20381-2024")</f>
        <v/>
      </c>
      <c r="V582">
        <f>HYPERLINK("https://klasma.github.io/Logging_2161/klagomål/A 20381-2024 FSC-klagomål.docx", "A 20381-2024")</f>
        <v/>
      </c>
      <c r="W582">
        <f>HYPERLINK("https://klasma.github.io/Logging_2161/klagomålsmail/A 20381-2024 FSC-klagomål mail.docx", "A 20381-2024")</f>
        <v/>
      </c>
      <c r="X582">
        <f>HYPERLINK("https://klasma.github.io/Logging_2161/tillsyn/A 20381-2024 tillsynsbegäran.docx", "A 20381-2024")</f>
        <v/>
      </c>
      <c r="Y582">
        <f>HYPERLINK("https://klasma.github.io/Logging_2161/tillsynsmail/A 20381-2024 tillsynsbegäran mail.docx", "A 20381-2024")</f>
        <v/>
      </c>
    </row>
    <row r="583" ht="15" customHeight="1">
      <c r="A583" t="inlineStr">
        <is>
          <t>A 20656-2024</t>
        </is>
      </c>
      <c r="B583" s="1" t="n">
        <v>45436</v>
      </c>
      <c r="C583" s="1" t="n">
        <v>45587</v>
      </c>
      <c r="D583" t="inlineStr">
        <is>
          <t>GÄVLEBORGS LÄN</t>
        </is>
      </c>
      <c r="E583" t="inlineStr">
        <is>
          <t>LJUSDAL</t>
        </is>
      </c>
      <c r="F583" t="inlineStr">
        <is>
          <t>Sveaskog</t>
        </is>
      </c>
      <c r="G583" t="n">
        <v>2.7</v>
      </c>
      <c r="H583" t="n">
        <v>0</v>
      </c>
      <c r="I583" t="n">
        <v>0</v>
      </c>
      <c r="J583" t="n">
        <v>1</v>
      </c>
      <c r="K583" t="n">
        <v>0</v>
      </c>
      <c r="L583" t="n">
        <v>0</v>
      </c>
      <c r="M583" t="n">
        <v>0</v>
      </c>
      <c r="N583" t="n">
        <v>0</v>
      </c>
      <c r="O583" t="n">
        <v>1</v>
      </c>
      <c r="P583" t="n">
        <v>0</v>
      </c>
      <c r="Q583" t="n">
        <v>1</v>
      </c>
      <c r="R583" s="2" t="inlineStr">
        <is>
          <t>Tallticka</t>
        </is>
      </c>
      <c r="S583">
        <f>HYPERLINK("https://klasma.github.io/Logging_2161/artfynd/A 20656-2024 artfynd.xlsx", "A 20656-2024")</f>
        <v/>
      </c>
      <c r="T583">
        <f>HYPERLINK("https://klasma.github.io/Logging_2161/kartor/A 20656-2024 karta.png", "A 20656-2024")</f>
        <v/>
      </c>
      <c r="V583">
        <f>HYPERLINK("https://klasma.github.io/Logging_2161/klagomål/A 20656-2024 FSC-klagomål.docx", "A 20656-2024")</f>
        <v/>
      </c>
      <c r="W583">
        <f>HYPERLINK("https://klasma.github.io/Logging_2161/klagomålsmail/A 20656-2024 FSC-klagomål mail.docx", "A 20656-2024")</f>
        <v/>
      </c>
      <c r="X583">
        <f>HYPERLINK("https://klasma.github.io/Logging_2161/tillsyn/A 20656-2024 tillsynsbegäran.docx", "A 20656-2024")</f>
        <v/>
      </c>
      <c r="Y583">
        <f>HYPERLINK("https://klasma.github.io/Logging_2161/tillsynsmail/A 20656-2024 tillsynsbegäran mail.docx", "A 20656-2024")</f>
        <v/>
      </c>
    </row>
    <row r="584" ht="15" customHeight="1">
      <c r="A584" t="inlineStr">
        <is>
          <t>A 21009-2024</t>
        </is>
      </c>
      <c r="B584" s="1" t="n">
        <v>45439</v>
      </c>
      <c r="C584" s="1" t="n">
        <v>45587</v>
      </c>
      <c r="D584" t="inlineStr">
        <is>
          <t>GÄVLEBORGS LÄN</t>
        </is>
      </c>
      <c r="E584" t="inlineStr">
        <is>
          <t>HOFORS</t>
        </is>
      </c>
      <c r="F584" t="inlineStr">
        <is>
          <t>Sveaskog</t>
        </is>
      </c>
      <c r="G584" t="n">
        <v>3.8</v>
      </c>
      <c r="H584" t="n">
        <v>0</v>
      </c>
      <c r="I584" t="n">
        <v>1</v>
      </c>
      <c r="J584" t="n">
        <v>0</v>
      </c>
      <c r="K584" t="n">
        <v>0</v>
      </c>
      <c r="L584" t="n">
        <v>0</v>
      </c>
      <c r="M584" t="n">
        <v>0</v>
      </c>
      <c r="N584" t="n">
        <v>0</v>
      </c>
      <c r="O584" t="n">
        <v>0</v>
      </c>
      <c r="P584" t="n">
        <v>0</v>
      </c>
      <c r="Q584" t="n">
        <v>1</v>
      </c>
      <c r="R584" s="2" t="inlineStr">
        <is>
          <t>Tibast</t>
        </is>
      </c>
      <c r="S584">
        <f>HYPERLINK("https://klasma.github.io/Logging_2104/artfynd/A 21009-2024 artfynd.xlsx", "A 21009-2024")</f>
        <v/>
      </c>
      <c r="T584">
        <f>HYPERLINK("https://klasma.github.io/Logging_2104/kartor/A 21009-2024 karta.png", "A 21009-2024")</f>
        <v/>
      </c>
      <c r="V584">
        <f>HYPERLINK("https://klasma.github.io/Logging_2104/klagomål/A 21009-2024 FSC-klagomål.docx", "A 21009-2024")</f>
        <v/>
      </c>
      <c r="W584">
        <f>HYPERLINK("https://klasma.github.io/Logging_2104/klagomålsmail/A 21009-2024 FSC-klagomål mail.docx", "A 21009-2024")</f>
        <v/>
      </c>
      <c r="X584">
        <f>HYPERLINK("https://klasma.github.io/Logging_2104/tillsyn/A 21009-2024 tillsynsbegäran.docx", "A 21009-2024")</f>
        <v/>
      </c>
      <c r="Y584">
        <f>HYPERLINK("https://klasma.github.io/Logging_2104/tillsynsmail/A 21009-2024 tillsynsbegäran mail.docx", "A 21009-2024")</f>
        <v/>
      </c>
    </row>
    <row r="585" ht="15" customHeight="1">
      <c r="A585" t="inlineStr">
        <is>
          <t>A 21029-2024</t>
        </is>
      </c>
      <c r="B585" s="1" t="n">
        <v>45439</v>
      </c>
      <c r="C585" s="1" t="n">
        <v>45587</v>
      </c>
      <c r="D585" t="inlineStr">
        <is>
          <t>GÄVLEBORGS LÄN</t>
        </is>
      </c>
      <c r="E585" t="inlineStr">
        <is>
          <t>HOFORS</t>
        </is>
      </c>
      <c r="F585" t="inlineStr">
        <is>
          <t>Sveaskog</t>
        </is>
      </c>
      <c r="G585" t="n">
        <v>3.9</v>
      </c>
      <c r="H585" t="n">
        <v>0</v>
      </c>
      <c r="I585" t="n">
        <v>0</v>
      </c>
      <c r="J585" t="n">
        <v>1</v>
      </c>
      <c r="K585" t="n">
        <v>0</v>
      </c>
      <c r="L585" t="n">
        <v>0</v>
      </c>
      <c r="M585" t="n">
        <v>0</v>
      </c>
      <c r="N585" t="n">
        <v>0</v>
      </c>
      <c r="O585" t="n">
        <v>1</v>
      </c>
      <c r="P585" t="n">
        <v>0</v>
      </c>
      <c r="Q585" t="n">
        <v>1</v>
      </c>
      <c r="R585" s="2" t="inlineStr">
        <is>
          <t>Mörk kolflarnlav</t>
        </is>
      </c>
      <c r="S585">
        <f>HYPERLINK("https://klasma.github.io/Logging_2104/artfynd/A 21029-2024 artfynd.xlsx", "A 21029-2024")</f>
        <v/>
      </c>
      <c r="T585">
        <f>HYPERLINK("https://klasma.github.io/Logging_2104/kartor/A 21029-2024 karta.png", "A 21029-2024")</f>
        <v/>
      </c>
      <c r="U585">
        <f>HYPERLINK("https://klasma.github.io/Logging_2104/knärot/A 21029-2024 karta knärot.png", "A 21029-2024")</f>
        <v/>
      </c>
      <c r="V585">
        <f>HYPERLINK("https://klasma.github.io/Logging_2104/klagomål/A 21029-2024 FSC-klagomål.docx", "A 21029-2024")</f>
        <v/>
      </c>
      <c r="W585">
        <f>HYPERLINK("https://klasma.github.io/Logging_2104/klagomålsmail/A 21029-2024 FSC-klagomål mail.docx", "A 21029-2024")</f>
        <v/>
      </c>
      <c r="X585">
        <f>HYPERLINK("https://klasma.github.io/Logging_2104/tillsyn/A 21029-2024 tillsynsbegäran.docx", "A 21029-2024")</f>
        <v/>
      </c>
      <c r="Y585">
        <f>HYPERLINK("https://klasma.github.io/Logging_2104/tillsynsmail/A 21029-2024 tillsynsbegäran mail.docx", "A 21029-2024")</f>
        <v/>
      </c>
    </row>
    <row r="586" ht="15" customHeight="1">
      <c r="A586" t="inlineStr">
        <is>
          <t>A 21196-2024</t>
        </is>
      </c>
      <c r="B586" s="1" t="n">
        <v>45440</v>
      </c>
      <c r="C586" s="1" t="n">
        <v>45587</v>
      </c>
      <c r="D586" t="inlineStr">
        <is>
          <t>GÄVLEBORGS LÄN</t>
        </is>
      </c>
      <c r="E586" t="inlineStr">
        <is>
          <t>SANDVIKEN</t>
        </is>
      </c>
      <c r="F586" t="inlineStr">
        <is>
          <t>Kommuner</t>
        </is>
      </c>
      <c r="G586" t="n">
        <v>45.5</v>
      </c>
      <c r="H586" t="n">
        <v>1</v>
      </c>
      <c r="I586" t="n">
        <v>0</v>
      </c>
      <c r="J586" t="n">
        <v>0</v>
      </c>
      <c r="K586" t="n">
        <v>1</v>
      </c>
      <c r="L586" t="n">
        <v>0</v>
      </c>
      <c r="M586" t="n">
        <v>0</v>
      </c>
      <c r="N586" t="n">
        <v>0</v>
      </c>
      <c r="O586" t="n">
        <v>1</v>
      </c>
      <c r="P586" t="n">
        <v>1</v>
      </c>
      <c r="Q586" t="n">
        <v>1</v>
      </c>
      <c r="R586" s="2" t="inlineStr">
        <is>
          <t>Lappuggla</t>
        </is>
      </c>
      <c r="S586">
        <f>HYPERLINK("https://klasma.github.io/Logging_2181/artfynd/A 21196-2024 artfynd.xlsx", "A 21196-2024")</f>
        <v/>
      </c>
      <c r="T586">
        <f>HYPERLINK("https://klasma.github.io/Logging_2181/kartor/A 21196-2024 karta.png", "A 21196-2024")</f>
        <v/>
      </c>
      <c r="V586">
        <f>HYPERLINK("https://klasma.github.io/Logging_2181/klagomål/A 21196-2024 FSC-klagomål.docx", "A 21196-2024")</f>
        <v/>
      </c>
      <c r="W586">
        <f>HYPERLINK("https://klasma.github.io/Logging_2181/klagomålsmail/A 21196-2024 FSC-klagomål mail.docx", "A 21196-2024")</f>
        <v/>
      </c>
      <c r="X586">
        <f>HYPERLINK("https://klasma.github.io/Logging_2181/tillsyn/A 21196-2024 tillsynsbegäran.docx", "A 21196-2024")</f>
        <v/>
      </c>
      <c r="Y586">
        <f>HYPERLINK("https://klasma.github.io/Logging_2181/tillsynsmail/A 21196-2024 tillsynsbegäran mail.docx", "A 21196-2024")</f>
        <v/>
      </c>
      <c r="Z586">
        <f>HYPERLINK("https://klasma.github.io/Logging_2181/fåglar/A 21196-2024 prioriterade fågelarter.docx", "A 21196-2024")</f>
        <v/>
      </c>
    </row>
    <row r="587" ht="15" customHeight="1">
      <c r="A587" t="inlineStr">
        <is>
          <t>A 21282-2024</t>
        </is>
      </c>
      <c r="B587" s="1" t="n">
        <v>45440</v>
      </c>
      <c r="C587" s="1" t="n">
        <v>45587</v>
      </c>
      <c r="D587" t="inlineStr">
        <is>
          <t>GÄVLEBORGS LÄN</t>
        </is>
      </c>
      <c r="E587" t="inlineStr">
        <is>
          <t>GÄVLE</t>
        </is>
      </c>
      <c r="G587" t="n">
        <v>7.4</v>
      </c>
      <c r="H587" t="n">
        <v>0</v>
      </c>
      <c r="I587" t="n">
        <v>0</v>
      </c>
      <c r="J587" t="n">
        <v>1</v>
      </c>
      <c r="K587" t="n">
        <v>0</v>
      </c>
      <c r="L587" t="n">
        <v>0</v>
      </c>
      <c r="M587" t="n">
        <v>0</v>
      </c>
      <c r="N587" t="n">
        <v>0</v>
      </c>
      <c r="O587" t="n">
        <v>1</v>
      </c>
      <c r="P587" t="n">
        <v>0</v>
      </c>
      <c r="Q587" t="n">
        <v>1</v>
      </c>
      <c r="R587" s="2" t="inlineStr">
        <is>
          <t>Skogsklocka</t>
        </is>
      </c>
      <c r="S587">
        <f>HYPERLINK("https://klasma.github.io/Logging_2180/artfynd/A 21282-2024 artfynd.xlsx", "A 21282-2024")</f>
        <v/>
      </c>
      <c r="T587">
        <f>HYPERLINK("https://klasma.github.io/Logging_2180/kartor/A 21282-2024 karta.png", "A 21282-2024")</f>
        <v/>
      </c>
      <c r="V587">
        <f>HYPERLINK("https://klasma.github.io/Logging_2180/klagomål/A 21282-2024 FSC-klagomål.docx", "A 21282-2024")</f>
        <v/>
      </c>
      <c r="W587">
        <f>HYPERLINK("https://klasma.github.io/Logging_2180/klagomålsmail/A 21282-2024 FSC-klagomål mail.docx", "A 21282-2024")</f>
        <v/>
      </c>
      <c r="X587">
        <f>HYPERLINK("https://klasma.github.io/Logging_2180/tillsyn/A 21282-2024 tillsynsbegäran.docx", "A 21282-2024")</f>
        <v/>
      </c>
      <c r="Y587">
        <f>HYPERLINK("https://klasma.github.io/Logging_2180/tillsynsmail/A 21282-2024 tillsynsbegäran mail.docx", "A 21282-2024")</f>
        <v/>
      </c>
    </row>
    <row r="588" ht="15" customHeight="1">
      <c r="A588" t="inlineStr">
        <is>
          <t>A 21900-2024</t>
        </is>
      </c>
      <c r="B588" s="1" t="n">
        <v>45443</v>
      </c>
      <c r="C588" s="1" t="n">
        <v>45587</v>
      </c>
      <c r="D588" t="inlineStr">
        <is>
          <t>GÄVLEBORGS LÄN</t>
        </is>
      </c>
      <c r="E588" t="inlineStr">
        <is>
          <t>LJUSDAL</t>
        </is>
      </c>
      <c r="F588" t="inlineStr">
        <is>
          <t>Sveaskog</t>
        </is>
      </c>
      <c r="G588" t="n">
        <v>1.6</v>
      </c>
      <c r="H588" t="n">
        <v>0</v>
      </c>
      <c r="I588" t="n">
        <v>0</v>
      </c>
      <c r="J588" t="n">
        <v>1</v>
      </c>
      <c r="K588" t="n">
        <v>0</v>
      </c>
      <c r="L588" t="n">
        <v>0</v>
      </c>
      <c r="M588" t="n">
        <v>0</v>
      </c>
      <c r="N588" t="n">
        <v>0</v>
      </c>
      <c r="O588" t="n">
        <v>1</v>
      </c>
      <c r="P588" t="n">
        <v>0</v>
      </c>
      <c r="Q588" t="n">
        <v>1</v>
      </c>
      <c r="R588" s="2" t="inlineStr">
        <is>
          <t>Lunglav</t>
        </is>
      </c>
      <c r="S588">
        <f>HYPERLINK("https://klasma.github.io/Logging_2161/artfynd/A 21900-2024 artfynd.xlsx", "A 21900-2024")</f>
        <v/>
      </c>
      <c r="T588">
        <f>HYPERLINK("https://klasma.github.io/Logging_2161/kartor/A 21900-2024 karta.png", "A 21900-2024")</f>
        <v/>
      </c>
      <c r="U588">
        <f>HYPERLINK("https://klasma.github.io/Logging_2161/knärot/A 21900-2024 karta knärot.png", "A 21900-2024")</f>
        <v/>
      </c>
      <c r="V588">
        <f>HYPERLINK("https://klasma.github.io/Logging_2161/klagomål/A 21900-2024 FSC-klagomål.docx", "A 21900-2024")</f>
        <v/>
      </c>
      <c r="W588">
        <f>HYPERLINK("https://klasma.github.io/Logging_2161/klagomålsmail/A 21900-2024 FSC-klagomål mail.docx", "A 21900-2024")</f>
        <v/>
      </c>
      <c r="X588">
        <f>HYPERLINK("https://klasma.github.io/Logging_2161/tillsyn/A 21900-2024 tillsynsbegäran.docx", "A 21900-2024")</f>
        <v/>
      </c>
      <c r="Y588">
        <f>HYPERLINK("https://klasma.github.io/Logging_2161/tillsynsmail/A 21900-2024 tillsynsbegäran mail.docx", "A 21900-2024")</f>
        <v/>
      </c>
    </row>
    <row r="589" ht="15" customHeight="1">
      <c r="A589" t="inlineStr">
        <is>
          <t>A 22247-2024</t>
        </is>
      </c>
      <c r="B589" s="1" t="n">
        <v>45446</v>
      </c>
      <c r="C589" s="1" t="n">
        <v>45587</v>
      </c>
      <c r="D589" t="inlineStr">
        <is>
          <t>GÄVLEBORGS LÄN</t>
        </is>
      </c>
      <c r="E589" t="inlineStr">
        <is>
          <t>LJUSDAL</t>
        </is>
      </c>
      <c r="F589" t="inlineStr">
        <is>
          <t>Sveaskog</t>
        </is>
      </c>
      <c r="G589" t="n">
        <v>3.5</v>
      </c>
      <c r="H589" t="n">
        <v>0</v>
      </c>
      <c r="I589" t="n">
        <v>0</v>
      </c>
      <c r="J589" t="n">
        <v>1</v>
      </c>
      <c r="K589" t="n">
        <v>0</v>
      </c>
      <c r="L589" t="n">
        <v>0</v>
      </c>
      <c r="M589" t="n">
        <v>0</v>
      </c>
      <c r="N589" t="n">
        <v>0</v>
      </c>
      <c r="O589" t="n">
        <v>1</v>
      </c>
      <c r="P589" t="n">
        <v>0</v>
      </c>
      <c r="Q589" t="n">
        <v>1</v>
      </c>
      <c r="R589" s="2" t="inlineStr">
        <is>
          <t>Lunglav</t>
        </is>
      </c>
      <c r="S589">
        <f>HYPERLINK("https://klasma.github.io/Logging_2161/artfynd/A 22247-2024 artfynd.xlsx", "A 22247-2024")</f>
        <v/>
      </c>
      <c r="T589">
        <f>HYPERLINK("https://klasma.github.io/Logging_2161/kartor/A 22247-2024 karta.png", "A 22247-2024")</f>
        <v/>
      </c>
      <c r="V589">
        <f>HYPERLINK("https://klasma.github.io/Logging_2161/klagomål/A 22247-2024 FSC-klagomål.docx", "A 22247-2024")</f>
        <v/>
      </c>
      <c r="W589">
        <f>HYPERLINK("https://klasma.github.io/Logging_2161/klagomålsmail/A 22247-2024 FSC-klagomål mail.docx", "A 22247-2024")</f>
        <v/>
      </c>
      <c r="X589">
        <f>HYPERLINK("https://klasma.github.io/Logging_2161/tillsyn/A 22247-2024 tillsynsbegäran.docx", "A 22247-2024")</f>
        <v/>
      </c>
      <c r="Y589">
        <f>HYPERLINK("https://klasma.github.io/Logging_2161/tillsynsmail/A 22247-2024 tillsynsbegäran mail.docx", "A 22247-2024")</f>
        <v/>
      </c>
    </row>
    <row r="590" ht="15" customHeight="1">
      <c r="A590" t="inlineStr">
        <is>
          <t>A 23354-2024</t>
        </is>
      </c>
      <c r="B590" s="1" t="n">
        <v>45453</v>
      </c>
      <c r="C590" s="1" t="n">
        <v>45587</v>
      </c>
      <c r="D590" t="inlineStr">
        <is>
          <t>GÄVLEBORGS LÄN</t>
        </is>
      </c>
      <c r="E590" t="inlineStr">
        <is>
          <t>HOFORS</t>
        </is>
      </c>
      <c r="F590" t="inlineStr">
        <is>
          <t>Sveaskog</t>
        </is>
      </c>
      <c r="G590" t="n">
        <v>2</v>
      </c>
      <c r="H590" t="n">
        <v>1</v>
      </c>
      <c r="I590" t="n">
        <v>0</v>
      </c>
      <c r="J590" t="n">
        <v>0</v>
      </c>
      <c r="K590" t="n">
        <v>0</v>
      </c>
      <c r="L590" t="n">
        <v>0</v>
      </c>
      <c r="M590" t="n">
        <v>0</v>
      </c>
      <c r="N590" t="n">
        <v>0</v>
      </c>
      <c r="O590" t="n">
        <v>0</v>
      </c>
      <c r="P590" t="n">
        <v>0</v>
      </c>
      <c r="Q590" t="n">
        <v>1</v>
      </c>
      <c r="R590" s="2" t="inlineStr">
        <is>
          <t>Fläcknycklar</t>
        </is>
      </c>
      <c r="S590">
        <f>HYPERLINK("https://klasma.github.io/Logging_2104/artfynd/A 23354-2024 artfynd.xlsx", "A 23354-2024")</f>
        <v/>
      </c>
      <c r="T590">
        <f>HYPERLINK("https://klasma.github.io/Logging_2104/kartor/A 23354-2024 karta.png", "A 23354-2024")</f>
        <v/>
      </c>
      <c r="V590">
        <f>HYPERLINK("https://klasma.github.io/Logging_2104/klagomål/A 23354-2024 FSC-klagomål.docx", "A 23354-2024")</f>
        <v/>
      </c>
      <c r="W590">
        <f>HYPERLINK("https://klasma.github.io/Logging_2104/klagomålsmail/A 23354-2024 FSC-klagomål mail.docx", "A 23354-2024")</f>
        <v/>
      </c>
      <c r="X590">
        <f>HYPERLINK("https://klasma.github.io/Logging_2104/tillsyn/A 23354-2024 tillsynsbegäran.docx", "A 23354-2024")</f>
        <v/>
      </c>
      <c r="Y590">
        <f>HYPERLINK("https://klasma.github.io/Logging_2104/tillsynsmail/A 23354-2024 tillsynsbegäran mail.docx", "A 23354-2024")</f>
        <v/>
      </c>
    </row>
    <row r="591" ht="15" customHeight="1">
      <c r="A591" t="inlineStr">
        <is>
          <t>A 23651-2024</t>
        </is>
      </c>
      <c r="B591" s="1" t="n">
        <v>45454</v>
      </c>
      <c r="C591" s="1" t="n">
        <v>45587</v>
      </c>
      <c r="D591" t="inlineStr">
        <is>
          <t>GÄVLEBORGS LÄN</t>
        </is>
      </c>
      <c r="E591" t="inlineStr">
        <is>
          <t>LJUSDAL</t>
        </is>
      </c>
      <c r="F591" t="inlineStr">
        <is>
          <t>Bergvik skog väst AB</t>
        </is>
      </c>
      <c r="G591" t="n">
        <v>1.7</v>
      </c>
      <c r="H591" t="n">
        <v>0</v>
      </c>
      <c r="I591" t="n">
        <v>0</v>
      </c>
      <c r="J591" t="n">
        <v>1</v>
      </c>
      <c r="K591" t="n">
        <v>0</v>
      </c>
      <c r="L591" t="n">
        <v>0</v>
      </c>
      <c r="M591" t="n">
        <v>0</v>
      </c>
      <c r="N591" t="n">
        <v>0</v>
      </c>
      <c r="O591" t="n">
        <v>1</v>
      </c>
      <c r="P591" t="n">
        <v>0</v>
      </c>
      <c r="Q591" t="n">
        <v>1</v>
      </c>
      <c r="R591" s="2" t="inlineStr">
        <is>
          <t>Tallticka</t>
        </is>
      </c>
      <c r="S591">
        <f>HYPERLINK("https://klasma.github.io/Logging_2161/artfynd/A 23651-2024 artfynd.xlsx", "A 23651-2024")</f>
        <v/>
      </c>
      <c r="T591">
        <f>HYPERLINK("https://klasma.github.io/Logging_2161/kartor/A 23651-2024 karta.png", "A 23651-2024")</f>
        <v/>
      </c>
      <c r="V591">
        <f>HYPERLINK("https://klasma.github.io/Logging_2161/klagomål/A 23651-2024 FSC-klagomål.docx", "A 23651-2024")</f>
        <v/>
      </c>
      <c r="W591">
        <f>HYPERLINK("https://klasma.github.io/Logging_2161/klagomålsmail/A 23651-2024 FSC-klagomål mail.docx", "A 23651-2024")</f>
        <v/>
      </c>
      <c r="X591">
        <f>HYPERLINK("https://klasma.github.io/Logging_2161/tillsyn/A 23651-2024 tillsynsbegäran.docx", "A 23651-2024")</f>
        <v/>
      </c>
      <c r="Y591">
        <f>HYPERLINK("https://klasma.github.io/Logging_2161/tillsynsmail/A 23651-2024 tillsynsbegäran mail.docx", "A 23651-2024")</f>
        <v/>
      </c>
    </row>
    <row r="592" ht="15" customHeight="1">
      <c r="A592" t="inlineStr">
        <is>
          <t>A 23700-2024</t>
        </is>
      </c>
      <c r="B592" s="1" t="n">
        <v>45454</v>
      </c>
      <c r="C592" s="1" t="n">
        <v>45587</v>
      </c>
      <c r="D592" t="inlineStr">
        <is>
          <t>GÄVLEBORGS LÄN</t>
        </is>
      </c>
      <c r="E592" t="inlineStr">
        <is>
          <t>GÄVLE</t>
        </is>
      </c>
      <c r="G592" t="n">
        <v>1.7</v>
      </c>
      <c r="H592" t="n">
        <v>0</v>
      </c>
      <c r="I592" t="n">
        <v>1</v>
      </c>
      <c r="J592" t="n">
        <v>0</v>
      </c>
      <c r="K592" t="n">
        <v>0</v>
      </c>
      <c r="L592" t="n">
        <v>0</v>
      </c>
      <c r="M592" t="n">
        <v>0</v>
      </c>
      <c r="N592" t="n">
        <v>0</v>
      </c>
      <c r="O592" t="n">
        <v>0</v>
      </c>
      <c r="P592" t="n">
        <v>0</v>
      </c>
      <c r="Q592" t="n">
        <v>1</v>
      </c>
      <c r="R592" s="2" t="inlineStr">
        <is>
          <t>Bronshjon</t>
        </is>
      </c>
      <c r="S592">
        <f>HYPERLINK("https://klasma.github.io/Logging_2180/artfynd/A 23700-2024 artfynd.xlsx", "A 23700-2024")</f>
        <v/>
      </c>
      <c r="T592">
        <f>HYPERLINK("https://klasma.github.io/Logging_2180/kartor/A 23700-2024 karta.png", "A 23700-2024")</f>
        <v/>
      </c>
      <c r="V592">
        <f>HYPERLINK("https://klasma.github.io/Logging_2180/klagomål/A 23700-2024 FSC-klagomål.docx", "A 23700-2024")</f>
        <v/>
      </c>
      <c r="W592">
        <f>HYPERLINK("https://klasma.github.io/Logging_2180/klagomålsmail/A 23700-2024 FSC-klagomål mail.docx", "A 23700-2024")</f>
        <v/>
      </c>
      <c r="X592">
        <f>HYPERLINK("https://klasma.github.io/Logging_2180/tillsyn/A 23700-2024 tillsynsbegäran.docx", "A 23700-2024")</f>
        <v/>
      </c>
      <c r="Y592">
        <f>HYPERLINK("https://klasma.github.io/Logging_2180/tillsynsmail/A 23700-2024 tillsynsbegäran mail.docx", "A 23700-2024")</f>
        <v/>
      </c>
    </row>
    <row r="593" ht="15" customHeight="1">
      <c r="A593" t="inlineStr">
        <is>
          <t>A 23644-2024</t>
        </is>
      </c>
      <c r="B593" s="1" t="n">
        <v>45454</v>
      </c>
      <c r="C593" s="1" t="n">
        <v>45587</v>
      </c>
      <c r="D593" t="inlineStr">
        <is>
          <t>GÄVLEBORGS LÄN</t>
        </is>
      </c>
      <c r="E593" t="inlineStr">
        <is>
          <t>LJUSDAL</t>
        </is>
      </c>
      <c r="F593" t="inlineStr">
        <is>
          <t>Sveaskog</t>
        </is>
      </c>
      <c r="G593" t="n">
        <v>26.6</v>
      </c>
      <c r="H593" t="n">
        <v>0</v>
      </c>
      <c r="I593" t="n">
        <v>0</v>
      </c>
      <c r="J593" t="n">
        <v>1</v>
      </c>
      <c r="K593" t="n">
        <v>0</v>
      </c>
      <c r="L593" t="n">
        <v>0</v>
      </c>
      <c r="M593" t="n">
        <v>0</v>
      </c>
      <c r="N593" t="n">
        <v>0</v>
      </c>
      <c r="O593" t="n">
        <v>1</v>
      </c>
      <c r="P593" t="n">
        <v>0</v>
      </c>
      <c r="Q593" t="n">
        <v>1</v>
      </c>
      <c r="R593" s="2" t="inlineStr">
        <is>
          <t>Kolflarnlav</t>
        </is>
      </c>
      <c r="S593">
        <f>HYPERLINK("https://klasma.github.io/Logging_2161/artfynd/A 23644-2024 artfynd.xlsx", "A 23644-2024")</f>
        <v/>
      </c>
      <c r="T593">
        <f>HYPERLINK("https://klasma.github.io/Logging_2161/kartor/A 23644-2024 karta.png", "A 23644-2024")</f>
        <v/>
      </c>
      <c r="V593">
        <f>HYPERLINK("https://klasma.github.io/Logging_2161/klagomål/A 23644-2024 FSC-klagomål.docx", "A 23644-2024")</f>
        <v/>
      </c>
      <c r="W593">
        <f>HYPERLINK("https://klasma.github.io/Logging_2161/klagomålsmail/A 23644-2024 FSC-klagomål mail.docx", "A 23644-2024")</f>
        <v/>
      </c>
      <c r="X593">
        <f>HYPERLINK("https://klasma.github.io/Logging_2161/tillsyn/A 23644-2024 tillsynsbegäran.docx", "A 23644-2024")</f>
        <v/>
      </c>
      <c r="Y593">
        <f>HYPERLINK("https://klasma.github.io/Logging_2161/tillsynsmail/A 23644-2024 tillsynsbegäran mail.docx", "A 23644-2024")</f>
        <v/>
      </c>
    </row>
    <row r="594" ht="15" customHeight="1">
      <c r="A594" t="inlineStr">
        <is>
          <t>A 24651-2024</t>
        </is>
      </c>
      <c r="B594" s="1" t="n">
        <v>45460</v>
      </c>
      <c r="C594" s="1" t="n">
        <v>45587</v>
      </c>
      <c r="D594" t="inlineStr">
        <is>
          <t>GÄVLEBORGS LÄN</t>
        </is>
      </c>
      <c r="E594" t="inlineStr">
        <is>
          <t>OVANÅKER</t>
        </is>
      </c>
      <c r="F594" t="inlineStr">
        <is>
          <t>Bergvik skog väst AB</t>
        </is>
      </c>
      <c r="G594" t="n">
        <v>47.7</v>
      </c>
      <c r="H594" t="n">
        <v>0</v>
      </c>
      <c r="I594" t="n">
        <v>0</v>
      </c>
      <c r="J594" t="n">
        <v>1</v>
      </c>
      <c r="K594" t="n">
        <v>0</v>
      </c>
      <c r="L594" t="n">
        <v>0</v>
      </c>
      <c r="M594" t="n">
        <v>0</v>
      </c>
      <c r="N594" t="n">
        <v>0</v>
      </c>
      <c r="O594" t="n">
        <v>1</v>
      </c>
      <c r="P594" t="n">
        <v>0</v>
      </c>
      <c r="Q594" t="n">
        <v>1</v>
      </c>
      <c r="R594" s="2" t="inlineStr">
        <is>
          <t>Dvärgbägarlav</t>
        </is>
      </c>
      <c r="S594">
        <f>HYPERLINK("https://klasma.github.io/Logging_2121/artfynd/A 24651-2024 artfynd.xlsx", "A 24651-2024")</f>
        <v/>
      </c>
      <c r="T594">
        <f>HYPERLINK("https://klasma.github.io/Logging_2121/kartor/A 24651-2024 karta.png", "A 24651-2024")</f>
        <v/>
      </c>
      <c r="V594">
        <f>HYPERLINK("https://klasma.github.io/Logging_2121/klagomål/A 24651-2024 FSC-klagomål.docx", "A 24651-2024")</f>
        <v/>
      </c>
      <c r="W594">
        <f>HYPERLINK("https://klasma.github.io/Logging_2121/klagomålsmail/A 24651-2024 FSC-klagomål mail.docx", "A 24651-2024")</f>
        <v/>
      </c>
      <c r="X594">
        <f>HYPERLINK("https://klasma.github.io/Logging_2121/tillsyn/A 24651-2024 tillsynsbegäran.docx", "A 24651-2024")</f>
        <v/>
      </c>
      <c r="Y594">
        <f>HYPERLINK("https://klasma.github.io/Logging_2121/tillsynsmail/A 24651-2024 tillsynsbegäran mail.docx", "A 24651-2024")</f>
        <v/>
      </c>
    </row>
    <row r="595" ht="15" customHeight="1">
      <c r="A595" t="inlineStr">
        <is>
          <t>A 24831-2024</t>
        </is>
      </c>
      <c r="B595" s="1" t="n">
        <v>45461</v>
      </c>
      <c r="C595" s="1" t="n">
        <v>45587</v>
      </c>
      <c r="D595" t="inlineStr">
        <is>
          <t>GÄVLEBORGS LÄN</t>
        </is>
      </c>
      <c r="E595" t="inlineStr">
        <is>
          <t>LJUSDAL</t>
        </is>
      </c>
      <c r="G595" t="n">
        <v>4.9</v>
      </c>
      <c r="H595" t="n">
        <v>0</v>
      </c>
      <c r="I595" t="n">
        <v>0</v>
      </c>
      <c r="J595" t="n">
        <v>1</v>
      </c>
      <c r="K595" t="n">
        <v>0</v>
      </c>
      <c r="L595" t="n">
        <v>0</v>
      </c>
      <c r="M595" t="n">
        <v>0</v>
      </c>
      <c r="N595" t="n">
        <v>0</v>
      </c>
      <c r="O595" t="n">
        <v>1</v>
      </c>
      <c r="P595" t="n">
        <v>0</v>
      </c>
      <c r="Q595" t="n">
        <v>1</v>
      </c>
      <c r="R595" s="2" t="inlineStr">
        <is>
          <t>Lunglav</t>
        </is>
      </c>
      <c r="S595">
        <f>HYPERLINK("https://klasma.github.io/Logging_2161/artfynd/A 24831-2024 artfynd.xlsx", "A 24831-2024")</f>
        <v/>
      </c>
      <c r="T595">
        <f>HYPERLINK("https://klasma.github.io/Logging_2161/kartor/A 24831-2024 karta.png", "A 24831-2024")</f>
        <v/>
      </c>
      <c r="V595">
        <f>HYPERLINK("https://klasma.github.io/Logging_2161/klagomål/A 24831-2024 FSC-klagomål.docx", "A 24831-2024")</f>
        <v/>
      </c>
      <c r="W595">
        <f>HYPERLINK("https://klasma.github.io/Logging_2161/klagomålsmail/A 24831-2024 FSC-klagomål mail.docx", "A 24831-2024")</f>
        <v/>
      </c>
      <c r="X595">
        <f>HYPERLINK("https://klasma.github.io/Logging_2161/tillsyn/A 24831-2024 tillsynsbegäran.docx", "A 24831-2024")</f>
        <v/>
      </c>
      <c r="Y595">
        <f>HYPERLINK("https://klasma.github.io/Logging_2161/tillsynsmail/A 24831-2024 tillsynsbegäran mail.docx", "A 24831-2024")</f>
        <v/>
      </c>
    </row>
    <row r="596" ht="15" customHeight="1">
      <c r="A596" t="inlineStr">
        <is>
          <t>A 24903-2024</t>
        </is>
      </c>
      <c r="B596" s="1" t="n">
        <v>45461</v>
      </c>
      <c r="C596" s="1" t="n">
        <v>45587</v>
      </c>
      <c r="D596" t="inlineStr">
        <is>
          <t>GÄVLEBORGS LÄN</t>
        </is>
      </c>
      <c r="E596" t="inlineStr">
        <is>
          <t>LJUSDAL</t>
        </is>
      </c>
      <c r="F596" t="inlineStr">
        <is>
          <t>Bergvik skog väst AB</t>
        </is>
      </c>
      <c r="G596" t="n">
        <v>5</v>
      </c>
      <c r="H596" t="n">
        <v>0</v>
      </c>
      <c r="I596" t="n">
        <v>0</v>
      </c>
      <c r="J596" t="n">
        <v>1</v>
      </c>
      <c r="K596" t="n">
        <v>0</v>
      </c>
      <c r="L596" t="n">
        <v>0</v>
      </c>
      <c r="M596" t="n">
        <v>0</v>
      </c>
      <c r="N596" t="n">
        <v>0</v>
      </c>
      <c r="O596" t="n">
        <v>1</v>
      </c>
      <c r="P596" t="n">
        <v>0</v>
      </c>
      <c r="Q596" t="n">
        <v>1</v>
      </c>
      <c r="R596" s="2" t="inlineStr">
        <is>
          <t>Lunglav</t>
        </is>
      </c>
      <c r="S596">
        <f>HYPERLINK("https://klasma.github.io/Logging_2161/artfynd/A 24903-2024 artfynd.xlsx", "A 24903-2024")</f>
        <v/>
      </c>
      <c r="T596">
        <f>HYPERLINK("https://klasma.github.io/Logging_2161/kartor/A 24903-2024 karta.png", "A 24903-2024")</f>
        <v/>
      </c>
      <c r="V596">
        <f>HYPERLINK("https://klasma.github.io/Logging_2161/klagomål/A 24903-2024 FSC-klagomål.docx", "A 24903-2024")</f>
        <v/>
      </c>
      <c r="W596">
        <f>HYPERLINK("https://klasma.github.io/Logging_2161/klagomålsmail/A 24903-2024 FSC-klagomål mail.docx", "A 24903-2024")</f>
        <v/>
      </c>
      <c r="X596">
        <f>HYPERLINK("https://klasma.github.io/Logging_2161/tillsyn/A 24903-2024 tillsynsbegäran.docx", "A 24903-2024")</f>
        <v/>
      </c>
      <c r="Y596">
        <f>HYPERLINK("https://klasma.github.io/Logging_2161/tillsynsmail/A 24903-2024 tillsynsbegäran mail.docx", "A 24903-2024")</f>
        <v/>
      </c>
    </row>
    <row r="597" ht="15" customHeight="1">
      <c r="A597" t="inlineStr">
        <is>
          <t>A 25145-2024</t>
        </is>
      </c>
      <c r="B597" s="1" t="n">
        <v>45462</v>
      </c>
      <c r="C597" s="1" t="n">
        <v>45587</v>
      </c>
      <c r="D597" t="inlineStr">
        <is>
          <t>GÄVLEBORGS LÄN</t>
        </is>
      </c>
      <c r="E597" t="inlineStr">
        <is>
          <t>HUDIKSVALL</t>
        </is>
      </c>
      <c r="F597" t="inlineStr">
        <is>
          <t>Sveaskog</t>
        </is>
      </c>
      <c r="G597" t="n">
        <v>2.3</v>
      </c>
      <c r="H597" t="n">
        <v>1</v>
      </c>
      <c r="I597" t="n">
        <v>0</v>
      </c>
      <c r="J597" t="n">
        <v>0</v>
      </c>
      <c r="K597" t="n">
        <v>0</v>
      </c>
      <c r="L597" t="n">
        <v>0</v>
      </c>
      <c r="M597" t="n">
        <v>0</v>
      </c>
      <c r="N597" t="n">
        <v>0</v>
      </c>
      <c r="O597" t="n">
        <v>0</v>
      </c>
      <c r="P597" t="n">
        <v>0</v>
      </c>
      <c r="Q597" t="n">
        <v>1</v>
      </c>
      <c r="R597" s="2" t="inlineStr">
        <is>
          <t>Skogsödla</t>
        </is>
      </c>
      <c r="S597">
        <f>HYPERLINK("https://klasma.github.io/Logging_2184/artfynd/A 25145-2024 artfynd.xlsx", "A 25145-2024")</f>
        <v/>
      </c>
      <c r="T597">
        <f>HYPERLINK("https://klasma.github.io/Logging_2184/kartor/A 25145-2024 karta.png", "A 25145-2024")</f>
        <v/>
      </c>
      <c r="V597">
        <f>HYPERLINK("https://klasma.github.io/Logging_2184/klagomål/A 25145-2024 FSC-klagomål.docx", "A 25145-2024")</f>
        <v/>
      </c>
      <c r="W597">
        <f>HYPERLINK("https://klasma.github.io/Logging_2184/klagomålsmail/A 25145-2024 FSC-klagomål mail.docx", "A 25145-2024")</f>
        <v/>
      </c>
      <c r="X597">
        <f>HYPERLINK("https://klasma.github.io/Logging_2184/tillsyn/A 25145-2024 tillsynsbegäran.docx", "A 25145-2024")</f>
        <v/>
      </c>
      <c r="Y597">
        <f>HYPERLINK("https://klasma.github.io/Logging_2184/tillsynsmail/A 25145-2024 tillsynsbegäran mail.docx", "A 25145-2024")</f>
        <v/>
      </c>
    </row>
    <row r="598" ht="15" customHeight="1">
      <c r="A598" t="inlineStr">
        <is>
          <t>A 25657-2024</t>
        </is>
      </c>
      <c r="B598" s="1" t="n">
        <v>45463</v>
      </c>
      <c r="C598" s="1" t="n">
        <v>45587</v>
      </c>
      <c r="D598" t="inlineStr">
        <is>
          <t>GÄVLEBORGS LÄN</t>
        </is>
      </c>
      <c r="E598" t="inlineStr">
        <is>
          <t>GÄVLE</t>
        </is>
      </c>
      <c r="G598" t="n">
        <v>4</v>
      </c>
      <c r="H598" t="n">
        <v>0</v>
      </c>
      <c r="I598" t="n">
        <v>0</v>
      </c>
      <c r="J598" t="n">
        <v>1</v>
      </c>
      <c r="K598" t="n">
        <v>0</v>
      </c>
      <c r="L598" t="n">
        <v>0</v>
      </c>
      <c r="M598" t="n">
        <v>0</v>
      </c>
      <c r="N598" t="n">
        <v>0</v>
      </c>
      <c r="O598" t="n">
        <v>1</v>
      </c>
      <c r="P598" t="n">
        <v>0</v>
      </c>
      <c r="Q598" t="n">
        <v>1</v>
      </c>
      <c r="R598" s="2" t="inlineStr">
        <is>
          <t>Garnlav</t>
        </is>
      </c>
      <c r="S598">
        <f>HYPERLINK("https://klasma.github.io/Logging_2180/artfynd/A 25657-2024 artfynd.xlsx", "A 25657-2024")</f>
        <v/>
      </c>
      <c r="T598">
        <f>HYPERLINK("https://klasma.github.io/Logging_2180/kartor/A 25657-2024 karta.png", "A 25657-2024")</f>
        <v/>
      </c>
      <c r="V598">
        <f>HYPERLINK("https://klasma.github.io/Logging_2180/klagomål/A 25657-2024 FSC-klagomål.docx", "A 25657-2024")</f>
        <v/>
      </c>
      <c r="W598">
        <f>HYPERLINK("https://klasma.github.io/Logging_2180/klagomålsmail/A 25657-2024 FSC-klagomål mail.docx", "A 25657-2024")</f>
        <v/>
      </c>
      <c r="X598">
        <f>HYPERLINK("https://klasma.github.io/Logging_2180/tillsyn/A 25657-2024 tillsynsbegäran.docx", "A 25657-2024")</f>
        <v/>
      </c>
      <c r="Y598">
        <f>HYPERLINK("https://klasma.github.io/Logging_2180/tillsynsmail/A 25657-2024 tillsynsbegäran mail.docx", "A 25657-2024")</f>
        <v/>
      </c>
    </row>
    <row r="599" ht="15" customHeight="1">
      <c r="A599" t="inlineStr">
        <is>
          <t>A 26386-2024</t>
        </is>
      </c>
      <c r="B599" s="1" t="n">
        <v>45469</v>
      </c>
      <c r="C599" s="1" t="n">
        <v>45587</v>
      </c>
      <c r="D599" t="inlineStr">
        <is>
          <t>GÄVLEBORGS LÄN</t>
        </is>
      </c>
      <c r="E599" t="inlineStr">
        <is>
          <t>LJUSDAL</t>
        </is>
      </c>
      <c r="F599" t="inlineStr">
        <is>
          <t>Sveaskog</t>
        </is>
      </c>
      <c r="G599" t="n">
        <v>11</v>
      </c>
      <c r="H599" t="n">
        <v>0</v>
      </c>
      <c r="I599" t="n">
        <v>0</v>
      </c>
      <c r="J599" t="n">
        <v>1</v>
      </c>
      <c r="K599" t="n">
        <v>0</v>
      </c>
      <c r="L599" t="n">
        <v>0</v>
      </c>
      <c r="M599" t="n">
        <v>0</v>
      </c>
      <c r="N599" t="n">
        <v>0</v>
      </c>
      <c r="O599" t="n">
        <v>1</v>
      </c>
      <c r="P599" t="n">
        <v>0</v>
      </c>
      <c r="Q599" t="n">
        <v>1</v>
      </c>
      <c r="R599" s="2" t="inlineStr">
        <is>
          <t>Kolflarnlav</t>
        </is>
      </c>
      <c r="S599">
        <f>HYPERLINK("https://klasma.github.io/Logging_2161/artfynd/A 26386-2024 artfynd.xlsx", "A 26386-2024")</f>
        <v/>
      </c>
      <c r="T599">
        <f>HYPERLINK("https://klasma.github.io/Logging_2161/kartor/A 26386-2024 karta.png", "A 26386-2024")</f>
        <v/>
      </c>
      <c r="V599">
        <f>HYPERLINK("https://klasma.github.io/Logging_2161/klagomål/A 26386-2024 FSC-klagomål.docx", "A 26386-2024")</f>
        <v/>
      </c>
      <c r="W599">
        <f>HYPERLINK("https://klasma.github.io/Logging_2161/klagomålsmail/A 26386-2024 FSC-klagomål mail.docx", "A 26386-2024")</f>
        <v/>
      </c>
      <c r="X599">
        <f>HYPERLINK("https://klasma.github.io/Logging_2161/tillsyn/A 26386-2024 tillsynsbegäran.docx", "A 26386-2024")</f>
        <v/>
      </c>
      <c r="Y599">
        <f>HYPERLINK("https://klasma.github.io/Logging_2161/tillsynsmail/A 26386-2024 tillsynsbegäran mail.docx", "A 26386-2024")</f>
        <v/>
      </c>
    </row>
    <row r="600" ht="15" customHeight="1">
      <c r="A600" t="inlineStr">
        <is>
          <t>A 26463-2024</t>
        </is>
      </c>
      <c r="B600" s="1" t="n">
        <v>45469</v>
      </c>
      <c r="C600" s="1" t="n">
        <v>45587</v>
      </c>
      <c r="D600" t="inlineStr">
        <is>
          <t>GÄVLEBORGS LÄN</t>
        </is>
      </c>
      <c r="E600" t="inlineStr">
        <is>
          <t>OCKELBO</t>
        </is>
      </c>
      <c r="F600" t="inlineStr">
        <is>
          <t>Bergvik skog väst AB</t>
        </is>
      </c>
      <c r="G600" t="n">
        <v>3.6</v>
      </c>
      <c r="H600" t="n">
        <v>1</v>
      </c>
      <c r="I600" t="n">
        <v>0</v>
      </c>
      <c r="J600" t="n">
        <v>0</v>
      </c>
      <c r="K600" t="n">
        <v>0</v>
      </c>
      <c r="L600" t="n">
        <v>0</v>
      </c>
      <c r="M600" t="n">
        <v>0</v>
      </c>
      <c r="N600" t="n">
        <v>0</v>
      </c>
      <c r="O600" t="n">
        <v>0</v>
      </c>
      <c r="P600" t="n">
        <v>0</v>
      </c>
      <c r="Q600" t="n">
        <v>1</v>
      </c>
      <c r="R600" s="2" t="inlineStr">
        <is>
          <t>Revlummer</t>
        </is>
      </c>
      <c r="S600">
        <f>HYPERLINK("https://klasma.github.io/Logging_2101/artfynd/A 26463-2024 artfynd.xlsx", "A 26463-2024")</f>
        <v/>
      </c>
      <c r="T600">
        <f>HYPERLINK("https://klasma.github.io/Logging_2101/kartor/A 26463-2024 karta.png", "A 26463-2024")</f>
        <v/>
      </c>
      <c r="V600">
        <f>HYPERLINK("https://klasma.github.io/Logging_2101/klagomål/A 26463-2024 FSC-klagomål.docx", "A 26463-2024")</f>
        <v/>
      </c>
      <c r="W600">
        <f>HYPERLINK("https://klasma.github.io/Logging_2101/klagomålsmail/A 26463-2024 FSC-klagomål mail.docx", "A 26463-2024")</f>
        <v/>
      </c>
      <c r="X600">
        <f>HYPERLINK("https://klasma.github.io/Logging_2101/tillsyn/A 26463-2024 tillsynsbegäran.docx", "A 26463-2024")</f>
        <v/>
      </c>
      <c r="Y600">
        <f>HYPERLINK("https://klasma.github.io/Logging_2101/tillsynsmail/A 26463-2024 tillsynsbegäran mail.docx", "A 26463-2024")</f>
        <v/>
      </c>
    </row>
    <row r="601" ht="15" customHeight="1">
      <c r="A601" t="inlineStr">
        <is>
          <t>A 26719-2024</t>
        </is>
      </c>
      <c r="B601" s="1" t="n">
        <v>45470</v>
      </c>
      <c r="C601" s="1" t="n">
        <v>45587</v>
      </c>
      <c r="D601" t="inlineStr">
        <is>
          <t>GÄVLEBORGS LÄN</t>
        </is>
      </c>
      <c r="E601" t="inlineStr">
        <is>
          <t>OVANÅKER</t>
        </is>
      </c>
      <c r="F601" t="inlineStr">
        <is>
          <t>Bergvik skog väst AB</t>
        </is>
      </c>
      <c r="G601" t="n">
        <v>30.2</v>
      </c>
      <c r="H601" t="n">
        <v>0</v>
      </c>
      <c r="I601" t="n">
        <v>1</v>
      </c>
      <c r="J601" t="n">
        <v>0</v>
      </c>
      <c r="K601" t="n">
        <v>0</v>
      </c>
      <c r="L601" t="n">
        <v>0</v>
      </c>
      <c r="M601" t="n">
        <v>0</v>
      </c>
      <c r="N601" t="n">
        <v>0</v>
      </c>
      <c r="O601" t="n">
        <v>0</v>
      </c>
      <c r="P601" t="n">
        <v>0</v>
      </c>
      <c r="Q601" t="n">
        <v>1</v>
      </c>
      <c r="R601" s="2" t="inlineStr">
        <is>
          <t>Nästlav</t>
        </is>
      </c>
      <c r="S601">
        <f>HYPERLINK("https://klasma.github.io/Logging_2121/artfynd/A 26719-2024 artfynd.xlsx", "A 26719-2024")</f>
        <v/>
      </c>
      <c r="T601">
        <f>HYPERLINK("https://klasma.github.io/Logging_2121/kartor/A 26719-2024 karta.png", "A 26719-2024")</f>
        <v/>
      </c>
      <c r="V601">
        <f>HYPERLINK("https://klasma.github.io/Logging_2121/klagomål/A 26719-2024 FSC-klagomål.docx", "A 26719-2024")</f>
        <v/>
      </c>
      <c r="W601">
        <f>HYPERLINK("https://klasma.github.io/Logging_2121/klagomålsmail/A 26719-2024 FSC-klagomål mail.docx", "A 26719-2024")</f>
        <v/>
      </c>
      <c r="X601">
        <f>HYPERLINK("https://klasma.github.io/Logging_2121/tillsyn/A 26719-2024 tillsynsbegäran.docx", "A 26719-2024")</f>
        <v/>
      </c>
      <c r="Y601">
        <f>HYPERLINK("https://klasma.github.io/Logging_2121/tillsynsmail/A 26719-2024 tillsynsbegäran mail.docx", "A 26719-2024")</f>
        <v/>
      </c>
    </row>
    <row r="602" ht="15" customHeight="1">
      <c r="A602" t="inlineStr">
        <is>
          <t>A 26982-2024</t>
        </is>
      </c>
      <c r="B602" s="1" t="n">
        <v>45471</v>
      </c>
      <c r="C602" s="1" t="n">
        <v>45587</v>
      </c>
      <c r="D602" t="inlineStr">
        <is>
          <t>GÄVLEBORGS LÄN</t>
        </is>
      </c>
      <c r="E602" t="inlineStr">
        <is>
          <t>OCKELBO</t>
        </is>
      </c>
      <c r="F602" t="inlineStr">
        <is>
          <t>Bergvik skog väst AB</t>
        </is>
      </c>
      <c r="G602" t="n">
        <v>5.4</v>
      </c>
      <c r="H602" t="n">
        <v>0</v>
      </c>
      <c r="I602" t="n">
        <v>1</v>
      </c>
      <c r="J602" t="n">
        <v>0</v>
      </c>
      <c r="K602" t="n">
        <v>0</v>
      </c>
      <c r="L602" t="n">
        <v>0</v>
      </c>
      <c r="M602" t="n">
        <v>0</v>
      </c>
      <c r="N602" t="n">
        <v>0</v>
      </c>
      <c r="O602" t="n">
        <v>0</v>
      </c>
      <c r="P602" t="n">
        <v>0</v>
      </c>
      <c r="Q602" t="n">
        <v>1</v>
      </c>
      <c r="R602" s="2" t="inlineStr">
        <is>
          <t>Grönpyrola</t>
        </is>
      </c>
      <c r="S602">
        <f>HYPERLINK("https://klasma.github.io/Logging_2101/artfynd/A 26982-2024 artfynd.xlsx", "A 26982-2024")</f>
        <v/>
      </c>
      <c r="T602">
        <f>HYPERLINK("https://klasma.github.io/Logging_2101/kartor/A 26982-2024 karta.png", "A 26982-2024")</f>
        <v/>
      </c>
      <c r="V602">
        <f>HYPERLINK("https://klasma.github.io/Logging_2101/klagomål/A 26982-2024 FSC-klagomål.docx", "A 26982-2024")</f>
        <v/>
      </c>
      <c r="W602">
        <f>HYPERLINK("https://klasma.github.io/Logging_2101/klagomålsmail/A 26982-2024 FSC-klagomål mail.docx", "A 26982-2024")</f>
        <v/>
      </c>
      <c r="X602">
        <f>HYPERLINK("https://klasma.github.io/Logging_2101/tillsyn/A 26982-2024 tillsynsbegäran.docx", "A 26982-2024")</f>
        <v/>
      </c>
      <c r="Y602">
        <f>HYPERLINK("https://klasma.github.io/Logging_2101/tillsynsmail/A 26982-2024 tillsynsbegäran mail.docx", "A 26982-2024")</f>
        <v/>
      </c>
    </row>
    <row r="603" ht="15" customHeight="1">
      <c r="A603" t="inlineStr">
        <is>
          <t>A 26976-2024</t>
        </is>
      </c>
      <c r="B603" s="1" t="n">
        <v>45471</v>
      </c>
      <c r="C603" s="1" t="n">
        <v>45587</v>
      </c>
      <c r="D603" t="inlineStr">
        <is>
          <t>GÄVLEBORGS LÄN</t>
        </is>
      </c>
      <c r="E603" t="inlineStr">
        <is>
          <t>LJUSDAL</t>
        </is>
      </c>
      <c r="F603" t="inlineStr">
        <is>
          <t>Sveaskog</t>
        </is>
      </c>
      <c r="G603" t="n">
        <v>2.1</v>
      </c>
      <c r="H603" t="n">
        <v>0</v>
      </c>
      <c r="I603" t="n">
        <v>0</v>
      </c>
      <c r="J603" t="n">
        <v>1</v>
      </c>
      <c r="K603" t="n">
        <v>0</v>
      </c>
      <c r="L603" t="n">
        <v>0</v>
      </c>
      <c r="M603" t="n">
        <v>0</v>
      </c>
      <c r="N603" t="n">
        <v>0</v>
      </c>
      <c r="O603" t="n">
        <v>1</v>
      </c>
      <c r="P603" t="n">
        <v>0</v>
      </c>
      <c r="Q603" t="n">
        <v>1</v>
      </c>
      <c r="R603" s="2" t="inlineStr">
        <is>
          <t>Kolflarnlav</t>
        </is>
      </c>
      <c r="S603">
        <f>HYPERLINK("https://klasma.github.io/Logging_2161/artfynd/A 26976-2024 artfynd.xlsx", "A 26976-2024")</f>
        <v/>
      </c>
      <c r="T603">
        <f>HYPERLINK("https://klasma.github.io/Logging_2161/kartor/A 26976-2024 karta.png", "A 26976-2024")</f>
        <v/>
      </c>
      <c r="V603">
        <f>HYPERLINK("https://klasma.github.io/Logging_2161/klagomål/A 26976-2024 FSC-klagomål.docx", "A 26976-2024")</f>
        <v/>
      </c>
      <c r="W603">
        <f>HYPERLINK("https://klasma.github.io/Logging_2161/klagomålsmail/A 26976-2024 FSC-klagomål mail.docx", "A 26976-2024")</f>
        <v/>
      </c>
      <c r="X603">
        <f>HYPERLINK("https://klasma.github.io/Logging_2161/tillsyn/A 26976-2024 tillsynsbegäran.docx", "A 26976-2024")</f>
        <v/>
      </c>
      <c r="Y603">
        <f>HYPERLINK("https://klasma.github.io/Logging_2161/tillsynsmail/A 26976-2024 tillsynsbegäran mail.docx", "A 26976-2024")</f>
        <v/>
      </c>
    </row>
    <row r="604" ht="15" customHeight="1">
      <c r="A604" t="inlineStr">
        <is>
          <t>A 28397-2024</t>
        </is>
      </c>
      <c r="B604" s="1" t="n">
        <v>45477</v>
      </c>
      <c r="C604" s="1" t="n">
        <v>45587</v>
      </c>
      <c r="D604" t="inlineStr">
        <is>
          <t>GÄVLEBORGS LÄN</t>
        </is>
      </c>
      <c r="E604" t="inlineStr">
        <is>
          <t>HOFORS</t>
        </is>
      </c>
      <c r="F604" t="inlineStr">
        <is>
          <t>Sveaskog</t>
        </is>
      </c>
      <c r="G604" t="n">
        <v>5</v>
      </c>
      <c r="H604" t="n">
        <v>1</v>
      </c>
      <c r="I604" t="n">
        <v>0</v>
      </c>
      <c r="J604" t="n">
        <v>0</v>
      </c>
      <c r="K604" t="n">
        <v>0</v>
      </c>
      <c r="L604" t="n">
        <v>0</v>
      </c>
      <c r="M604" t="n">
        <v>0</v>
      </c>
      <c r="N604" t="n">
        <v>0</v>
      </c>
      <c r="O604" t="n">
        <v>0</v>
      </c>
      <c r="P604" t="n">
        <v>0</v>
      </c>
      <c r="Q604" t="n">
        <v>1</v>
      </c>
      <c r="R604" s="2" t="inlineStr">
        <is>
          <t>Fläcknycklar</t>
        </is>
      </c>
      <c r="S604">
        <f>HYPERLINK("https://klasma.github.io/Logging_2104/artfynd/A 28397-2024 artfynd.xlsx", "A 28397-2024")</f>
        <v/>
      </c>
      <c r="T604">
        <f>HYPERLINK("https://klasma.github.io/Logging_2104/kartor/A 28397-2024 karta.png", "A 28397-2024")</f>
        <v/>
      </c>
      <c r="V604">
        <f>HYPERLINK("https://klasma.github.io/Logging_2104/klagomål/A 28397-2024 FSC-klagomål.docx", "A 28397-2024")</f>
        <v/>
      </c>
      <c r="W604">
        <f>HYPERLINK("https://klasma.github.io/Logging_2104/klagomålsmail/A 28397-2024 FSC-klagomål mail.docx", "A 28397-2024")</f>
        <v/>
      </c>
      <c r="X604">
        <f>HYPERLINK("https://klasma.github.io/Logging_2104/tillsyn/A 28397-2024 tillsynsbegäran.docx", "A 28397-2024")</f>
        <v/>
      </c>
      <c r="Y604">
        <f>HYPERLINK("https://klasma.github.io/Logging_2104/tillsynsmail/A 28397-2024 tillsynsbegäran mail.docx", "A 28397-2024")</f>
        <v/>
      </c>
    </row>
    <row r="605" ht="15" customHeight="1">
      <c r="A605" t="inlineStr">
        <is>
          <t>A 28392-2024</t>
        </is>
      </c>
      <c r="B605" s="1" t="n">
        <v>45477</v>
      </c>
      <c r="C605" s="1" t="n">
        <v>45587</v>
      </c>
      <c r="D605" t="inlineStr">
        <is>
          <t>GÄVLEBORGS LÄN</t>
        </is>
      </c>
      <c r="E605" t="inlineStr">
        <is>
          <t>HOFORS</t>
        </is>
      </c>
      <c r="F605" t="inlineStr">
        <is>
          <t>Sveaskog</t>
        </is>
      </c>
      <c r="G605" t="n">
        <v>0.5</v>
      </c>
      <c r="H605" t="n">
        <v>1</v>
      </c>
      <c r="I605" t="n">
        <v>0</v>
      </c>
      <c r="J605" t="n">
        <v>0</v>
      </c>
      <c r="K605" t="n">
        <v>0</v>
      </c>
      <c r="L605" t="n">
        <v>0</v>
      </c>
      <c r="M605" t="n">
        <v>0</v>
      </c>
      <c r="N605" t="n">
        <v>0</v>
      </c>
      <c r="O605" t="n">
        <v>0</v>
      </c>
      <c r="P605" t="n">
        <v>0</v>
      </c>
      <c r="Q605" t="n">
        <v>1</v>
      </c>
      <c r="R605" s="2" t="inlineStr">
        <is>
          <t>Fläcknycklar</t>
        </is>
      </c>
      <c r="S605">
        <f>HYPERLINK("https://klasma.github.io/Logging_2104/artfynd/A 28392-2024 artfynd.xlsx", "A 28392-2024")</f>
        <v/>
      </c>
      <c r="T605">
        <f>HYPERLINK("https://klasma.github.io/Logging_2104/kartor/A 28392-2024 karta.png", "A 28392-2024")</f>
        <v/>
      </c>
      <c r="V605">
        <f>HYPERLINK("https://klasma.github.io/Logging_2104/klagomål/A 28392-2024 FSC-klagomål.docx", "A 28392-2024")</f>
        <v/>
      </c>
      <c r="W605">
        <f>HYPERLINK("https://klasma.github.io/Logging_2104/klagomålsmail/A 28392-2024 FSC-klagomål mail.docx", "A 28392-2024")</f>
        <v/>
      </c>
      <c r="X605">
        <f>HYPERLINK("https://klasma.github.io/Logging_2104/tillsyn/A 28392-2024 tillsynsbegäran.docx", "A 28392-2024")</f>
        <v/>
      </c>
      <c r="Y605">
        <f>HYPERLINK("https://klasma.github.io/Logging_2104/tillsynsmail/A 28392-2024 tillsynsbegäran mail.docx", "A 28392-2024")</f>
        <v/>
      </c>
    </row>
    <row r="606" ht="15" customHeight="1">
      <c r="A606" t="inlineStr">
        <is>
          <t>A 30008-2024</t>
        </is>
      </c>
      <c r="B606" s="1" t="n">
        <v>45488</v>
      </c>
      <c r="C606" s="1" t="n">
        <v>45587</v>
      </c>
      <c r="D606" t="inlineStr">
        <is>
          <t>GÄVLEBORGS LÄN</t>
        </is>
      </c>
      <c r="E606" t="inlineStr">
        <is>
          <t>HOFORS</t>
        </is>
      </c>
      <c r="F606" t="inlineStr">
        <is>
          <t>Sveaskog</t>
        </is>
      </c>
      <c r="G606" t="n">
        <v>0.8</v>
      </c>
      <c r="H606" t="n">
        <v>0</v>
      </c>
      <c r="I606" t="n">
        <v>1</v>
      </c>
      <c r="J606" t="n">
        <v>0</v>
      </c>
      <c r="K606" t="n">
        <v>0</v>
      </c>
      <c r="L606" t="n">
        <v>0</v>
      </c>
      <c r="M606" t="n">
        <v>0</v>
      </c>
      <c r="N606" t="n">
        <v>0</v>
      </c>
      <c r="O606" t="n">
        <v>0</v>
      </c>
      <c r="P606" t="n">
        <v>0</v>
      </c>
      <c r="Q606" t="n">
        <v>1</v>
      </c>
      <c r="R606" s="2" t="inlineStr">
        <is>
          <t>Tibast</t>
        </is>
      </c>
      <c r="S606">
        <f>HYPERLINK("https://klasma.github.io/Logging_2104/artfynd/A 30008-2024 artfynd.xlsx", "A 30008-2024")</f>
        <v/>
      </c>
      <c r="T606">
        <f>HYPERLINK("https://klasma.github.io/Logging_2104/kartor/A 30008-2024 karta.png", "A 30008-2024")</f>
        <v/>
      </c>
      <c r="V606">
        <f>HYPERLINK("https://klasma.github.io/Logging_2104/klagomål/A 30008-2024 FSC-klagomål.docx", "A 30008-2024")</f>
        <v/>
      </c>
      <c r="W606">
        <f>HYPERLINK("https://klasma.github.io/Logging_2104/klagomålsmail/A 30008-2024 FSC-klagomål mail.docx", "A 30008-2024")</f>
        <v/>
      </c>
      <c r="X606">
        <f>HYPERLINK("https://klasma.github.io/Logging_2104/tillsyn/A 30008-2024 tillsynsbegäran.docx", "A 30008-2024")</f>
        <v/>
      </c>
      <c r="Y606">
        <f>HYPERLINK("https://klasma.github.io/Logging_2104/tillsynsmail/A 30008-2024 tillsynsbegäran mail.docx", "A 30008-2024")</f>
        <v/>
      </c>
    </row>
    <row r="607" ht="15" customHeight="1">
      <c r="A607" t="inlineStr">
        <is>
          <t>A 30115-2024</t>
        </is>
      </c>
      <c r="B607" s="1" t="n">
        <v>45489</v>
      </c>
      <c r="C607" s="1" t="n">
        <v>45587</v>
      </c>
      <c r="D607" t="inlineStr">
        <is>
          <t>GÄVLEBORGS LÄN</t>
        </is>
      </c>
      <c r="E607" t="inlineStr">
        <is>
          <t>LJUSDAL</t>
        </is>
      </c>
      <c r="F607" t="inlineStr">
        <is>
          <t>Sveaskog</t>
        </is>
      </c>
      <c r="G607" t="n">
        <v>3.7</v>
      </c>
      <c r="H607" t="n">
        <v>0</v>
      </c>
      <c r="I607" t="n">
        <v>0</v>
      </c>
      <c r="J607" t="n">
        <v>1</v>
      </c>
      <c r="K607" t="n">
        <v>0</v>
      </c>
      <c r="L607" t="n">
        <v>0</v>
      </c>
      <c r="M607" t="n">
        <v>0</v>
      </c>
      <c r="N607" t="n">
        <v>0</v>
      </c>
      <c r="O607" t="n">
        <v>1</v>
      </c>
      <c r="P607" t="n">
        <v>0</v>
      </c>
      <c r="Q607" t="n">
        <v>1</v>
      </c>
      <c r="R607" s="2" t="inlineStr">
        <is>
          <t>Kolflarnlav</t>
        </is>
      </c>
      <c r="S607">
        <f>HYPERLINK("https://klasma.github.io/Logging_2161/artfynd/A 30115-2024 artfynd.xlsx", "A 30115-2024")</f>
        <v/>
      </c>
      <c r="T607">
        <f>HYPERLINK("https://klasma.github.io/Logging_2161/kartor/A 30115-2024 karta.png", "A 30115-2024")</f>
        <v/>
      </c>
      <c r="V607">
        <f>HYPERLINK("https://klasma.github.io/Logging_2161/klagomål/A 30115-2024 FSC-klagomål.docx", "A 30115-2024")</f>
        <v/>
      </c>
      <c r="W607">
        <f>HYPERLINK("https://klasma.github.io/Logging_2161/klagomålsmail/A 30115-2024 FSC-klagomål mail.docx", "A 30115-2024")</f>
        <v/>
      </c>
      <c r="X607">
        <f>HYPERLINK("https://klasma.github.io/Logging_2161/tillsyn/A 30115-2024 tillsynsbegäran.docx", "A 30115-2024")</f>
        <v/>
      </c>
      <c r="Y607">
        <f>HYPERLINK("https://klasma.github.io/Logging_2161/tillsynsmail/A 30115-2024 tillsynsbegäran mail.docx", "A 30115-2024")</f>
        <v/>
      </c>
    </row>
    <row r="608" ht="15" customHeight="1">
      <c r="A608" t="inlineStr">
        <is>
          <t>A 30541-2024</t>
        </is>
      </c>
      <c r="B608" s="1" t="n">
        <v>45492</v>
      </c>
      <c r="C608" s="1" t="n">
        <v>45587</v>
      </c>
      <c r="D608" t="inlineStr">
        <is>
          <t>GÄVLEBORGS LÄN</t>
        </is>
      </c>
      <c r="E608" t="inlineStr">
        <is>
          <t>SANDVIKEN</t>
        </is>
      </c>
      <c r="F608" t="inlineStr">
        <is>
          <t>Sveaskog</t>
        </is>
      </c>
      <c r="G608" t="n">
        <v>11.2</v>
      </c>
      <c r="H608" t="n">
        <v>1</v>
      </c>
      <c r="I608" t="n">
        <v>0</v>
      </c>
      <c r="J608" t="n">
        <v>0</v>
      </c>
      <c r="K608" t="n">
        <v>0</v>
      </c>
      <c r="L608" t="n">
        <v>0</v>
      </c>
      <c r="M608" t="n">
        <v>0</v>
      </c>
      <c r="N608" t="n">
        <v>0</v>
      </c>
      <c r="O608" t="n">
        <v>0</v>
      </c>
      <c r="P608" t="n">
        <v>0</v>
      </c>
      <c r="Q608" t="n">
        <v>1</v>
      </c>
      <c r="R608" s="2" t="inlineStr">
        <is>
          <t>Fläcknycklar</t>
        </is>
      </c>
      <c r="S608">
        <f>HYPERLINK("https://klasma.github.io/Logging_2181/artfynd/A 30541-2024 artfynd.xlsx", "A 30541-2024")</f>
        <v/>
      </c>
      <c r="T608">
        <f>HYPERLINK("https://klasma.github.io/Logging_2181/kartor/A 30541-2024 karta.png", "A 30541-2024")</f>
        <v/>
      </c>
      <c r="V608">
        <f>HYPERLINK("https://klasma.github.io/Logging_2181/klagomål/A 30541-2024 FSC-klagomål.docx", "A 30541-2024")</f>
        <v/>
      </c>
      <c r="W608">
        <f>HYPERLINK("https://klasma.github.io/Logging_2181/klagomålsmail/A 30541-2024 FSC-klagomål mail.docx", "A 30541-2024")</f>
        <v/>
      </c>
      <c r="X608">
        <f>HYPERLINK("https://klasma.github.io/Logging_2181/tillsyn/A 30541-2024 tillsynsbegäran.docx", "A 30541-2024")</f>
        <v/>
      </c>
      <c r="Y608">
        <f>HYPERLINK("https://klasma.github.io/Logging_2181/tillsynsmail/A 30541-2024 tillsynsbegäran mail.docx", "A 30541-2024")</f>
        <v/>
      </c>
    </row>
    <row r="609" ht="15" customHeight="1">
      <c r="A609" t="inlineStr">
        <is>
          <t>A 30497-2024</t>
        </is>
      </c>
      <c r="B609" s="1" t="n">
        <v>45492</v>
      </c>
      <c r="C609" s="1" t="n">
        <v>45587</v>
      </c>
      <c r="D609" t="inlineStr">
        <is>
          <t>GÄVLEBORGS LÄN</t>
        </is>
      </c>
      <c r="E609" t="inlineStr">
        <is>
          <t>SANDVIKEN</t>
        </is>
      </c>
      <c r="F609" t="inlineStr">
        <is>
          <t>Sveaskog</t>
        </is>
      </c>
      <c r="G609" t="n">
        <v>3.9</v>
      </c>
      <c r="H609" t="n">
        <v>1</v>
      </c>
      <c r="I609" t="n">
        <v>0</v>
      </c>
      <c r="J609" t="n">
        <v>0</v>
      </c>
      <c r="K609" t="n">
        <v>0</v>
      </c>
      <c r="L609" t="n">
        <v>0</v>
      </c>
      <c r="M609" t="n">
        <v>0</v>
      </c>
      <c r="N609" t="n">
        <v>0</v>
      </c>
      <c r="O609" t="n">
        <v>0</v>
      </c>
      <c r="P609" t="n">
        <v>0</v>
      </c>
      <c r="Q609" t="n">
        <v>1</v>
      </c>
      <c r="R609" s="2" t="inlineStr">
        <is>
          <t>Fläcknycklar</t>
        </is>
      </c>
      <c r="S609">
        <f>HYPERLINK("https://klasma.github.io/Logging_2181/artfynd/A 30497-2024 artfynd.xlsx", "A 30497-2024")</f>
        <v/>
      </c>
      <c r="T609">
        <f>HYPERLINK("https://klasma.github.io/Logging_2181/kartor/A 30497-2024 karta.png", "A 30497-2024")</f>
        <v/>
      </c>
      <c r="V609">
        <f>HYPERLINK("https://klasma.github.io/Logging_2181/klagomål/A 30497-2024 FSC-klagomål.docx", "A 30497-2024")</f>
        <v/>
      </c>
      <c r="W609">
        <f>HYPERLINK("https://klasma.github.io/Logging_2181/klagomålsmail/A 30497-2024 FSC-klagomål mail.docx", "A 30497-2024")</f>
        <v/>
      </c>
      <c r="X609">
        <f>HYPERLINK("https://klasma.github.io/Logging_2181/tillsyn/A 30497-2024 tillsynsbegäran.docx", "A 30497-2024")</f>
        <v/>
      </c>
      <c r="Y609">
        <f>HYPERLINK("https://klasma.github.io/Logging_2181/tillsynsmail/A 30497-2024 tillsynsbegäran mail.docx", "A 30497-2024")</f>
        <v/>
      </c>
    </row>
    <row r="610" ht="15" customHeight="1">
      <c r="A610" t="inlineStr">
        <is>
          <t>A 31066-2024</t>
        </is>
      </c>
      <c r="B610" s="1" t="n">
        <v>45502</v>
      </c>
      <c r="C610" s="1" t="n">
        <v>45587</v>
      </c>
      <c r="D610" t="inlineStr">
        <is>
          <t>GÄVLEBORGS LÄN</t>
        </is>
      </c>
      <c r="E610" t="inlineStr">
        <is>
          <t>NORDANSTIG</t>
        </is>
      </c>
      <c r="F610" t="inlineStr">
        <is>
          <t>Holmen skog AB</t>
        </is>
      </c>
      <c r="G610" t="n">
        <v>4.7</v>
      </c>
      <c r="H610" t="n">
        <v>0</v>
      </c>
      <c r="I610" t="n">
        <v>0</v>
      </c>
      <c r="J610" t="n">
        <v>1</v>
      </c>
      <c r="K610" t="n">
        <v>0</v>
      </c>
      <c r="L610" t="n">
        <v>0</v>
      </c>
      <c r="M610" t="n">
        <v>0</v>
      </c>
      <c r="N610" t="n">
        <v>0</v>
      </c>
      <c r="O610" t="n">
        <v>1</v>
      </c>
      <c r="P610" t="n">
        <v>0</v>
      </c>
      <c r="Q610" t="n">
        <v>1</v>
      </c>
      <c r="R610" s="2" t="inlineStr">
        <is>
          <t>Lunglav</t>
        </is>
      </c>
      <c r="S610">
        <f>HYPERLINK("https://klasma.github.io/Logging_2132/artfynd/A 31066-2024 artfynd.xlsx", "A 31066-2024")</f>
        <v/>
      </c>
      <c r="T610">
        <f>HYPERLINK("https://klasma.github.io/Logging_2132/kartor/A 31066-2024 karta.png", "A 31066-2024")</f>
        <v/>
      </c>
      <c r="V610">
        <f>HYPERLINK("https://klasma.github.io/Logging_2132/klagomål/A 31066-2024 FSC-klagomål.docx", "A 31066-2024")</f>
        <v/>
      </c>
      <c r="W610">
        <f>HYPERLINK("https://klasma.github.io/Logging_2132/klagomålsmail/A 31066-2024 FSC-klagomål mail.docx", "A 31066-2024")</f>
        <v/>
      </c>
      <c r="X610">
        <f>HYPERLINK("https://klasma.github.io/Logging_2132/tillsyn/A 31066-2024 tillsynsbegäran.docx", "A 31066-2024")</f>
        <v/>
      </c>
      <c r="Y610">
        <f>HYPERLINK("https://klasma.github.io/Logging_2132/tillsynsmail/A 31066-2024 tillsynsbegäran mail.docx", "A 31066-2024")</f>
        <v/>
      </c>
    </row>
    <row r="611" ht="15" customHeight="1">
      <c r="A611" t="inlineStr">
        <is>
          <t>A 31053-2024</t>
        </is>
      </c>
      <c r="B611" s="1" t="n">
        <v>45502</v>
      </c>
      <c r="C611" s="1" t="n">
        <v>45587</v>
      </c>
      <c r="D611" t="inlineStr">
        <is>
          <t>GÄVLEBORGS LÄN</t>
        </is>
      </c>
      <c r="E611" t="inlineStr">
        <is>
          <t>NORDANSTIG</t>
        </is>
      </c>
      <c r="F611" t="inlineStr">
        <is>
          <t>Holmen skog AB</t>
        </is>
      </c>
      <c r="G611" t="n">
        <v>5.5</v>
      </c>
      <c r="H611" t="n">
        <v>0</v>
      </c>
      <c r="I611" t="n">
        <v>1</v>
      </c>
      <c r="J611" t="n">
        <v>0</v>
      </c>
      <c r="K611" t="n">
        <v>0</v>
      </c>
      <c r="L611" t="n">
        <v>0</v>
      </c>
      <c r="M611" t="n">
        <v>0</v>
      </c>
      <c r="N611" t="n">
        <v>0</v>
      </c>
      <c r="O611" t="n">
        <v>0</v>
      </c>
      <c r="P611" t="n">
        <v>0</v>
      </c>
      <c r="Q611" t="n">
        <v>1</v>
      </c>
      <c r="R611" s="2" t="inlineStr">
        <is>
          <t>Smal svampklubba</t>
        </is>
      </c>
      <c r="S611">
        <f>HYPERLINK("https://klasma.github.io/Logging_2132/artfynd/A 31053-2024 artfynd.xlsx", "A 31053-2024")</f>
        <v/>
      </c>
      <c r="T611">
        <f>HYPERLINK("https://klasma.github.io/Logging_2132/kartor/A 31053-2024 karta.png", "A 31053-2024")</f>
        <v/>
      </c>
      <c r="V611">
        <f>HYPERLINK("https://klasma.github.io/Logging_2132/klagomål/A 31053-2024 FSC-klagomål.docx", "A 31053-2024")</f>
        <v/>
      </c>
      <c r="W611">
        <f>HYPERLINK("https://klasma.github.io/Logging_2132/klagomålsmail/A 31053-2024 FSC-klagomål mail.docx", "A 31053-2024")</f>
        <v/>
      </c>
      <c r="X611">
        <f>HYPERLINK("https://klasma.github.io/Logging_2132/tillsyn/A 31053-2024 tillsynsbegäran.docx", "A 31053-2024")</f>
        <v/>
      </c>
      <c r="Y611">
        <f>HYPERLINK("https://klasma.github.io/Logging_2132/tillsynsmail/A 31053-2024 tillsynsbegäran mail.docx", "A 31053-2024")</f>
        <v/>
      </c>
    </row>
    <row r="612" ht="15" customHeight="1">
      <c r="A612" t="inlineStr">
        <is>
          <t>A 31420-2024</t>
        </is>
      </c>
      <c r="B612" s="1" t="n">
        <v>45505</v>
      </c>
      <c r="C612" s="1" t="n">
        <v>45587</v>
      </c>
      <c r="D612" t="inlineStr">
        <is>
          <t>GÄVLEBORGS LÄN</t>
        </is>
      </c>
      <c r="E612" t="inlineStr">
        <is>
          <t>LJUSDAL</t>
        </is>
      </c>
      <c r="F612" t="inlineStr">
        <is>
          <t>Sveaskog</t>
        </is>
      </c>
      <c r="G612" t="n">
        <v>4.4</v>
      </c>
      <c r="H612" t="n">
        <v>0</v>
      </c>
      <c r="I612" t="n">
        <v>0</v>
      </c>
      <c r="J612" t="n">
        <v>1</v>
      </c>
      <c r="K612" t="n">
        <v>0</v>
      </c>
      <c r="L612" t="n">
        <v>0</v>
      </c>
      <c r="M612" t="n">
        <v>0</v>
      </c>
      <c r="N612" t="n">
        <v>0</v>
      </c>
      <c r="O612" t="n">
        <v>1</v>
      </c>
      <c r="P612" t="n">
        <v>0</v>
      </c>
      <c r="Q612" t="n">
        <v>1</v>
      </c>
      <c r="R612" s="2" t="inlineStr">
        <is>
          <t>Lunglav</t>
        </is>
      </c>
      <c r="S612">
        <f>HYPERLINK("https://klasma.github.io/Logging_2161/artfynd/A 31420-2024 artfynd.xlsx", "A 31420-2024")</f>
        <v/>
      </c>
      <c r="T612">
        <f>HYPERLINK("https://klasma.github.io/Logging_2161/kartor/A 31420-2024 karta.png", "A 31420-2024")</f>
        <v/>
      </c>
      <c r="V612">
        <f>HYPERLINK("https://klasma.github.io/Logging_2161/klagomål/A 31420-2024 FSC-klagomål.docx", "A 31420-2024")</f>
        <v/>
      </c>
      <c r="W612">
        <f>HYPERLINK("https://klasma.github.io/Logging_2161/klagomålsmail/A 31420-2024 FSC-klagomål mail.docx", "A 31420-2024")</f>
        <v/>
      </c>
      <c r="X612">
        <f>HYPERLINK("https://klasma.github.io/Logging_2161/tillsyn/A 31420-2024 tillsynsbegäran.docx", "A 31420-2024")</f>
        <v/>
      </c>
      <c r="Y612">
        <f>HYPERLINK("https://klasma.github.io/Logging_2161/tillsynsmail/A 31420-2024 tillsynsbegäran mail.docx", "A 31420-2024")</f>
        <v/>
      </c>
    </row>
    <row r="613" ht="15" customHeight="1">
      <c r="A613" t="inlineStr">
        <is>
          <t>A 31417-2024</t>
        </is>
      </c>
      <c r="B613" s="1" t="n">
        <v>45505</v>
      </c>
      <c r="C613" s="1" t="n">
        <v>45587</v>
      </c>
      <c r="D613" t="inlineStr">
        <is>
          <t>GÄVLEBORGS LÄN</t>
        </is>
      </c>
      <c r="E613" t="inlineStr">
        <is>
          <t>LJUSDAL</t>
        </is>
      </c>
      <c r="F613" t="inlineStr">
        <is>
          <t>Sveaskog</t>
        </is>
      </c>
      <c r="G613" t="n">
        <v>3</v>
      </c>
      <c r="H613" t="n">
        <v>0</v>
      </c>
      <c r="I613" t="n">
        <v>0</v>
      </c>
      <c r="J613" t="n">
        <v>1</v>
      </c>
      <c r="K613" t="n">
        <v>0</v>
      </c>
      <c r="L613" t="n">
        <v>0</v>
      </c>
      <c r="M613" t="n">
        <v>0</v>
      </c>
      <c r="N613" t="n">
        <v>0</v>
      </c>
      <c r="O613" t="n">
        <v>1</v>
      </c>
      <c r="P613" t="n">
        <v>0</v>
      </c>
      <c r="Q613" t="n">
        <v>1</v>
      </c>
      <c r="R613" s="2" t="inlineStr">
        <is>
          <t>Kolflarnlav</t>
        </is>
      </c>
      <c r="S613">
        <f>HYPERLINK("https://klasma.github.io/Logging_2161/artfynd/A 31417-2024 artfynd.xlsx", "A 31417-2024")</f>
        <v/>
      </c>
      <c r="T613">
        <f>HYPERLINK("https://klasma.github.io/Logging_2161/kartor/A 31417-2024 karta.png", "A 31417-2024")</f>
        <v/>
      </c>
      <c r="V613">
        <f>HYPERLINK("https://klasma.github.io/Logging_2161/klagomål/A 31417-2024 FSC-klagomål.docx", "A 31417-2024")</f>
        <v/>
      </c>
      <c r="W613">
        <f>HYPERLINK("https://klasma.github.io/Logging_2161/klagomålsmail/A 31417-2024 FSC-klagomål mail.docx", "A 31417-2024")</f>
        <v/>
      </c>
      <c r="X613">
        <f>HYPERLINK("https://klasma.github.io/Logging_2161/tillsyn/A 31417-2024 tillsynsbegäran.docx", "A 31417-2024")</f>
        <v/>
      </c>
      <c r="Y613">
        <f>HYPERLINK("https://klasma.github.io/Logging_2161/tillsynsmail/A 31417-2024 tillsynsbegäran mail.docx", "A 31417-2024")</f>
        <v/>
      </c>
    </row>
    <row r="614" ht="15" customHeight="1">
      <c r="A614" t="inlineStr">
        <is>
          <t>A 32398-2024</t>
        </is>
      </c>
      <c r="B614" s="1" t="n">
        <v>45512</v>
      </c>
      <c r="C614" s="1" t="n">
        <v>45587</v>
      </c>
      <c r="D614" t="inlineStr">
        <is>
          <t>GÄVLEBORGS LÄN</t>
        </is>
      </c>
      <c r="E614" t="inlineStr">
        <is>
          <t>LJUSDAL</t>
        </is>
      </c>
      <c r="F614" t="inlineStr">
        <is>
          <t>Sveaskog</t>
        </is>
      </c>
      <c r="G614" t="n">
        <v>6.9</v>
      </c>
      <c r="H614" t="n">
        <v>0</v>
      </c>
      <c r="I614" t="n">
        <v>0</v>
      </c>
      <c r="J614" t="n">
        <v>1</v>
      </c>
      <c r="K614" t="n">
        <v>0</v>
      </c>
      <c r="L614" t="n">
        <v>0</v>
      </c>
      <c r="M614" t="n">
        <v>0</v>
      </c>
      <c r="N614" t="n">
        <v>0</v>
      </c>
      <c r="O614" t="n">
        <v>1</v>
      </c>
      <c r="P614" t="n">
        <v>0</v>
      </c>
      <c r="Q614" t="n">
        <v>1</v>
      </c>
      <c r="R614" s="2" t="inlineStr">
        <is>
          <t>Granticka</t>
        </is>
      </c>
      <c r="S614">
        <f>HYPERLINK("https://klasma.github.io/Logging_2161/artfynd/A 32398-2024 artfynd.xlsx", "A 32398-2024")</f>
        <v/>
      </c>
      <c r="T614">
        <f>HYPERLINK("https://klasma.github.io/Logging_2161/kartor/A 32398-2024 karta.png", "A 32398-2024")</f>
        <v/>
      </c>
      <c r="V614">
        <f>HYPERLINK("https://klasma.github.io/Logging_2161/klagomål/A 32398-2024 FSC-klagomål.docx", "A 32398-2024")</f>
        <v/>
      </c>
      <c r="W614">
        <f>HYPERLINK("https://klasma.github.io/Logging_2161/klagomålsmail/A 32398-2024 FSC-klagomål mail.docx", "A 32398-2024")</f>
        <v/>
      </c>
      <c r="X614">
        <f>HYPERLINK("https://klasma.github.io/Logging_2161/tillsyn/A 32398-2024 tillsynsbegäran.docx", "A 32398-2024")</f>
        <v/>
      </c>
      <c r="Y614">
        <f>HYPERLINK("https://klasma.github.io/Logging_2161/tillsynsmail/A 32398-2024 tillsynsbegäran mail.docx", "A 32398-2024")</f>
        <v/>
      </c>
    </row>
    <row r="615" ht="15" customHeight="1">
      <c r="A615" t="inlineStr">
        <is>
          <t>A 32807-2024</t>
        </is>
      </c>
      <c r="B615" s="1" t="n">
        <v>45516</v>
      </c>
      <c r="C615" s="1" t="n">
        <v>45587</v>
      </c>
      <c r="D615" t="inlineStr">
        <is>
          <t>GÄVLEBORGS LÄN</t>
        </is>
      </c>
      <c r="E615" t="inlineStr">
        <is>
          <t>LJUSDAL</t>
        </is>
      </c>
      <c r="F615" t="inlineStr">
        <is>
          <t>Sveaskog</t>
        </is>
      </c>
      <c r="G615" t="n">
        <v>11.5</v>
      </c>
      <c r="H615" t="n">
        <v>0</v>
      </c>
      <c r="I615" t="n">
        <v>0</v>
      </c>
      <c r="J615" t="n">
        <v>1</v>
      </c>
      <c r="K615" t="n">
        <v>0</v>
      </c>
      <c r="L615" t="n">
        <v>0</v>
      </c>
      <c r="M615" t="n">
        <v>0</v>
      </c>
      <c r="N615" t="n">
        <v>0</v>
      </c>
      <c r="O615" t="n">
        <v>1</v>
      </c>
      <c r="P615" t="n">
        <v>0</v>
      </c>
      <c r="Q615" t="n">
        <v>1</v>
      </c>
      <c r="R615" s="2" t="inlineStr">
        <is>
          <t>Kolflarnlav</t>
        </is>
      </c>
      <c r="S615">
        <f>HYPERLINK("https://klasma.github.io/Logging_2161/artfynd/A 32807-2024 artfynd.xlsx", "A 32807-2024")</f>
        <v/>
      </c>
      <c r="T615">
        <f>HYPERLINK("https://klasma.github.io/Logging_2161/kartor/A 32807-2024 karta.png", "A 32807-2024")</f>
        <v/>
      </c>
      <c r="V615">
        <f>HYPERLINK("https://klasma.github.io/Logging_2161/klagomål/A 32807-2024 FSC-klagomål.docx", "A 32807-2024")</f>
        <v/>
      </c>
      <c r="W615">
        <f>HYPERLINK("https://klasma.github.io/Logging_2161/klagomålsmail/A 32807-2024 FSC-klagomål mail.docx", "A 32807-2024")</f>
        <v/>
      </c>
      <c r="X615">
        <f>HYPERLINK("https://klasma.github.io/Logging_2161/tillsyn/A 32807-2024 tillsynsbegäran.docx", "A 32807-2024")</f>
        <v/>
      </c>
      <c r="Y615">
        <f>HYPERLINK("https://klasma.github.io/Logging_2161/tillsynsmail/A 32807-2024 tillsynsbegäran mail.docx", "A 32807-2024")</f>
        <v/>
      </c>
    </row>
    <row r="616" ht="15" customHeight="1">
      <c r="A616" t="inlineStr">
        <is>
          <t>A 33950-2024</t>
        </is>
      </c>
      <c r="B616" s="1" t="n">
        <v>45523</v>
      </c>
      <c r="C616" s="1" t="n">
        <v>45587</v>
      </c>
      <c r="D616" t="inlineStr">
        <is>
          <t>GÄVLEBORGS LÄN</t>
        </is>
      </c>
      <c r="E616" t="inlineStr">
        <is>
          <t>LJUSDAL</t>
        </is>
      </c>
      <c r="F616" t="inlineStr">
        <is>
          <t>Sveaskog</t>
        </is>
      </c>
      <c r="G616" t="n">
        <v>3.6</v>
      </c>
      <c r="H616" t="n">
        <v>0</v>
      </c>
      <c r="I616" t="n">
        <v>0</v>
      </c>
      <c r="J616" t="n">
        <v>1</v>
      </c>
      <c r="K616" t="n">
        <v>0</v>
      </c>
      <c r="L616" t="n">
        <v>0</v>
      </c>
      <c r="M616" t="n">
        <v>0</v>
      </c>
      <c r="N616" t="n">
        <v>0</v>
      </c>
      <c r="O616" t="n">
        <v>1</v>
      </c>
      <c r="P616" t="n">
        <v>0</v>
      </c>
      <c r="Q616" t="n">
        <v>1</v>
      </c>
      <c r="R616" s="2" t="inlineStr">
        <is>
          <t>Lunglav</t>
        </is>
      </c>
      <c r="S616">
        <f>HYPERLINK("https://klasma.github.io/Logging_2161/artfynd/A 33950-2024 artfynd.xlsx", "A 33950-2024")</f>
        <v/>
      </c>
      <c r="T616">
        <f>HYPERLINK("https://klasma.github.io/Logging_2161/kartor/A 33950-2024 karta.png", "A 33950-2024")</f>
        <v/>
      </c>
      <c r="V616">
        <f>HYPERLINK("https://klasma.github.io/Logging_2161/klagomål/A 33950-2024 FSC-klagomål.docx", "A 33950-2024")</f>
        <v/>
      </c>
      <c r="W616">
        <f>HYPERLINK("https://klasma.github.io/Logging_2161/klagomålsmail/A 33950-2024 FSC-klagomål mail.docx", "A 33950-2024")</f>
        <v/>
      </c>
      <c r="X616">
        <f>HYPERLINK("https://klasma.github.io/Logging_2161/tillsyn/A 33950-2024 tillsynsbegäran.docx", "A 33950-2024")</f>
        <v/>
      </c>
      <c r="Y616">
        <f>HYPERLINK("https://klasma.github.io/Logging_2161/tillsynsmail/A 33950-2024 tillsynsbegäran mail.docx", "A 33950-2024")</f>
        <v/>
      </c>
    </row>
    <row r="617" ht="15" customHeight="1">
      <c r="A617" t="inlineStr">
        <is>
          <t>A 34233-2024</t>
        </is>
      </c>
      <c r="B617" s="1" t="n">
        <v>45524</v>
      </c>
      <c r="C617" s="1" t="n">
        <v>45587</v>
      </c>
      <c r="D617" t="inlineStr">
        <is>
          <t>GÄVLEBORGS LÄN</t>
        </is>
      </c>
      <c r="E617" t="inlineStr">
        <is>
          <t>LJUSDAL</t>
        </is>
      </c>
      <c r="F617" t="inlineStr">
        <is>
          <t>Sveaskog</t>
        </is>
      </c>
      <c r="G617" t="n">
        <v>7.5</v>
      </c>
      <c r="H617" t="n">
        <v>1</v>
      </c>
      <c r="I617" t="n">
        <v>1</v>
      </c>
      <c r="J617" t="n">
        <v>0</v>
      </c>
      <c r="K617" t="n">
        <v>0</v>
      </c>
      <c r="L617" t="n">
        <v>0</v>
      </c>
      <c r="M617" t="n">
        <v>0</v>
      </c>
      <c r="N617" t="n">
        <v>0</v>
      </c>
      <c r="O617" t="n">
        <v>0</v>
      </c>
      <c r="P617" t="n">
        <v>0</v>
      </c>
      <c r="Q617" t="n">
        <v>1</v>
      </c>
      <c r="R617" s="2" t="inlineStr">
        <is>
          <t>Plattlummer</t>
        </is>
      </c>
      <c r="S617">
        <f>HYPERLINK("https://klasma.github.io/Logging_2161/artfynd/A 34233-2024 artfynd.xlsx", "A 34233-2024")</f>
        <v/>
      </c>
      <c r="T617">
        <f>HYPERLINK("https://klasma.github.io/Logging_2161/kartor/A 34233-2024 karta.png", "A 34233-2024")</f>
        <v/>
      </c>
      <c r="V617">
        <f>HYPERLINK("https://klasma.github.io/Logging_2161/klagomål/A 34233-2024 FSC-klagomål.docx", "A 34233-2024")</f>
        <v/>
      </c>
      <c r="W617">
        <f>HYPERLINK("https://klasma.github.io/Logging_2161/klagomålsmail/A 34233-2024 FSC-klagomål mail.docx", "A 34233-2024")</f>
        <v/>
      </c>
      <c r="X617">
        <f>HYPERLINK("https://klasma.github.io/Logging_2161/tillsyn/A 34233-2024 tillsynsbegäran.docx", "A 34233-2024")</f>
        <v/>
      </c>
      <c r="Y617">
        <f>HYPERLINK("https://klasma.github.io/Logging_2161/tillsynsmail/A 34233-2024 tillsynsbegäran mail.docx", "A 34233-2024")</f>
        <v/>
      </c>
    </row>
    <row r="618" ht="15" customHeight="1">
      <c r="A618" t="inlineStr">
        <is>
          <t>A 34235-2024</t>
        </is>
      </c>
      <c r="B618" s="1" t="n">
        <v>45524</v>
      </c>
      <c r="C618" s="1" t="n">
        <v>45587</v>
      </c>
      <c r="D618" t="inlineStr">
        <is>
          <t>GÄVLEBORGS LÄN</t>
        </is>
      </c>
      <c r="E618" t="inlineStr">
        <is>
          <t>LJUSDAL</t>
        </is>
      </c>
      <c r="F618" t="inlineStr">
        <is>
          <t>Sveaskog</t>
        </is>
      </c>
      <c r="G618" t="n">
        <v>3.5</v>
      </c>
      <c r="H618" t="n">
        <v>1</v>
      </c>
      <c r="I618" t="n">
        <v>1</v>
      </c>
      <c r="J618" t="n">
        <v>0</v>
      </c>
      <c r="K618" t="n">
        <v>0</v>
      </c>
      <c r="L618" t="n">
        <v>0</v>
      </c>
      <c r="M618" t="n">
        <v>0</v>
      </c>
      <c r="N618" t="n">
        <v>0</v>
      </c>
      <c r="O618" t="n">
        <v>0</v>
      </c>
      <c r="P618" t="n">
        <v>0</v>
      </c>
      <c r="Q618" t="n">
        <v>1</v>
      </c>
      <c r="R618" s="2" t="inlineStr">
        <is>
          <t>Plattlummer</t>
        </is>
      </c>
      <c r="S618">
        <f>HYPERLINK("https://klasma.github.io/Logging_2161/artfynd/A 34235-2024 artfynd.xlsx", "A 34235-2024")</f>
        <v/>
      </c>
      <c r="T618">
        <f>HYPERLINK("https://klasma.github.io/Logging_2161/kartor/A 34235-2024 karta.png", "A 34235-2024")</f>
        <v/>
      </c>
      <c r="V618">
        <f>HYPERLINK("https://klasma.github.io/Logging_2161/klagomål/A 34235-2024 FSC-klagomål.docx", "A 34235-2024")</f>
        <v/>
      </c>
      <c r="W618">
        <f>HYPERLINK("https://klasma.github.io/Logging_2161/klagomålsmail/A 34235-2024 FSC-klagomål mail.docx", "A 34235-2024")</f>
        <v/>
      </c>
      <c r="X618">
        <f>HYPERLINK("https://klasma.github.io/Logging_2161/tillsyn/A 34235-2024 tillsynsbegäran.docx", "A 34235-2024")</f>
        <v/>
      </c>
      <c r="Y618">
        <f>HYPERLINK("https://klasma.github.io/Logging_2161/tillsynsmail/A 34235-2024 tillsynsbegäran mail.docx", "A 34235-2024")</f>
        <v/>
      </c>
    </row>
    <row r="619" ht="15" customHeight="1">
      <c r="A619" t="inlineStr">
        <is>
          <t>A 34358-2024</t>
        </is>
      </c>
      <c r="B619" s="1" t="n">
        <v>45525</v>
      </c>
      <c r="C619" s="1" t="n">
        <v>45587</v>
      </c>
      <c r="D619" t="inlineStr">
        <is>
          <t>GÄVLEBORGS LÄN</t>
        </is>
      </c>
      <c r="E619" t="inlineStr">
        <is>
          <t>HUDIKSVALL</t>
        </is>
      </c>
      <c r="F619" t="inlineStr">
        <is>
          <t>Holmen skog AB</t>
        </is>
      </c>
      <c r="G619" t="n">
        <v>4.7</v>
      </c>
      <c r="H619" t="n">
        <v>0</v>
      </c>
      <c r="I619" t="n">
        <v>0</v>
      </c>
      <c r="J619" t="n">
        <v>1</v>
      </c>
      <c r="K619" t="n">
        <v>0</v>
      </c>
      <c r="L619" t="n">
        <v>0</v>
      </c>
      <c r="M619" t="n">
        <v>0</v>
      </c>
      <c r="N619" t="n">
        <v>0</v>
      </c>
      <c r="O619" t="n">
        <v>1</v>
      </c>
      <c r="P619" t="n">
        <v>0</v>
      </c>
      <c r="Q619" t="n">
        <v>1</v>
      </c>
      <c r="R619" s="2" t="inlineStr">
        <is>
          <t>Garnlav</t>
        </is>
      </c>
      <c r="S619">
        <f>HYPERLINK("https://klasma.github.io/Logging_2184/artfynd/A 34358-2024 artfynd.xlsx", "A 34358-2024")</f>
        <v/>
      </c>
      <c r="T619">
        <f>HYPERLINK("https://klasma.github.io/Logging_2184/kartor/A 34358-2024 karta.png", "A 34358-2024")</f>
        <v/>
      </c>
      <c r="V619">
        <f>HYPERLINK("https://klasma.github.io/Logging_2184/klagomål/A 34358-2024 FSC-klagomål.docx", "A 34358-2024")</f>
        <v/>
      </c>
      <c r="W619">
        <f>HYPERLINK("https://klasma.github.io/Logging_2184/klagomålsmail/A 34358-2024 FSC-klagomål mail.docx", "A 34358-2024")</f>
        <v/>
      </c>
      <c r="X619">
        <f>HYPERLINK("https://klasma.github.io/Logging_2184/tillsyn/A 34358-2024 tillsynsbegäran.docx", "A 34358-2024")</f>
        <v/>
      </c>
      <c r="Y619">
        <f>HYPERLINK("https://klasma.github.io/Logging_2184/tillsynsmail/A 34358-2024 tillsynsbegäran mail.docx", "A 34358-2024")</f>
        <v/>
      </c>
    </row>
    <row r="620" ht="15" customHeight="1">
      <c r="A620" t="inlineStr">
        <is>
          <t>A 34475-2024</t>
        </is>
      </c>
      <c r="B620" s="1" t="n">
        <v>45525</v>
      </c>
      <c r="C620" s="1" t="n">
        <v>45587</v>
      </c>
      <c r="D620" t="inlineStr">
        <is>
          <t>GÄVLEBORGS LÄN</t>
        </is>
      </c>
      <c r="E620" t="inlineStr">
        <is>
          <t>BOLLNÄS</t>
        </is>
      </c>
      <c r="F620" t="inlineStr">
        <is>
          <t>Bergvik skog väst AB</t>
        </is>
      </c>
      <c r="G620" t="n">
        <v>7.8</v>
      </c>
      <c r="H620" t="n">
        <v>0</v>
      </c>
      <c r="I620" t="n">
        <v>1</v>
      </c>
      <c r="J620" t="n">
        <v>0</v>
      </c>
      <c r="K620" t="n">
        <v>0</v>
      </c>
      <c r="L620" t="n">
        <v>0</v>
      </c>
      <c r="M620" t="n">
        <v>0</v>
      </c>
      <c r="N620" t="n">
        <v>0</v>
      </c>
      <c r="O620" t="n">
        <v>0</v>
      </c>
      <c r="P620" t="n">
        <v>0</v>
      </c>
      <c r="Q620" t="n">
        <v>1</v>
      </c>
      <c r="R620" s="2" t="inlineStr">
        <is>
          <t>Kambräken</t>
        </is>
      </c>
      <c r="S620">
        <f>HYPERLINK("https://klasma.github.io/Logging_2183/artfynd/A 34475-2024 artfynd.xlsx", "A 34475-2024")</f>
        <v/>
      </c>
      <c r="T620">
        <f>HYPERLINK("https://klasma.github.io/Logging_2183/kartor/A 34475-2024 karta.png", "A 34475-2024")</f>
        <v/>
      </c>
      <c r="V620">
        <f>HYPERLINK("https://klasma.github.io/Logging_2183/klagomål/A 34475-2024 FSC-klagomål.docx", "A 34475-2024")</f>
        <v/>
      </c>
      <c r="W620">
        <f>HYPERLINK("https://klasma.github.io/Logging_2183/klagomålsmail/A 34475-2024 FSC-klagomål mail.docx", "A 34475-2024")</f>
        <v/>
      </c>
      <c r="X620">
        <f>HYPERLINK("https://klasma.github.io/Logging_2183/tillsyn/A 34475-2024 tillsynsbegäran.docx", "A 34475-2024")</f>
        <v/>
      </c>
      <c r="Y620">
        <f>HYPERLINK("https://klasma.github.io/Logging_2183/tillsynsmail/A 34475-2024 tillsynsbegäran mail.docx", "A 34475-2024")</f>
        <v/>
      </c>
    </row>
    <row r="621" ht="15" customHeight="1">
      <c r="A621" t="inlineStr">
        <is>
          <t>A 34346-2024</t>
        </is>
      </c>
      <c r="B621" s="1" t="n">
        <v>45525</v>
      </c>
      <c r="C621" s="1" t="n">
        <v>45587</v>
      </c>
      <c r="D621" t="inlineStr">
        <is>
          <t>GÄVLEBORGS LÄN</t>
        </is>
      </c>
      <c r="E621" t="inlineStr">
        <is>
          <t>LJUSDAL</t>
        </is>
      </c>
      <c r="F621" t="inlineStr">
        <is>
          <t>Holmen skog AB</t>
        </is>
      </c>
      <c r="G621" t="n">
        <v>6.8</v>
      </c>
      <c r="H621" t="n">
        <v>1</v>
      </c>
      <c r="I621" t="n">
        <v>0</v>
      </c>
      <c r="J621" t="n">
        <v>1</v>
      </c>
      <c r="K621" t="n">
        <v>0</v>
      </c>
      <c r="L621" t="n">
        <v>0</v>
      </c>
      <c r="M621" t="n">
        <v>0</v>
      </c>
      <c r="N621" t="n">
        <v>0</v>
      </c>
      <c r="O621" t="n">
        <v>1</v>
      </c>
      <c r="P621" t="n">
        <v>0</v>
      </c>
      <c r="Q621" t="n">
        <v>1</v>
      </c>
      <c r="R621" s="2" t="inlineStr">
        <is>
          <t>Talltita</t>
        </is>
      </c>
      <c r="S621">
        <f>HYPERLINK("https://klasma.github.io/Logging_2161/artfynd/A 34346-2024 artfynd.xlsx", "A 34346-2024")</f>
        <v/>
      </c>
      <c r="T621">
        <f>HYPERLINK("https://klasma.github.io/Logging_2161/kartor/A 34346-2024 karta.png", "A 34346-2024")</f>
        <v/>
      </c>
      <c r="V621">
        <f>HYPERLINK("https://klasma.github.io/Logging_2161/klagomål/A 34346-2024 FSC-klagomål.docx", "A 34346-2024")</f>
        <v/>
      </c>
      <c r="W621">
        <f>HYPERLINK("https://klasma.github.io/Logging_2161/klagomålsmail/A 34346-2024 FSC-klagomål mail.docx", "A 34346-2024")</f>
        <v/>
      </c>
      <c r="X621">
        <f>HYPERLINK("https://klasma.github.io/Logging_2161/tillsyn/A 34346-2024 tillsynsbegäran.docx", "A 34346-2024")</f>
        <v/>
      </c>
      <c r="Y621">
        <f>HYPERLINK("https://klasma.github.io/Logging_2161/tillsynsmail/A 34346-2024 tillsynsbegäran mail.docx", "A 34346-2024")</f>
        <v/>
      </c>
      <c r="Z621">
        <f>HYPERLINK("https://klasma.github.io/Logging_2161/fåglar/A 34346-2024 prioriterade fågelarter.docx", "A 34346-2024")</f>
        <v/>
      </c>
    </row>
    <row r="622" ht="15" customHeight="1">
      <c r="A622" t="inlineStr">
        <is>
          <t>A 34597-2024</t>
        </is>
      </c>
      <c r="B622" s="1" t="n">
        <v>45526</v>
      </c>
      <c r="C622" s="1" t="n">
        <v>45587</v>
      </c>
      <c r="D622" t="inlineStr">
        <is>
          <t>GÄVLEBORGS LÄN</t>
        </is>
      </c>
      <c r="E622" t="inlineStr">
        <is>
          <t>LJUSDAL</t>
        </is>
      </c>
      <c r="F622" t="inlineStr">
        <is>
          <t>Sveaskog</t>
        </is>
      </c>
      <c r="G622" t="n">
        <v>2.1</v>
      </c>
      <c r="H622" t="n">
        <v>0</v>
      </c>
      <c r="I622" t="n">
        <v>0</v>
      </c>
      <c r="J622" t="n">
        <v>1</v>
      </c>
      <c r="K622" t="n">
        <v>0</v>
      </c>
      <c r="L622" t="n">
        <v>0</v>
      </c>
      <c r="M622" t="n">
        <v>0</v>
      </c>
      <c r="N622" t="n">
        <v>0</v>
      </c>
      <c r="O622" t="n">
        <v>1</v>
      </c>
      <c r="P622" t="n">
        <v>0</v>
      </c>
      <c r="Q622" t="n">
        <v>1</v>
      </c>
      <c r="R622" s="2" t="inlineStr">
        <is>
          <t>Garnlav</t>
        </is>
      </c>
      <c r="S622">
        <f>HYPERLINK("https://klasma.github.io/Logging_2161/artfynd/A 34597-2024 artfynd.xlsx", "A 34597-2024")</f>
        <v/>
      </c>
      <c r="T622">
        <f>HYPERLINK("https://klasma.github.io/Logging_2161/kartor/A 34597-2024 karta.png", "A 34597-2024")</f>
        <v/>
      </c>
      <c r="V622">
        <f>HYPERLINK("https://klasma.github.io/Logging_2161/klagomål/A 34597-2024 FSC-klagomål.docx", "A 34597-2024")</f>
        <v/>
      </c>
      <c r="W622">
        <f>HYPERLINK("https://klasma.github.io/Logging_2161/klagomålsmail/A 34597-2024 FSC-klagomål mail.docx", "A 34597-2024")</f>
        <v/>
      </c>
      <c r="X622">
        <f>HYPERLINK("https://klasma.github.io/Logging_2161/tillsyn/A 34597-2024 tillsynsbegäran.docx", "A 34597-2024")</f>
        <v/>
      </c>
      <c r="Y622">
        <f>HYPERLINK("https://klasma.github.io/Logging_2161/tillsynsmail/A 34597-2024 tillsynsbegäran mail.docx", "A 34597-2024")</f>
        <v/>
      </c>
    </row>
    <row r="623" ht="15" customHeight="1">
      <c r="A623" t="inlineStr">
        <is>
          <t>A 34748-2024</t>
        </is>
      </c>
      <c r="B623" s="1" t="n">
        <v>45526</v>
      </c>
      <c r="C623" s="1" t="n">
        <v>45587</v>
      </c>
      <c r="D623" t="inlineStr">
        <is>
          <t>GÄVLEBORGS LÄN</t>
        </is>
      </c>
      <c r="E623" t="inlineStr">
        <is>
          <t>LJUSDAL</t>
        </is>
      </c>
      <c r="F623" t="inlineStr">
        <is>
          <t>Sveaskog</t>
        </is>
      </c>
      <c r="G623" t="n">
        <v>11.2</v>
      </c>
      <c r="H623" t="n">
        <v>0</v>
      </c>
      <c r="I623" t="n">
        <v>0</v>
      </c>
      <c r="J623" t="n">
        <v>1</v>
      </c>
      <c r="K623" t="n">
        <v>0</v>
      </c>
      <c r="L623" t="n">
        <v>0</v>
      </c>
      <c r="M623" t="n">
        <v>0</v>
      </c>
      <c r="N623" t="n">
        <v>0</v>
      </c>
      <c r="O623" t="n">
        <v>1</v>
      </c>
      <c r="P623" t="n">
        <v>0</v>
      </c>
      <c r="Q623" t="n">
        <v>1</v>
      </c>
      <c r="R623" s="2" t="inlineStr">
        <is>
          <t>Kolflarnlav</t>
        </is>
      </c>
      <c r="S623">
        <f>HYPERLINK("https://klasma.github.io/Logging_2161/artfynd/A 34748-2024 artfynd.xlsx", "A 34748-2024")</f>
        <v/>
      </c>
      <c r="T623">
        <f>HYPERLINK("https://klasma.github.io/Logging_2161/kartor/A 34748-2024 karta.png", "A 34748-2024")</f>
        <v/>
      </c>
      <c r="V623">
        <f>HYPERLINK("https://klasma.github.io/Logging_2161/klagomål/A 34748-2024 FSC-klagomål.docx", "A 34748-2024")</f>
        <v/>
      </c>
      <c r="W623">
        <f>HYPERLINK("https://klasma.github.io/Logging_2161/klagomålsmail/A 34748-2024 FSC-klagomål mail.docx", "A 34748-2024")</f>
        <v/>
      </c>
      <c r="X623">
        <f>HYPERLINK("https://klasma.github.io/Logging_2161/tillsyn/A 34748-2024 tillsynsbegäran.docx", "A 34748-2024")</f>
        <v/>
      </c>
      <c r="Y623">
        <f>HYPERLINK("https://klasma.github.io/Logging_2161/tillsynsmail/A 34748-2024 tillsynsbegäran mail.docx", "A 34748-2024")</f>
        <v/>
      </c>
    </row>
    <row r="624" ht="15" customHeight="1">
      <c r="A624" t="inlineStr">
        <is>
          <t>A 34744-2024</t>
        </is>
      </c>
      <c r="B624" s="1" t="n">
        <v>45526</v>
      </c>
      <c r="C624" s="1" t="n">
        <v>45587</v>
      </c>
      <c r="D624" t="inlineStr">
        <is>
          <t>GÄVLEBORGS LÄN</t>
        </is>
      </c>
      <c r="E624" t="inlineStr">
        <is>
          <t>LJUSDAL</t>
        </is>
      </c>
      <c r="F624" t="inlineStr">
        <is>
          <t>Sveaskog</t>
        </is>
      </c>
      <c r="G624" t="n">
        <v>9.9</v>
      </c>
      <c r="H624" t="n">
        <v>0</v>
      </c>
      <c r="I624" t="n">
        <v>0</v>
      </c>
      <c r="J624" t="n">
        <v>1</v>
      </c>
      <c r="K624" t="n">
        <v>0</v>
      </c>
      <c r="L624" t="n">
        <v>0</v>
      </c>
      <c r="M624" t="n">
        <v>0</v>
      </c>
      <c r="N624" t="n">
        <v>0</v>
      </c>
      <c r="O624" t="n">
        <v>1</v>
      </c>
      <c r="P624" t="n">
        <v>0</v>
      </c>
      <c r="Q624" t="n">
        <v>1</v>
      </c>
      <c r="R624" s="2" t="inlineStr">
        <is>
          <t>Lunglav</t>
        </is>
      </c>
      <c r="S624">
        <f>HYPERLINK("https://klasma.github.io/Logging_2161/artfynd/A 34744-2024 artfynd.xlsx", "A 34744-2024")</f>
        <v/>
      </c>
      <c r="T624">
        <f>HYPERLINK("https://klasma.github.io/Logging_2161/kartor/A 34744-2024 karta.png", "A 34744-2024")</f>
        <v/>
      </c>
      <c r="V624">
        <f>HYPERLINK("https://klasma.github.io/Logging_2161/klagomål/A 34744-2024 FSC-klagomål.docx", "A 34744-2024")</f>
        <v/>
      </c>
      <c r="W624">
        <f>HYPERLINK("https://klasma.github.io/Logging_2161/klagomålsmail/A 34744-2024 FSC-klagomål mail.docx", "A 34744-2024")</f>
        <v/>
      </c>
      <c r="X624">
        <f>HYPERLINK("https://klasma.github.io/Logging_2161/tillsyn/A 34744-2024 tillsynsbegäran.docx", "A 34744-2024")</f>
        <v/>
      </c>
      <c r="Y624">
        <f>HYPERLINK("https://klasma.github.io/Logging_2161/tillsynsmail/A 34744-2024 tillsynsbegäran mail.docx", "A 34744-2024")</f>
        <v/>
      </c>
    </row>
    <row r="625" ht="15" customHeight="1">
      <c r="A625" t="inlineStr">
        <is>
          <t>A 34974-2024</t>
        </is>
      </c>
      <c r="B625" s="1" t="n">
        <v>45527</v>
      </c>
      <c r="C625" s="1" t="n">
        <v>45587</v>
      </c>
      <c r="D625" t="inlineStr">
        <is>
          <t>GÄVLEBORGS LÄN</t>
        </is>
      </c>
      <c r="E625" t="inlineStr">
        <is>
          <t>LJUSDAL</t>
        </is>
      </c>
      <c r="F625" t="inlineStr">
        <is>
          <t>Sveaskog</t>
        </is>
      </c>
      <c r="G625" t="n">
        <v>4.6</v>
      </c>
      <c r="H625" t="n">
        <v>0</v>
      </c>
      <c r="I625" t="n">
        <v>0</v>
      </c>
      <c r="J625" t="n">
        <v>1</v>
      </c>
      <c r="K625" t="n">
        <v>0</v>
      </c>
      <c r="L625" t="n">
        <v>0</v>
      </c>
      <c r="M625" t="n">
        <v>0</v>
      </c>
      <c r="N625" t="n">
        <v>0</v>
      </c>
      <c r="O625" t="n">
        <v>1</v>
      </c>
      <c r="P625" t="n">
        <v>0</v>
      </c>
      <c r="Q625" t="n">
        <v>1</v>
      </c>
      <c r="R625" s="2" t="inlineStr">
        <is>
          <t>Kolflarnlav</t>
        </is>
      </c>
      <c r="S625">
        <f>HYPERLINK("https://klasma.github.io/Logging_2161/artfynd/A 34974-2024 artfynd.xlsx", "A 34974-2024")</f>
        <v/>
      </c>
      <c r="T625">
        <f>HYPERLINK("https://klasma.github.io/Logging_2161/kartor/A 34974-2024 karta.png", "A 34974-2024")</f>
        <v/>
      </c>
      <c r="V625">
        <f>HYPERLINK("https://klasma.github.io/Logging_2161/klagomål/A 34974-2024 FSC-klagomål.docx", "A 34974-2024")</f>
        <v/>
      </c>
      <c r="W625">
        <f>HYPERLINK("https://klasma.github.io/Logging_2161/klagomålsmail/A 34974-2024 FSC-klagomål mail.docx", "A 34974-2024")</f>
        <v/>
      </c>
      <c r="X625">
        <f>HYPERLINK("https://klasma.github.io/Logging_2161/tillsyn/A 34974-2024 tillsynsbegäran.docx", "A 34974-2024")</f>
        <v/>
      </c>
      <c r="Y625">
        <f>HYPERLINK("https://klasma.github.io/Logging_2161/tillsynsmail/A 34974-2024 tillsynsbegäran mail.docx", "A 34974-2024")</f>
        <v/>
      </c>
    </row>
    <row r="626" ht="15" customHeight="1">
      <c r="A626" t="inlineStr">
        <is>
          <t>A 35521-2024</t>
        </is>
      </c>
      <c r="B626" s="1" t="n">
        <v>45531</v>
      </c>
      <c r="C626" s="1" t="n">
        <v>45587</v>
      </c>
      <c r="D626" t="inlineStr">
        <is>
          <t>GÄVLEBORGS LÄN</t>
        </is>
      </c>
      <c r="E626" t="inlineStr">
        <is>
          <t>HOFORS</t>
        </is>
      </c>
      <c r="F626" t="inlineStr">
        <is>
          <t>Sveaskog</t>
        </is>
      </c>
      <c r="G626" t="n">
        <v>1.3</v>
      </c>
      <c r="H626" t="n">
        <v>1</v>
      </c>
      <c r="I626" t="n">
        <v>0</v>
      </c>
      <c r="J626" t="n">
        <v>0</v>
      </c>
      <c r="K626" t="n">
        <v>0</v>
      </c>
      <c r="L626" t="n">
        <v>0</v>
      </c>
      <c r="M626" t="n">
        <v>0</v>
      </c>
      <c r="N626" t="n">
        <v>0</v>
      </c>
      <c r="O626" t="n">
        <v>0</v>
      </c>
      <c r="P626" t="n">
        <v>0</v>
      </c>
      <c r="Q626" t="n">
        <v>1</v>
      </c>
      <c r="R626" s="2" t="inlineStr">
        <is>
          <t>Revlummer</t>
        </is>
      </c>
      <c r="S626">
        <f>HYPERLINK("https://klasma.github.io/Logging_2104/artfynd/A 35521-2024 artfynd.xlsx", "A 35521-2024")</f>
        <v/>
      </c>
      <c r="T626">
        <f>HYPERLINK("https://klasma.github.io/Logging_2104/kartor/A 35521-2024 karta.png", "A 35521-2024")</f>
        <v/>
      </c>
      <c r="V626">
        <f>HYPERLINK("https://klasma.github.io/Logging_2104/klagomål/A 35521-2024 FSC-klagomål.docx", "A 35521-2024")</f>
        <v/>
      </c>
      <c r="W626">
        <f>HYPERLINK("https://klasma.github.io/Logging_2104/klagomålsmail/A 35521-2024 FSC-klagomål mail.docx", "A 35521-2024")</f>
        <v/>
      </c>
      <c r="X626">
        <f>HYPERLINK("https://klasma.github.io/Logging_2104/tillsyn/A 35521-2024 tillsynsbegäran.docx", "A 35521-2024")</f>
        <v/>
      </c>
      <c r="Y626">
        <f>HYPERLINK("https://klasma.github.io/Logging_2104/tillsynsmail/A 35521-2024 tillsynsbegäran mail.docx", "A 35521-2024")</f>
        <v/>
      </c>
    </row>
    <row r="627" ht="15" customHeight="1">
      <c r="A627" t="inlineStr">
        <is>
          <t>A 35373-2024</t>
        </is>
      </c>
      <c r="B627" s="1" t="n">
        <v>45531</v>
      </c>
      <c r="C627" s="1" t="n">
        <v>45587</v>
      </c>
      <c r="D627" t="inlineStr">
        <is>
          <t>GÄVLEBORGS LÄN</t>
        </is>
      </c>
      <c r="E627" t="inlineStr">
        <is>
          <t>OVANÅKER</t>
        </is>
      </c>
      <c r="F627" t="inlineStr">
        <is>
          <t>Sveaskog</t>
        </is>
      </c>
      <c r="G627" t="n">
        <v>2.3</v>
      </c>
      <c r="H627" t="n">
        <v>0</v>
      </c>
      <c r="I627" t="n">
        <v>0</v>
      </c>
      <c r="J627" t="n">
        <v>1</v>
      </c>
      <c r="K627" t="n">
        <v>0</v>
      </c>
      <c r="L627" t="n">
        <v>0</v>
      </c>
      <c r="M627" t="n">
        <v>0</v>
      </c>
      <c r="N627" t="n">
        <v>0</v>
      </c>
      <c r="O627" t="n">
        <v>1</v>
      </c>
      <c r="P627" t="n">
        <v>0</v>
      </c>
      <c r="Q627" t="n">
        <v>1</v>
      </c>
      <c r="R627" s="2" t="inlineStr">
        <is>
          <t>Vedtrappmossa</t>
        </is>
      </c>
      <c r="S627">
        <f>HYPERLINK("https://klasma.github.io/Logging_2121/artfynd/A 35373-2024 artfynd.xlsx", "A 35373-2024")</f>
        <v/>
      </c>
      <c r="T627">
        <f>HYPERLINK("https://klasma.github.io/Logging_2121/kartor/A 35373-2024 karta.png", "A 35373-2024")</f>
        <v/>
      </c>
      <c r="V627">
        <f>HYPERLINK("https://klasma.github.io/Logging_2121/klagomål/A 35373-2024 FSC-klagomål.docx", "A 35373-2024")</f>
        <v/>
      </c>
      <c r="W627">
        <f>HYPERLINK("https://klasma.github.io/Logging_2121/klagomålsmail/A 35373-2024 FSC-klagomål mail.docx", "A 35373-2024")</f>
        <v/>
      </c>
      <c r="X627">
        <f>HYPERLINK("https://klasma.github.io/Logging_2121/tillsyn/A 35373-2024 tillsynsbegäran.docx", "A 35373-2024")</f>
        <v/>
      </c>
      <c r="Y627">
        <f>HYPERLINK("https://klasma.github.io/Logging_2121/tillsynsmail/A 35373-2024 tillsynsbegäran mail.docx", "A 35373-2024")</f>
        <v/>
      </c>
    </row>
    <row r="628" ht="15" customHeight="1">
      <c r="A628" t="inlineStr">
        <is>
          <t>A 35623-2024</t>
        </is>
      </c>
      <c r="B628" s="1" t="n">
        <v>45531</v>
      </c>
      <c r="C628" s="1" t="n">
        <v>45587</v>
      </c>
      <c r="D628" t="inlineStr">
        <is>
          <t>GÄVLEBORGS LÄN</t>
        </is>
      </c>
      <c r="E628" t="inlineStr">
        <is>
          <t>SANDVIKEN</t>
        </is>
      </c>
      <c r="F628" t="inlineStr">
        <is>
          <t>Sveaskog</t>
        </is>
      </c>
      <c r="G628" t="n">
        <v>13.1</v>
      </c>
      <c r="H628" t="n">
        <v>1</v>
      </c>
      <c r="I628" t="n">
        <v>0</v>
      </c>
      <c r="J628" t="n">
        <v>1</v>
      </c>
      <c r="K628" t="n">
        <v>0</v>
      </c>
      <c r="L628" t="n">
        <v>0</v>
      </c>
      <c r="M628" t="n">
        <v>0</v>
      </c>
      <c r="N628" t="n">
        <v>0</v>
      </c>
      <c r="O628" t="n">
        <v>1</v>
      </c>
      <c r="P628" t="n">
        <v>0</v>
      </c>
      <c r="Q628" t="n">
        <v>1</v>
      </c>
      <c r="R628" s="2" t="inlineStr">
        <is>
          <t>Nordfladdermus</t>
        </is>
      </c>
      <c r="S628">
        <f>HYPERLINK("https://klasma.github.io/Logging_2181/artfynd/A 35623-2024 artfynd.xlsx", "A 35623-2024")</f>
        <v/>
      </c>
      <c r="T628">
        <f>HYPERLINK("https://klasma.github.io/Logging_2181/kartor/A 35623-2024 karta.png", "A 35623-2024")</f>
        <v/>
      </c>
      <c r="V628">
        <f>HYPERLINK("https://klasma.github.io/Logging_2181/klagomål/A 35623-2024 FSC-klagomål.docx", "A 35623-2024")</f>
        <v/>
      </c>
      <c r="W628">
        <f>HYPERLINK("https://klasma.github.io/Logging_2181/klagomålsmail/A 35623-2024 FSC-klagomål mail.docx", "A 35623-2024")</f>
        <v/>
      </c>
      <c r="X628">
        <f>HYPERLINK("https://klasma.github.io/Logging_2181/tillsyn/A 35623-2024 tillsynsbegäran.docx", "A 35623-2024")</f>
        <v/>
      </c>
      <c r="Y628">
        <f>HYPERLINK("https://klasma.github.io/Logging_2181/tillsynsmail/A 35623-2024 tillsynsbegäran mail.docx", "A 35623-2024")</f>
        <v/>
      </c>
    </row>
    <row r="629" ht="15" customHeight="1">
      <c r="A629" t="inlineStr">
        <is>
          <t>A 36752-2024</t>
        </is>
      </c>
      <c r="B629" s="1" t="n">
        <v>45538</v>
      </c>
      <c r="C629" s="1" t="n">
        <v>45587</v>
      </c>
      <c r="D629" t="inlineStr">
        <is>
          <t>GÄVLEBORGS LÄN</t>
        </is>
      </c>
      <c r="E629" t="inlineStr">
        <is>
          <t>HOFORS</t>
        </is>
      </c>
      <c r="G629" t="n">
        <v>2.3</v>
      </c>
      <c r="H629" t="n">
        <v>1</v>
      </c>
      <c r="I629" t="n">
        <v>0</v>
      </c>
      <c r="J629" t="n">
        <v>0</v>
      </c>
      <c r="K629" t="n">
        <v>1</v>
      </c>
      <c r="L629" t="n">
        <v>0</v>
      </c>
      <c r="M629" t="n">
        <v>0</v>
      </c>
      <c r="N629" t="n">
        <v>0</v>
      </c>
      <c r="O629" t="n">
        <v>1</v>
      </c>
      <c r="P629" t="n">
        <v>1</v>
      </c>
      <c r="Q629" t="n">
        <v>1</v>
      </c>
      <c r="R629" s="2" t="inlineStr">
        <is>
          <t>Knärot</t>
        </is>
      </c>
      <c r="S629">
        <f>HYPERLINK("https://klasma.github.io/Logging_2104/artfynd/A 36752-2024 artfynd.xlsx", "A 36752-2024")</f>
        <v/>
      </c>
      <c r="T629">
        <f>HYPERLINK("https://klasma.github.io/Logging_2104/kartor/A 36752-2024 karta.png", "A 36752-2024")</f>
        <v/>
      </c>
      <c r="U629">
        <f>HYPERLINK("https://klasma.github.io/Logging_2104/knärot/A 36752-2024 karta knärot.png", "A 36752-2024")</f>
        <v/>
      </c>
      <c r="V629">
        <f>HYPERLINK("https://klasma.github.io/Logging_2104/klagomål/A 36752-2024 FSC-klagomål.docx", "A 36752-2024")</f>
        <v/>
      </c>
      <c r="W629">
        <f>HYPERLINK("https://klasma.github.io/Logging_2104/klagomålsmail/A 36752-2024 FSC-klagomål mail.docx", "A 36752-2024")</f>
        <v/>
      </c>
      <c r="X629">
        <f>HYPERLINK("https://klasma.github.io/Logging_2104/tillsyn/A 36752-2024 tillsynsbegäran.docx", "A 36752-2024")</f>
        <v/>
      </c>
      <c r="Y629">
        <f>HYPERLINK("https://klasma.github.io/Logging_2104/tillsynsmail/A 36752-2024 tillsynsbegäran mail.docx", "A 36752-2024")</f>
        <v/>
      </c>
    </row>
    <row r="630" ht="15" customHeight="1">
      <c r="A630" t="inlineStr">
        <is>
          <t>A 36760-2024</t>
        </is>
      </c>
      <c r="B630" s="1" t="n">
        <v>45538</v>
      </c>
      <c r="C630" s="1" t="n">
        <v>45587</v>
      </c>
      <c r="D630" t="inlineStr">
        <is>
          <t>GÄVLEBORGS LÄN</t>
        </is>
      </c>
      <c r="E630" t="inlineStr">
        <is>
          <t>HOFORS</t>
        </is>
      </c>
      <c r="G630" t="n">
        <v>4.3</v>
      </c>
      <c r="H630" t="n">
        <v>1</v>
      </c>
      <c r="I630" t="n">
        <v>0</v>
      </c>
      <c r="J630" t="n">
        <v>0</v>
      </c>
      <c r="K630" t="n">
        <v>1</v>
      </c>
      <c r="L630" t="n">
        <v>0</v>
      </c>
      <c r="M630" t="n">
        <v>0</v>
      </c>
      <c r="N630" t="n">
        <v>0</v>
      </c>
      <c r="O630" t="n">
        <v>1</v>
      </c>
      <c r="P630" t="n">
        <v>1</v>
      </c>
      <c r="Q630" t="n">
        <v>1</v>
      </c>
      <c r="R630" s="2" t="inlineStr">
        <is>
          <t>Knärot</t>
        </is>
      </c>
      <c r="S630">
        <f>HYPERLINK("https://klasma.github.io/Logging_2104/artfynd/A 36760-2024 artfynd.xlsx", "A 36760-2024")</f>
        <v/>
      </c>
      <c r="T630">
        <f>HYPERLINK("https://klasma.github.io/Logging_2104/kartor/A 36760-2024 karta.png", "A 36760-2024")</f>
        <v/>
      </c>
      <c r="U630">
        <f>HYPERLINK("https://klasma.github.io/Logging_2104/knärot/A 36760-2024 karta knärot.png", "A 36760-2024")</f>
        <v/>
      </c>
      <c r="V630">
        <f>HYPERLINK("https://klasma.github.io/Logging_2104/klagomål/A 36760-2024 FSC-klagomål.docx", "A 36760-2024")</f>
        <v/>
      </c>
      <c r="W630">
        <f>HYPERLINK("https://klasma.github.io/Logging_2104/klagomålsmail/A 36760-2024 FSC-klagomål mail.docx", "A 36760-2024")</f>
        <v/>
      </c>
      <c r="X630">
        <f>HYPERLINK("https://klasma.github.io/Logging_2104/tillsyn/A 36760-2024 tillsynsbegäran.docx", "A 36760-2024")</f>
        <v/>
      </c>
      <c r="Y630">
        <f>HYPERLINK("https://klasma.github.io/Logging_2104/tillsynsmail/A 36760-2024 tillsynsbegäran mail.docx", "A 36760-2024")</f>
        <v/>
      </c>
    </row>
    <row r="631" ht="15" customHeight="1">
      <c r="A631" t="inlineStr">
        <is>
          <t>A 37090-2024</t>
        </is>
      </c>
      <c r="B631" s="1" t="n">
        <v>45539</v>
      </c>
      <c r="C631" s="1" t="n">
        <v>45587</v>
      </c>
      <c r="D631" t="inlineStr">
        <is>
          <t>GÄVLEBORGS LÄN</t>
        </is>
      </c>
      <c r="E631" t="inlineStr">
        <is>
          <t>LJUSDAL</t>
        </is>
      </c>
      <c r="F631" t="inlineStr">
        <is>
          <t>Sveaskog</t>
        </is>
      </c>
      <c r="G631" t="n">
        <v>2.6</v>
      </c>
      <c r="H631" t="n">
        <v>0</v>
      </c>
      <c r="I631" t="n">
        <v>0</v>
      </c>
      <c r="J631" t="n">
        <v>1</v>
      </c>
      <c r="K631" t="n">
        <v>0</v>
      </c>
      <c r="L631" t="n">
        <v>0</v>
      </c>
      <c r="M631" t="n">
        <v>0</v>
      </c>
      <c r="N631" t="n">
        <v>0</v>
      </c>
      <c r="O631" t="n">
        <v>1</v>
      </c>
      <c r="P631" t="n">
        <v>0</v>
      </c>
      <c r="Q631" t="n">
        <v>1</v>
      </c>
      <c r="R631" s="2" t="inlineStr">
        <is>
          <t>Skrovellav</t>
        </is>
      </c>
      <c r="S631">
        <f>HYPERLINK("https://klasma.github.io/Logging_2161/artfynd/A 37090-2024 artfynd.xlsx", "A 37090-2024")</f>
        <v/>
      </c>
      <c r="T631">
        <f>HYPERLINK("https://klasma.github.io/Logging_2161/kartor/A 37090-2024 karta.png", "A 37090-2024")</f>
        <v/>
      </c>
      <c r="V631">
        <f>HYPERLINK("https://klasma.github.io/Logging_2161/klagomål/A 37090-2024 FSC-klagomål.docx", "A 37090-2024")</f>
        <v/>
      </c>
      <c r="W631">
        <f>HYPERLINK("https://klasma.github.io/Logging_2161/klagomålsmail/A 37090-2024 FSC-klagomål mail.docx", "A 37090-2024")</f>
        <v/>
      </c>
      <c r="X631">
        <f>HYPERLINK("https://klasma.github.io/Logging_2161/tillsyn/A 37090-2024 tillsynsbegäran.docx", "A 37090-2024")</f>
        <v/>
      </c>
      <c r="Y631">
        <f>HYPERLINK("https://klasma.github.io/Logging_2161/tillsynsmail/A 37090-2024 tillsynsbegäran mail.docx", "A 37090-2024")</f>
        <v/>
      </c>
    </row>
    <row r="632" ht="15" customHeight="1">
      <c r="A632" t="inlineStr">
        <is>
          <t>A 37435-2024</t>
        </is>
      </c>
      <c r="B632" s="1" t="n">
        <v>45540</v>
      </c>
      <c r="C632" s="1" t="n">
        <v>45587</v>
      </c>
      <c r="D632" t="inlineStr">
        <is>
          <t>GÄVLEBORGS LÄN</t>
        </is>
      </c>
      <c r="E632" t="inlineStr">
        <is>
          <t>LJUSDAL</t>
        </is>
      </c>
      <c r="F632" t="inlineStr">
        <is>
          <t>Sveaskog</t>
        </is>
      </c>
      <c r="G632" t="n">
        <v>11.4</v>
      </c>
      <c r="H632" t="n">
        <v>0</v>
      </c>
      <c r="I632" t="n">
        <v>0</v>
      </c>
      <c r="J632" t="n">
        <v>1</v>
      </c>
      <c r="K632" t="n">
        <v>0</v>
      </c>
      <c r="L632" t="n">
        <v>0</v>
      </c>
      <c r="M632" t="n">
        <v>0</v>
      </c>
      <c r="N632" t="n">
        <v>0</v>
      </c>
      <c r="O632" t="n">
        <v>1</v>
      </c>
      <c r="P632" t="n">
        <v>0</v>
      </c>
      <c r="Q632" t="n">
        <v>1</v>
      </c>
      <c r="R632" s="2" t="inlineStr">
        <is>
          <t>Garnlav</t>
        </is>
      </c>
      <c r="S632">
        <f>HYPERLINK("https://klasma.github.io/Logging_2161/artfynd/A 37435-2024 artfynd.xlsx", "A 37435-2024")</f>
        <v/>
      </c>
      <c r="T632">
        <f>HYPERLINK("https://klasma.github.io/Logging_2161/kartor/A 37435-2024 karta.png", "A 37435-2024")</f>
        <v/>
      </c>
      <c r="V632">
        <f>HYPERLINK("https://klasma.github.io/Logging_2161/klagomål/A 37435-2024 FSC-klagomål.docx", "A 37435-2024")</f>
        <v/>
      </c>
      <c r="W632">
        <f>HYPERLINK("https://klasma.github.io/Logging_2161/klagomålsmail/A 37435-2024 FSC-klagomål mail.docx", "A 37435-2024")</f>
        <v/>
      </c>
      <c r="X632">
        <f>HYPERLINK("https://klasma.github.io/Logging_2161/tillsyn/A 37435-2024 tillsynsbegäran.docx", "A 37435-2024")</f>
        <v/>
      </c>
      <c r="Y632">
        <f>HYPERLINK("https://klasma.github.io/Logging_2161/tillsynsmail/A 37435-2024 tillsynsbegäran mail.docx", "A 37435-2024")</f>
        <v/>
      </c>
    </row>
    <row r="633" ht="15" customHeight="1">
      <c r="A633" t="inlineStr">
        <is>
          <t>A 37525-2024</t>
        </is>
      </c>
      <c r="B633" s="1" t="n">
        <v>45541</v>
      </c>
      <c r="C633" s="1" t="n">
        <v>45587</v>
      </c>
      <c r="D633" t="inlineStr">
        <is>
          <t>GÄVLEBORGS LÄN</t>
        </is>
      </c>
      <c r="E633" t="inlineStr">
        <is>
          <t>SANDVIKEN</t>
        </is>
      </c>
      <c r="F633" t="inlineStr">
        <is>
          <t>Sveaskog</t>
        </is>
      </c>
      <c r="G633" t="n">
        <v>5.5</v>
      </c>
      <c r="H633" t="n">
        <v>1</v>
      </c>
      <c r="I633" t="n">
        <v>0</v>
      </c>
      <c r="J633" t="n">
        <v>0</v>
      </c>
      <c r="K633" t="n">
        <v>0</v>
      </c>
      <c r="L633" t="n">
        <v>0</v>
      </c>
      <c r="M633" t="n">
        <v>0</v>
      </c>
      <c r="N633" t="n">
        <v>0</v>
      </c>
      <c r="O633" t="n">
        <v>0</v>
      </c>
      <c r="P633" t="n">
        <v>0</v>
      </c>
      <c r="Q633" t="n">
        <v>1</v>
      </c>
      <c r="R633" s="2" t="inlineStr">
        <is>
          <t>Fläcknycklar</t>
        </is>
      </c>
      <c r="S633">
        <f>HYPERLINK("https://klasma.github.io/Logging_2181/artfynd/A 37525-2024 artfynd.xlsx", "A 37525-2024")</f>
        <v/>
      </c>
      <c r="T633">
        <f>HYPERLINK("https://klasma.github.io/Logging_2181/kartor/A 37525-2024 karta.png", "A 37525-2024")</f>
        <v/>
      </c>
      <c r="V633">
        <f>HYPERLINK("https://klasma.github.io/Logging_2181/klagomål/A 37525-2024 FSC-klagomål.docx", "A 37525-2024")</f>
        <v/>
      </c>
      <c r="W633">
        <f>HYPERLINK("https://klasma.github.io/Logging_2181/klagomålsmail/A 37525-2024 FSC-klagomål mail.docx", "A 37525-2024")</f>
        <v/>
      </c>
      <c r="X633">
        <f>HYPERLINK("https://klasma.github.io/Logging_2181/tillsyn/A 37525-2024 tillsynsbegäran.docx", "A 37525-2024")</f>
        <v/>
      </c>
      <c r="Y633">
        <f>HYPERLINK("https://klasma.github.io/Logging_2181/tillsynsmail/A 37525-2024 tillsynsbegäran mail.docx", "A 37525-2024")</f>
        <v/>
      </c>
    </row>
    <row r="634" ht="15" customHeight="1">
      <c r="A634" t="inlineStr">
        <is>
          <t>A 37635-2024</t>
        </is>
      </c>
      <c r="B634" s="1" t="n">
        <v>45541</v>
      </c>
      <c r="C634" s="1" t="n">
        <v>45587</v>
      </c>
      <c r="D634" t="inlineStr">
        <is>
          <t>GÄVLEBORGS LÄN</t>
        </is>
      </c>
      <c r="E634" t="inlineStr">
        <is>
          <t>SANDVIKEN</t>
        </is>
      </c>
      <c r="F634" t="inlineStr">
        <is>
          <t>Sveaskog</t>
        </is>
      </c>
      <c r="G634" t="n">
        <v>25</v>
      </c>
      <c r="H634" t="n">
        <v>1</v>
      </c>
      <c r="I634" t="n">
        <v>0</v>
      </c>
      <c r="J634" t="n">
        <v>1</v>
      </c>
      <c r="K634" t="n">
        <v>0</v>
      </c>
      <c r="L634" t="n">
        <v>0</v>
      </c>
      <c r="M634" t="n">
        <v>0</v>
      </c>
      <c r="N634" t="n">
        <v>0</v>
      </c>
      <c r="O634" t="n">
        <v>1</v>
      </c>
      <c r="P634" t="n">
        <v>0</v>
      </c>
      <c r="Q634" t="n">
        <v>1</v>
      </c>
      <c r="R634" s="2" t="inlineStr">
        <is>
          <t>Talltita</t>
        </is>
      </c>
      <c r="S634">
        <f>HYPERLINK("https://klasma.github.io/Logging_2181/artfynd/A 37635-2024 artfynd.xlsx", "A 37635-2024")</f>
        <v/>
      </c>
      <c r="T634">
        <f>HYPERLINK("https://klasma.github.io/Logging_2181/kartor/A 37635-2024 karta.png", "A 37635-2024")</f>
        <v/>
      </c>
      <c r="V634">
        <f>HYPERLINK("https://klasma.github.io/Logging_2181/klagomål/A 37635-2024 FSC-klagomål.docx", "A 37635-2024")</f>
        <v/>
      </c>
      <c r="W634">
        <f>HYPERLINK("https://klasma.github.io/Logging_2181/klagomålsmail/A 37635-2024 FSC-klagomål mail.docx", "A 37635-2024")</f>
        <v/>
      </c>
      <c r="X634">
        <f>HYPERLINK("https://klasma.github.io/Logging_2181/tillsyn/A 37635-2024 tillsynsbegäran.docx", "A 37635-2024")</f>
        <v/>
      </c>
      <c r="Y634">
        <f>HYPERLINK("https://klasma.github.io/Logging_2181/tillsynsmail/A 37635-2024 tillsynsbegäran mail.docx", "A 37635-2024")</f>
        <v/>
      </c>
      <c r="Z634">
        <f>HYPERLINK("https://klasma.github.io/Logging_2181/fåglar/A 37635-2024 prioriterade fågelarter.docx", "A 37635-2024")</f>
        <v/>
      </c>
    </row>
    <row r="635" ht="15" customHeight="1">
      <c r="A635" t="inlineStr">
        <is>
          <t>A 37776-2024</t>
        </is>
      </c>
      <c r="B635" s="1" t="n">
        <v>45542</v>
      </c>
      <c r="C635" s="1" t="n">
        <v>45587</v>
      </c>
      <c r="D635" t="inlineStr">
        <is>
          <t>GÄVLEBORGS LÄN</t>
        </is>
      </c>
      <c r="E635" t="inlineStr">
        <is>
          <t>OVANÅKER</t>
        </is>
      </c>
      <c r="F635" t="inlineStr">
        <is>
          <t>Bergvik skog väst AB</t>
        </is>
      </c>
      <c r="G635" t="n">
        <v>4.3</v>
      </c>
      <c r="H635" t="n">
        <v>0</v>
      </c>
      <c r="I635" t="n">
        <v>0</v>
      </c>
      <c r="J635" t="n">
        <v>1</v>
      </c>
      <c r="K635" t="n">
        <v>0</v>
      </c>
      <c r="L635" t="n">
        <v>0</v>
      </c>
      <c r="M635" t="n">
        <v>0</v>
      </c>
      <c r="N635" t="n">
        <v>0</v>
      </c>
      <c r="O635" t="n">
        <v>1</v>
      </c>
      <c r="P635" t="n">
        <v>0</v>
      </c>
      <c r="Q635" t="n">
        <v>1</v>
      </c>
      <c r="R635" s="2" t="inlineStr">
        <is>
          <t>Motaggsvamp</t>
        </is>
      </c>
      <c r="S635">
        <f>HYPERLINK("https://klasma.github.io/Logging_2121/artfynd/A 37776-2024 artfynd.xlsx", "A 37776-2024")</f>
        <v/>
      </c>
      <c r="T635">
        <f>HYPERLINK("https://klasma.github.io/Logging_2121/kartor/A 37776-2024 karta.png", "A 37776-2024")</f>
        <v/>
      </c>
      <c r="U635">
        <f>HYPERLINK("https://klasma.github.io/Logging_2121/knärot/A 37776-2024 karta knärot.png", "A 37776-2024")</f>
        <v/>
      </c>
      <c r="V635">
        <f>HYPERLINK("https://klasma.github.io/Logging_2121/klagomål/A 37776-2024 FSC-klagomål.docx", "A 37776-2024")</f>
        <v/>
      </c>
      <c r="W635">
        <f>HYPERLINK("https://klasma.github.io/Logging_2121/klagomålsmail/A 37776-2024 FSC-klagomål mail.docx", "A 37776-2024")</f>
        <v/>
      </c>
      <c r="X635">
        <f>HYPERLINK("https://klasma.github.io/Logging_2121/tillsyn/A 37776-2024 tillsynsbegäran.docx", "A 37776-2024")</f>
        <v/>
      </c>
      <c r="Y635">
        <f>HYPERLINK("https://klasma.github.io/Logging_2121/tillsynsmail/A 37776-2024 tillsynsbegäran mail.docx", "A 37776-2024")</f>
        <v/>
      </c>
    </row>
    <row r="636" ht="15" customHeight="1">
      <c r="A636" t="inlineStr">
        <is>
          <t>A 38152-2024</t>
        </is>
      </c>
      <c r="B636" s="1" t="n">
        <v>45545</v>
      </c>
      <c r="C636" s="1" t="n">
        <v>45587</v>
      </c>
      <c r="D636" t="inlineStr">
        <is>
          <t>GÄVLEBORGS LÄN</t>
        </is>
      </c>
      <c r="E636" t="inlineStr">
        <is>
          <t>LJUSDAL</t>
        </is>
      </c>
      <c r="F636" t="inlineStr">
        <is>
          <t>Sveaskog</t>
        </is>
      </c>
      <c r="G636" t="n">
        <v>3.6</v>
      </c>
      <c r="H636" t="n">
        <v>1</v>
      </c>
      <c r="I636" t="n">
        <v>0</v>
      </c>
      <c r="J636" t="n">
        <v>0</v>
      </c>
      <c r="K636" t="n">
        <v>1</v>
      </c>
      <c r="L636" t="n">
        <v>0</v>
      </c>
      <c r="M636" t="n">
        <v>0</v>
      </c>
      <c r="N636" t="n">
        <v>0</v>
      </c>
      <c r="O636" t="n">
        <v>1</v>
      </c>
      <c r="P636" t="n">
        <v>1</v>
      </c>
      <c r="Q636" t="n">
        <v>1</v>
      </c>
      <c r="R636" s="2" t="inlineStr">
        <is>
          <t>Knärot</t>
        </is>
      </c>
      <c r="S636">
        <f>HYPERLINK("https://klasma.github.io/Logging_2161/artfynd/A 38152-2024 artfynd.xlsx", "A 38152-2024")</f>
        <v/>
      </c>
      <c r="T636">
        <f>HYPERLINK("https://klasma.github.io/Logging_2161/kartor/A 38152-2024 karta.png", "A 38152-2024")</f>
        <v/>
      </c>
      <c r="U636">
        <f>HYPERLINK("https://klasma.github.io/Logging_2161/knärot/A 38152-2024 karta knärot.png", "A 38152-2024")</f>
        <v/>
      </c>
      <c r="V636">
        <f>HYPERLINK("https://klasma.github.io/Logging_2161/klagomål/A 38152-2024 FSC-klagomål.docx", "A 38152-2024")</f>
        <v/>
      </c>
      <c r="W636">
        <f>HYPERLINK("https://klasma.github.io/Logging_2161/klagomålsmail/A 38152-2024 FSC-klagomål mail.docx", "A 38152-2024")</f>
        <v/>
      </c>
      <c r="X636">
        <f>HYPERLINK("https://klasma.github.io/Logging_2161/tillsyn/A 38152-2024 tillsynsbegäran.docx", "A 38152-2024")</f>
        <v/>
      </c>
      <c r="Y636">
        <f>HYPERLINK("https://klasma.github.io/Logging_2161/tillsynsmail/A 38152-2024 tillsynsbegäran mail.docx", "A 38152-2024")</f>
        <v/>
      </c>
    </row>
    <row r="637" ht="15" customHeight="1">
      <c r="A637" t="inlineStr">
        <is>
          <t>A 38960-2024</t>
        </is>
      </c>
      <c r="B637" s="1" t="n">
        <v>45548</v>
      </c>
      <c r="C637" s="1" t="n">
        <v>45587</v>
      </c>
      <c r="D637" t="inlineStr">
        <is>
          <t>GÄVLEBORGS LÄN</t>
        </is>
      </c>
      <c r="E637" t="inlineStr">
        <is>
          <t>SANDVIKEN</t>
        </is>
      </c>
      <c r="F637" t="inlineStr">
        <is>
          <t>Sveaskog</t>
        </is>
      </c>
      <c r="G637" t="n">
        <v>5.3</v>
      </c>
      <c r="H637" t="n">
        <v>1</v>
      </c>
      <c r="I637" t="n">
        <v>0</v>
      </c>
      <c r="J637" t="n">
        <v>0</v>
      </c>
      <c r="K637" t="n">
        <v>1</v>
      </c>
      <c r="L637" t="n">
        <v>0</v>
      </c>
      <c r="M637" t="n">
        <v>0</v>
      </c>
      <c r="N637" t="n">
        <v>0</v>
      </c>
      <c r="O637" t="n">
        <v>1</v>
      </c>
      <c r="P637" t="n">
        <v>1</v>
      </c>
      <c r="Q637" t="n">
        <v>1</v>
      </c>
      <c r="R637" s="2" t="inlineStr">
        <is>
          <t>Knärot</t>
        </is>
      </c>
      <c r="S637">
        <f>HYPERLINK("https://klasma.github.io/Logging_2181/artfynd/A 38960-2024 artfynd.xlsx", "A 38960-2024")</f>
        <v/>
      </c>
      <c r="T637">
        <f>HYPERLINK("https://klasma.github.io/Logging_2181/kartor/A 38960-2024 karta.png", "A 38960-2024")</f>
        <v/>
      </c>
      <c r="U637">
        <f>HYPERLINK("https://klasma.github.io/Logging_2181/knärot/A 38960-2024 karta knärot.png", "A 38960-2024")</f>
        <v/>
      </c>
      <c r="V637">
        <f>HYPERLINK("https://klasma.github.io/Logging_2181/klagomål/A 38960-2024 FSC-klagomål.docx", "A 38960-2024")</f>
        <v/>
      </c>
      <c r="W637">
        <f>HYPERLINK("https://klasma.github.io/Logging_2181/klagomålsmail/A 38960-2024 FSC-klagomål mail.docx", "A 38960-2024")</f>
        <v/>
      </c>
      <c r="X637">
        <f>HYPERLINK("https://klasma.github.io/Logging_2181/tillsyn/A 38960-2024 tillsynsbegäran.docx", "A 38960-2024")</f>
        <v/>
      </c>
      <c r="Y637">
        <f>HYPERLINK("https://klasma.github.io/Logging_2181/tillsynsmail/A 38960-2024 tillsynsbegäran mail.docx", "A 38960-2024")</f>
        <v/>
      </c>
    </row>
    <row r="638" ht="15" customHeight="1">
      <c r="A638" t="inlineStr">
        <is>
          <t>A 38971-2024</t>
        </is>
      </c>
      <c r="B638" s="1" t="n">
        <v>45548</v>
      </c>
      <c r="C638" s="1" t="n">
        <v>45587</v>
      </c>
      <c r="D638" t="inlineStr">
        <is>
          <t>GÄVLEBORGS LÄN</t>
        </is>
      </c>
      <c r="E638" t="inlineStr">
        <is>
          <t>BOLLNÄS</t>
        </is>
      </c>
      <c r="F638" t="inlineStr">
        <is>
          <t>Sveaskog</t>
        </is>
      </c>
      <c r="G638" t="n">
        <v>5.7</v>
      </c>
      <c r="H638" t="n">
        <v>1</v>
      </c>
      <c r="I638" t="n">
        <v>0</v>
      </c>
      <c r="J638" t="n">
        <v>0</v>
      </c>
      <c r="K638" t="n">
        <v>0</v>
      </c>
      <c r="L638" t="n">
        <v>0</v>
      </c>
      <c r="M638" t="n">
        <v>0</v>
      </c>
      <c r="N638" t="n">
        <v>0</v>
      </c>
      <c r="O638" t="n">
        <v>0</v>
      </c>
      <c r="P638" t="n">
        <v>0</v>
      </c>
      <c r="Q638" t="n">
        <v>1</v>
      </c>
      <c r="R638" s="2" t="inlineStr">
        <is>
          <t>Lavskrika</t>
        </is>
      </c>
      <c r="S638">
        <f>HYPERLINK("https://klasma.github.io/Logging_2183/artfynd/A 38971-2024 artfynd.xlsx", "A 38971-2024")</f>
        <v/>
      </c>
      <c r="T638">
        <f>HYPERLINK("https://klasma.github.io/Logging_2183/kartor/A 38971-2024 karta.png", "A 38971-2024")</f>
        <v/>
      </c>
      <c r="V638">
        <f>HYPERLINK("https://klasma.github.io/Logging_2183/klagomål/A 38971-2024 FSC-klagomål.docx", "A 38971-2024")</f>
        <v/>
      </c>
      <c r="W638">
        <f>HYPERLINK("https://klasma.github.io/Logging_2183/klagomålsmail/A 38971-2024 FSC-klagomål mail.docx", "A 38971-2024")</f>
        <v/>
      </c>
      <c r="X638">
        <f>HYPERLINK("https://klasma.github.io/Logging_2183/tillsyn/A 38971-2024 tillsynsbegäran.docx", "A 38971-2024")</f>
        <v/>
      </c>
      <c r="Y638">
        <f>HYPERLINK("https://klasma.github.io/Logging_2183/tillsynsmail/A 38971-2024 tillsynsbegäran mail.docx", "A 38971-2024")</f>
        <v/>
      </c>
      <c r="Z638">
        <f>HYPERLINK("https://klasma.github.io/Logging_2183/fåglar/A 38971-2024 prioriterade fågelarter.docx", "A 38971-2024")</f>
        <v/>
      </c>
    </row>
    <row r="639" ht="15" customHeight="1">
      <c r="A639" t="inlineStr">
        <is>
          <t>A 39024-2024</t>
        </is>
      </c>
      <c r="B639" s="1" t="n">
        <v>45548</v>
      </c>
      <c r="C639" s="1" t="n">
        <v>45587</v>
      </c>
      <c r="D639" t="inlineStr">
        <is>
          <t>GÄVLEBORGS LÄN</t>
        </is>
      </c>
      <c r="E639" t="inlineStr">
        <is>
          <t>LJUSDAL</t>
        </is>
      </c>
      <c r="F639" t="inlineStr">
        <is>
          <t>Sveaskog</t>
        </is>
      </c>
      <c r="G639" t="n">
        <v>17</v>
      </c>
      <c r="H639" t="n">
        <v>0</v>
      </c>
      <c r="I639" t="n">
        <v>0</v>
      </c>
      <c r="J639" t="n">
        <v>1</v>
      </c>
      <c r="K639" t="n">
        <v>0</v>
      </c>
      <c r="L639" t="n">
        <v>0</v>
      </c>
      <c r="M639" t="n">
        <v>0</v>
      </c>
      <c r="N639" t="n">
        <v>0</v>
      </c>
      <c r="O639" t="n">
        <v>1</v>
      </c>
      <c r="P639" t="n">
        <v>0</v>
      </c>
      <c r="Q639" t="n">
        <v>1</v>
      </c>
      <c r="R639" s="2" t="inlineStr">
        <is>
          <t>Lunglav</t>
        </is>
      </c>
      <c r="S639">
        <f>HYPERLINK("https://klasma.github.io/Logging_2161/artfynd/A 39024-2024 artfynd.xlsx", "A 39024-2024")</f>
        <v/>
      </c>
      <c r="T639">
        <f>HYPERLINK("https://klasma.github.io/Logging_2161/kartor/A 39024-2024 karta.png", "A 39024-2024")</f>
        <v/>
      </c>
      <c r="V639">
        <f>HYPERLINK("https://klasma.github.io/Logging_2161/klagomål/A 39024-2024 FSC-klagomål.docx", "A 39024-2024")</f>
        <v/>
      </c>
      <c r="W639">
        <f>HYPERLINK("https://klasma.github.io/Logging_2161/klagomålsmail/A 39024-2024 FSC-klagomål mail.docx", "A 39024-2024")</f>
        <v/>
      </c>
      <c r="X639">
        <f>HYPERLINK("https://klasma.github.io/Logging_2161/tillsyn/A 39024-2024 tillsynsbegäran.docx", "A 39024-2024")</f>
        <v/>
      </c>
      <c r="Y639">
        <f>HYPERLINK("https://klasma.github.io/Logging_2161/tillsynsmail/A 39024-2024 tillsynsbegäran mail.docx", "A 39024-2024")</f>
        <v/>
      </c>
    </row>
    <row r="640" ht="15" customHeight="1">
      <c r="A640" t="inlineStr">
        <is>
          <t>A 39793-2024</t>
        </is>
      </c>
      <c r="B640" s="1" t="n">
        <v>45553</v>
      </c>
      <c r="C640" s="1" t="n">
        <v>45587</v>
      </c>
      <c r="D640" t="inlineStr">
        <is>
          <t>GÄVLEBORGS LÄN</t>
        </is>
      </c>
      <c r="E640" t="inlineStr">
        <is>
          <t>SANDVIKEN</t>
        </is>
      </c>
      <c r="F640" t="inlineStr">
        <is>
          <t>Sveaskog</t>
        </is>
      </c>
      <c r="G640" t="n">
        <v>1.3</v>
      </c>
      <c r="H640" t="n">
        <v>1</v>
      </c>
      <c r="I640" t="n">
        <v>1</v>
      </c>
      <c r="J640" t="n">
        <v>0</v>
      </c>
      <c r="K640" t="n">
        <v>0</v>
      </c>
      <c r="L640" t="n">
        <v>0</v>
      </c>
      <c r="M640" t="n">
        <v>0</v>
      </c>
      <c r="N640" t="n">
        <v>0</v>
      </c>
      <c r="O640" t="n">
        <v>0</v>
      </c>
      <c r="P640" t="n">
        <v>0</v>
      </c>
      <c r="Q640" t="n">
        <v>1</v>
      </c>
      <c r="R640" s="2" t="inlineStr">
        <is>
          <t>Tvåblad</t>
        </is>
      </c>
      <c r="S640">
        <f>HYPERLINK("https://klasma.github.io/Logging_2181/artfynd/A 39793-2024 artfynd.xlsx", "A 39793-2024")</f>
        <v/>
      </c>
      <c r="T640">
        <f>HYPERLINK("https://klasma.github.io/Logging_2181/kartor/A 39793-2024 karta.png", "A 39793-2024")</f>
        <v/>
      </c>
      <c r="V640">
        <f>HYPERLINK("https://klasma.github.io/Logging_2181/klagomål/A 39793-2024 FSC-klagomål.docx", "A 39793-2024")</f>
        <v/>
      </c>
      <c r="W640">
        <f>HYPERLINK("https://klasma.github.io/Logging_2181/klagomålsmail/A 39793-2024 FSC-klagomål mail.docx", "A 39793-2024")</f>
        <v/>
      </c>
      <c r="X640">
        <f>HYPERLINK("https://klasma.github.io/Logging_2181/tillsyn/A 39793-2024 tillsynsbegäran.docx", "A 39793-2024")</f>
        <v/>
      </c>
      <c r="Y640">
        <f>HYPERLINK("https://klasma.github.io/Logging_2181/tillsynsmail/A 39793-2024 tillsynsbegäran mail.docx", "A 39793-2024")</f>
        <v/>
      </c>
    </row>
    <row r="641" ht="15" customHeight="1">
      <c r="A641" t="inlineStr">
        <is>
          <t>A 39838-2024</t>
        </is>
      </c>
      <c r="B641" s="1" t="n">
        <v>45553</v>
      </c>
      <c r="C641" s="1" t="n">
        <v>45587</v>
      </c>
      <c r="D641" t="inlineStr">
        <is>
          <t>GÄVLEBORGS LÄN</t>
        </is>
      </c>
      <c r="E641" t="inlineStr">
        <is>
          <t>LJUSDAL</t>
        </is>
      </c>
      <c r="G641" t="n">
        <v>10.9</v>
      </c>
      <c r="H641" t="n">
        <v>1</v>
      </c>
      <c r="I641" t="n">
        <v>0</v>
      </c>
      <c r="J641" t="n">
        <v>0</v>
      </c>
      <c r="K641" t="n">
        <v>1</v>
      </c>
      <c r="L641" t="n">
        <v>0</v>
      </c>
      <c r="M641" t="n">
        <v>0</v>
      </c>
      <c r="N641" t="n">
        <v>0</v>
      </c>
      <c r="O641" t="n">
        <v>1</v>
      </c>
      <c r="P641" t="n">
        <v>1</v>
      </c>
      <c r="Q641" t="n">
        <v>1</v>
      </c>
      <c r="R641" s="2" t="inlineStr">
        <is>
          <t>Knärot</t>
        </is>
      </c>
      <c r="S641">
        <f>HYPERLINK("https://klasma.github.io/Logging_2161/artfynd/A 39838-2024 artfynd.xlsx", "A 39838-2024")</f>
        <v/>
      </c>
      <c r="T641">
        <f>HYPERLINK("https://klasma.github.io/Logging_2161/kartor/A 39838-2024 karta.png", "A 39838-2024")</f>
        <v/>
      </c>
      <c r="U641">
        <f>HYPERLINK("https://klasma.github.io/Logging_2161/knärot/A 39838-2024 karta knärot.png", "A 39838-2024")</f>
        <v/>
      </c>
      <c r="V641">
        <f>HYPERLINK("https://klasma.github.io/Logging_2161/klagomål/A 39838-2024 FSC-klagomål.docx", "A 39838-2024")</f>
        <v/>
      </c>
      <c r="W641">
        <f>HYPERLINK("https://klasma.github.io/Logging_2161/klagomålsmail/A 39838-2024 FSC-klagomål mail.docx", "A 39838-2024")</f>
        <v/>
      </c>
      <c r="X641">
        <f>HYPERLINK("https://klasma.github.io/Logging_2161/tillsyn/A 39838-2024 tillsynsbegäran.docx", "A 39838-2024")</f>
        <v/>
      </c>
      <c r="Y641">
        <f>HYPERLINK("https://klasma.github.io/Logging_2161/tillsynsmail/A 39838-2024 tillsynsbegäran mail.docx", "A 39838-2024")</f>
        <v/>
      </c>
    </row>
    <row r="642" ht="15" customHeight="1">
      <c r="A642" t="inlineStr">
        <is>
          <t>A 40904-2024</t>
        </is>
      </c>
      <c r="B642" s="1" t="n">
        <v>45558</v>
      </c>
      <c r="C642" s="1" t="n">
        <v>45587</v>
      </c>
      <c r="D642" t="inlineStr">
        <is>
          <t>GÄVLEBORGS LÄN</t>
        </is>
      </c>
      <c r="E642" t="inlineStr">
        <is>
          <t>LJUSDAL</t>
        </is>
      </c>
      <c r="G642" t="n">
        <v>10.9</v>
      </c>
      <c r="H642" t="n">
        <v>1</v>
      </c>
      <c r="I642" t="n">
        <v>0</v>
      </c>
      <c r="J642" t="n">
        <v>0</v>
      </c>
      <c r="K642" t="n">
        <v>1</v>
      </c>
      <c r="L642" t="n">
        <v>0</v>
      </c>
      <c r="M642" t="n">
        <v>0</v>
      </c>
      <c r="N642" t="n">
        <v>0</v>
      </c>
      <c r="O642" t="n">
        <v>1</v>
      </c>
      <c r="P642" t="n">
        <v>1</v>
      </c>
      <c r="Q642" t="n">
        <v>1</v>
      </c>
      <c r="R642" s="2" t="inlineStr">
        <is>
          <t>Knärot</t>
        </is>
      </c>
      <c r="S642">
        <f>HYPERLINK("https://klasma.github.io/Logging_2161/artfynd/A 40904-2024 artfynd.xlsx", "A 40904-2024")</f>
        <v/>
      </c>
      <c r="T642">
        <f>HYPERLINK("https://klasma.github.io/Logging_2161/kartor/A 40904-2024 karta.png", "A 40904-2024")</f>
        <v/>
      </c>
      <c r="U642">
        <f>HYPERLINK("https://klasma.github.io/Logging_2161/knärot/A 40904-2024 karta knärot.png", "A 40904-2024")</f>
        <v/>
      </c>
      <c r="V642">
        <f>HYPERLINK("https://klasma.github.io/Logging_2161/klagomål/A 40904-2024 FSC-klagomål.docx", "A 40904-2024")</f>
        <v/>
      </c>
      <c r="W642">
        <f>HYPERLINK("https://klasma.github.io/Logging_2161/klagomålsmail/A 40904-2024 FSC-klagomål mail.docx", "A 40904-2024")</f>
        <v/>
      </c>
      <c r="X642">
        <f>HYPERLINK("https://klasma.github.io/Logging_2161/tillsyn/A 40904-2024 tillsynsbegäran.docx", "A 40904-2024")</f>
        <v/>
      </c>
      <c r="Y642">
        <f>HYPERLINK("https://klasma.github.io/Logging_2161/tillsynsmail/A 40904-2024 tillsynsbegäran mail.docx", "A 40904-2024")</f>
        <v/>
      </c>
    </row>
    <row r="643" ht="15" customHeight="1">
      <c r="A643" t="inlineStr">
        <is>
          <t>A 41494-2024</t>
        </is>
      </c>
      <c r="B643" s="1" t="n">
        <v>45560</v>
      </c>
      <c r="C643" s="1" t="n">
        <v>45587</v>
      </c>
      <c r="D643" t="inlineStr">
        <is>
          <t>GÄVLEBORGS LÄN</t>
        </is>
      </c>
      <c r="E643" t="inlineStr">
        <is>
          <t>HUDIKSVALL</t>
        </is>
      </c>
      <c r="F643" t="inlineStr">
        <is>
          <t>Holmen skog AB</t>
        </is>
      </c>
      <c r="G643" t="n">
        <v>20.9</v>
      </c>
      <c r="H643" t="n">
        <v>0</v>
      </c>
      <c r="I643" t="n">
        <v>0</v>
      </c>
      <c r="J643" t="n">
        <v>1</v>
      </c>
      <c r="K643" t="n">
        <v>0</v>
      </c>
      <c r="L643" t="n">
        <v>0</v>
      </c>
      <c r="M643" t="n">
        <v>0</v>
      </c>
      <c r="N643" t="n">
        <v>0</v>
      </c>
      <c r="O643" t="n">
        <v>1</v>
      </c>
      <c r="P643" t="n">
        <v>0</v>
      </c>
      <c r="Q643" t="n">
        <v>1</v>
      </c>
      <c r="R643" s="2" t="inlineStr">
        <is>
          <t>Lunglav</t>
        </is>
      </c>
      <c r="S643">
        <f>HYPERLINK("https://klasma.github.io/Logging_2184/artfynd/A 41494-2024 artfynd.xlsx", "A 41494-2024")</f>
        <v/>
      </c>
      <c r="T643">
        <f>HYPERLINK("https://klasma.github.io/Logging_2184/kartor/A 41494-2024 karta.png", "A 41494-2024")</f>
        <v/>
      </c>
      <c r="V643">
        <f>HYPERLINK("https://klasma.github.io/Logging_2184/klagomål/A 41494-2024 FSC-klagomål.docx", "A 41494-2024")</f>
        <v/>
      </c>
      <c r="W643">
        <f>HYPERLINK("https://klasma.github.io/Logging_2184/klagomålsmail/A 41494-2024 FSC-klagomål mail.docx", "A 41494-2024")</f>
        <v/>
      </c>
      <c r="X643">
        <f>HYPERLINK("https://klasma.github.io/Logging_2184/tillsyn/A 41494-2024 tillsynsbegäran.docx", "A 41494-2024")</f>
        <v/>
      </c>
      <c r="Y643">
        <f>HYPERLINK("https://klasma.github.io/Logging_2184/tillsynsmail/A 41494-2024 tillsynsbegäran mail.docx", "A 41494-2024")</f>
        <v/>
      </c>
    </row>
    <row r="644" ht="15" customHeight="1">
      <c r="A644" t="inlineStr">
        <is>
          <t>A 41388-2024</t>
        </is>
      </c>
      <c r="B644" s="1" t="n">
        <v>45560</v>
      </c>
      <c r="C644" s="1" t="n">
        <v>45587</v>
      </c>
      <c r="D644" t="inlineStr">
        <is>
          <t>GÄVLEBORGS LÄN</t>
        </is>
      </c>
      <c r="E644" t="inlineStr">
        <is>
          <t>LJUSDAL</t>
        </is>
      </c>
      <c r="F644" t="inlineStr">
        <is>
          <t>Holmen skog AB</t>
        </is>
      </c>
      <c r="G644" t="n">
        <v>1.2</v>
      </c>
      <c r="H644" t="n">
        <v>0</v>
      </c>
      <c r="I644" t="n">
        <v>0</v>
      </c>
      <c r="J644" t="n">
        <v>1</v>
      </c>
      <c r="K644" t="n">
        <v>0</v>
      </c>
      <c r="L644" t="n">
        <v>0</v>
      </c>
      <c r="M644" t="n">
        <v>0</v>
      </c>
      <c r="N644" t="n">
        <v>0</v>
      </c>
      <c r="O644" t="n">
        <v>1</v>
      </c>
      <c r="P644" t="n">
        <v>0</v>
      </c>
      <c r="Q644" t="n">
        <v>1</v>
      </c>
      <c r="R644" s="2" t="inlineStr">
        <is>
          <t>Garnlav</t>
        </is>
      </c>
      <c r="S644">
        <f>HYPERLINK("https://klasma.github.io/Logging_2161/artfynd/A 41388-2024 artfynd.xlsx", "A 41388-2024")</f>
        <v/>
      </c>
      <c r="T644">
        <f>HYPERLINK("https://klasma.github.io/Logging_2161/kartor/A 41388-2024 karta.png", "A 41388-2024")</f>
        <v/>
      </c>
      <c r="V644">
        <f>HYPERLINK("https://klasma.github.io/Logging_2161/klagomål/A 41388-2024 FSC-klagomål.docx", "A 41388-2024")</f>
        <v/>
      </c>
      <c r="W644">
        <f>HYPERLINK("https://klasma.github.io/Logging_2161/klagomålsmail/A 41388-2024 FSC-klagomål mail.docx", "A 41388-2024")</f>
        <v/>
      </c>
      <c r="X644">
        <f>HYPERLINK("https://klasma.github.io/Logging_2161/tillsyn/A 41388-2024 tillsynsbegäran.docx", "A 41388-2024")</f>
        <v/>
      </c>
      <c r="Y644">
        <f>HYPERLINK("https://klasma.github.io/Logging_2161/tillsynsmail/A 41388-2024 tillsynsbegäran mail.docx", "A 41388-2024")</f>
        <v/>
      </c>
    </row>
    <row r="645" ht="15" customHeight="1">
      <c r="A645" t="inlineStr">
        <is>
          <t>A 46614-2024</t>
        </is>
      </c>
      <c r="B645" s="1" t="n">
        <v>45583</v>
      </c>
      <c r="C645" s="1" t="n">
        <v>45587</v>
      </c>
      <c r="D645" t="inlineStr">
        <is>
          <t>GÄVLEBORGS LÄN</t>
        </is>
      </c>
      <c r="E645" t="inlineStr">
        <is>
          <t>HUDIKSVALL</t>
        </is>
      </c>
      <c r="G645" t="n">
        <v>2</v>
      </c>
      <c r="H645" t="n">
        <v>0</v>
      </c>
      <c r="I645" t="n">
        <v>0</v>
      </c>
      <c r="J645" t="n">
        <v>1</v>
      </c>
      <c r="K645" t="n">
        <v>0</v>
      </c>
      <c r="L645" t="n">
        <v>0</v>
      </c>
      <c r="M645" t="n">
        <v>0</v>
      </c>
      <c r="N645" t="n">
        <v>0</v>
      </c>
      <c r="O645" t="n">
        <v>1</v>
      </c>
      <c r="P645" t="n">
        <v>0</v>
      </c>
      <c r="Q645" t="n">
        <v>1</v>
      </c>
      <c r="R645" s="2" t="inlineStr">
        <is>
          <t>Orange taggsvamp</t>
        </is>
      </c>
      <c r="S645">
        <f>HYPERLINK("https://klasma.github.io/Logging_2184/artfynd/A 46614-2024 artfynd.xlsx", "A 46614-2024")</f>
        <v/>
      </c>
      <c r="T645">
        <f>HYPERLINK("https://klasma.github.io/Logging_2184/kartor/A 46614-2024 karta.png", "A 46614-2024")</f>
        <v/>
      </c>
      <c r="V645">
        <f>HYPERLINK("https://klasma.github.io/Logging_2184/klagomål/A 46614-2024 FSC-klagomål.docx", "A 46614-2024")</f>
        <v/>
      </c>
      <c r="W645">
        <f>HYPERLINK("https://klasma.github.io/Logging_2184/klagomålsmail/A 46614-2024 FSC-klagomål mail.docx", "A 46614-2024")</f>
        <v/>
      </c>
      <c r="X645">
        <f>HYPERLINK("https://klasma.github.io/Logging_2184/tillsyn/A 46614-2024 tillsynsbegäran.docx", "A 46614-2024")</f>
        <v/>
      </c>
      <c r="Y645">
        <f>HYPERLINK("https://klasma.github.io/Logging_2184/tillsynsmail/A 46614-2024 tillsynsbegäran mail.docx", "A 46614-2024")</f>
        <v/>
      </c>
    </row>
    <row r="646" ht="15" customHeight="1">
      <c r="A646" t="inlineStr">
        <is>
          <t>A 17688-2019</t>
        </is>
      </c>
      <c r="B646" s="1" t="n">
        <v>43556</v>
      </c>
      <c r="C646" s="1" t="n">
        <v>45587</v>
      </c>
      <c r="D646" t="inlineStr">
        <is>
          <t>GÄVLEBORGS LÄN</t>
        </is>
      </c>
      <c r="E646" t="inlineStr">
        <is>
          <t>OVANÅKER</t>
        </is>
      </c>
      <c r="G646" t="n">
        <v>1.8</v>
      </c>
      <c r="H646" t="n">
        <v>0</v>
      </c>
      <c r="I646" t="n">
        <v>0</v>
      </c>
      <c r="J646" t="n">
        <v>0</v>
      </c>
      <c r="K646" t="n">
        <v>0</v>
      </c>
      <c r="L646" t="n">
        <v>0</v>
      </c>
      <c r="M646" t="n">
        <v>0</v>
      </c>
      <c r="N646" t="n">
        <v>0</v>
      </c>
      <c r="O646" t="n">
        <v>0</v>
      </c>
      <c r="P646" t="n">
        <v>0</v>
      </c>
      <c r="Q646" t="n">
        <v>0</v>
      </c>
      <c r="R646" s="2" t="inlineStr"/>
    </row>
    <row r="647" ht="15" customHeight="1">
      <c r="A647" t="inlineStr">
        <is>
          <t>A 17693-2019</t>
        </is>
      </c>
      <c r="B647" s="1" t="n">
        <v>43556</v>
      </c>
      <c r="C647" s="1" t="n">
        <v>45587</v>
      </c>
      <c r="D647" t="inlineStr">
        <is>
          <t>GÄVLEBORGS LÄN</t>
        </is>
      </c>
      <c r="E647" t="inlineStr">
        <is>
          <t>OVANÅKER</t>
        </is>
      </c>
      <c r="G647" t="n">
        <v>0.8</v>
      </c>
      <c r="H647" t="n">
        <v>0</v>
      </c>
      <c r="I647" t="n">
        <v>0</v>
      </c>
      <c r="J647" t="n">
        <v>0</v>
      </c>
      <c r="K647" t="n">
        <v>0</v>
      </c>
      <c r="L647" t="n">
        <v>0</v>
      </c>
      <c r="M647" t="n">
        <v>0</v>
      </c>
      <c r="N647" t="n">
        <v>0</v>
      </c>
      <c r="O647" t="n">
        <v>0</v>
      </c>
      <c r="P647" t="n">
        <v>0</v>
      </c>
      <c r="Q647" t="n">
        <v>0</v>
      </c>
      <c r="R647" s="2" t="inlineStr"/>
    </row>
    <row r="648" ht="15" customHeight="1">
      <c r="A648" t="inlineStr">
        <is>
          <t>A 17691-2019</t>
        </is>
      </c>
      <c r="B648" s="1" t="n">
        <v>43556</v>
      </c>
      <c r="C648" s="1" t="n">
        <v>45587</v>
      </c>
      <c r="D648" t="inlineStr">
        <is>
          <t>GÄVLEBORGS LÄN</t>
        </is>
      </c>
      <c r="E648" t="inlineStr">
        <is>
          <t>HOFORS</t>
        </is>
      </c>
      <c r="F648" t="inlineStr">
        <is>
          <t>Kommuner</t>
        </is>
      </c>
      <c r="G648" t="n">
        <v>3.9</v>
      </c>
      <c r="H648" t="n">
        <v>0</v>
      </c>
      <c r="I648" t="n">
        <v>0</v>
      </c>
      <c r="J648" t="n">
        <v>0</v>
      </c>
      <c r="K648" t="n">
        <v>0</v>
      </c>
      <c r="L648" t="n">
        <v>0</v>
      </c>
      <c r="M648" t="n">
        <v>0</v>
      </c>
      <c r="N648" t="n">
        <v>0</v>
      </c>
      <c r="O648" t="n">
        <v>0</v>
      </c>
      <c r="P648" t="n">
        <v>0</v>
      </c>
      <c r="Q648" t="n">
        <v>0</v>
      </c>
      <c r="R648" s="2" t="inlineStr"/>
    </row>
    <row r="649" ht="15" customHeight="1">
      <c r="A649" t="inlineStr">
        <is>
          <t>A 17830-2019</t>
        </is>
      </c>
      <c r="B649" s="1" t="n">
        <v>43556</v>
      </c>
      <c r="C649" s="1" t="n">
        <v>45587</v>
      </c>
      <c r="D649" t="inlineStr">
        <is>
          <t>GÄVLEBORGS LÄN</t>
        </is>
      </c>
      <c r="E649" t="inlineStr">
        <is>
          <t>OCKELBO</t>
        </is>
      </c>
      <c r="G649" t="n">
        <v>1.4</v>
      </c>
      <c r="H649" t="n">
        <v>0</v>
      </c>
      <c r="I649" t="n">
        <v>0</v>
      </c>
      <c r="J649" t="n">
        <v>0</v>
      </c>
      <c r="K649" t="n">
        <v>0</v>
      </c>
      <c r="L649" t="n">
        <v>0</v>
      </c>
      <c r="M649" t="n">
        <v>0</v>
      </c>
      <c r="N649" t="n">
        <v>0</v>
      </c>
      <c r="O649" t="n">
        <v>0</v>
      </c>
      <c r="P649" t="n">
        <v>0</v>
      </c>
      <c r="Q649" t="n">
        <v>0</v>
      </c>
      <c r="R649" s="2" t="inlineStr"/>
    </row>
    <row r="650" ht="15" customHeight="1">
      <c r="A650" t="inlineStr">
        <is>
          <t>A 17681-2019</t>
        </is>
      </c>
      <c r="B650" s="1" t="n">
        <v>43556</v>
      </c>
      <c r="C650" s="1" t="n">
        <v>45587</v>
      </c>
      <c r="D650" t="inlineStr">
        <is>
          <t>GÄVLEBORGS LÄN</t>
        </is>
      </c>
      <c r="E650" t="inlineStr">
        <is>
          <t>OVANÅKER</t>
        </is>
      </c>
      <c r="G650" t="n">
        <v>0.7</v>
      </c>
      <c r="H650" t="n">
        <v>0</v>
      </c>
      <c r="I650" t="n">
        <v>0</v>
      </c>
      <c r="J650" t="n">
        <v>0</v>
      </c>
      <c r="K650" t="n">
        <v>0</v>
      </c>
      <c r="L650" t="n">
        <v>0</v>
      </c>
      <c r="M650" t="n">
        <v>0</v>
      </c>
      <c r="N650" t="n">
        <v>0</v>
      </c>
      <c r="O650" t="n">
        <v>0</v>
      </c>
      <c r="P650" t="n">
        <v>0</v>
      </c>
      <c r="Q650" t="n">
        <v>0</v>
      </c>
      <c r="R650" s="2" t="inlineStr"/>
    </row>
    <row r="651" ht="15" customHeight="1">
      <c r="A651" t="inlineStr">
        <is>
          <t>A 17929-2019</t>
        </is>
      </c>
      <c r="B651" s="1" t="n">
        <v>43557</v>
      </c>
      <c r="C651" s="1" t="n">
        <v>45587</v>
      </c>
      <c r="D651" t="inlineStr">
        <is>
          <t>GÄVLEBORGS LÄN</t>
        </is>
      </c>
      <c r="E651" t="inlineStr">
        <is>
          <t>NORDANSTIG</t>
        </is>
      </c>
      <c r="F651" t="inlineStr">
        <is>
          <t>Holmen skog AB</t>
        </is>
      </c>
      <c r="G651" t="n">
        <v>0.9</v>
      </c>
      <c r="H651" t="n">
        <v>0</v>
      </c>
      <c r="I651" t="n">
        <v>0</v>
      </c>
      <c r="J651" t="n">
        <v>0</v>
      </c>
      <c r="K651" t="n">
        <v>0</v>
      </c>
      <c r="L651" t="n">
        <v>0</v>
      </c>
      <c r="M651" t="n">
        <v>0</v>
      </c>
      <c r="N651" t="n">
        <v>0</v>
      </c>
      <c r="O651" t="n">
        <v>0</v>
      </c>
      <c r="P651" t="n">
        <v>0</v>
      </c>
      <c r="Q651" t="n">
        <v>0</v>
      </c>
      <c r="R651" s="2" t="inlineStr"/>
    </row>
    <row r="652" ht="15" customHeight="1">
      <c r="A652" t="inlineStr">
        <is>
          <t>A 17979-2019</t>
        </is>
      </c>
      <c r="B652" s="1" t="n">
        <v>43557</v>
      </c>
      <c r="C652" s="1" t="n">
        <v>45587</v>
      </c>
      <c r="D652" t="inlineStr">
        <is>
          <t>GÄVLEBORGS LÄN</t>
        </is>
      </c>
      <c r="E652" t="inlineStr">
        <is>
          <t>LJUSDAL</t>
        </is>
      </c>
      <c r="G652" t="n">
        <v>0.7</v>
      </c>
      <c r="H652" t="n">
        <v>0</v>
      </c>
      <c r="I652" t="n">
        <v>0</v>
      </c>
      <c r="J652" t="n">
        <v>0</v>
      </c>
      <c r="K652" t="n">
        <v>0</v>
      </c>
      <c r="L652" t="n">
        <v>0</v>
      </c>
      <c r="M652" t="n">
        <v>0</v>
      </c>
      <c r="N652" t="n">
        <v>0</v>
      </c>
      <c r="O652" t="n">
        <v>0</v>
      </c>
      <c r="P652" t="n">
        <v>0</v>
      </c>
      <c r="Q652" t="n">
        <v>0</v>
      </c>
      <c r="R652" s="2" t="inlineStr"/>
    </row>
    <row r="653" ht="15" customHeight="1">
      <c r="A653" t="inlineStr">
        <is>
          <t>A 18020-2019</t>
        </is>
      </c>
      <c r="B653" s="1" t="n">
        <v>43557</v>
      </c>
      <c r="C653" s="1" t="n">
        <v>45587</v>
      </c>
      <c r="D653" t="inlineStr">
        <is>
          <t>GÄVLEBORGS LÄN</t>
        </is>
      </c>
      <c r="E653" t="inlineStr">
        <is>
          <t>LJUSDAL</t>
        </is>
      </c>
      <c r="F653" t="inlineStr">
        <is>
          <t>Kyrkan</t>
        </is>
      </c>
      <c r="G653" t="n">
        <v>43</v>
      </c>
      <c r="H653" t="n">
        <v>0</v>
      </c>
      <c r="I653" t="n">
        <v>0</v>
      </c>
      <c r="J653" t="n">
        <v>0</v>
      </c>
      <c r="K653" t="n">
        <v>0</v>
      </c>
      <c r="L653" t="n">
        <v>0</v>
      </c>
      <c r="M653" t="n">
        <v>0</v>
      </c>
      <c r="N653" t="n">
        <v>0</v>
      </c>
      <c r="O653" t="n">
        <v>0</v>
      </c>
      <c r="P653" t="n">
        <v>0</v>
      </c>
      <c r="Q653" t="n">
        <v>0</v>
      </c>
      <c r="R653" s="2" t="inlineStr"/>
    </row>
    <row r="654" ht="15" customHeight="1">
      <c r="A654" t="inlineStr">
        <is>
          <t>A 18140-2019</t>
        </is>
      </c>
      <c r="B654" s="1" t="n">
        <v>43558</v>
      </c>
      <c r="C654" s="1" t="n">
        <v>45587</v>
      </c>
      <c r="D654" t="inlineStr">
        <is>
          <t>GÄVLEBORGS LÄN</t>
        </is>
      </c>
      <c r="E654" t="inlineStr">
        <is>
          <t>HUDIKSVALL</t>
        </is>
      </c>
      <c r="G654" t="n">
        <v>5.3</v>
      </c>
      <c r="H654" t="n">
        <v>0</v>
      </c>
      <c r="I654" t="n">
        <v>0</v>
      </c>
      <c r="J654" t="n">
        <v>0</v>
      </c>
      <c r="K654" t="n">
        <v>0</v>
      </c>
      <c r="L654" t="n">
        <v>0</v>
      </c>
      <c r="M654" t="n">
        <v>0</v>
      </c>
      <c r="N654" t="n">
        <v>0</v>
      </c>
      <c r="O654" t="n">
        <v>0</v>
      </c>
      <c r="P654" t="n">
        <v>0</v>
      </c>
      <c r="Q654" t="n">
        <v>0</v>
      </c>
      <c r="R654" s="2" t="inlineStr"/>
    </row>
    <row r="655" ht="15" customHeight="1">
      <c r="A655" t="inlineStr">
        <is>
          <t>A 18095-2019</t>
        </is>
      </c>
      <c r="B655" s="1" t="n">
        <v>43558</v>
      </c>
      <c r="C655" s="1" t="n">
        <v>45587</v>
      </c>
      <c r="D655" t="inlineStr">
        <is>
          <t>GÄVLEBORGS LÄN</t>
        </is>
      </c>
      <c r="E655" t="inlineStr">
        <is>
          <t>HOFORS</t>
        </is>
      </c>
      <c r="F655" t="inlineStr">
        <is>
          <t>Sveaskog</t>
        </is>
      </c>
      <c r="G655" t="n">
        <v>2.8</v>
      </c>
      <c r="H655" t="n">
        <v>0</v>
      </c>
      <c r="I655" t="n">
        <v>0</v>
      </c>
      <c r="J655" t="n">
        <v>0</v>
      </c>
      <c r="K655" t="n">
        <v>0</v>
      </c>
      <c r="L655" t="n">
        <v>0</v>
      </c>
      <c r="M655" t="n">
        <v>0</v>
      </c>
      <c r="N655" t="n">
        <v>0</v>
      </c>
      <c r="O655" t="n">
        <v>0</v>
      </c>
      <c r="P655" t="n">
        <v>0</v>
      </c>
      <c r="Q655" t="n">
        <v>0</v>
      </c>
      <c r="R655" s="2" t="inlineStr"/>
    </row>
    <row r="656" ht="15" customHeight="1">
      <c r="A656" t="inlineStr">
        <is>
          <t>A 18085-2019</t>
        </is>
      </c>
      <c r="B656" s="1" t="n">
        <v>43558</v>
      </c>
      <c r="C656" s="1" t="n">
        <v>45587</v>
      </c>
      <c r="D656" t="inlineStr">
        <is>
          <t>GÄVLEBORGS LÄN</t>
        </is>
      </c>
      <c r="E656" t="inlineStr">
        <is>
          <t>HOFORS</t>
        </is>
      </c>
      <c r="F656" t="inlineStr">
        <is>
          <t>Sveaskog</t>
        </is>
      </c>
      <c r="G656" t="n">
        <v>1.4</v>
      </c>
      <c r="H656" t="n">
        <v>0</v>
      </c>
      <c r="I656" t="n">
        <v>0</v>
      </c>
      <c r="J656" t="n">
        <v>0</v>
      </c>
      <c r="K656" t="n">
        <v>0</v>
      </c>
      <c r="L656" t="n">
        <v>0</v>
      </c>
      <c r="M656" t="n">
        <v>0</v>
      </c>
      <c r="N656" t="n">
        <v>0</v>
      </c>
      <c r="O656" t="n">
        <v>0</v>
      </c>
      <c r="P656" t="n">
        <v>0</v>
      </c>
      <c r="Q656" t="n">
        <v>0</v>
      </c>
      <c r="R656" s="2" t="inlineStr"/>
    </row>
    <row r="657" ht="15" customHeight="1">
      <c r="A657" t="inlineStr">
        <is>
          <t>A 18347-2019</t>
        </is>
      </c>
      <c r="B657" s="1" t="n">
        <v>43559</v>
      </c>
      <c r="C657" s="1" t="n">
        <v>45587</v>
      </c>
      <c r="D657" t="inlineStr">
        <is>
          <t>GÄVLEBORGS LÄN</t>
        </is>
      </c>
      <c r="E657" t="inlineStr">
        <is>
          <t>SÖDERHAMN</t>
        </is>
      </c>
      <c r="G657" t="n">
        <v>0.4</v>
      </c>
      <c r="H657" t="n">
        <v>0</v>
      </c>
      <c r="I657" t="n">
        <v>0</v>
      </c>
      <c r="J657" t="n">
        <v>0</v>
      </c>
      <c r="K657" t="n">
        <v>0</v>
      </c>
      <c r="L657" t="n">
        <v>0</v>
      </c>
      <c r="M657" t="n">
        <v>0</v>
      </c>
      <c r="N657" t="n">
        <v>0</v>
      </c>
      <c r="O657" t="n">
        <v>0</v>
      </c>
      <c r="P657" t="n">
        <v>0</v>
      </c>
      <c r="Q657" t="n">
        <v>0</v>
      </c>
      <c r="R657" s="2" t="inlineStr"/>
    </row>
    <row r="658" ht="15" customHeight="1">
      <c r="A658" t="inlineStr">
        <is>
          <t>A 18405-2019</t>
        </is>
      </c>
      <c r="B658" s="1" t="n">
        <v>43559</v>
      </c>
      <c r="C658" s="1" t="n">
        <v>45587</v>
      </c>
      <c r="D658" t="inlineStr">
        <is>
          <t>GÄVLEBORGS LÄN</t>
        </is>
      </c>
      <c r="E658" t="inlineStr">
        <is>
          <t>BOLLNÄS</t>
        </is>
      </c>
      <c r="G658" t="n">
        <v>0.6</v>
      </c>
      <c r="H658" t="n">
        <v>0</v>
      </c>
      <c r="I658" t="n">
        <v>0</v>
      </c>
      <c r="J658" t="n">
        <v>0</v>
      </c>
      <c r="K658" t="n">
        <v>0</v>
      </c>
      <c r="L658" t="n">
        <v>0</v>
      </c>
      <c r="M658" t="n">
        <v>0</v>
      </c>
      <c r="N658" t="n">
        <v>0</v>
      </c>
      <c r="O658" t="n">
        <v>0</v>
      </c>
      <c r="P658" t="n">
        <v>0</v>
      </c>
      <c r="Q658" t="n">
        <v>0</v>
      </c>
      <c r="R658" s="2" t="inlineStr"/>
    </row>
    <row r="659" ht="15" customHeight="1">
      <c r="A659" t="inlineStr">
        <is>
          <t>A 18398-2019</t>
        </is>
      </c>
      <c r="B659" s="1" t="n">
        <v>43559</v>
      </c>
      <c r="C659" s="1" t="n">
        <v>45587</v>
      </c>
      <c r="D659" t="inlineStr">
        <is>
          <t>GÄVLEBORGS LÄN</t>
        </is>
      </c>
      <c r="E659" t="inlineStr">
        <is>
          <t>GÄVLE</t>
        </is>
      </c>
      <c r="F659" t="inlineStr">
        <is>
          <t>Bergvik skog öst AB</t>
        </is>
      </c>
      <c r="G659" t="n">
        <v>2.3</v>
      </c>
      <c r="H659" t="n">
        <v>0</v>
      </c>
      <c r="I659" t="n">
        <v>0</v>
      </c>
      <c r="J659" t="n">
        <v>0</v>
      </c>
      <c r="K659" t="n">
        <v>0</v>
      </c>
      <c r="L659" t="n">
        <v>0</v>
      </c>
      <c r="M659" t="n">
        <v>0</v>
      </c>
      <c r="N659" t="n">
        <v>0</v>
      </c>
      <c r="O659" t="n">
        <v>0</v>
      </c>
      <c r="P659" t="n">
        <v>0</v>
      </c>
      <c r="Q659" t="n">
        <v>0</v>
      </c>
      <c r="R659" s="2" t="inlineStr"/>
    </row>
    <row r="660" ht="15" customHeight="1">
      <c r="A660" t="inlineStr">
        <is>
          <t>A 18473-2019</t>
        </is>
      </c>
      <c r="B660" s="1" t="n">
        <v>43559</v>
      </c>
      <c r="C660" s="1" t="n">
        <v>45587</v>
      </c>
      <c r="D660" t="inlineStr">
        <is>
          <t>GÄVLEBORGS LÄN</t>
        </is>
      </c>
      <c r="E660" t="inlineStr">
        <is>
          <t>GÄVLE</t>
        </is>
      </c>
      <c r="G660" t="n">
        <v>0.6</v>
      </c>
      <c r="H660" t="n">
        <v>0</v>
      </c>
      <c r="I660" t="n">
        <v>0</v>
      </c>
      <c r="J660" t="n">
        <v>0</v>
      </c>
      <c r="K660" t="n">
        <v>0</v>
      </c>
      <c r="L660" t="n">
        <v>0</v>
      </c>
      <c r="M660" t="n">
        <v>0</v>
      </c>
      <c r="N660" t="n">
        <v>0</v>
      </c>
      <c r="O660" t="n">
        <v>0</v>
      </c>
      <c r="P660" t="n">
        <v>0</v>
      </c>
      <c r="Q660" t="n">
        <v>0</v>
      </c>
      <c r="R660" s="2" t="inlineStr"/>
    </row>
    <row r="661" ht="15" customHeight="1">
      <c r="A661" t="inlineStr">
        <is>
          <t>A 18667-2019</t>
        </is>
      </c>
      <c r="B661" s="1" t="n">
        <v>43560</v>
      </c>
      <c r="C661" s="1" t="n">
        <v>45587</v>
      </c>
      <c r="D661" t="inlineStr">
        <is>
          <t>GÄVLEBORGS LÄN</t>
        </is>
      </c>
      <c r="E661" t="inlineStr">
        <is>
          <t>BOLLNÄS</t>
        </is>
      </c>
      <c r="G661" t="n">
        <v>1.6</v>
      </c>
      <c r="H661" t="n">
        <v>0</v>
      </c>
      <c r="I661" t="n">
        <v>0</v>
      </c>
      <c r="J661" t="n">
        <v>0</v>
      </c>
      <c r="K661" t="n">
        <v>0</v>
      </c>
      <c r="L661" t="n">
        <v>0</v>
      </c>
      <c r="M661" t="n">
        <v>0</v>
      </c>
      <c r="N661" t="n">
        <v>0</v>
      </c>
      <c r="O661" t="n">
        <v>0</v>
      </c>
      <c r="P661" t="n">
        <v>0</v>
      </c>
      <c r="Q661" t="n">
        <v>0</v>
      </c>
      <c r="R661" s="2" t="inlineStr"/>
    </row>
    <row r="662" ht="15" customHeight="1">
      <c r="A662" t="inlineStr">
        <is>
          <t>A 19004-2019</t>
        </is>
      </c>
      <c r="B662" s="1" t="n">
        <v>43563</v>
      </c>
      <c r="C662" s="1" t="n">
        <v>45587</v>
      </c>
      <c r="D662" t="inlineStr">
        <is>
          <t>GÄVLEBORGS LÄN</t>
        </is>
      </c>
      <c r="E662" t="inlineStr">
        <is>
          <t>BOLLNÄS</t>
        </is>
      </c>
      <c r="G662" t="n">
        <v>2.8</v>
      </c>
      <c r="H662" t="n">
        <v>0</v>
      </c>
      <c r="I662" t="n">
        <v>0</v>
      </c>
      <c r="J662" t="n">
        <v>0</v>
      </c>
      <c r="K662" t="n">
        <v>0</v>
      </c>
      <c r="L662" t="n">
        <v>0</v>
      </c>
      <c r="M662" t="n">
        <v>0</v>
      </c>
      <c r="N662" t="n">
        <v>0</v>
      </c>
      <c r="O662" t="n">
        <v>0</v>
      </c>
      <c r="P662" t="n">
        <v>0</v>
      </c>
      <c r="Q662" t="n">
        <v>0</v>
      </c>
      <c r="R662" s="2" t="inlineStr"/>
    </row>
    <row r="663" ht="15" customHeight="1">
      <c r="A663" t="inlineStr">
        <is>
          <t>A 19161-2019</t>
        </is>
      </c>
      <c r="B663" s="1" t="n">
        <v>43564</v>
      </c>
      <c r="C663" s="1" t="n">
        <v>45587</v>
      </c>
      <c r="D663" t="inlineStr">
        <is>
          <t>GÄVLEBORGS LÄN</t>
        </is>
      </c>
      <c r="E663" t="inlineStr">
        <is>
          <t>BOLLNÄS</t>
        </is>
      </c>
      <c r="G663" t="n">
        <v>5.2</v>
      </c>
      <c r="H663" t="n">
        <v>0</v>
      </c>
      <c r="I663" t="n">
        <v>0</v>
      </c>
      <c r="J663" t="n">
        <v>0</v>
      </c>
      <c r="K663" t="n">
        <v>0</v>
      </c>
      <c r="L663" t="n">
        <v>0</v>
      </c>
      <c r="M663" t="n">
        <v>0</v>
      </c>
      <c r="N663" t="n">
        <v>0</v>
      </c>
      <c r="O663" t="n">
        <v>0</v>
      </c>
      <c r="P663" t="n">
        <v>0</v>
      </c>
      <c r="Q663" t="n">
        <v>0</v>
      </c>
      <c r="R663" s="2" t="inlineStr"/>
    </row>
    <row r="664" ht="15" customHeight="1">
      <c r="A664" t="inlineStr">
        <is>
          <t>A 19187-2019</t>
        </is>
      </c>
      <c r="B664" s="1" t="n">
        <v>43564</v>
      </c>
      <c r="C664" s="1" t="n">
        <v>45587</v>
      </c>
      <c r="D664" t="inlineStr">
        <is>
          <t>GÄVLEBORGS LÄN</t>
        </is>
      </c>
      <c r="E664" t="inlineStr">
        <is>
          <t>NORDANSTIG</t>
        </is>
      </c>
      <c r="F664" t="inlineStr">
        <is>
          <t>Holmen skog AB</t>
        </is>
      </c>
      <c r="G664" t="n">
        <v>0.6</v>
      </c>
      <c r="H664" t="n">
        <v>0</v>
      </c>
      <c r="I664" t="n">
        <v>0</v>
      </c>
      <c r="J664" t="n">
        <v>0</v>
      </c>
      <c r="K664" t="n">
        <v>0</v>
      </c>
      <c r="L664" t="n">
        <v>0</v>
      </c>
      <c r="M664" t="n">
        <v>0</v>
      </c>
      <c r="N664" t="n">
        <v>0</v>
      </c>
      <c r="O664" t="n">
        <v>0</v>
      </c>
      <c r="P664" t="n">
        <v>0</v>
      </c>
      <c r="Q664" t="n">
        <v>0</v>
      </c>
      <c r="R664" s="2" t="inlineStr"/>
    </row>
    <row r="665" ht="15" customHeight="1">
      <c r="A665" t="inlineStr">
        <is>
          <t>A 19146-2019</t>
        </is>
      </c>
      <c r="B665" s="1" t="n">
        <v>43564</v>
      </c>
      <c r="C665" s="1" t="n">
        <v>45587</v>
      </c>
      <c r="D665" t="inlineStr">
        <is>
          <t>GÄVLEBORGS LÄN</t>
        </is>
      </c>
      <c r="E665" t="inlineStr">
        <is>
          <t>SÖDERHAMN</t>
        </is>
      </c>
      <c r="G665" t="n">
        <v>2.9</v>
      </c>
      <c r="H665" t="n">
        <v>0</v>
      </c>
      <c r="I665" t="n">
        <v>0</v>
      </c>
      <c r="J665" t="n">
        <v>0</v>
      </c>
      <c r="K665" t="n">
        <v>0</v>
      </c>
      <c r="L665" t="n">
        <v>0</v>
      </c>
      <c r="M665" t="n">
        <v>0</v>
      </c>
      <c r="N665" t="n">
        <v>0</v>
      </c>
      <c r="O665" t="n">
        <v>0</v>
      </c>
      <c r="P665" t="n">
        <v>0</v>
      </c>
      <c r="Q665" t="n">
        <v>0</v>
      </c>
      <c r="R665" s="2" t="inlineStr"/>
    </row>
    <row r="666" ht="15" customHeight="1">
      <c r="A666" t="inlineStr">
        <is>
          <t>A 19293-2019</t>
        </is>
      </c>
      <c r="B666" s="1" t="n">
        <v>43565</v>
      </c>
      <c r="C666" s="1" t="n">
        <v>45587</v>
      </c>
      <c r="D666" t="inlineStr">
        <is>
          <t>GÄVLEBORGS LÄN</t>
        </is>
      </c>
      <c r="E666" t="inlineStr">
        <is>
          <t>SANDVIKEN</t>
        </is>
      </c>
      <c r="G666" t="n">
        <v>4.4</v>
      </c>
      <c r="H666" t="n">
        <v>0</v>
      </c>
      <c r="I666" t="n">
        <v>0</v>
      </c>
      <c r="J666" t="n">
        <v>0</v>
      </c>
      <c r="K666" t="n">
        <v>0</v>
      </c>
      <c r="L666" t="n">
        <v>0</v>
      </c>
      <c r="M666" t="n">
        <v>0</v>
      </c>
      <c r="N666" t="n">
        <v>0</v>
      </c>
      <c r="O666" t="n">
        <v>0</v>
      </c>
      <c r="P666" t="n">
        <v>0</v>
      </c>
      <c r="Q666" t="n">
        <v>0</v>
      </c>
      <c r="R666" s="2" t="inlineStr"/>
    </row>
    <row r="667" ht="15" customHeight="1">
      <c r="A667" t="inlineStr">
        <is>
          <t>A 19418-2019</t>
        </is>
      </c>
      <c r="B667" s="1" t="n">
        <v>43565</v>
      </c>
      <c r="C667" s="1" t="n">
        <v>45587</v>
      </c>
      <c r="D667" t="inlineStr">
        <is>
          <t>GÄVLEBORGS LÄN</t>
        </is>
      </c>
      <c r="E667" t="inlineStr">
        <is>
          <t>GÄVLE</t>
        </is>
      </c>
      <c r="G667" t="n">
        <v>4.4</v>
      </c>
      <c r="H667" t="n">
        <v>0</v>
      </c>
      <c r="I667" t="n">
        <v>0</v>
      </c>
      <c r="J667" t="n">
        <v>0</v>
      </c>
      <c r="K667" t="n">
        <v>0</v>
      </c>
      <c r="L667" t="n">
        <v>0</v>
      </c>
      <c r="M667" t="n">
        <v>0</v>
      </c>
      <c r="N667" t="n">
        <v>0</v>
      </c>
      <c r="O667" t="n">
        <v>0</v>
      </c>
      <c r="P667" t="n">
        <v>0</v>
      </c>
      <c r="Q667" t="n">
        <v>0</v>
      </c>
      <c r="R667" s="2" t="inlineStr"/>
    </row>
    <row r="668" ht="15" customHeight="1">
      <c r="A668" t="inlineStr">
        <is>
          <t>A 19442-2019</t>
        </is>
      </c>
      <c r="B668" s="1" t="n">
        <v>43565</v>
      </c>
      <c r="C668" s="1" t="n">
        <v>45587</v>
      </c>
      <c r="D668" t="inlineStr">
        <is>
          <t>GÄVLEBORGS LÄN</t>
        </is>
      </c>
      <c r="E668" t="inlineStr">
        <is>
          <t>SANDVIKEN</t>
        </is>
      </c>
      <c r="G668" t="n">
        <v>1.4</v>
      </c>
      <c r="H668" t="n">
        <v>0</v>
      </c>
      <c r="I668" t="n">
        <v>0</v>
      </c>
      <c r="J668" t="n">
        <v>0</v>
      </c>
      <c r="K668" t="n">
        <v>0</v>
      </c>
      <c r="L668" t="n">
        <v>0</v>
      </c>
      <c r="M668" t="n">
        <v>0</v>
      </c>
      <c r="N668" t="n">
        <v>0</v>
      </c>
      <c r="O668" t="n">
        <v>0</v>
      </c>
      <c r="P668" t="n">
        <v>0</v>
      </c>
      <c r="Q668" t="n">
        <v>0</v>
      </c>
      <c r="R668" s="2" t="inlineStr"/>
    </row>
    <row r="669" ht="15" customHeight="1">
      <c r="A669" t="inlineStr">
        <is>
          <t>A 19856-2019</t>
        </is>
      </c>
      <c r="B669" s="1" t="n">
        <v>43567</v>
      </c>
      <c r="C669" s="1" t="n">
        <v>45587</v>
      </c>
      <c r="D669" t="inlineStr">
        <is>
          <t>GÄVLEBORGS LÄN</t>
        </is>
      </c>
      <c r="E669" t="inlineStr">
        <is>
          <t>GÄVLE</t>
        </is>
      </c>
      <c r="G669" t="n">
        <v>2.5</v>
      </c>
      <c r="H669" t="n">
        <v>0</v>
      </c>
      <c r="I669" t="n">
        <v>0</v>
      </c>
      <c r="J669" t="n">
        <v>0</v>
      </c>
      <c r="K669" t="n">
        <v>0</v>
      </c>
      <c r="L669" t="n">
        <v>0</v>
      </c>
      <c r="M669" t="n">
        <v>0</v>
      </c>
      <c r="N669" t="n">
        <v>0</v>
      </c>
      <c r="O669" t="n">
        <v>0</v>
      </c>
      <c r="P669" t="n">
        <v>0</v>
      </c>
      <c r="Q669" t="n">
        <v>0</v>
      </c>
      <c r="R669" s="2" t="inlineStr"/>
    </row>
    <row r="670" ht="15" customHeight="1">
      <c r="A670" t="inlineStr">
        <is>
          <t>A 19750-2019</t>
        </is>
      </c>
      <c r="B670" s="1" t="n">
        <v>43567</v>
      </c>
      <c r="C670" s="1" t="n">
        <v>45587</v>
      </c>
      <c r="D670" t="inlineStr">
        <is>
          <t>GÄVLEBORGS LÄN</t>
        </is>
      </c>
      <c r="E670" t="inlineStr">
        <is>
          <t>HUDIKSVALL</t>
        </is>
      </c>
      <c r="G670" t="n">
        <v>4.8</v>
      </c>
      <c r="H670" t="n">
        <v>0</v>
      </c>
      <c r="I670" t="n">
        <v>0</v>
      </c>
      <c r="J670" t="n">
        <v>0</v>
      </c>
      <c r="K670" t="n">
        <v>0</v>
      </c>
      <c r="L670" t="n">
        <v>0</v>
      </c>
      <c r="M670" t="n">
        <v>0</v>
      </c>
      <c r="N670" t="n">
        <v>0</v>
      </c>
      <c r="O670" t="n">
        <v>0</v>
      </c>
      <c r="P670" t="n">
        <v>0</v>
      </c>
      <c r="Q670" t="n">
        <v>0</v>
      </c>
      <c r="R670" s="2" t="inlineStr"/>
    </row>
    <row r="671" ht="15" customHeight="1">
      <c r="A671" t="inlineStr">
        <is>
          <t>A 19908-2019</t>
        </is>
      </c>
      <c r="B671" s="1" t="n">
        <v>43567</v>
      </c>
      <c r="C671" s="1" t="n">
        <v>45587</v>
      </c>
      <c r="D671" t="inlineStr">
        <is>
          <t>GÄVLEBORGS LÄN</t>
        </is>
      </c>
      <c r="E671" t="inlineStr">
        <is>
          <t>BOLLNÄS</t>
        </is>
      </c>
      <c r="G671" t="n">
        <v>12.1</v>
      </c>
      <c r="H671" t="n">
        <v>0</v>
      </c>
      <c r="I671" t="n">
        <v>0</v>
      </c>
      <c r="J671" t="n">
        <v>0</v>
      </c>
      <c r="K671" t="n">
        <v>0</v>
      </c>
      <c r="L671" t="n">
        <v>0</v>
      </c>
      <c r="M671" t="n">
        <v>0</v>
      </c>
      <c r="N671" t="n">
        <v>0</v>
      </c>
      <c r="O671" t="n">
        <v>0</v>
      </c>
      <c r="P671" t="n">
        <v>0</v>
      </c>
      <c r="Q671" t="n">
        <v>0</v>
      </c>
      <c r="R671" s="2" t="inlineStr"/>
    </row>
    <row r="672" ht="15" customHeight="1">
      <c r="A672" t="inlineStr">
        <is>
          <t>A 19891-2019</t>
        </is>
      </c>
      <c r="B672" s="1" t="n">
        <v>43567</v>
      </c>
      <c r="C672" s="1" t="n">
        <v>45587</v>
      </c>
      <c r="D672" t="inlineStr">
        <is>
          <t>GÄVLEBORGS LÄN</t>
        </is>
      </c>
      <c r="E672" t="inlineStr">
        <is>
          <t>GÄVLE</t>
        </is>
      </c>
      <c r="G672" t="n">
        <v>1.9</v>
      </c>
      <c r="H672" t="n">
        <v>0</v>
      </c>
      <c r="I672" t="n">
        <v>0</v>
      </c>
      <c r="J672" t="n">
        <v>0</v>
      </c>
      <c r="K672" t="n">
        <v>0</v>
      </c>
      <c r="L672" t="n">
        <v>0</v>
      </c>
      <c r="M672" t="n">
        <v>0</v>
      </c>
      <c r="N672" t="n">
        <v>0</v>
      </c>
      <c r="O672" t="n">
        <v>0</v>
      </c>
      <c r="P672" t="n">
        <v>0</v>
      </c>
      <c r="Q672" t="n">
        <v>0</v>
      </c>
      <c r="R672" s="2" t="inlineStr"/>
    </row>
    <row r="673" ht="15" customHeight="1">
      <c r="A673" t="inlineStr">
        <is>
          <t>A 19979-2019</t>
        </is>
      </c>
      <c r="B673" s="1" t="n">
        <v>43570</v>
      </c>
      <c r="C673" s="1" t="n">
        <v>45587</v>
      </c>
      <c r="D673" t="inlineStr">
        <is>
          <t>GÄVLEBORGS LÄN</t>
        </is>
      </c>
      <c r="E673" t="inlineStr">
        <is>
          <t>OVANÅKER</t>
        </is>
      </c>
      <c r="G673" t="n">
        <v>6.6</v>
      </c>
      <c r="H673" t="n">
        <v>0</v>
      </c>
      <c r="I673" t="n">
        <v>0</v>
      </c>
      <c r="J673" t="n">
        <v>0</v>
      </c>
      <c r="K673" t="n">
        <v>0</v>
      </c>
      <c r="L673" t="n">
        <v>0</v>
      </c>
      <c r="M673" t="n">
        <v>0</v>
      </c>
      <c r="N673" t="n">
        <v>0</v>
      </c>
      <c r="O673" t="n">
        <v>0</v>
      </c>
      <c r="P673" t="n">
        <v>0</v>
      </c>
      <c r="Q673" t="n">
        <v>0</v>
      </c>
      <c r="R673" s="2" t="inlineStr"/>
    </row>
    <row r="674" ht="15" customHeight="1">
      <c r="A674" t="inlineStr">
        <is>
          <t>A 20043-2019</t>
        </is>
      </c>
      <c r="B674" s="1" t="n">
        <v>43570</v>
      </c>
      <c r="C674" s="1" t="n">
        <v>45587</v>
      </c>
      <c r="D674" t="inlineStr">
        <is>
          <t>GÄVLEBORGS LÄN</t>
        </is>
      </c>
      <c r="E674" t="inlineStr">
        <is>
          <t>SÖDERHAMN</t>
        </is>
      </c>
      <c r="G674" t="n">
        <v>0.3</v>
      </c>
      <c r="H674" t="n">
        <v>0</v>
      </c>
      <c r="I674" t="n">
        <v>0</v>
      </c>
      <c r="J674" t="n">
        <v>0</v>
      </c>
      <c r="K674" t="n">
        <v>0</v>
      </c>
      <c r="L674" t="n">
        <v>0</v>
      </c>
      <c r="M674" t="n">
        <v>0</v>
      </c>
      <c r="N674" t="n">
        <v>0</v>
      </c>
      <c r="O674" t="n">
        <v>0</v>
      </c>
      <c r="P674" t="n">
        <v>0</v>
      </c>
      <c r="Q674" t="n">
        <v>0</v>
      </c>
      <c r="R674" s="2" t="inlineStr"/>
    </row>
    <row r="675" ht="15" customHeight="1">
      <c r="A675" t="inlineStr">
        <is>
          <t>A 20039-2019</t>
        </is>
      </c>
      <c r="B675" s="1" t="n">
        <v>43570</v>
      </c>
      <c r="C675" s="1" t="n">
        <v>45587</v>
      </c>
      <c r="D675" t="inlineStr">
        <is>
          <t>GÄVLEBORGS LÄN</t>
        </is>
      </c>
      <c r="E675" t="inlineStr">
        <is>
          <t>SÖDERHAMN</t>
        </is>
      </c>
      <c r="G675" t="n">
        <v>2.3</v>
      </c>
      <c r="H675" t="n">
        <v>0</v>
      </c>
      <c r="I675" t="n">
        <v>0</v>
      </c>
      <c r="J675" t="n">
        <v>0</v>
      </c>
      <c r="K675" t="n">
        <v>0</v>
      </c>
      <c r="L675" t="n">
        <v>0</v>
      </c>
      <c r="M675" t="n">
        <v>0</v>
      </c>
      <c r="N675" t="n">
        <v>0</v>
      </c>
      <c r="O675" t="n">
        <v>0</v>
      </c>
      <c r="P675" t="n">
        <v>0</v>
      </c>
      <c r="Q675" t="n">
        <v>0</v>
      </c>
      <c r="R675" s="2" t="inlineStr"/>
    </row>
    <row r="676" ht="15" customHeight="1">
      <c r="A676" t="inlineStr">
        <is>
          <t>A 20413-2019</t>
        </is>
      </c>
      <c r="B676" s="1" t="n">
        <v>43571</v>
      </c>
      <c r="C676" s="1" t="n">
        <v>45587</v>
      </c>
      <c r="D676" t="inlineStr">
        <is>
          <t>GÄVLEBORGS LÄN</t>
        </is>
      </c>
      <c r="E676" t="inlineStr">
        <is>
          <t>BOLLNÄS</t>
        </is>
      </c>
      <c r="G676" t="n">
        <v>1.8</v>
      </c>
      <c r="H676" t="n">
        <v>0</v>
      </c>
      <c r="I676" t="n">
        <v>0</v>
      </c>
      <c r="J676" t="n">
        <v>0</v>
      </c>
      <c r="K676" t="n">
        <v>0</v>
      </c>
      <c r="L676" t="n">
        <v>0</v>
      </c>
      <c r="M676" t="n">
        <v>0</v>
      </c>
      <c r="N676" t="n">
        <v>0</v>
      </c>
      <c r="O676" t="n">
        <v>0</v>
      </c>
      <c r="P676" t="n">
        <v>0</v>
      </c>
      <c r="Q676" t="n">
        <v>0</v>
      </c>
      <c r="R676" s="2" t="inlineStr"/>
    </row>
    <row r="677" ht="15" customHeight="1">
      <c r="A677" t="inlineStr">
        <is>
          <t>A 20414-2019</t>
        </is>
      </c>
      <c r="B677" s="1" t="n">
        <v>43571</v>
      </c>
      <c r="C677" s="1" t="n">
        <v>45587</v>
      </c>
      <c r="D677" t="inlineStr">
        <is>
          <t>GÄVLEBORGS LÄN</t>
        </is>
      </c>
      <c r="E677" t="inlineStr">
        <is>
          <t>OVANÅKER</t>
        </is>
      </c>
      <c r="G677" t="n">
        <v>0.4</v>
      </c>
      <c r="H677" t="n">
        <v>0</v>
      </c>
      <c r="I677" t="n">
        <v>0</v>
      </c>
      <c r="J677" t="n">
        <v>0</v>
      </c>
      <c r="K677" t="n">
        <v>0</v>
      </c>
      <c r="L677" t="n">
        <v>0</v>
      </c>
      <c r="M677" t="n">
        <v>0</v>
      </c>
      <c r="N677" t="n">
        <v>0</v>
      </c>
      <c r="O677" t="n">
        <v>0</v>
      </c>
      <c r="P677" t="n">
        <v>0</v>
      </c>
      <c r="Q677" t="n">
        <v>0</v>
      </c>
      <c r="R677" s="2" t="inlineStr"/>
    </row>
    <row r="678" ht="15" customHeight="1">
      <c r="A678" t="inlineStr">
        <is>
          <t>A 20536-2019</t>
        </is>
      </c>
      <c r="B678" s="1" t="n">
        <v>43572</v>
      </c>
      <c r="C678" s="1" t="n">
        <v>45587</v>
      </c>
      <c r="D678" t="inlineStr">
        <is>
          <t>GÄVLEBORGS LÄN</t>
        </is>
      </c>
      <c r="E678" t="inlineStr">
        <is>
          <t>HUDIKSVALL</t>
        </is>
      </c>
      <c r="G678" t="n">
        <v>3.2</v>
      </c>
      <c r="H678" t="n">
        <v>0</v>
      </c>
      <c r="I678" t="n">
        <v>0</v>
      </c>
      <c r="J678" t="n">
        <v>0</v>
      </c>
      <c r="K678" t="n">
        <v>0</v>
      </c>
      <c r="L678" t="n">
        <v>0</v>
      </c>
      <c r="M678" t="n">
        <v>0</v>
      </c>
      <c r="N678" t="n">
        <v>0</v>
      </c>
      <c r="O678" t="n">
        <v>0</v>
      </c>
      <c r="P678" t="n">
        <v>0</v>
      </c>
      <c r="Q678" t="n">
        <v>0</v>
      </c>
      <c r="R678" s="2" t="inlineStr"/>
    </row>
    <row r="679" ht="15" customHeight="1">
      <c r="A679" t="inlineStr">
        <is>
          <t>A 20470-2019</t>
        </is>
      </c>
      <c r="B679" s="1" t="n">
        <v>43572</v>
      </c>
      <c r="C679" s="1" t="n">
        <v>45587</v>
      </c>
      <c r="D679" t="inlineStr">
        <is>
          <t>GÄVLEBORGS LÄN</t>
        </is>
      </c>
      <c r="E679" t="inlineStr">
        <is>
          <t>OVANÅKER</t>
        </is>
      </c>
      <c r="G679" t="n">
        <v>0.4</v>
      </c>
      <c r="H679" t="n">
        <v>0</v>
      </c>
      <c r="I679" t="n">
        <v>0</v>
      </c>
      <c r="J679" t="n">
        <v>0</v>
      </c>
      <c r="K679" t="n">
        <v>0</v>
      </c>
      <c r="L679" t="n">
        <v>0</v>
      </c>
      <c r="M679" t="n">
        <v>0</v>
      </c>
      <c r="N679" t="n">
        <v>0</v>
      </c>
      <c r="O679" t="n">
        <v>0</v>
      </c>
      <c r="P679" t="n">
        <v>0</v>
      </c>
      <c r="Q679" t="n">
        <v>0</v>
      </c>
      <c r="R679" s="2" t="inlineStr"/>
    </row>
    <row r="680" ht="15" customHeight="1">
      <c r="A680" t="inlineStr">
        <is>
          <t>A 20726-2019</t>
        </is>
      </c>
      <c r="B680" s="1" t="n">
        <v>43573</v>
      </c>
      <c r="C680" s="1" t="n">
        <v>45587</v>
      </c>
      <c r="D680" t="inlineStr">
        <is>
          <t>GÄVLEBORGS LÄN</t>
        </is>
      </c>
      <c r="E680" t="inlineStr">
        <is>
          <t>HUDIKSVALL</t>
        </is>
      </c>
      <c r="G680" t="n">
        <v>0.7</v>
      </c>
      <c r="H680" t="n">
        <v>0</v>
      </c>
      <c r="I680" t="n">
        <v>0</v>
      </c>
      <c r="J680" t="n">
        <v>0</v>
      </c>
      <c r="K680" t="n">
        <v>0</v>
      </c>
      <c r="L680" t="n">
        <v>0</v>
      </c>
      <c r="M680" t="n">
        <v>0</v>
      </c>
      <c r="N680" t="n">
        <v>0</v>
      </c>
      <c r="O680" t="n">
        <v>0</v>
      </c>
      <c r="P680" t="n">
        <v>0</v>
      </c>
      <c r="Q680" t="n">
        <v>0</v>
      </c>
      <c r="R680" s="2" t="inlineStr"/>
    </row>
    <row r="681" ht="15" customHeight="1">
      <c r="A681" t="inlineStr">
        <is>
          <t>A 20888-2019</t>
        </is>
      </c>
      <c r="B681" s="1" t="n">
        <v>43573</v>
      </c>
      <c r="C681" s="1" t="n">
        <v>45587</v>
      </c>
      <c r="D681" t="inlineStr">
        <is>
          <t>GÄVLEBORGS LÄN</t>
        </is>
      </c>
      <c r="E681" t="inlineStr">
        <is>
          <t>HUDIKSVALL</t>
        </is>
      </c>
      <c r="G681" t="n">
        <v>0.6</v>
      </c>
      <c r="H681" t="n">
        <v>0</v>
      </c>
      <c r="I681" t="n">
        <v>0</v>
      </c>
      <c r="J681" t="n">
        <v>0</v>
      </c>
      <c r="K681" t="n">
        <v>0</v>
      </c>
      <c r="L681" t="n">
        <v>0</v>
      </c>
      <c r="M681" t="n">
        <v>0</v>
      </c>
      <c r="N681" t="n">
        <v>0</v>
      </c>
      <c r="O681" t="n">
        <v>0</v>
      </c>
      <c r="P681" t="n">
        <v>0</v>
      </c>
      <c r="Q681" t="n">
        <v>0</v>
      </c>
      <c r="R681" s="2" t="inlineStr"/>
    </row>
    <row r="682" ht="15" customHeight="1">
      <c r="A682" t="inlineStr">
        <is>
          <t>A 20787-2019</t>
        </is>
      </c>
      <c r="B682" s="1" t="n">
        <v>43573</v>
      </c>
      <c r="C682" s="1" t="n">
        <v>45587</v>
      </c>
      <c r="D682" t="inlineStr">
        <is>
          <t>GÄVLEBORGS LÄN</t>
        </is>
      </c>
      <c r="E682" t="inlineStr">
        <is>
          <t>HUDIKSVALL</t>
        </is>
      </c>
      <c r="G682" t="n">
        <v>13.1</v>
      </c>
      <c r="H682" t="n">
        <v>0</v>
      </c>
      <c r="I682" t="n">
        <v>0</v>
      </c>
      <c r="J682" t="n">
        <v>0</v>
      </c>
      <c r="K682" t="n">
        <v>0</v>
      </c>
      <c r="L682" t="n">
        <v>0</v>
      </c>
      <c r="M682" t="n">
        <v>0</v>
      </c>
      <c r="N682" t="n">
        <v>0</v>
      </c>
      <c r="O682" t="n">
        <v>0</v>
      </c>
      <c r="P682" t="n">
        <v>0</v>
      </c>
      <c r="Q682" t="n">
        <v>0</v>
      </c>
      <c r="R682" s="2" t="inlineStr"/>
    </row>
    <row r="683" ht="15" customHeight="1">
      <c r="A683" t="inlineStr">
        <is>
          <t>A 20858-2019</t>
        </is>
      </c>
      <c r="B683" s="1" t="n">
        <v>43578</v>
      </c>
      <c r="C683" s="1" t="n">
        <v>45587</v>
      </c>
      <c r="D683" t="inlineStr">
        <is>
          <t>GÄVLEBORGS LÄN</t>
        </is>
      </c>
      <c r="E683" t="inlineStr">
        <is>
          <t>GÄVLE</t>
        </is>
      </c>
      <c r="G683" t="n">
        <v>1.4</v>
      </c>
      <c r="H683" t="n">
        <v>0</v>
      </c>
      <c r="I683" t="n">
        <v>0</v>
      </c>
      <c r="J683" t="n">
        <v>0</v>
      </c>
      <c r="K683" t="n">
        <v>0</v>
      </c>
      <c r="L683" t="n">
        <v>0</v>
      </c>
      <c r="M683" t="n">
        <v>0</v>
      </c>
      <c r="N683" t="n">
        <v>0</v>
      </c>
      <c r="O683" t="n">
        <v>0</v>
      </c>
      <c r="P683" t="n">
        <v>0</v>
      </c>
      <c r="Q683" t="n">
        <v>0</v>
      </c>
      <c r="R683" s="2" t="inlineStr"/>
    </row>
    <row r="684" ht="15" customHeight="1">
      <c r="A684" t="inlineStr">
        <is>
          <t>A 21091-2019</t>
        </is>
      </c>
      <c r="B684" s="1" t="n">
        <v>43578</v>
      </c>
      <c r="C684" s="1" t="n">
        <v>45587</v>
      </c>
      <c r="D684" t="inlineStr">
        <is>
          <t>GÄVLEBORGS LÄN</t>
        </is>
      </c>
      <c r="E684" t="inlineStr">
        <is>
          <t>LJUSDAL</t>
        </is>
      </c>
      <c r="G684" t="n">
        <v>14.8</v>
      </c>
      <c r="H684" t="n">
        <v>0</v>
      </c>
      <c r="I684" t="n">
        <v>0</v>
      </c>
      <c r="J684" t="n">
        <v>0</v>
      </c>
      <c r="K684" t="n">
        <v>0</v>
      </c>
      <c r="L684" t="n">
        <v>0</v>
      </c>
      <c r="M684" t="n">
        <v>0</v>
      </c>
      <c r="N684" t="n">
        <v>0</v>
      </c>
      <c r="O684" t="n">
        <v>0</v>
      </c>
      <c r="P684" t="n">
        <v>0</v>
      </c>
      <c r="Q684" t="n">
        <v>0</v>
      </c>
      <c r="R684" s="2" t="inlineStr"/>
      <c r="U684">
        <f>HYPERLINK("https://klasma.github.io/Logging_2161/knärot/A 21091-2019 karta knärot.png", "A 21091-2019")</f>
        <v/>
      </c>
      <c r="V684">
        <f>HYPERLINK("https://klasma.github.io/Logging_2161/klagomål/A 21091-2019 FSC-klagomål.docx", "A 21091-2019")</f>
        <v/>
      </c>
      <c r="W684">
        <f>HYPERLINK("https://klasma.github.io/Logging_2161/klagomålsmail/A 21091-2019 FSC-klagomål mail.docx", "A 21091-2019")</f>
        <v/>
      </c>
      <c r="X684">
        <f>HYPERLINK("https://klasma.github.io/Logging_2161/tillsyn/A 21091-2019 tillsynsbegäran.docx", "A 21091-2019")</f>
        <v/>
      </c>
      <c r="Y684">
        <f>HYPERLINK("https://klasma.github.io/Logging_2161/tillsynsmail/A 21091-2019 tillsynsbegäran mail.docx", "A 21091-2019")</f>
        <v/>
      </c>
    </row>
    <row r="685" ht="15" customHeight="1">
      <c r="A685" t="inlineStr">
        <is>
          <t>A 20889-2019</t>
        </is>
      </c>
      <c r="B685" s="1" t="n">
        <v>43578</v>
      </c>
      <c r="C685" s="1" t="n">
        <v>45587</v>
      </c>
      <c r="D685" t="inlineStr">
        <is>
          <t>GÄVLEBORGS LÄN</t>
        </is>
      </c>
      <c r="E685" t="inlineStr">
        <is>
          <t>NORDANSTIG</t>
        </is>
      </c>
      <c r="G685" t="n">
        <v>4.8</v>
      </c>
      <c r="H685" t="n">
        <v>0</v>
      </c>
      <c r="I685" t="n">
        <v>0</v>
      </c>
      <c r="J685" t="n">
        <v>0</v>
      </c>
      <c r="K685" t="n">
        <v>0</v>
      </c>
      <c r="L685" t="n">
        <v>0</v>
      </c>
      <c r="M685" t="n">
        <v>0</v>
      </c>
      <c r="N685" t="n">
        <v>0</v>
      </c>
      <c r="O685" t="n">
        <v>0</v>
      </c>
      <c r="P685" t="n">
        <v>0</v>
      </c>
      <c r="Q685" t="n">
        <v>0</v>
      </c>
      <c r="R685" s="2" t="inlineStr"/>
    </row>
    <row r="686" ht="15" customHeight="1">
      <c r="A686" t="inlineStr">
        <is>
          <t>A 20872-2019</t>
        </is>
      </c>
      <c r="B686" s="1" t="n">
        <v>43578</v>
      </c>
      <c r="C686" s="1" t="n">
        <v>45587</v>
      </c>
      <c r="D686" t="inlineStr">
        <is>
          <t>GÄVLEBORGS LÄN</t>
        </is>
      </c>
      <c r="E686" t="inlineStr">
        <is>
          <t>GÄVLE</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21172-2019</t>
        </is>
      </c>
      <c r="B687" s="1" t="n">
        <v>43579</v>
      </c>
      <c r="C687" s="1" t="n">
        <v>45587</v>
      </c>
      <c r="D687" t="inlineStr">
        <is>
          <t>GÄVLEBORGS LÄN</t>
        </is>
      </c>
      <c r="E687" t="inlineStr">
        <is>
          <t>SANDVIKEN</t>
        </is>
      </c>
      <c r="G687" t="n">
        <v>1.4</v>
      </c>
      <c r="H687" t="n">
        <v>0</v>
      </c>
      <c r="I687" t="n">
        <v>0</v>
      </c>
      <c r="J687" t="n">
        <v>0</v>
      </c>
      <c r="K687" t="n">
        <v>0</v>
      </c>
      <c r="L687" t="n">
        <v>0</v>
      </c>
      <c r="M687" t="n">
        <v>0</v>
      </c>
      <c r="N687" t="n">
        <v>0</v>
      </c>
      <c r="O687" t="n">
        <v>0</v>
      </c>
      <c r="P687" t="n">
        <v>0</v>
      </c>
      <c r="Q687" t="n">
        <v>0</v>
      </c>
      <c r="R687" s="2" t="inlineStr"/>
    </row>
    <row r="688" ht="15" customHeight="1">
      <c r="A688" t="inlineStr">
        <is>
          <t>A 21349-2019</t>
        </is>
      </c>
      <c r="B688" s="1" t="n">
        <v>43579</v>
      </c>
      <c r="C688" s="1" t="n">
        <v>45587</v>
      </c>
      <c r="D688" t="inlineStr">
        <is>
          <t>GÄVLEBORGS LÄN</t>
        </is>
      </c>
      <c r="E688" t="inlineStr">
        <is>
          <t>OCKELBO</t>
        </is>
      </c>
      <c r="G688" t="n">
        <v>2.1</v>
      </c>
      <c r="H688" t="n">
        <v>0</v>
      </c>
      <c r="I688" t="n">
        <v>0</v>
      </c>
      <c r="J688" t="n">
        <v>0</v>
      </c>
      <c r="K688" t="n">
        <v>0</v>
      </c>
      <c r="L688" t="n">
        <v>0</v>
      </c>
      <c r="M688" t="n">
        <v>0</v>
      </c>
      <c r="N688" t="n">
        <v>0</v>
      </c>
      <c r="O688" t="n">
        <v>0</v>
      </c>
      <c r="P688" t="n">
        <v>0</v>
      </c>
      <c r="Q688" t="n">
        <v>0</v>
      </c>
      <c r="R688" s="2" t="inlineStr"/>
    </row>
    <row r="689" ht="15" customHeight="1">
      <c r="A689" t="inlineStr">
        <is>
          <t>A 21347-2019</t>
        </is>
      </c>
      <c r="B689" s="1" t="n">
        <v>43579</v>
      </c>
      <c r="C689" s="1" t="n">
        <v>45587</v>
      </c>
      <c r="D689" t="inlineStr">
        <is>
          <t>GÄVLEBORGS LÄN</t>
        </is>
      </c>
      <c r="E689" t="inlineStr">
        <is>
          <t>GÄVLE</t>
        </is>
      </c>
      <c r="G689" t="n">
        <v>1</v>
      </c>
      <c r="H689" t="n">
        <v>0</v>
      </c>
      <c r="I689" t="n">
        <v>0</v>
      </c>
      <c r="J689" t="n">
        <v>0</v>
      </c>
      <c r="K689" t="n">
        <v>0</v>
      </c>
      <c r="L689" t="n">
        <v>0</v>
      </c>
      <c r="M689" t="n">
        <v>0</v>
      </c>
      <c r="N689" t="n">
        <v>0</v>
      </c>
      <c r="O689" t="n">
        <v>0</v>
      </c>
      <c r="P689" t="n">
        <v>0</v>
      </c>
      <c r="Q689" t="n">
        <v>0</v>
      </c>
      <c r="R689" s="2" t="inlineStr"/>
    </row>
    <row r="690" ht="15" customHeight="1">
      <c r="A690" t="inlineStr">
        <is>
          <t>A 21489-2019</t>
        </is>
      </c>
      <c r="B690" s="1" t="n">
        <v>43580</v>
      </c>
      <c r="C690" s="1" t="n">
        <v>45587</v>
      </c>
      <c r="D690" t="inlineStr">
        <is>
          <t>GÄVLEBORGS LÄN</t>
        </is>
      </c>
      <c r="E690" t="inlineStr">
        <is>
          <t>HUDIKSVALL</t>
        </is>
      </c>
      <c r="G690" t="n">
        <v>4</v>
      </c>
      <c r="H690" t="n">
        <v>0</v>
      </c>
      <c r="I690" t="n">
        <v>0</v>
      </c>
      <c r="J690" t="n">
        <v>0</v>
      </c>
      <c r="K690" t="n">
        <v>0</v>
      </c>
      <c r="L690" t="n">
        <v>0</v>
      </c>
      <c r="M690" t="n">
        <v>0</v>
      </c>
      <c r="N690" t="n">
        <v>0</v>
      </c>
      <c r="O690" t="n">
        <v>0</v>
      </c>
      <c r="P690" t="n">
        <v>0</v>
      </c>
      <c r="Q690" t="n">
        <v>0</v>
      </c>
      <c r="R690" s="2" t="inlineStr"/>
    </row>
    <row r="691" ht="15" customHeight="1">
      <c r="A691" t="inlineStr">
        <is>
          <t>A 21449-2019</t>
        </is>
      </c>
      <c r="B691" s="1" t="n">
        <v>43580</v>
      </c>
      <c r="C691" s="1" t="n">
        <v>45587</v>
      </c>
      <c r="D691" t="inlineStr">
        <is>
          <t>GÄVLEBORGS LÄN</t>
        </is>
      </c>
      <c r="E691" t="inlineStr">
        <is>
          <t>BOLLNÄS</t>
        </is>
      </c>
      <c r="G691" t="n">
        <v>1.9</v>
      </c>
      <c r="H691" t="n">
        <v>0</v>
      </c>
      <c r="I691" t="n">
        <v>0</v>
      </c>
      <c r="J691" t="n">
        <v>0</v>
      </c>
      <c r="K691" t="n">
        <v>0</v>
      </c>
      <c r="L691" t="n">
        <v>0</v>
      </c>
      <c r="M691" t="n">
        <v>0</v>
      </c>
      <c r="N691" t="n">
        <v>0</v>
      </c>
      <c r="O691" t="n">
        <v>0</v>
      </c>
      <c r="P691" t="n">
        <v>0</v>
      </c>
      <c r="Q691" t="n">
        <v>0</v>
      </c>
      <c r="R691" s="2" t="inlineStr"/>
    </row>
    <row r="692" ht="15" customHeight="1">
      <c r="A692" t="inlineStr">
        <is>
          <t>A 21582-2019</t>
        </is>
      </c>
      <c r="B692" s="1" t="n">
        <v>43580</v>
      </c>
      <c r="C692" s="1" t="n">
        <v>45587</v>
      </c>
      <c r="D692" t="inlineStr">
        <is>
          <t>GÄVLEBORGS LÄN</t>
        </is>
      </c>
      <c r="E692" t="inlineStr">
        <is>
          <t>SANDVIKEN</t>
        </is>
      </c>
      <c r="G692" t="n">
        <v>1.4</v>
      </c>
      <c r="H692" t="n">
        <v>0</v>
      </c>
      <c r="I692" t="n">
        <v>0</v>
      </c>
      <c r="J692" t="n">
        <v>0</v>
      </c>
      <c r="K692" t="n">
        <v>0</v>
      </c>
      <c r="L692" t="n">
        <v>0</v>
      </c>
      <c r="M692" t="n">
        <v>0</v>
      </c>
      <c r="N692" t="n">
        <v>0</v>
      </c>
      <c r="O692" t="n">
        <v>0</v>
      </c>
      <c r="P692" t="n">
        <v>0</v>
      </c>
      <c r="Q692" t="n">
        <v>0</v>
      </c>
      <c r="R692" s="2" t="inlineStr"/>
    </row>
    <row r="693" ht="15" customHeight="1">
      <c r="A693" t="inlineStr">
        <is>
          <t>A 21581-2019</t>
        </is>
      </c>
      <c r="B693" s="1" t="n">
        <v>43580</v>
      </c>
      <c r="C693" s="1" t="n">
        <v>45587</v>
      </c>
      <c r="D693" t="inlineStr">
        <is>
          <t>GÄVLEBORGS LÄN</t>
        </is>
      </c>
      <c r="E693" t="inlineStr">
        <is>
          <t>SANDVIKEN</t>
        </is>
      </c>
      <c r="G693" t="n">
        <v>1.1</v>
      </c>
      <c r="H693" t="n">
        <v>0</v>
      </c>
      <c r="I693" t="n">
        <v>0</v>
      </c>
      <c r="J693" t="n">
        <v>0</v>
      </c>
      <c r="K693" t="n">
        <v>0</v>
      </c>
      <c r="L693" t="n">
        <v>0</v>
      </c>
      <c r="M693" t="n">
        <v>0</v>
      </c>
      <c r="N693" t="n">
        <v>0</v>
      </c>
      <c r="O693" t="n">
        <v>0</v>
      </c>
      <c r="P693" t="n">
        <v>0</v>
      </c>
      <c r="Q693" t="n">
        <v>0</v>
      </c>
      <c r="R693" s="2" t="inlineStr"/>
    </row>
    <row r="694" ht="15" customHeight="1">
      <c r="A694" t="inlineStr">
        <is>
          <t>A 21725-2019</t>
        </is>
      </c>
      <c r="B694" s="1" t="n">
        <v>43581</v>
      </c>
      <c r="C694" s="1" t="n">
        <v>45587</v>
      </c>
      <c r="D694" t="inlineStr">
        <is>
          <t>GÄVLEBORGS LÄN</t>
        </is>
      </c>
      <c r="E694" t="inlineStr">
        <is>
          <t>OVANÅKER</t>
        </is>
      </c>
      <c r="G694" t="n">
        <v>1.3</v>
      </c>
      <c r="H694" t="n">
        <v>0</v>
      </c>
      <c r="I694" t="n">
        <v>0</v>
      </c>
      <c r="J694" t="n">
        <v>0</v>
      </c>
      <c r="K694" t="n">
        <v>0</v>
      </c>
      <c r="L694" t="n">
        <v>0</v>
      </c>
      <c r="M694" t="n">
        <v>0</v>
      </c>
      <c r="N694" t="n">
        <v>0</v>
      </c>
      <c r="O694" t="n">
        <v>0</v>
      </c>
      <c r="P694" t="n">
        <v>0</v>
      </c>
      <c r="Q694" t="n">
        <v>0</v>
      </c>
      <c r="R694" s="2" t="inlineStr"/>
    </row>
    <row r="695" ht="15" customHeight="1">
      <c r="A695" t="inlineStr">
        <is>
          <t>A 21734-2019</t>
        </is>
      </c>
      <c r="B695" s="1" t="n">
        <v>43581</v>
      </c>
      <c r="C695" s="1" t="n">
        <v>45587</v>
      </c>
      <c r="D695" t="inlineStr">
        <is>
          <t>GÄVLEBORGS LÄN</t>
        </is>
      </c>
      <c r="E695" t="inlineStr">
        <is>
          <t>HOFORS</t>
        </is>
      </c>
      <c r="F695" t="inlineStr">
        <is>
          <t>Sveaskog</t>
        </is>
      </c>
      <c r="G695" t="n">
        <v>1.6</v>
      </c>
      <c r="H695" t="n">
        <v>0</v>
      </c>
      <c r="I695" t="n">
        <v>0</v>
      </c>
      <c r="J695" t="n">
        <v>0</v>
      </c>
      <c r="K695" t="n">
        <v>0</v>
      </c>
      <c r="L695" t="n">
        <v>0</v>
      </c>
      <c r="M695" t="n">
        <v>0</v>
      </c>
      <c r="N695" t="n">
        <v>0</v>
      </c>
      <c r="O695" t="n">
        <v>0</v>
      </c>
      <c r="P695" t="n">
        <v>0</v>
      </c>
      <c r="Q695" t="n">
        <v>0</v>
      </c>
      <c r="R695" s="2" t="inlineStr"/>
      <c r="U695">
        <f>HYPERLINK("https://klasma.github.io/Logging_2104/knärot/A 21734-2019 karta knärot.png", "A 21734-2019")</f>
        <v/>
      </c>
      <c r="V695">
        <f>HYPERLINK("https://klasma.github.io/Logging_2104/klagomål/A 21734-2019 FSC-klagomål.docx", "A 21734-2019")</f>
        <v/>
      </c>
      <c r="W695">
        <f>HYPERLINK("https://klasma.github.io/Logging_2104/klagomålsmail/A 21734-2019 FSC-klagomål mail.docx", "A 21734-2019")</f>
        <v/>
      </c>
      <c r="X695">
        <f>HYPERLINK("https://klasma.github.io/Logging_2104/tillsyn/A 21734-2019 tillsynsbegäran.docx", "A 21734-2019")</f>
        <v/>
      </c>
      <c r="Y695">
        <f>HYPERLINK("https://klasma.github.io/Logging_2104/tillsynsmail/A 21734-2019 tillsynsbegäran mail.docx", "A 21734-2019")</f>
        <v/>
      </c>
    </row>
    <row r="696" ht="15" customHeight="1">
      <c r="A696" t="inlineStr">
        <is>
          <t>A 21761-2019</t>
        </is>
      </c>
      <c r="B696" s="1" t="n">
        <v>43581</v>
      </c>
      <c r="C696" s="1" t="n">
        <v>45587</v>
      </c>
      <c r="D696" t="inlineStr">
        <is>
          <t>GÄVLEBORGS LÄN</t>
        </is>
      </c>
      <c r="E696" t="inlineStr">
        <is>
          <t>LJUSDAL</t>
        </is>
      </c>
      <c r="F696" t="inlineStr">
        <is>
          <t>Holmen skog AB</t>
        </is>
      </c>
      <c r="G696" t="n">
        <v>6.8</v>
      </c>
      <c r="H696" t="n">
        <v>0</v>
      </c>
      <c r="I696" t="n">
        <v>0</v>
      </c>
      <c r="J696" t="n">
        <v>0</v>
      </c>
      <c r="K696" t="n">
        <v>0</v>
      </c>
      <c r="L696" t="n">
        <v>0</v>
      </c>
      <c r="M696" t="n">
        <v>0</v>
      </c>
      <c r="N696" t="n">
        <v>0</v>
      </c>
      <c r="O696" t="n">
        <v>0</v>
      </c>
      <c r="P696" t="n">
        <v>0</v>
      </c>
      <c r="Q696" t="n">
        <v>0</v>
      </c>
      <c r="R696" s="2" t="inlineStr"/>
    </row>
    <row r="697" ht="15" customHeight="1">
      <c r="A697" t="inlineStr">
        <is>
          <t>A 21857-2019</t>
        </is>
      </c>
      <c r="B697" s="1" t="n">
        <v>43581</v>
      </c>
      <c r="C697" s="1" t="n">
        <v>45587</v>
      </c>
      <c r="D697" t="inlineStr">
        <is>
          <t>GÄVLEBORGS LÄN</t>
        </is>
      </c>
      <c r="E697" t="inlineStr">
        <is>
          <t>HUDIKSVALL</t>
        </is>
      </c>
      <c r="G697" t="n">
        <v>1.4</v>
      </c>
      <c r="H697" t="n">
        <v>0</v>
      </c>
      <c r="I697" t="n">
        <v>0</v>
      </c>
      <c r="J697" t="n">
        <v>0</v>
      </c>
      <c r="K697" t="n">
        <v>0</v>
      </c>
      <c r="L697" t="n">
        <v>0</v>
      </c>
      <c r="M697" t="n">
        <v>0</v>
      </c>
      <c r="N697" t="n">
        <v>0</v>
      </c>
      <c r="O697" t="n">
        <v>0</v>
      </c>
      <c r="P697" t="n">
        <v>0</v>
      </c>
      <c r="Q697" t="n">
        <v>0</v>
      </c>
      <c r="R697" s="2" t="inlineStr"/>
    </row>
    <row r="698" ht="15" customHeight="1">
      <c r="A698" t="inlineStr">
        <is>
          <t>A 21796-2019</t>
        </is>
      </c>
      <c r="B698" s="1" t="n">
        <v>43581</v>
      </c>
      <c r="C698" s="1" t="n">
        <v>45587</v>
      </c>
      <c r="D698" t="inlineStr">
        <is>
          <t>GÄVLEBORGS LÄN</t>
        </is>
      </c>
      <c r="E698" t="inlineStr">
        <is>
          <t>NORDANSTIG</t>
        </is>
      </c>
      <c r="G698" t="n">
        <v>1.5</v>
      </c>
      <c r="H698" t="n">
        <v>0</v>
      </c>
      <c r="I698" t="n">
        <v>0</v>
      </c>
      <c r="J698" t="n">
        <v>0</v>
      </c>
      <c r="K698" t="n">
        <v>0</v>
      </c>
      <c r="L698" t="n">
        <v>0</v>
      </c>
      <c r="M698" t="n">
        <v>0</v>
      </c>
      <c r="N698" t="n">
        <v>0</v>
      </c>
      <c r="O698" t="n">
        <v>0</v>
      </c>
      <c r="P698" t="n">
        <v>0</v>
      </c>
      <c r="Q698" t="n">
        <v>0</v>
      </c>
      <c r="R698" s="2" t="inlineStr"/>
    </row>
    <row r="699" ht="15" customHeight="1">
      <c r="A699" t="inlineStr">
        <is>
          <t>A 21797-2019</t>
        </is>
      </c>
      <c r="B699" s="1" t="n">
        <v>43581</v>
      </c>
      <c r="C699" s="1" t="n">
        <v>45587</v>
      </c>
      <c r="D699" t="inlineStr">
        <is>
          <t>GÄVLEBORGS LÄN</t>
        </is>
      </c>
      <c r="E699" t="inlineStr">
        <is>
          <t>HUDIKSVALL</t>
        </is>
      </c>
      <c r="G699" t="n">
        <v>1.3</v>
      </c>
      <c r="H699" t="n">
        <v>0</v>
      </c>
      <c r="I699" t="n">
        <v>0</v>
      </c>
      <c r="J699" t="n">
        <v>0</v>
      </c>
      <c r="K699" t="n">
        <v>0</v>
      </c>
      <c r="L699" t="n">
        <v>0</v>
      </c>
      <c r="M699" t="n">
        <v>0</v>
      </c>
      <c r="N699" t="n">
        <v>0</v>
      </c>
      <c r="O699" t="n">
        <v>0</v>
      </c>
      <c r="P699" t="n">
        <v>0</v>
      </c>
      <c r="Q699" t="n">
        <v>0</v>
      </c>
      <c r="R699" s="2" t="inlineStr"/>
    </row>
    <row r="700" ht="15" customHeight="1">
      <c r="A700" t="inlineStr">
        <is>
          <t>A 21823-2019</t>
        </is>
      </c>
      <c r="B700" s="1" t="n">
        <v>43583</v>
      </c>
      <c r="C700" s="1" t="n">
        <v>45587</v>
      </c>
      <c r="D700" t="inlineStr">
        <is>
          <t>GÄVLEBORGS LÄN</t>
        </is>
      </c>
      <c r="E700" t="inlineStr">
        <is>
          <t>BOLLNÄS</t>
        </is>
      </c>
      <c r="G700" t="n">
        <v>1.2</v>
      </c>
      <c r="H700" t="n">
        <v>0</v>
      </c>
      <c r="I700" t="n">
        <v>0</v>
      </c>
      <c r="J700" t="n">
        <v>0</v>
      </c>
      <c r="K700" t="n">
        <v>0</v>
      </c>
      <c r="L700" t="n">
        <v>0</v>
      </c>
      <c r="M700" t="n">
        <v>0</v>
      </c>
      <c r="N700" t="n">
        <v>0</v>
      </c>
      <c r="O700" t="n">
        <v>0</v>
      </c>
      <c r="P700" t="n">
        <v>0</v>
      </c>
      <c r="Q700" t="n">
        <v>0</v>
      </c>
      <c r="R700" s="2" t="inlineStr"/>
    </row>
    <row r="701" ht="15" customHeight="1">
      <c r="A701" t="inlineStr">
        <is>
          <t>A 21836-2019</t>
        </is>
      </c>
      <c r="B701" s="1" t="n">
        <v>43584</v>
      </c>
      <c r="C701" s="1" t="n">
        <v>45587</v>
      </c>
      <c r="D701" t="inlineStr">
        <is>
          <t>GÄVLEBORGS LÄN</t>
        </is>
      </c>
      <c r="E701" t="inlineStr">
        <is>
          <t>LJUSDAL</t>
        </is>
      </c>
      <c r="F701" t="inlineStr">
        <is>
          <t>Sveaskog</t>
        </is>
      </c>
      <c r="G701" t="n">
        <v>1.8</v>
      </c>
      <c r="H701" t="n">
        <v>0</v>
      </c>
      <c r="I701" t="n">
        <v>0</v>
      </c>
      <c r="J701" t="n">
        <v>0</v>
      </c>
      <c r="K701" t="n">
        <v>0</v>
      </c>
      <c r="L701" t="n">
        <v>0</v>
      </c>
      <c r="M701" t="n">
        <v>0</v>
      </c>
      <c r="N701" t="n">
        <v>0</v>
      </c>
      <c r="O701" t="n">
        <v>0</v>
      </c>
      <c r="P701" t="n">
        <v>0</v>
      </c>
      <c r="Q701" t="n">
        <v>0</v>
      </c>
      <c r="R701" s="2" t="inlineStr"/>
    </row>
    <row r="702" ht="15" customHeight="1">
      <c r="A702" t="inlineStr">
        <is>
          <t>A 22162-2019</t>
        </is>
      </c>
      <c r="B702" s="1" t="n">
        <v>43585</v>
      </c>
      <c r="C702" s="1" t="n">
        <v>45587</v>
      </c>
      <c r="D702" t="inlineStr">
        <is>
          <t>GÄVLEBORGS LÄN</t>
        </is>
      </c>
      <c r="E702" t="inlineStr">
        <is>
          <t>NORDANSTIG</t>
        </is>
      </c>
      <c r="G702" t="n">
        <v>4.8</v>
      </c>
      <c r="H702" t="n">
        <v>0</v>
      </c>
      <c r="I702" t="n">
        <v>0</v>
      </c>
      <c r="J702" t="n">
        <v>0</v>
      </c>
      <c r="K702" t="n">
        <v>0</v>
      </c>
      <c r="L702" t="n">
        <v>0</v>
      </c>
      <c r="M702" t="n">
        <v>0</v>
      </c>
      <c r="N702" t="n">
        <v>0</v>
      </c>
      <c r="O702" t="n">
        <v>0</v>
      </c>
      <c r="P702" t="n">
        <v>0</v>
      </c>
      <c r="Q702" t="n">
        <v>0</v>
      </c>
      <c r="R702" s="2" t="inlineStr"/>
    </row>
    <row r="703" ht="15" customHeight="1">
      <c r="A703" t="inlineStr">
        <is>
          <t>A 22222-2019</t>
        </is>
      </c>
      <c r="B703" s="1" t="n">
        <v>43585</v>
      </c>
      <c r="C703" s="1" t="n">
        <v>45587</v>
      </c>
      <c r="D703" t="inlineStr">
        <is>
          <t>GÄVLEBORGS LÄN</t>
        </is>
      </c>
      <c r="E703" t="inlineStr">
        <is>
          <t>SANDVIKEN</t>
        </is>
      </c>
      <c r="G703" t="n">
        <v>2.3</v>
      </c>
      <c r="H703" t="n">
        <v>0</v>
      </c>
      <c r="I703" t="n">
        <v>0</v>
      </c>
      <c r="J703" t="n">
        <v>0</v>
      </c>
      <c r="K703" t="n">
        <v>0</v>
      </c>
      <c r="L703" t="n">
        <v>0</v>
      </c>
      <c r="M703" t="n">
        <v>0</v>
      </c>
      <c r="N703" t="n">
        <v>0</v>
      </c>
      <c r="O703" t="n">
        <v>0</v>
      </c>
      <c r="P703" t="n">
        <v>0</v>
      </c>
      <c r="Q703" t="n">
        <v>0</v>
      </c>
      <c r="R703" s="2" t="inlineStr"/>
    </row>
    <row r="704" ht="15" customHeight="1">
      <c r="A704" t="inlineStr">
        <is>
          <t>A 22161-2019</t>
        </is>
      </c>
      <c r="B704" s="1" t="n">
        <v>43585</v>
      </c>
      <c r="C704" s="1" t="n">
        <v>45587</v>
      </c>
      <c r="D704" t="inlineStr">
        <is>
          <t>GÄVLEBORGS LÄN</t>
        </is>
      </c>
      <c r="E704" t="inlineStr">
        <is>
          <t>NORDANSTIG</t>
        </is>
      </c>
      <c r="G704" t="n">
        <v>4.8</v>
      </c>
      <c r="H704" t="n">
        <v>0</v>
      </c>
      <c r="I704" t="n">
        <v>0</v>
      </c>
      <c r="J704" t="n">
        <v>0</v>
      </c>
      <c r="K704" t="n">
        <v>0</v>
      </c>
      <c r="L704" t="n">
        <v>0</v>
      </c>
      <c r="M704" t="n">
        <v>0</v>
      </c>
      <c r="N704" t="n">
        <v>0</v>
      </c>
      <c r="O704" t="n">
        <v>0</v>
      </c>
      <c r="P704" t="n">
        <v>0</v>
      </c>
      <c r="Q704" t="n">
        <v>0</v>
      </c>
      <c r="R704" s="2" t="inlineStr"/>
    </row>
    <row r="705" ht="15" customHeight="1">
      <c r="A705" t="inlineStr">
        <is>
          <t>A 22180-2019</t>
        </is>
      </c>
      <c r="B705" s="1" t="n">
        <v>43585</v>
      </c>
      <c r="C705" s="1" t="n">
        <v>45587</v>
      </c>
      <c r="D705" t="inlineStr">
        <is>
          <t>GÄVLEBORGS LÄN</t>
        </is>
      </c>
      <c r="E705" t="inlineStr">
        <is>
          <t>HUDIKSVALL</t>
        </is>
      </c>
      <c r="F705" t="inlineStr">
        <is>
          <t>Holmen skog AB</t>
        </is>
      </c>
      <c r="G705" t="n">
        <v>11.3</v>
      </c>
      <c r="H705" t="n">
        <v>0</v>
      </c>
      <c r="I705" t="n">
        <v>0</v>
      </c>
      <c r="J705" t="n">
        <v>0</v>
      </c>
      <c r="K705" t="n">
        <v>0</v>
      </c>
      <c r="L705" t="n">
        <v>0</v>
      </c>
      <c r="M705" t="n">
        <v>0</v>
      </c>
      <c r="N705" t="n">
        <v>0</v>
      </c>
      <c r="O705" t="n">
        <v>0</v>
      </c>
      <c r="P705" t="n">
        <v>0</v>
      </c>
      <c r="Q705" t="n">
        <v>0</v>
      </c>
      <c r="R705" s="2" t="inlineStr"/>
    </row>
    <row r="706" ht="15" customHeight="1">
      <c r="A706" t="inlineStr">
        <is>
          <t>A 22441-2019</t>
        </is>
      </c>
      <c r="B706" s="1" t="n">
        <v>43587</v>
      </c>
      <c r="C706" s="1" t="n">
        <v>45587</v>
      </c>
      <c r="D706" t="inlineStr">
        <is>
          <t>GÄVLEBORGS LÄN</t>
        </is>
      </c>
      <c r="E706" t="inlineStr">
        <is>
          <t>HUDIKSVALL</t>
        </is>
      </c>
      <c r="G706" t="n">
        <v>11.1</v>
      </c>
      <c r="H706" t="n">
        <v>0</v>
      </c>
      <c r="I706" t="n">
        <v>0</v>
      </c>
      <c r="J706" t="n">
        <v>0</v>
      </c>
      <c r="K706" t="n">
        <v>0</v>
      </c>
      <c r="L706" t="n">
        <v>0</v>
      </c>
      <c r="M706" t="n">
        <v>0</v>
      </c>
      <c r="N706" t="n">
        <v>0</v>
      </c>
      <c r="O706" t="n">
        <v>0</v>
      </c>
      <c r="P706" t="n">
        <v>0</v>
      </c>
      <c r="Q706" t="n">
        <v>0</v>
      </c>
      <c r="R706" s="2" t="inlineStr"/>
    </row>
    <row r="707" ht="15" customHeight="1">
      <c r="A707" t="inlineStr">
        <is>
          <t>A 22526-2019</t>
        </is>
      </c>
      <c r="B707" s="1" t="n">
        <v>43587</v>
      </c>
      <c r="C707" s="1" t="n">
        <v>45587</v>
      </c>
      <c r="D707" t="inlineStr">
        <is>
          <t>GÄVLEBORGS LÄN</t>
        </is>
      </c>
      <c r="E707" t="inlineStr">
        <is>
          <t>BOLLNÄS</t>
        </is>
      </c>
      <c r="G707" t="n">
        <v>2.9</v>
      </c>
      <c r="H707" t="n">
        <v>0</v>
      </c>
      <c r="I707" t="n">
        <v>0</v>
      </c>
      <c r="J707" t="n">
        <v>0</v>
      </c>
      <c r="K707" t="n">
        <v>0</v>
      </c>
      <c r="L707" t="n">
        <v>0</v>
      </c>
      <c r="M707" t="n">
        <v>0</v>
      </c>
      <c r="N707" t="n">
        <v>0</v>
      </c>
      <c r="O707" t="n">
        <v>0</v>
      </c>
      <c r="P707" t="n">
        <v>0</v>
      </c>
      <c r="Q707" t="n">
        <v>0</v>
      </c>
      <c r="R707" s="2" t="inlineStr"/>
    </row>
    <row r="708" ht="15" customHeight="1">
      <c r="A708" t="inlineStr">
        <is>
          <t>A 22537-2019</t>
        </is>
      </c>
      <c r="B708" s="1" t="n">
        <v>43587</v>
      </c>
      <c r="C708" s="1" t="n">
        <v>45587</v>
      </c>
      <c r="D708" t="inlineStr">
        <is>
          <t>GÄVLEBORGS LÄN</t>
        </is>
      </c>
      <c r="E708" t="inlineStr">
        <is>
          <t>OVANÅKER</t>
        </is>
      </c>
      <c r="G708" t="n">
        <v>1.1</v>
      </c>
      <c r="H708" t="n">
        <v>0</v>
      </c>
      <c r="I708" t="n">
        <v>0</v>
      </c>
      <c r="J708" t="n">
        <v>0</v>
      </c>
      <c r="K708" t="n">
        <v>0</v>
      </c>
      <c r="L708" t="n">
        <v>0</v>
      </c>
      <c r="M708" t="n">
        <v>0</v>
      </c>
      <c r="N708" t="n">
        <v>0</v>
      </c>
      <c r="O708" t="n">
        <v>0</v>
      </c>
      <c r="P708" t="n">
        <v>0</v>
      </c>
      <c r="Q708" t="n">
        <v>0</v>
      </c>
      <c r="R708" s="2" t="inlineStr"/>
    </row>
    <row r="709" ht="15" customHeight="1">
      <c r="A709" t="inlineStr">
        <is>
          <t>A 22617-2019</t>
        </is>
      </c>
      <c r="B709" s="1" t="n">
        <v>43588</v>
      </c>
      <c r="C709" s="1" t="n">
        <v>45587</v>
      </c>
      <c r="D709" t="inlineStr">
        <is>
          <t>GÄVLEBORGS LÄN</t>
        </is>
      </c>
      <c r="E709" t="inlineStr">
        <is>
          <t>GÄVLE</t>
        </is>
      </c>
      <c r="G709" t="n">
        <v>3.1</v>
      </c>
      <c r="H709" t="n">
        <v>0</v>
      </c>
      <c r="I709" t="n">
        <v>0</v>
      </c>
      <c r="J709" t="n">
        <v>0</v>
      </c>
      <c r="K709" t="n">
        <v>0</v>
      </c>
      <c r="L709" t="n">
        <v>0</v>
      </c>
      <c r="M709" t="n">
        <v>0</v>
      </c>
      <c r="N709" t="n">
        <v>0</v>
      </c>
      <c r="O709" t="n">
        <v>0</v>
      </c>
      <c r="P709" t="n">
        <v>0</v>
      </c>
      <c r="Q709" t="n">
        <v>0</v>
      </c>
      <c r="R709" s="2" t="inlineStr"/>
    </row>
    <row r="710" ht="15" customHeight="1">
      <c r="A710" t="inlineStr">
        <is>
          <t>A 22645-2019</t>
        </is>
      </c>
      <c r="B710" s="1" t="n">
        <v>43588</v>
      </c>
      <c r="C710" s="1" t="n">
        <v>45587</v>
      </c>
      <c r="D710" t="inlineStr">
        <is>
          <t>GÄVLEBORGS LÄN</t>
        </is>
      </c>
      <c r="E710" t="inlineStr">
        <is>
          <t>HUDIKSVALL</t>
        </is>
      </c>
      <c r="G710" t="n">
        <v>1.9</v>
      </c>
      <c r="H710" t="n">
        <v>0</v>
      </c>
      <c r="I710" t="n">
        <v>0</v>
      </c>
      <c r="J710" t="n">
        <v>0</v>
      </c>
      <c r="K710" t="n">
        <v>0</v>
      </c>
      <c r="L710" t="n">
        <v>0</v>
      </c>
      <c r="M710" t="n">
        <v>0</v>
      </c>
      <c r="N710" t="n">
        <v>0</v>
      </c>
      <c r="O710" t="n">
        <v>0</v>
      </c>
      <c r="P710" t="n">
        <v>0</v>
      </c>
      <c r="Q710" t="n">
        <v>0</v>
      </c>
      <c r="R710" s="2" t="inlineStr"/>
    </row>
    <row r="711" ht="15" customHeight="1">
      <c r="A711" t="inlineStr">
        <is>
          <t>A 22611-2019</t>
        </is>
      </c>
      <c r="B711" s="1" t="n">
        <v>43588</v>
      </c>
      <c r="C711" s="1" t="n">
        <v>45587</v>
      </c>
      <c r="D711" t="inlineStr">
        <is>
          <t>GÄVLEBORGS LÄN</t>
        </is>
      </c>
      <c r="E711" t="inlineStr">
        <is>
          <t>GÄVLE</t>
        </is>
      </c>
      <c r="G711" t="n">
        <v>1</v>
      </c>
      <c r="H711" t="n">
        <v>0</v>
      </c>
      <c r="I711" t="n">
        <v>0</v>
      </c>
      <c r="J711" t="n">
        <v>0</v>
      </c>
      <c r="K711" t="n">
        <v>0</v>
      </c>
      <c r="L711" t="n">
        <v>0</v>
      </c>
      <c r="M711" t="n">
        <v>0</v>
      </c>
      <c r="N711" t="n">
        <v>0</v>
      </c>
      <c r="O711" t="n">
        <v>0</v>
      </c>
      <c r="P711" t="n">
        <v>0</v>
      </c>
      <c r="Q711" t="n">
        <v>0</v>
      </c>
      <c r="R711" s="2" t="inlineStr"/>
    </row>
    <row r="712" ht="15" customHeight="1">
      <c r="A712" t="inlineStr">
        <is>
          <t>A 22734-2019</t>
        </is>
      </c>
      <c r="B712" s="1" t="n">
        <v>43588</v>
      </c>
      <c r="C712" s="1" t="n">
        <v>45587</v>
      </c>
      <c r="D712" t="inlineStr">
        <is>
          <t>GÄVLEBORGS LÄN</t>
        </is>
      </c>
      <c r="E712" t="inlineStr">
        <is>
          <t>HOFORS</t>
        </is>
      </c>
      <c r="F712" t="inlineStr">
        <is>
          <t>Sveaskog</t>
        </is>
      </c>
      <c r="G712" t="n">
        <v>5.7</v>
      </c>
      <c r="H712" t="n">
        <v>0</v>
      </c>
      <c r="I712" t="n">
        <v>0</v>
      </c>
      <c r="J712" t="n">
        <v>0</v>
      </c>
      <c r="K712" t="n">
        <v>0</v>
      </c>
      <c r="L712" t="n">
        <v>0</v>
      </c>
      <c r="M712" t="n">
        <v>0</v>
      </c>
      <c r="N712" t="n">
        <v>0</v>
      </c>
      <c r="O712" t="n">
        <v>0</v>
      </c>
      <c r="P712" t="n">
        <v>0</v>
      </c>
      <c r="Q712" t="n">
        <v>0</v>
      </c>
      <c r="R712" s="2" t="inlineStr"/>
    </row>
    <row r="713" ht="15" customHeight="1">
      <c r="A713" t="inlineStr">
        <is>
          <t>A 22609-2019</t>
        </is>
      </c>
      <c r="B713" s="1" t="n">
        <v>43588</v>
      </c>
      <c r="C713" s="1" t="n">
        <v>45587</v>
      </c>
      <c r="D713" t="inlineStr">
        <is>
          <t>GÄVLEBORGS LÄN</t>
        </is>
      </c>
      <c r="E713" t="inlineStr">
        <is>
          <t>GÄVLE</t>
        </is>
      </c>
      <c r="G713" t="n">
        <v>1.4</v>
      </c>
      <c r="H713" t="n">
        <v>0</v>
      </c>
      <c r="I713" t="n">
        <v>0</v>
      </c>
      <c r="J713" t="n">
        <v>0</v>
      </c>
      <c r="K713" t="n">
        <v>0</v>
      </c>
      <c r="L713" t="n">
        <v>0</v>
      </c>
      <c r="M713" t="n">
        <v>0</v>
      </c>
      <c r="N713" t="n">
        <v>0</v>
      </c>
      <c r="O713" t="n">
        <v>0</v>
      </c>
      <c r="P713" t="n">
        <v>0</v>
      </c>
      <c r="Q713" t="n">
        <v>0</v>
      </c>
      <c r="R713" s="2" t="inlineStr"/>
    </row>
    <row r="714" ht="15" customHeight="1">
      <c r="A714" t="inlineStr">
        <is>
          <t>A 22969-2019</t>
        </is>
      </c>
      <c r="B714" s="1" t="n">
        <v>43591</v>
      </c>
      <c r="C714" s="1" t="n">
        <v>45587</v>
      </c>
      <c r="D714" t="inlineStr">
        <is>
          <t>GÄVLEBORGS LÄN</t>
        </is>
      </c>
      <c r="E714" t="inlineStr">
        <is>
          <t>OVANÅKER</t>
        </is>
      </c>
      <c r="G714" t="n">
        <v>1.4</v>
      </c>
      <c r="H714" t="n">
        <v>0</v>
      </c>
      <c r="I714" t="n">
        <v>0</v>
      </c>
      <c r="J714" t="n">
        <v>0</v>
      </c>
      <c r="K714" t="n">
        <v>0</v>
      </c>
      <c r="L714" t="n">
        <v>0</v>
      </c>
      <c r="M714" t="n">
        <v>0</v>
      </c>
      <c r="N714" t="n">
        <v>0</v>
      </c>
      <c r="O714" t="n">
        <v>0</v>
      </c>
      <c r="P714" t="n">
        <v>0</v>
      </c>
      <c r="Q714" t="n">
        <v>0</v>
      </c>
      <c r="R714" s="2" t="inlineStr"/>
    </row>
    <row r="715" ht="15" customHeight="1">
      <c r="A715" t="inlineStr">
        <is>
          <t>A 22908-2019</t>
        </is>
      </c>
      <c r="B715" s="1" t="n">
        <v>43591</v>
      </c>
      <c r="C715" s="1" t="n">
        <v>45587</v>
      </c>
      <c r="D715" t="inlineStr">
        <is>
          <t>GÄVLEBORGS LÄN</t>
        </is>
      </c>
      <c r="E715" t="inlineStr">
        <is>
          <t>HUDIKSVALL</t>
        </is>
      </c>
      <c r="G715" t="n">
        <v>13.2</v>
      </c>
      <c r="H715" t="n">
        <v>0</v>
      </c>
      <c r="I715" t="n">
        <v>0</v>
      </c>
      <c r="J715" t="n">
        <v>0</v>
      </c>
      <c r="K715" t="n">
        <v>0</v>
      </c>
      <c r="L715" t="n">
        <v>0</v>
      </c>
      <c r="M715" t="n">
        <v>0</v>
      </c>
      <c r="N715" t="n">
        <v>0</v>
      </c>
      <c r="O715" t="n">
        <v>0</v>
      </c>
      <c r="P715" t="n">
        <v>0</v>
      </c>
      <c r="Q715" t="n">
        <v>0</v>
      </c>
      <c r="R715" s="2" t="inlineStr"/>
    </row>
    <row r="716" ht="15" customHeight="1">
      <c r="A716" t="inlineStr">
        <is>
          <t>A 22926-2019</t>
        </is>
      </c>
      <c r="B716" s="1" t="n">
        <v>43591</v>
      </c>
      <c r="C716" s="1" t="n">
        <v>45587</v>
      </c>
      <c r="D716" t="inlineStr">
        <is>
          <t>GÄVLEBORGS LÄN</t>
        </is>
      </c>
      <c r="E716" t="inlineStr">
        <is>
          <t>OVANÅKER</t>
        </is>
      </c>
      <c r="G716" t="n">
        <v>1.7</v>
      </c>
      <c r="H716" t="n">
        <v>0</v>
      </c>
      <c r="I716" t="n">
        <v>0</v>
      </c>
      <c r="J716" t="n">
        <v>0</v>
      </c>
      <c r="K716" t="n">
        <v>0</v>
      </c>
      <c r="L716" t="n">
        <v>0</v>
      </c>
      <c r="M716" t="n">
        <v>0</v>
      </c>
      <c r="N716" t="n">
        <v>0</v>
      </c>
      <c r="O716" t="n">
        <v>0</v>
      </c>
      <c r="P716" t="n">
        <v>0</v>
      </c>
      <c r="Q716" t="n">
        <v>0</v>
      </c>
      <c r="R716" s="2" t="inlineStr"/>
    </row>
    <row r="717" ht="15" customHeight="1">
      <c r="A717" t="inlineStr">
        <is>
          <t>A 23268-2019</t>
        </is>
      </c>
      <c r="B717" s="1" t="n">
        <v>43592</v>
      </c>
      <c r="C717" s="1" t="n">
        <v>45587</v>
      </c>
      <c r="D717" t="inlineStr">
        <is>
          <t>GÄVLEBORGS LÄN</t>
        </is>
      </c>
      <c r="E717" t="inlineStr">
        <is>
          <t>SÖDERHAMN</t>
        </is>
      </c>
      <c r="G717" t="n">
        <v>1</v>
      </c>
      <c r="H717" t="n">
        <v>0</v>
      </c>
      <c r="I717" t="n">
        <v>0</v>
      </c>
      <c r="J717" t="n">
        <v>0</v>
      </c>
      <c r="K717" t="n">
        <v>0</v>
      </c>
      <c r="L717" t="n">
        <v>0</v>
      </c>
      <c r="M717" t="n">
        <v>0</v>
      </c>
      <c r="N717" t="n">
        <v>0</v>
      </c>
      <c r="O717" t="n">
        <v>0</v>
      </c>
      <c r="P717" t="n">
        <v>0</v>
      </c>
      <c r="Q717" t="n">
        <v>0</v>
      </c>
      <c r="R717" s="2" t="inlineStr"/>
    </row>
    <row r="718" ht="15" customHeight="1">
      <c r="A718" t="inlineStr">
        <is>
          <t>A 23434-2019</t>
        </is>
      </c>
      <c r="B718" s="1" t="n">
        <v>43593</v>
      </c>
      <c r="C718" s="1" t="n">
        <v>45587</v>
      </c>
      <c r="D718" t="inlineStr">
        <is>
          <t>GÄVLEBORGS LÄN</t>
        </is>
      </c>
      <c r="E718" t="inlineStr">
        <is>
          <t>HUDIKSVALL</t>
        </is>
      </c>
      <c r="G718" t="n">
        <v>0.8</v>
      </c>
      <c r="H718" t="n">
        <v>0</v>
      </c>
      <c r="I718" t="n">
        <v>0</v>
      </c>
      <c r="J718" t="n">
        <v>0</v>
      </c>
      <c r="K718" t="n">
        <v>0</v>
      </c>
      <c r="L718" t="n">
        <v>0</v>
      </c>
      <c r="M718" t="n">
        <v>0</v>
      </c>
      <c r="N718" t="n">
        <v>0</v>
      </c>
      <c r="O718" t="n">
        <v>0</v>
      </c>
      <c r="P718" t="n">
        <v>0</v>
      </c>
      <c r="Q718" t="n">
        <v>0</v>
      </c>
      <c r="R718" s="2" t="inlineStr"/>
    </row>
    <row r="719" ht="15" customHeight="1">
      <c r="A719" t="inlineStr">
        <is>
          <t>A 23441-2019</t>
        </is>
      </c>
      <c r="B719" s="1" t="n">
        <v>43593</v>
      </c>
      <c r="C719" s="1" t="n">
        <v>45587</v>
      </c>
      <c r="D719" t="inlineStr">
        <is>
          <t>GÄVLEBORGS LÄN</t>
        </is>
      </c>
      <c r="E719" t="inlineStr">
        <is>
          <t>BOLLNÄS</t>
        </is>
      </c>
      <c r="G719" t="n">
        <v>1.9</v>
      </c>
      <c r="H719" t="n">
        <v>0</v>
      </c>
      <c r="I719" t="n">
        <v>0</v>
      </c>
      <c r="J719" t="n">
        <v>0</v>
      </c>
      <c r="K719" t="n">
        <v>0</v>
      </c>
      <c r="L719" t="n">
        <v>0</v>
      </c>
      <c r="M719" t="n">
        <v>0</v>
      </c>
      <c r="N719" t="n">
        <v>0</v>
      </c>
      <c r="O719" t="n">
        <v>0</v>
      </c>
      <c r="P719" t="n">
        <v>0</v>
      </c>
      <c r="Q719" t="n">
        <v>0</v>
      </c>
      <c r="R719" s="2" t="inlineStr"/>
    </row>
    <row r="720" ht="15" customHeight="1">
      <c r="A720" t="inlineStr">
        <is>
          <t>A 23381-2019</t>
        </is>
      </c>
      <c r="B720" s="1" t="n">
        <v>43593</v>
      </c>
      <c r="C720" s="1" t="n">
        <v>45587</v>
      </c>
      <c r="D720" t="inlineStr">
        <is>
          <t>GÄVLEBORGS LÄN</t>
        </is>
      </c>
      <c r="E720" t="inlineStr">
        <is>
          <t>SANDVIKEN</t>
        </is>
      </c>
      <c r="G720" t="n">
        <v>2.5</v>
      </c>
      <c r="H720" t="n">
        <v>0</v>
      </c>
      <c r="I720" t="n">
        <v>0</v>
      </c>
      <c r="J720" t="n">
        <v>0</v>
      </c>
      <c r="K720" t="n">
        <v>0</v>
      </c>
      <c r="L720" t="n">
        <v>0</v>
      </c>
      <c r="M720" t="n">
        <v>0</v>
      </c>
      <c r="N720" t="n">
        <v>0</v>
      </c>
      <c r="O720" t="n">
        <v>0</v>
      </c>
      <c r="P720" t="n">
        <v>0</v>
      </c>
      <c r="Q720" t="n">
        <v>0</v>
      </c>
      <c r="R720" s="2" t="inlineStr"/>
    </row>
    <row r="721" ht="15" customHeight="1">
      <c r="A721" t="inlineStr">
        <is>
          <t>A 23400-2019</t>
        </is>
      </c>
      <c r="B721" s="1" t="n">
        <v>43593</v>
      </c>
      <c r="C721" s="1" t="n">
        <v>45587</v>
      </c>
      <c r="D721" t="inlineStr">
        <is>
          <t>GÄVLEBORGS LÄN</t>
        </is>
      </c>
      <c r="E721" t="inlineStr">
        <is>
          <t>BOLLNÄS</t>
        </is>
      </c>
      <c r="G721" t="n">
        <v>1.1</v>
      </c>
      <c r="H721" t="n">
        <v>0</v>
      </c>
      <c r="I721" t="n">
        <v>0</v>
      </c>
      <c r="J721" t="n">
        <v>0</v>
      </c>
      <c r="K721" t="n">
        <v>0</v>
      </c>
      <c r="L721" t="n">
        <v>0</v>
      </c>
      <c r="M721" t="n">
        <v>0</v>
      </c>
      <c r="N721" t="n">
        <v>0</v>
      </c>
      <c r="O721" t="n">
        <v>0</v>
      </c>
      <c r="P721" t="n">
        <v>0</v>
      </c>
      <c r="Q721" t="n">
        <v>0</v>
      </c>
      <c r="R721" s="2" t="inlineStr"/>
    </row>
    <row r="722" ht="15" customHeight="1">
      <c r="A722" t="inlineStr">
        <is>
          <t>A 23684-2019</t>
        </is>
      </c>
      <c r="B722" s="1" t="n">
        <v>43594</v>
      </c>
      <c r="C722" s="1" t="n">
        <v>45587</v>
      </c>
      <c r="D722" t="inlineStr">
        <is>
          <t>GÄVLEBORGS LÄN</t>
        </is>
      </c>
      <c r="E722" t="inlineStr">
        <is>
          <t>HUDIKSVALL</t>
        </is>
      </c>
      <c r="F722" t="inlineStr">
        <is>
          <t>Holmen skog AB</t>
        </is>
      </c>
      <c r="G722" t="n">
        <v>1.9</v>
      </c>
      <c r="H722" t="n">
        <v>0</v>
      </c>
      <c r="I722" t="n">
        <v>0</v>
      </c>
      <c r="J722" t="n">
        <v>0</v>
      </c>
      <c r="K722" t="n">
        <v>0</v>
      </c>
      <c r="L722" t="n">
        <v>0</v>
      </c>
      <c r="M722" t="n">
        <v>0</v>
      </c>
      <c r="N722" t="n">
        <v>0</v>
      </c>
      <c r="O722" t="n">
        <v>0</v>
      </c>
      <c r="P722" t="n">
        <v>0</v>
      </c>
      <c r="Q722" t="n">
        <v>0</v>
      </c>
      <c r="R722" s="2" t="inlineStr"/>
    </row>
    <row r="723" ht="15" customHeight="1">
      <c r="A723" t="inlineStr">
        <is>
          <t>A 23617-2019</t>
        </is>
      </c>
      <c r="B723" s="1" t="n">
        <v>43594</v>
      </c>
      <c r="C723" s="1" t="n">
        <v>45587</v>
      </c>
      <c r="D723" t="inlineStr">
        <is>
          <t>GÄVLEBORGS LÄN</t>
        </is>
      </c>
      <c r="E723" t="inlineStr">
        <is>
          <t>BOLLNÄS</t>
        </is>
      </c>
      <c r="G723" t="n">
        <v>0.2</v>
      </c>
      <c r="H723" t="n">
        <v>0</v>
      </c>
      <c r="I723" t="n">
        <v>0</v>
      </c>
      <c r="J723" t="n">
        <v>0</v>
      </c>
      <c r="K723" t="n">
        <v>0</v>
      </c>
      <c r="L723" t="n">
        <v>0</v>
      </c>
      <c r="M723" t="n">
        <v>0</v>
      </c>
      <c r="N723" t="n">
        <v>0</v>
      </c>
      <c r="O723" t="n">
        <v>0</v>
      </c>
      <c r="P723" t="n">
        <v>0</v>
      </c>
      <c r="Q723" t="n">
        <v>0</v>
      </c>
      <c r="R723" s="2" t="inlineStr"/>
    </row>
    <row r="724" ht="15" customHeight="1">
      <c r="A724" t="inlineStr">
        <is>
          <t>A 23881-2019</t>
        </is>
      </c>
      <c r="B724" s="1" t="n">
        <v>43595</v>
      </c>
      <c r="C724" s="1" t="n">
        <v>45587</v>
      </c>
      <c r="D724" t="inlineStr">
        <is>
          <t>GÄVLEBORGS LÄN</t>
        </is>
      </c>
      <c r="E724" t="inlineStr">
        <is>
          <t>HOFORS</t>
        </is>
      </c>
      <c r="G724" t="n">
        <v>3.2</v>
      </c>
      <c r="H724" t="n">
        <v>0</v>
      </c>
      <c r="I724" t="n">
        <v>0</v>
      </c>
      <c r="J724" t="n">
        <v>0</v>
      </c>
      <c r="K724" t="n">
        <v>0</v>
      </c>
      <c r="L724" t="n">
        <v>0</v>
      </c>
      <c r="M724" t="n">
        <v>0</v>
      </c>
      <c r="N724" t="n">
        <v>0</v>
      </c>
      <c r="O724" t="n">
        <v>0</v>
      </c>
      <c r="P724" t="n">
        <v>0</v>
      </c>
      <c r="Q724" t="n">
        <v>0</v>
      </c>
      <c r="R724" s="2" t="inlineStr"/>
    </row>
    <row r="725" ht="15" customHeight="1">
      <c r="A725" t="inlineStr">
        <is>
          <t>A 23876-2019</t>
        </is>
      </c>
      <c r="B725" s="1" t="n">
        <v>43595</v>
      </c>
      <c r="C725" s="1" t="n">
        <v>45587</v>
      </c>
      <c r="D725" t="inlineStr">
        <is>
          <t>GÄVLEBORGS LÄN</t>
        </is>
      </c>
      <c r="E725" t="inlineStr">
        <is>
          <t>SANDVIKEN</t>
        </is>
      </c>
      <c r="G725" t="n">
        <v>0.5</v>
      </c>
      <c r="H725" t="n">
        <v>0</v>
      </c>
      <c r="I725" t="n">
        <v>0</v>
      </c>
      <c r="J725" t="n">
        <v>0</v>
      </c>
      <c r="K725" t="n">
        <v>0</v>
      </c>
      <c r="L725" t="n">
        <v>0</v>
      </c>
      <c r="M725" t="n">
        <v>0</v>
      </c>
      <c r="N725" t="n">
        <v>0</v>
      </c>
      <c r="O725" t="n">
        <v>0</v>
      </c>
      <c r="P725" t="n">
        <v>0</v>
      </c>
      <c r="Q725" t="n">
        <v>0</v>
      </c>
      <c r="R725" s="2" t="inlineStr"/>
    </row>
    <row r="726" ht="15" customHeight="1">
      <c r="A726" t="inlineStr">
        <is>
          <t>A 23848-2019</t>
        </is>
      </c>
      <c r="B726" s="1" t="n">
        <v>43595</v>
      </c>
      <c r="C726" s="1" t="n">
        <v>45587</v>
      </c>
      <c r="D726" t="inlineStr">
        <is>
          <t>GÄVLEBORGS LÄN</t>
        </is>
      </c>
      <c r="E726" t="inlineStr">
        <is>
          <t>SANDVIKEN</t>
        </is>
      </c>
      <c r="G726" t="n">
        <v>2.5</v>
      </c>
      <c r="H726" t="n">
        <v>0</v>
      </c>
      <c r="I726" t="n">
        <v>0</v>
      </c>
      <c r="J726" t="n">
        <v>0</v>
      </c>
      <c r="K726" t="n">
        <v>0</v>
      </c>
      <c r="L726" t="n">
        <v>0</v>
      </c>
      <c r="M726" t="n">
        <v>0</v>
      </c>
      <c r="N726" t="n">
        <v>0</v>
      </c>
      <c r="O726" t="n">
        <v>0</v>
      </c>
      <c r="P726" t="n">
        <v>0</v>
      </c>
      <c r="Q726" t="n">
        <v>0</v>
      </c>
      <c r="R726" s="2" t="inlineStr"/>
    </row>
    <row r="727" ht="15" customHeight="1">
      <c r="A727" t="inlineStr">
        <is>
          <t>A 23895-2019</t>
        </is>
      </c>
      <c r="B727" s="1" t="n">
        <v>43595</v>
      </c>
      <c r="C727" s="1" t="n">
        <v>45587</v>
      </c>
      <c r="D727" t="inlineStr">
        <is>
          <t>GÄVLEBORGS LÄN</t>
        </is>
      </c>
      <c r="E727" t="inlineStr">
        <is>
          <t>HUDIKSVALL</t>
        </is>
      </c>
      <c r="G727" t="n">
        <v>4.9</v>
      </c>
      <c r="H727" t="n">
        <v>0</v>
      </c>
      <c r="I727" t="n">
        <v>0</v>
      </c>
      <c r="J727" t="n">
        <v>0</v>
      </c>
      <c r="K727" t="n">
        <v>0</v>
      </c>
      <c r="L727" t="n">
        <v>0</v>
      </c>
      <c r="M727" t="n">
        <v>0</v>
      </c>
      <c r="N727" t="n">
        <v>0</v>
      </c>
      <c r="O727" t="n">
        <v>0</v>
      </c>
      <c r="P727" t="n">
        <v>0</v>
      </c>
      <c r="Q727" t="n">
        <v>0</v>
      </c>
      <c r="R727" s="2" t="inlineStr"/>
    </row>
    <row r="728" ht="15" customHeight="1">
      <c r="A728" t="inlineStr">
        <is>
          <t>A 24158-2019</t>
        </is>
      </c>
      <c r="B728" s="1" t="n">
        <v>43598</v>
      </c>
      <c r="C728" s="1" t="n">
        <v>45587</v>
      </c>
      <c r="D728" t="inlineStr">
        <is>
          <t>GÄVLEBORGS LÄN</t>
        </is>
      </c>
      <c r="E728" t="inlineStr">
        <is>
          <t>NORDANSTIG</t>
        </is>
      </c>
      <c r="G728" t="n">
        <v>1.2</v>
      </c>
      <c r="H728" t="n">
        <v>0</v>
      </c>
      <c r="I728" t="n">
        <v>0</v>
      </c>
      <c r="J728" t="n">
        <v>0</v>
      </c>
      <c r="K728" t="n">
        <v>0</v>
      </c>
      <c r="L728" t="n">
        <v>0</v>
      </c>
      <c r="M728" t="n">
        <v>0</v>
      </c>
      <c r="N728" t="n">
        <v>0</v>
      </c>
      <c r="O728" t="n">
        <v>0</v>
      </c>
      <c r="P728" t="n">
        <v>0</v>
      </c>
      <c r="Q728" t="n">
        <v>0</v>
      </c>
      <c r="R728" s="2" t="inlineStr"/>
    </row>
    <row r="729" ht="15" customHeight="1">
      <c r="A729" t="inlineStr">
        <is>
          <t>A 23997-2019</t>
        </is>
      </c>
      <c r="B729" s="1" t="n">
        <v>43598</v>
      </c>
      <c r="C729" s="1" t="n">
        <v>45587</v>
      </c>
      <c r="D729" t="inlineStr">
        <is>
          <t>GÄVLEBORGS LÄN</t>
        </is>
      </c>
      <c r="E729" t="inlineStr">
        <is>
          <t>BOLLNÄS</t>
        </is>
      </c>
      <c r="G729" t="n">
        <v>1.2</v>
      </c>
      <c r="H729" t="n">
        <v>0</v>
      </c>
      <c r="I729" t="n">
        <v>0</v>
      </c>
      <c r="J729" t="n">
        <v>0</v>
      </c>
      <c r="K729" t="n">
        <v>0</v>
      </c>
      <c r="L729" t="n">
        <v>0</v>
      </c>
      <c r="M729" t="n">
        <v>0</v>
      </c>
      <c r="N729" t="n">
        <v>0</v>
      </c>
      <c r="O729" t="n">
        <v>0</v>
      </c>
      <c r="P729" t="n">
        <v>0</v>
      </c>
      <c r="Q729" t="n">
        <v>0</v>
      </c>
      <c r="R729" s="2" t="inlineStr"/>
    </row>
    <row r="730" ht="15" customHeight="1">
      <c r="A730" t="inlineStr">
        <is>
          <t>A 23982-2019</t>
        </is>
      </c>
      <c r="B730" s="1" t="n">
        <v>43598</v>
      </c>
      <c r="C730" s="1" t="n">
        <v>45587</v>
      </c>
      <c r="D730" t="inlineStr">
        <is>
          <t>GÄVLEBORGS LÄN</t>
        </is>
      </c>
      <c r="E730" t="inlineStr">
        <is>
          <t>SANDVIKEN</t>
        </is>
      </c>
      <c r="G730" t="n">
        <v>3.6</v>
      </c>
      <c r="H730" t="n">
        <v>0</v>
      </c>
      <c r="I730" t="n">
        <v>0</v>
      </c>
      <c r="J730" t="n">
        <v>0</v>
      </c>
      <c r="K730" t="n">
        <v>0</v>
      </c>
      <c r="L730" t="n">
        <v>0</v>
      </c>
      <c r="M730" t="n">
        <v>0</v>
      </c>
      <c r="N730" t="n">
        <v>0</v>
      </c>
      <c r="O730" t="n">
        <v>0</v>
      </c>
      <c r="P730" t="n">
        <v>0</v>
      </c>
      <c r="Q730" t="n">
        <v>0</v>
      </c>
      <c r="R730" s="2" t="inlineStr"/>
    </row>
    <row r="731" ht="15" customHeight="1">
      <c r="A731" t="inlineStr">
        <is>
          <t>A 24196-2019</t>
        </is>
      </c>
      <c r="B731" s="1" t="n">
        <v>43599</v>
      </c>
      <c r="C731" s="1" t="n">
        <v>45587</v>
      </c>
      <c r="D731" t="inlineStr">
        <is>
          <t>GÄVLEBORGS LÄN</t>
        </is>
      </c>
      <c r="E731" t="inlineStr">
        <is>
          <t>HUDIKSVALL</t>
        </is>
      </c>
      <c r="G731" t="n">
        <v>4.3</v>
      </c>
      <c r="H731" t="n">
        <v>0</v>
      </c>
      <c r="I731" t="n">
        <v>0</v>
      </c>
      <c r="J731" t="n">
        <v>0</v>
      </c>
      <c r="K731" t="n">
        <v>0</v>
      </c>
      <c r="L731" t="n">
        <v>0</v>
      </c>
      <c r="M731" t="n">
        <v>0</v>
      </c>
      <c r="N731" t="n">
        <v>0</v>
      </c>
      <c r="O731" t="n">
        <v>0</v>
      </c>
      <c r="P731" t="n">
        <v>0</v>
      </c>
      <c r="Q731" t="n">
        <v>0</v>
      </c>
      <c r="R731" s="2" t="inlineStr"/>
    </row>
    <row r="732" ht="15" customHeight="1">
      <c r="A732" t="inlineStr">
        <is>
          <t>A 24237-2019</t>
        </is>
      </c>
      <c r="B732" s="1" t="n">
        <v>43599</v>
      </c>
      <c r="C732" s="1" t="n">
        <v>45587</v>
      </c>
      <c r="D732" t="inlineStr">
        <is>
          <t>GÄVLEBORGS LÄN</t>
        </is>
      </c>
      <c r="E732" t="inlineStr">
        <is>
          <t>BOLLNÄS</t>
        </is>
      </c>
      <c r="G732" t="n">
        <v>1.6</v>
      </c>
      <c r="H732" t="n">
        <v>0</v>
      </c>
      <c r="I732" t="n">
        <v>0</v>
      </c>
      <c r="J732" t="n">
        <v>0</v>
      </c>
      <c r="K732" t="n">
        <v>0</v>
      </c>
      <c r="L732" t="n">
        <v>0</v>
      </c>
      <c r="M732" t="n">
        <v>0</v>
      </c>
      <c r="N732" t="n">
        <v>0</v>
      </c>
      <c r="O732" t="n">
        <v>0</v>
      </c>
      <c r="P732" t="n">
        <v>0</v>
      </c>
      <c r="Q732" t="n">
        <v>0</v>
      </c>
      <c r="R732" s="2" t="inlineStr"/>
    </row>
    <row r="733" ht="15" customHeight="1">
      <c r="A733" t="inlineStr">
        <is>
          <t>A 24325-2019</t>
        </is>
      </c>
      <c r="B733" s="1" t="n">
        <v>43599</v>
      </c>
      <c r="C733" s="1" t="n">
        <v>45587</v>
      </c>
      <c r="D733" t="inlineStr">
        <is>
          <t>GÄVLEBORGS LÄN</t>
        </is>
      </c>
      <c r="E733" t="inlineStr">
        <is>
          <t>BOLLNÄS</t>
        </is>
      </c>
      <c r="G733" t="n">
        <v>8.4</v>
      </c>
      <c r="H733" t="n">
        <v>0</v>
      </c>
      <c r="I733" t="n">
        <v>0</v>
      </c>
      <c r="J733" t="n">
        <v>0</v>
      </c>
      <c r="K733" t="n">
        <v>0</v>
      </c>
      <c r="L733" t="n">
        <v>0</v>
      </c>
      <c r="M733" t="n">
        <v>0</v>
      </c>
      <c r="N733" t="n">
        <v>0</v>
      </c>
      <c r="O733" t="n">
        <v>0</v>
      </c>
      <c r="P733" t="n">
        <v>0</v>
      </c>
      <c r="Q733" t="n">
        <v>0</v>
      </c>
      <c r="R733" s="2" t="inlineStr"/>
    </row>
    <row r="734" ht="15" customHeight="1">
      <c r="A734" t="inlineStr">
        <is>
          <t>A 24251-2019</t>
        </is>
      </c>
      <c r="B734" s="1" t="n">
        <v>43599</v>
      </c>
      <c r="C734" s="1" t="n">
        <v>45587</v>
      </c>
      <c r="D734" t="inlineStr">
        <is>
          <t>GÄVLEBORGS LÄN</t>
        </is>
      </c>
      <c r="E734" t="inlineStr">
        <is>
          <t>BOLLNÄS</t>
        </is>
      </c>
      <c r="G734" t="n">
        <v>4.5</v>
      </c>
      <c r="H734" t="n">
        <v>0</v>
      </c>
      <c r="I734" t="n">
        <v>0</v>
      </c>
      <c r="J734" t="n">
        <v>0</v>
      </c>
      <c r="K734" t="n">
        <v>0</v>
      </c>
      <c r="L734" t="n">
        <v>0</v>
      </c>
      <c r="M734" t="n">
        <v>0</v>
      </c>
      <c r="N734" t="n">
        <v>0</v>
      </c>
      <c r="O734" t="n">
        <v>0</v>
      </c>
      <c r="P734" t="n">
        <v>0</v>
      </c>
      <c r="Q734" t="n">
        <v>0</v>
      </c>
      <c r="R734" s="2" t="inlineStr"/>
    </row>
    <row r="735" ht="15" customHeight="1">
      <c r="A735" t="inlineStr">
        <is>
          <t>A 24505-2019</t>
        </is>
      </c>
      <c r="B735" s="1" t="n">
        <v>43600</v>
      </c>
      <c r="C735" s="1" t="n">
        <v>45587</v>
      </c>
      <c r="D735" t="inlineStr">
        <is>
          <t>GÄVLEBORGS LÄN</t>
        </is>
      </c>
      <c r="E735" t="inlineStr">
        <is>
          <t>LJUSDAL</t>
        </is>
      </c>
      <c r="F735" t="inlineStr">
        <is>
          <t>Kyrkan</t>
        </is>
      </c>
      <c r="G735" t="n">
        <v>43.9</v>
      </c>
      <c r="H735" t="n">
        <v>0</v>
      </c>
      <c r="I735" t="n">
        <v>0</v>
      </c>
      <c r="J735" t="n">
        <v>0</v>
      </c>
      <c r="K735" t="n">
        <v>0</v>
      </c>
      <c r="L735" t="n">
        <v>0</v>
      </c>
      <c r="M735" t="n">
        <v>0</v>
      </c>
      <c r="N735" t="n">
        <v>0</v>
      </c>
      <c r="O735" t="n">
        <v>0</v>
      </c>
      <c r="P735" t="n">
        <v>0</v>
      </c>
      <c r="Q735" t="n">
        <v>0</v>
      </c>
      <c r="R735" s="2" t="inlineStr"/>
    </row>
    <row r="736" ht="15" customHeight="1">
      <c r="A736" t="inlineStr">
        <is>
          <t>A 24504-2019</t>
        </is>
      </c>
      <c r="B736" s="1" t="n">
        <v>43600</v>
      </c>
      <c r="C736" s="1" t="n">
        <v>45587</v>
      </c>
      <c r="D736" t="inlineStr">
        <is>
          <t>GÄVLEBORGS LÄN</t>
        </is>
      </c>
      <c r="E736" t="inlineStr">
        <is>
          <t>LJUSDAL</t>
        </is>
      </c>
      <c r="F736" t="inlineStr">
        <is>
          <t>Kyrkan</t>
        </is>
      </c>
      <c r="G736" t="n">
        <v>43.9</v>
      </c>
      <c r="H736" t="n">
        <v>0</v>
      </c>
      <c r="I736" t="n">
        <v>0</v>
      </c>
      <c r="J736" t="n">
        <v>0</v>
      </c>
      <c r="K736" t="n">
        <v>0</v>
      </c>
      <c r="L736" t="n">
        <v>0</v>
      </c>
      <c r="M736" t="n">
        <v>0</v>
      </c>
      <c r="N736" t="n">
        <v>0</v>
      </c>
      <c r="O736" t="n">
        <v>0</v>
      </c>
      <c r="P736" t="n">
        <v>0</v>
      </c>
      <c r="Q736" t="n">
        <v>0</v>
      </c>
      <c r="R736" s="2" t="inlineStr"/>
    </row>
    <row r="737" ht="15" customHeight="1">
      <c r="A737" t="inlineStr">
        <is>
          <t>A 24466-2019</t>
        </is>
      </c>
      <c r="B737" s="1" t="n">
        <v>43600</v>
      </c>
      <c r="C737" s="1" t="n">
        <v>45587</v>
      </c>
      <c r="D737" t="inlineStr">
        <is>
          <t>GÄVLEBORGS LÄN</t>
        </is>
      </c>
      <c r="E737" t="inlineStr">
        <is>
          <t>HUDIKSVALL</t>
        </is>
      </c>
      <c r="F737" t="inlineStr">
        <is>
          <t>Holmen skog AB</t>
        </is>
      </c>
      <c r="G737" t="n">
        <v>19.1</v>
      </c>
      <c r="H737" t="n">
        <v>0</v>
      </c>
      <c r="I737" t="n">
        <v>0</v>
      </c>
      <c r="J737" t="n">
        <v>0</v>
      </c>
      <c r="K737" t="n">
        <v>0</v>
      </c>
      <c r="L737" t="n">
        <v>0</v>
      </c>
      <c r="M737" t="n">
        <v>0</v>
      </c>
      <c r="N737" t="n">
        <v>0</v>
      </c>
      <c r="O737" t="n">
        <v>0</v>
      </c>
      <c r="P737" t="n">
        <v>0</v>
      </c>
      <c r="Q737" t="n">
        <v>0</v>
      </c>
      <c r="R737" s="2" t="inlineStr"/>
    </row>
    <row r="738" ht="15" customHeight="1">
      <c r="A738" t="inlineStr">
        <is>
          <t>A 24734-2019</t>
        </is>
      </c>
      <c r="B738" s="1" t="n">
        <v>43601</v>
      </c>
      <c r="C738" s="1" t="n">
        <v>45587</v>
      </c>
      <c r="D738" t="inlineStr">
        <is>
          <t>GÄVLEBORGS LÄN</t>
        </is>
      </c>
      <c r="E738" t="inlineStr">
        <is>
          <t>OVANÅKER</t>
        </is>
      </c>
      <c r="G738" t="n">
        <v>10.6</v>
      </c>
      <c r="H738" t="n">
        <v>0</v>
      </c>
      <c r="I738" t="n">
        <v>0</v>
      </c>
      <c r="J738" t="n">
        <v>0</v>
      </c>
      <c r="K738" t="n">
        <v>0</v>
      </c>
      <c r="L738" t="n">
        <v>0</v>
      </c>
      <c r="M738" t="n">
        <v>0</v>
      </c>
      <c r="N738" t="n">
        <v>0</v>
      </c>
      <c r="O738" t="n">
        <v>0</v>
      </c>
      <c r="P738" t="n">
        <v>0</v>
      </c>
      <c r="Q738" t="n">
        <v>0</v>
      </c>
      <c r="R738" s="2" t="inlineStr"/>
    </row>
    <row r="739" ht="15" customHeight="1">
      <c r="A739" t="inlineStr">
        <is>
          <t>A 24756-2019</t>
        </is>
      </c>
      <c r="B739" s="1" t="n">
        <v>43601</v>
      </c>
      <c r="C739" s="1" t="n">
        <v>45587</v>
      </c>
      <c r="D739" t="inlineStr">
        <is>
          <t>GÄVLEBORGS LÄN</t>
        </is>
      </c>
      <c r="E739" t="inlineStr">
        <is>
          <t>HOFORS</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24728-2019</t>
        </is>
      </c>
      <c r="B740" s="1" t="n">
        <v>43601</v>
      </c>
      <c r="C740" s="1" t="n">
        <v>45587</v>
      </c>
      <c r="D740" t="inlineStr">
        <is>
          <t>GÄVLEBORGS LÄN</t>
        </is>
      </c>
      <c r="E740" t="inlineStr">
        <is>
          <t>LJUSDAL</t>
        </is>
      </c>
      <c r="G740" t="n">
        <v>1.2</v>
      </c>
      <c r="H740" t="n">
        <v>0</v>
      </c>
      <c r="I740" t="n">
        <v>0</v>
      </c>
      <c r="J740" t="n">
        <v>0</v>
      </c>
      <c r="K740" t="n">
        <v>0</v>
      </c>
      <c r="L740" t="n">
        <v>0</v>
      </c>
      <c r="M740" t="n">
        <v>0</v>
      </c>
      <c r="N740" t="n">
        <v>0</v>
      </c>
      <c r="O740" t="n">
        <v>0</v>
      </c>
      <c r="P740" t="n">
        <v>0</v>
      </c>
      <c r="Q740" t="n">
        <v>0</v>
      </c>
      <c r="R740" s="2" t="inlineStr"/>
    </row>
    <row r="741" ht="15" customHeight="1">
      <c r="A741" t="inlineStr">
        <is>
          <t>A 24615-2019</t>
        </is>
      </c>
      <c r="B741" s="1" t="n">
        <v>43601</v>
      </c>
      <c r="C741" s="1" t="n">
        <v>45587</v>
      </c>
      <c r="D741" t="inlineStr">
        <is>
          <t>GÄVLEBORGS LÄN</t>
        </is>
      </c>
      <c r="E741" t="inlineStr">
        <is>
          <t>HUDIKSVALL</t>
        </is>
      </c>
      <c r="G741" t="n">
        <v>5.2</v>
      </c>
      <c r="H741" t="n">
        <v>0</v>
      </c>
      <c r="I741" t="n">
        <v>0</v>
      </c>
      <c r="J741" t="n">
        <v>0</v>
      </c>
      <c r="K741" t="n">
        <v>0</v>
      </c>
      <c r="L741" t="n">
        <v>0</v>
      </c>
      <c r="M741" t="n">
        <v>0</v>
      </c>
      <c r="N741" t="n">
        <v>0</v>
      </c>
      <c r="O741" t="n">
        <v>0</v>
      </c>
      <c r="P741" t="n">
        <v>0</v>
      </c>
      <c r="Q741" t="n">
        <v>0</v>
      </c>
      <c r="R741" s="2" t="inlineStr"/>
    </row>
    <row r="742" ht="15" customHeight="1">
      <c r="A742" t="inlineStr">
        <is>
          <t>A 24677-2019</t>
        </is>
      </c>
      <c r="B742" s="1" t="n">
        <v>43601</v>
      </c>
      <c r="C742" s="1" t="n">
        <v>45587</v>
      </c>
      <c r="D742" t="inlineStr">
        <is>
          <t>GÄVLEBORGS LÄN</t>
        </is>
      </c>
      <c r="E742" t="inlineStr">
        <is>
          <t>GÄVLE</t>
        </is>
      </c>
      <c r="G742" t="n">
        <v>0.3</v>
      </c>
      <c r="H742" t="n">
        <v>0</v>
      </c>
      <c r="I742" t="n">
        <v>0</v>
      </c>
      <c r="J742" t="n">
        <v>0</v>
      </c>
      <c r="K742" t="n">
        <v>0</v>
      </c>
      <c r="L742" t="n">
        <v>0</v>
      </c>
      <c r="M742" t="n">
        <v>0</v>
      </c>
      <c r="N742" t="n">
        <v>0</v>
      </c>
      <c r="O742" t="n">
        <v>0</v>
      </c>
      <c r="P742" t="n">
        <v>0</v>
      </c>
      <c r="Q742" t="n">
        <v>0</v>
      </c>
      <c r="R742" s="2" t="inlineStr"/>
    </row>
    <row r="743" ht="15" customHeight="1">
      <c r="A743" t="inlineStr">
        <is>
          <t>A 24715-2019</t>
        </is>
      </c>
      <c r="B743" s="1" t="n">
        <v>43601</v>
      </c>
      <c r="C743" s="1" t="n">
        <v>45587</v>
      </c>
      <c r="D743" t="inlineStr">
        <is>
          <t>GÄVLEBORGS LÄN</t>
        </is>
      </c>
      <c r="E743" t="inlineStr">
        <is>
          <t>LJUSDAL</t>
        </is>
      </c>
      <c r="G743" t="n">
        <v>0.7</v>
      </c>
      <c r="H743" t="n">
        <v>0</v>
      </c>
      <c r="I743" t="n">
        <v>0</v>
      </c>
      <c r="J743" t="n">
        <v>0</v>
      </c>
      <c r="K743" t="n">
        <v>0</v>
      </c>
      <c r="L743" t="n">
        <v>0</v>
      </c>
      <c r="M743" t="n">
        <v>0</v>
      </c>
      <c r="N743" t="n">
        <v>0</v>
      </c>
      <c r="O743" t="n">
        <v>0</v>
      </c>
      <c r="P743" t="n">
        <v>0</v>
      </c>
      <c r="Q743" t="n">
        <v>0</v>
      </c>
      <c r="R743" s="2" t="inlineStr"/>
    </row>
    <row r="744" ht="15" customHeight="1">
      <c r="A744" t="inlineStr">
        <is>
          <t>A 24915-2019</t>
        </is>
      </c>
      <c r="B744" s="1" t="n">
        <v>43602</v>
      </c>
      <c r="C744" s="1" t="n">
        <v>45587</v>
      </c>
      <c r="D744" t="inlineStr">
        <is>
          <t>GÄVLEBORGS LÄN</t>
        </is>
      </c>
      <c r="E744" t="inlineStr">
        <is>
          <t>SANDVIKEN</t>
        </is>
      </c>
      <c r="F744" t="inlineStr">
        <is>
          <t>Naturvårdsverket</t>
        </is>
      </c>
      <c r="G744" t="n">
        <v>1.9</v>
      </c>
      <c r="H744" t="n">
        <v>0</v>
      </c>
      <c r="I744" t="n">
        <v>0</v>
      </c>
      <c r="J744" t="n">
        <v>0</v>
      </c>
      <c r="K744" t="n">
        <v>0</v>
      </c>
      <c r="L744" t="n">
        <v>0</v>
      </c>
      <c r="M744" t="n">
        <v>0</v>
      </c>
      <c r="N744" t="n">
        <v>0</v>
      </c>
      <c r="O744" t="n">
        <v>0</v>
      </c>
      <c r="P744" t="n">
        <v>0</v>
      </c>
      <c r="Q744" t="n">
        <v>0</v>
      </c>
      <c r="R744" s="2" t="inlineStr"/>
    </row>
    <row r="745" ht="15" customHeight="1">
      <c r="A745" t="inlineStr">
        <is>
          <t>A 24835-2019</t>
        </is>
      </c>
      <c r="B745" s="1" t="n">
        <v>43602</v>
      </c>
      <c r="C745" s="1" t="n">
        <v>45587</v>
      </c>
      <c r="D745" t="inlineStr">
        <is>
          <t>GÄVLEBORGS LÄN</t>
        </is>
      </c>
      <c r="E745" t="inlineStr">
        <is>
          <t>OVANÅKER</t>
        </is>
      </c>
      <c r="F745" t="inlineStr">
        <is>
          <t>Kyrkan</t>
        </is>
      </c>
      <c r="G745" t="n">
        <v>2.7</v>
      </c>
      <c r="H745" t="n">
        <v>0</v>
      </c>
      <c r="I745" t="n">
        <v>0</v>
      </c>
      <c r="J745" t="n">
        <v>0</v>
      </c>
      <c r="K745" t="n">
        <v>0</v>
      </c>
      <c r="L745" t="n">
        <v>0</v>
      </c>
      <c r="M745" t="n">
        <v>0</v>
      </c>
      <c r="N745" t="n">
        <v>0</v>
      </c>
      <c r="O745" t="n">
        <v>0</v>
      </c>
      <c r="P745" t="n">
        <v>0</v>
      </c>
      <c r="Q745" t="n">
        <v>0</v>
      </c>
      <c r="R745" s="2" t="inlineStr"/>
    </row>
    <row r="746" ht="15" customHeight="1">
      <c r="A746" t="inlineStr">
        <is>
          <t>A 25074-2019</t>
        </is>
      </c>
      <c r="B746" s="1" t="n">
        <v>43605</v>
      </c>
      <c r="C746" s="1" t="n">
        <v>45587</v>
      </c>
      <c r="D746" t="inlineStr">
        <is>
          <t>GÄVLEBORGS LÄN</t>
        </is>
      </c>
      <c r="E746" t="inlineStr">
        <is>
          <t>BOLLNÄS</t>
        </is>
      </c>
      <c r="F746" t="inlineStr">
        <is>
          <t>Sveaskog</t>
        </is>
      </c>
      <c r="G746" t="n">
        <v>3.2</v>
      </c>
      <c r="H746" t="n">
        <v>0</v>
      </c>
      <c r="I746" t="n">
        <v>0</v>
      </c>
      <c r="J746" t="n">
        <v>0</v>
      </c>
      <c r="K746" t="n">
        <v>0</v>
      </c>
      <c r="L746" t="n">
        <v>0</v>
      </c>
      <c r="M746" t="n">
        <v>0</v>
      </c>
      <c r="N746" t="n">
        <v>0</v>
      </c>
      <c r="O746" t="n">
        <v>0</v>
      </c>
      <c r="P746" t="n">
        <v>0</v>
      </c>
      <c r="Q746" t="n">
        <v>0</v>
      </c>
      <c r="R746" s="2" t="inlineStr"/>
    </row>
    <row r="747" ht="15" customHeight="1">
      <c r="A747" t="inlineStr">
        <is>
          <t>A 25078-2019</t>
        </is>
      </c>
      <c r="B747" s="1" t="n">
        <v>43605</v>
      </c>
      <c r="C747" s="1" t="n">
        <v>45587</v>
      </c>
      <c r="D747" t="inlineStr">
        <is>
          <t>GÄVLEBORGS LÄN</t>
        </is>
      </c>
      <c r="E747" t="inlineStr">
        <is>
          <t>HUDIKSVALL</t>
        </is>
      </c>
      <c r="F747" t="inlineStr">
        <is>
          <t>Holmen skog AB</t>
        </is>
      </c>
      <c r="G747" t="n">
        <v>1.9</v>
      </c>
      <c r="H747" t="n">
        <v>0</v>
      </c>
      <c r="I747" t="n">
        <v>0</v>
      </c>
      <c r="J747" t="n">
        <v>0</v>
      </c>
      <c r="K747" t="n">
        <v>0</v>
      </c>
      <c r="L747" t="n">
        <v>0</v>
      </c>
      <c r="M747" t="n">
        <v>0</v>
      </c>
      <c r="N747" t="n">
        <v>0</v>
      </c>
      <c r="O747" t="n">
        <v>0</v>
      </c>
      <c r="P747" t="n">
        <v>0</v>
      </c>
      <c r="Q747" t="n">
        <v>0</v>
      </c>
      <c r="R747" s="2" t="inlineStr"/>
    </row>
    <row r="748" ht="15" customHeight="1">
      <c r="A748" t="inlineStr">
        <is>
          <t>A 26079-2019</t>
        </is>
      </c>
      <c r="B748" s="1" t="n">
        <v>43605</v>
      </c>
      <c r="C748" s="1" t="n">
        <v>45587</v>
      </c>
      <c r="D748" t="inlineStr">
        <is>
          <t>GÄVLEBORGS LÄN</t>
        </is>
      </c>
      <c r="E748" t="inlineStr">
        <is>
          <t>LJUSDAL</t>
        </is>
      </c>
      <c r="G748" t="n">
        <v>3</v>
      </c>
      <c r="H748" t="n">
        <v>0</v>
      </c>
      <c r="I748" t="n">
        <v>0</v>
      </c>
      <c r="J748" t="n">
        <v>0</v>
      </c>
      <c r="K748" t="n">
        <v>0</v>
      </c>
      <c r="L748" t="n">
        <v>0</v>
      </c>
      <c r="M748" t="n">
        <v>0</v>
      </c>
      <c r="N748" t="n">
        <v>0</v>
      </c>
      <c r="O748" t="n">
        <v>0</v>
      </c>
      <c r="P748" t="n">
        <v>0</v>
      </c>
      <c r="Q748" t="n">
        <v>0</v>
      </c>
      <c r="R748" s="2" t="inlineStr"/>
    </row>
    <row r="749" ht="15" customHeight="1">
      <c r="A749" t="inlineStr">
        <is>
          <t>A 25306-2019</t>
        </is>
      </c>
      <c r="B749" s="1" t="n">
        <v>43605</v>
      </c>
      <c r="C749" s="1" t="n">
        <v>45587</v>
      </c>
      <c r="D749" t="inlineStr">
        <is>
          <t>GÄVLEBORGS LÄN</t>
        </is>
      </c>
      <c r="E749" t="inlineStr">
        <is>
          <t>GÄVLE</t>
        </is>
      </c>
      <c r="G749" t="n">
        <v>1.2</v>
      </c>
      <c r="H749" t="n">
        <v>0</v>
      </c>
      <c r="I749" t="n">
        <v>0</v>
      </c>
      <c r="J749" t="n">
        <v>0</v>
      </c>
      <c r="K749" t="n">
        <v>0</v>
      </c>
      <c r="L749" t="n">
        <v>0</v>
      </c>
      <c r="M749" t="n">
        <v>0</v>
      </c>
      <c r="N749" t="n">
        <v>0</v>
      </c>
      <c r="O749" t="n">
        <v>0</v>
      </c>
      <c r="P749" t="n">
        <v>0</v>
      </c>
      <c r="Q749" t="n">
        <v>0</v>
      </c>
      <c r="R749" s="2" t="inlineStr"/>
    </row>
    <row r="750" ht="15" customHeight="1">
      <c r="A750" t="inlineStr">
        <is>
          <t>A 25430-2019</t>
        </is>
      </c>
      <c r="B750" s="1" t="n">
        <v>43606</v>
      </c>
      <c r="C750" s="1" t="n">
        <v>45587</v>
      </c>
      <c r="D750" t="inlineStr">
        <is>
          <t>GÄVLEBORGS LÄN</t>
        </is>
      </c>
      <c r="E750" t="inlineStr">
        <is>
          <t>OVANÅKER</t>
        </is>
      </c>
      <c r="F750" t="inlineStr">
        <is>
          <t>Bergvik skog öst AB</t>
        </is>
      </c>
      <c r="G750" t="n">
        <v>3.4</v>
      </c>
      <c r="H750" t="n">
        <v>0</v>
      </c>
      <c r="I750" t="n">
        <v>0</v>
      </c>
      <c r="J750" t="n">
        <v>0</v>
      </c>
      <c r="K750" t="n">
        <v>0</v>
      </c>
      <c r="L750" t="n">
        <v>0</v>
      </c>
      <c r="M750" t="n">
        <v>0</v>
      </c>
      <c r="N750" t="n">
        <v>0</v>
      </c>
      <c r="O750" t="n">
        <v>0</v>
      </c>
      <c r="P750" t="n">
        <v>0</v>
      </c>
      <c r="Q750" t="n">
        <v>0</v>
      </c>
      <c r="R750" s="2" t="inlineStr"/>
    </row>
    <row r="751" ht="15" customHeight="1">
      <c r="A751" t="inlineStr">
        <is>
          <t>A 25438-2019</t>
        </is>
      </c>
      <c r="B751" s="1" t="n">
        <v>43606</v>
      </c>
      <c r="C751" s="1" t="n">
        <v>45587</v>
      </c>
      <c r="D751" t="inlineStr">
        <is>
          <t>GÄVLEBORGS LÄN</t>
        </is>
      </c>
      <c r="E751" t="inlineStr">
        <is>
          <t>HUDIKSVALL</t>
        </is>
      </c>
      <c r="G751" t="n">
        <v>3</v>
      </c>
      <c r="H751" t="n">
        <v>0</v>
      </c>
      <c r="I751" t="n">
        <v>0</v>
      </c>
      <c r="J751" t="n">
        <v>0</v>
      </c>
      <c r="K751" t="n">
        <v>0</v>
      </c>
      <c r="L751" t="n">
        <v>0</v>
      </c>
      <c r="M751" t="n">
        <v>0</v>
      </c>
      <c r="N751" t="n">
        <v>0</v>
      </c>
      <c r="O751" t="n">
        <v>0</v>
      </c>
      <c r="P751" t="n">
        <v>0</v>
      </c>
      <c r="Q751" t="n">
        <v>0</v>
      </c>
      <c r="R751" s="2" t="inlineStr"/>
    </row>
    <row r="752" ht="15" customHeight="1">
      <c r="A752" t="inlineStr">
        <is>
          <t>A 25515-2019</t>
        </is>
      </c>
      <c r="B752" s="1" t="n">
        <v>43606</v>
      </c>
      <c r="C752" s="1" t="n">
        <v>45587</v>
      </c>
      <c r="D752" t="inlineStr">
        <is>
          <t>GÄVLEBORGS LÄN</t>
        </is>
      </c>
      <c r="E752" t="inlineStr">
        <is>
          <t>HOFORS</t>
        </is>
      </c>
      <c r="F752" t="inlineStr">
        <is>
          <t>Sveaskog</t>
        </is>
      </c>
      <c r="G752" t="n">
        <v>0.6</v>
      </c>
      <c r="H752" t="n">
        <v>0</v>
      </c>
      <c r="I752" t="n">
        <v>0</v>
      </c>
      <c r="J752" t="n">
        <v>0</v>
      </c>
      <c r="K752" t="n">
        <v>0</v>
      </c>
      <c r="L752" t="n">
        <v>0</v>
      </c>
      <c r="M752" t="n">
        <v>0</v>
      </c>
      <c r="N752" t="n">
        <v>0</v>
      </c>
      <c r="O752" t="n">
        <v>0</v>
      </c>
      <c r="P752" t="n">
        <v>0</v>
      </c>
      <c r="Q752" t="n">
        <v>0</v>
      </c>
      <c r="R752" s="2" t="inlineStr"/>
    </row>
    <row r="753" ht="15" customHeight="1">
      <c r="A753" t="inlineStr">
        <is>
          <t>A 25517-2019</t>
        </is>
      </c>
      <c r="B753" s="1" t="n">
        <v>43606</v>
      </c>
      <c r="C753" s="1" t="n">
        <v>45587</v>
      </c>
      <c r="D753" t="inlineStr">
        <is>
          <t>GÄVLEBORGS LÄN</t>
        </is>
      </c>
      <c r="E753" t="inlineStr">
        <is>
          <t>HOFORS</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25423-2019</t>
        </is>
      </c>
      <c r="B754" s="1" t="n">
        <v>43606</v>
      </c>
      <c r="C754" s="1" t="n">
        <v>45587</v>
      </c>
      <c r="D754" t="inlineStr">
        <is>
          <t>GÄVLEBORGS LÄN</t>
        </is>
      </c>
      <c r="E754" t="inlineStr">
        <is>
          <t>HUDIKSVALL</t>
        </is>
      </c>
      <c r="G754" t="n">
        <v>1</v>
      </c>
      <c r="H754" t="n">
        <v>0</v>
      </c>
      <c r="I754" t="n">
        <v>0</v>
      </c>
      <c r="J754" t="n">
        <v>0</v>
      </c>
      <c r="K754" t="n">
        <v>0</v>
      </c>
      <c r="L754" t="n">
        <v>0</v>
      </c>
      <c r="M754" t="n">
        <v>0</v>
      </c>
      <c r="N754" t="n">
        <v>0</v>
      </c>
      <c r="O754" t="n">
        <v>0</v>
      </c>
      <c r="P754" t="n">
        <v>0</v>
      </c>
      <c r="Q754" t="n">
        <v>0</v>
      </c>
      <c r="R754" s="2" t="inlineStr"/>
    </row>
    <row r="755" ht="15" customHeight="1">
      <c r="A755" t="inlineStr">
        <is>
          <t>A 25431-2019</t>
        </is>
      </c>
      <c r="B755" s="1" t="n">
        <v>43606</v>
      </c>
      <c r="C755" s="1" t="n">
        <v>45587</v>
      </c>
      <c r="D755" t="inlineStr">
        <is>
          <t>GÄVLEBORGS LÄN</t>
        </is>
      </c>
      <c r="E755" t="inlineStr">
        <is>
          <t>SÖDERHAMN</t>
        </is>
      </c>
      <c r="G755" t="n">
        <v>1.7</v>
      </c>
      <c r="H755" t="n">
        <v>0</v>
      </c>
      <c r="I755" t="n">
        <v>0</v>
      </c>
      <c r="J755" t="n">
        <v>0</v>
      </c>
      <c r="K755" t="n">
        <v>0</v>
      </c>
      <c r="L755" t="n">
        <v>0</v>
      </c>
      <c r="M755" t="n">
        <v>0</v>
      </c>
      <c r="N755" t="n">
        <v>0</v>
      </c>
      <c r="O755" t="n">
        <v>0</v>
      </c>
      <c r="P755" t="n">
        <v>0</v>
      </c>
      <c r="Q755" t="n">
        <v>0</v>
      </c>
      <c r="R755" s="2" t="inlineStr"/>
    </row>
    <row r="756" ht="15" customHeight="1">
      <c r="A756" t="inlineStr">
        <is>
          <t>A 25597-2019</t>
        </is>
      </c>
      <c r="B756" s="1" t="n">
        <v>43607</v>
      </c>
      <c r="C756" s="1" t="n">
        <v>45587</v>
      </c>
      <c r="D756" t="inlineStr">
        <is>
          <t>GÄVLEBORGS LÄN</t>
        </is>
      </c>
      <c r="E756" t="inlineStr">
        <is>
          <t>LJUSDAL</t>
        </is>
      </c>
      <c r="G756" t="n">
        <v>2</v>
      </c>
      <c r="H756" t="n">
        <v>0</v>
      </c>
      <c r="I756" t="n">
        <v>0</v>
      </c>
      <c r="J756" t="n">
        <v>0</v>
      </c>
      <c r="K756" t="n">
        <v>0</v>
      </c>
      <c r="L756" t="n">
        <v>0</v>
      </c>
      <c r="M756" t="n">
        <v>0</v>
      </c>
      <c r="N756" t="n">
        <v>0</v>
      </c>
      <c r="O756" t="n">
        <v>0</v>
      </c>
      <c r="P756" t="n">
        <v>0</v>
      </c>
      <c r="Q756" t="n">
        <v>0</v>
      </c>
      <c r="R756" s="2" t="inlineStr"/>
    </row>
    <row r="757" ht="15" customHeight="1">
      <c r="A757" t="inlineStr">
        <is>
          <t>A 25637-2019</t>
        </is>
      </c>
      <c r="B757" s="1" t="n">
        <v>43607</v>
      </c>
      <c r="C757" s="1" t="n">
        <v>45587</v>
      </c>
      <c r="D757" t="inlineStr">
        <is>
          <t>GÄVLEBORGS LÄN</t>
        </is>
      </c>
      <c r="E757" t="inlineStr">
        <is>
          <t>BOLLNÄS</t>
        </is>
      </c>
      <c r="G757" t="n">
        <v>9.5</v>
      </c>
      <c r="H757" t="n">
        <v>0</v>
      </c>
      <c r="I757" t="n">
        <v>0</v>
      </c>
      <c r="J757" t="n">
        <v>0</v>
      </c>
      <c r="K757" t="n">
        <v>0</v>
      </c>
      <c r="L757" t="n">
        <v>0</v>
      </c>
      <c r="M757" t="n">
        <v>0</v>
      </c>
      <c r="N757" t="n">
        <v>0</v>
      </c>
      <c r="O757" t="n">
        <v>0</v>
      </c>
      <c r="P757" t="n">
        <v>0</v>
      </c>
      <c r="Q757" t="n">
        <v>0</v>
      </c>
      <c r="R757" s="2" t="inlineStr"/>
    </row>
    <row r="758" ht="15" customHeight="1">
      <c r="A758" t="inlineStr">
        <is>
          <t>A 25558-2019</t>
        </is>
      </c>
      <c r="B758" s="1" t="n">
        <v>43607</v>
      </c>
      <c r="C758" s="1" t="n">
        <v>45587</v>
      </c>
      <c r="D758" t="inlineStr">
        <is>
          <t>GÄVLEBORGS LÄN</t>
        </is>
      </c>
      <c r="E758" t="inlineStr">
        <is>
          <t>HUDIKSVALL</t>
        </is>
      </c>
      <c r="G758" t="n">
        <v>2.7</v>
      </c>
      <c r="H758" t="n">
        <v>0</v>
      </c>
      <c r="I758" t="n">
        <v>0</v>
      </c>
      <c r="J758" t="n">
        <v>0</v>
      </c>
      <c r="K758" t="n">
        <v>0</v>
      </c>
      <c r="L758" t="n">
        <v>0</v>
      </c>
      <c r="M758" t="n">
        <v>0</v>
      </c>
      <c r="N758" t="n">
        <v>0</v>
      </c>
      <c r="O758" t="n">
        <v>0</v>
      </c>
      <c r="P758" t="n">
        <v>0</v>
      </c>
      <c r="Q758" t="n">
        <v>0</v>
      </c>
      <c r="R758" s="2" t="inlineStr"/>
    </row>
    <row r="759" ht="15" customHeight="1">
      <c r="A759" t="inlineStr">
        <is>
          <t>A 25631-2019</t>
        </is>
      </c>
      <c r="B759" s="1" t="n">
        <v>43607</v>
      </c>
      <c r="C759" s="1" t="n">
        <v>45587</v>
      </c>
      <c r="D759" t="inlineStr">
        <is>
          <t>GÄVLEBORGS LÄN</t>
        </is>
      </c>
      <c r="E759" t="inlineStr">
        <is>
          <t>OVANÅKER</t>
        </is>
      </c>
      <c r="G759" t="n">
        <v>0.7</v>
      </c>
      <c r="H759" t="n">
        <v>0</v>
      </c>
      <c r="I759" t="n">
        <v>0</v>
      </c>
      <c r="J759" t="n">
        <v>0</v>
      </c>
      <c r="K759" t="n">
        <v>0</v>
      </c>
      <c r="L759" t="n">
        <v>0</v>
      </c>
      <c r="M759" t="n">
        <v>0</v>
      </c>
      <c r="N759" t="n">
        <v>0</v>
      </c>
      <c r="O759" t="n">
        <v>0</v>
      </c>
      <c r="P759" t="n">
        <v>0</v>
      </c>
      <c r="Q759" t="n">
        <v>0</v>
      </c>
      <c r="R759" s="2" t="inlineStr"/>
    </row>
    <row r="760" ht="15" customHeight="1">
      <c r="A760" t="inlineStr">
        <is>
          <t>A 25633-2019</t>
        </is>
      </c>
      <c r="B760" s="1" t="n">
        <v>43607</v>
      </c>
      <c r="C760" s="1" t="n">
        <v>45587</v>
      </c>
      <c r="D760" t="inlineStr">
        <is>
          <t>GÄVLEBORGS LÄN</t>
        </is>
      </c>
      <c r="E760" t="inlineStr">
        <is>
          <t>SÖDERHAMN</t>
        </is>
      </c>
      <c r="G760" t="n">
        <v>1.1</v>
      </c>
      <c r="H760" t="n">
        <v>0</v>
      </c>
      <c r="I760" t="n">
        <v>0</v>
      </c>
      <c r="J760" t="n">
        <v>0</v>
      </c>
      <c r="K760" t="n">
        <v>0</v>
      </c>
      <c r="L760" t="n">
        <v>0</v>
      </c>
      <c r="M760" t="n">
        <v>0</v>
      </c>
      <c r="N760" t="n">
        <v>0</v>
      </c>
      <c r="O760" t="n">
        <v>0</v>
      </c>
      <c r="P760" t="n">
        <v>0</v>
      </c>
      <c r="Q760" t="n">
        <v>0</v>
      </c>
      <c r="R760" s="2" t="inlineStr"/>
    </row>
    <row r="761" ht="15" customHeight="1">
      <c r="A761" t="inlineStr">
        <is>
          <t>A 25898-2019</t>
        </is>
      </c>
      <c r="B761" s="1" t="n">
        <v>43608</v>
      </c>
      <c r="C761" s="1" t="n">
        <v>45587</v>
      </c>
      <c r="D761" t="inlineStr">
        <is>
          <t>GÄVLEBORGS LÄN</t>
        </is>
      </c>
      <c r="E761" t="inlineStr">
        <is>
          <t>OVANÅKER</t>
        </is>
      </c>
      <c r="G761" t="n">
        <v>2.5</v>
      </c>
      <c r="H761" t="n">
        <v>0</v>
      </c>
      <c r="I761" t="n">
        <v>0</v>
      </c>
      <c r="J761" t="n">
        <v>0</v>
      </c>
      <c r="K761" t="n">
        <v>0</v>
      </c>
      <c r="L761" t="n">
        <v>0</v>
      </c>
      <c r="M761" t="n">
        <v>0</v>
      </c>
      <c r="N761" t="n">
        <v>0</v>
      </c>
      <c r="O761" t="n">
        <v>0</v>
      </c>
      <c r="P761" t="n">
        <v>0</v>
      </c>
      <c r="Q761" t="n">
        <v>0</v>
      </c>
      <c r="R761" s="2" t="inlineStr"/>
    </row>
    <row r="762" ht="15" customHeight="1">
      <c r="A762" t="inlineStr">
        <is>
          <t>A 25756-2019</t>
        </is>
      </c>
      <c r="B762" s="1" t="n">
        <v>43608</v>
      </c>
      <c r="C762" s="1" t="n">
        <v>45587</v>
      </c>
      <c r="D762" t="inlineStr">
        <is>
          <t>GÄVLEBORGS LÄN</t>
        </is>
      </c>
      <c r="E762" t="inlineStr">
        <is>
          <t>NORDANSTIG</t>
        </is>
      </c>
      <c r="G762" t="n">
        <v>10</v>
      </c>
      <c r="H762" t="n">
        <v>0</v>
      </c>
      <c r="I762" t="n">
        <v>0</v>
      </c>
      <c r="J762" t="n">
        <v>0</v>
      </c>
      <c r="K762" t="n">
        <v>0</v>
      </c>
      <c r="L762" t="n">
        <v>0</v>
      </c>
      <c r="M762" t="n">
        <v>0</v>
      </c>
      <c r="N762" t="n">
        <v>0</v>
      </c>
      <c r="O762" t="n">
        <v>0</v>
      </c>
      <c r="P762" t="n">
        <v>0</v>
      </c>
      <c r="Q762" t="n">
        <v>0</v>
      </c>
      <c r="R762" s="2" t="inlineStr"/>
    </row>
    <row r="763" ht="15" customHeight="1">
      <c r="A763" t="inlineStr">
        <is>
          <t>A 25928-2019</t>
        </is>
      </c>
      <c r="B763" s="1" t="n">
        <v>43608</v>
      </c>
      <c r="C763" s="1" t="n">
        <v>45587</v>
      </c>
      <c r="D763" t="inlineStr">
        <is>
          <t>GÄVLEBORGS LÄN</t>
        </is>
      </c>
      <c r="E763" t="inlineStr">
        <is>
          <t>NORDANSTIG</t>
        </is>
      </c>
      <c r="G763" t="n">
        <v>3.4</v>
      </c>
      <c r="H763" t="n">
        <v>0</v>
      </c>
      <c r="I763" t="n">
        <v>0</v>
      </c>
      <c r="J763" t="n">
        <v>0</v>
      </c>
      <c r="K763" t="n">
        <v>0</v>
      </c>
      <c r="L763" t="n">
        <v>0</v>
      </c>
      <c r="M763" t="n">
        <v>0</v>
      </c>
      <c r="N763" t="n">
        <v>0</v>
      </c>
      <c r="O763" t="n">
        <v>0</v>
      </c>
      <c r="P763" t="n">
        <v>0</v>
      </c>
      <c r="Q763" t="n">
        <v>0</v>
      </c>
      <c r="R763" s="2" t="inlineStr"/>
    </row>
    <row r="764" ht="15" customHeight="1">
      <c r="A764" t="inlineStr">
        <is>
          <t>A 26013-2019</t>
        </is>
      </c>
      <c r="B764" s="1" t="n">
        <v>43608</v>
      </c>
      <c r="C764" s="1" t="n">
        <v>45587</v>
      </c>
      <c r="D764" t="inlineStr">
        <is>
          <t>GÄVLEBORGS LÄN</t>
        </is>
      </c>
      <c r="E764" t="inlineStr">
        <is>
          <t>NORDANSTIG</t>
        </is>
      </c>
      <c r="G764" t="n">
        <v>1.5</v>
      </c>
      <c r="H764" t="n">
        <v>0</v>
      </c>
      <c r="I764" t="n">
        <v>0</v>
      </c>
      <c r="J764" t="n">
        <v>0</v>
      </c>
      <c r="K764" t="n">
        <v>0</v>
      </c>
      <c r="L764" t="n">
        <v>0</v>
      </c>
      <c r="M764" t="n">
        <v>0</v>
      </c>
      <c r="N764" t="n">
        <v>0</v>
      </c>
      <c r="O764" t="n">
        <v>0</v>
      </c>
      <c r="P764" t="n">
        <v>0</v>
      </c>
      <c r="Q764" t="n">
        <v>0</v>
      </c>
      <c r="R764" s="2" t="inlineStr"/>
    </row>
    <row r="765" ht="15" customHeight="1">
      <c r="A765" t="inlineStr">
        <is>
          <t>A 26158-2019</t>
        </is>
      </c>
      <c r="B765" s="1" t="n">
        <v>43609</v>
      </c>
      <c r="C765" s="1" t="n">
        <v>45587</v>
      </c>
      <c r="D765" t="inlineStr">
        <is>
          <t>GÄVLEBORGS LÄN</t>
        </is>
      </c>
      <c r="E765" t="inlineStr">
        <is>
          <t>OVANÅKER</t>
        </is>
      </c>
      <c r="G765" t="n">
        <v>1</v>
      </c>
      <c r="H765" t="n">
        <v>0</v>
      </c>
      <c r="I765" t="n">
        <v>0</v>
      </c>
      <c r="J765" t="n">
        <v>0</v>
      </c>
      <c r="K765" t="n">
        <v>0</v>
      </c>
      <c r="L765" t="n">
        <v>0</v>
      </c>
      <c r="M765" t="n">
        <v>0</v>
      </c>
      <c r="N765" t="n">
        <v>0</v>
      </c>
      <c r="O765" t="n">
        <v>0</v>
      </c>
      <c r="P765" t="n">
        <v>0</v>
      </c>
      <c r="Q765" t="n">
        <v>0</v>
      </c>
      <c r="R765" s="2" t="inlineStr"/>
    </row>
    <row r="766" ht="15" customHeight="1">
      <c r="A766" t="inlineStr">
        <is>
          <t>A 27069-2019</t>
        </is>
      </c>
      <c r="B766" s="1" t="n">
        <v>43609</v>
      </c>
      <c r="C766" s="1" t="n">
        <v>45587</v>
      </c>
      <c r="D766" t="inlineStr">
        <is>
          <t>GÄVLEBORGS LÄN</t>
        </is>
      </c>
      <c r="E766" t="inlineStr">
        <is>
          <t>HUDIKSVALL</t>
        </is>
      </c>
      <c r="G766" t="n">
        <v>1.4</v>
      </c>
      <c r="H766" t="n">
        <v>0</v>
      </c>
      <c r="I766" t="n">
        <v>0</v>
      </c>
      <c r="J766" t="n">
        <v>0</v>
      </c>
      <c r="K766" t="n">
        <v>0</v>
      </c>
      <c r="L766" t="n">
        <v>0</v>
      </c>
      <c r="M766" t="n">
        <v>0</v>
      </c>
      <c r="N766" t="n">
        <v>0</v>
      </c>
      <c r="O766" t="n">
        <v>0</v>
      </c>
      <c r="P766" t="n">
        <v>0</v>
      </c>
      <c r="Q766" t="n">
        <v>0</v>
      </c>
      <c r="R766" s="2" t="inlineStr"/>
    </row>
    <row r="767" ht="15" customHeight="1">
      <c r="A767" t="inlineStr">
        <is>
          <t>A 27087-2019</t>
        </is>
      </c>
      <c r="B767" s="1" t="n">
        <v>43609</v>
      </c>
      <c r="C767" s="1" t="n">
        <v>45587</v>
      </c>
      <c r="D767" t="inlineStr">
        <is>
          <t>GÄVLEBORGS LÄN</t>
        </is>
      </c>
      <c r="E767" t="inlineStr">
        <is>
          <t>HUDIKSVALL</t>
        </is>
      </c>
      <c r="G767" t="n">
        <v>0.6</v>
      </c>
      <c r="H767" t="n">
        <v>0</v>
      </c>
      <c r="I767" t="n">
        <v>0</v>
      </c>
      <c r="J767" t="n">
        <v>0</v>
      </c>
      <c r="K767" t="n">
        <v>0</v>
      </c>
      <c r="L767" t="n">
        <v>0</v>
      </c>
      <c r="M767" t="n">
        <v>0</v>
      </c>
      <c r="N767" t="n">
        <v>0</v>
      </c>
      <c r="O767" t="n">
        <v>0</v>
      </c>
      <c r="P767" t="n">
        <v>0</v>
      </c>
      <c r="Q767" t="n">
        <v>0</v>
      </c>
      <c r="R767" s="2" t="inlineStr"/>
    </row>
    <row r="768" ht="15" customHeight="1">
      <c r="A768" t="inlineStr">
        <is>
          <t>A 26464-2019</t>
        </is>
      </c>
      <c r="B768" s="1" t="n">
        <v>43612</v>
      </c>
      <c r="C768" s="1" t="n">
        <v>45587</v>
      </c>
      <c r="D768" t="inlineStr">
        <is>
          <t>GÄVLEBORGS LÄN</t>
        </is>
      </c>
      <c r="E768" t="inlineStr">
        <is>
          <t>GÄVLE</t>
        </is>
      </c>
      <c r="F768" t="inlineStr">
        <is>
          <t>Bergvik skog öst AB</t>
        </is>
      </c>
      <c r="G768" t="n">
        <v>2.2</v>
      </c>
      <c r="H768" t="n">
        <v>0</v>
      </c>
      <c r="I768" t="n">
        <v>0</v>
      </c>
      <c r="J768" t="n">
        <v>0</v>
      </c>
      <c r="K768" t="n">
        <v>0</v>
      </c>
      <c r="L768" t="n">
        <v>0</v>
      </c>
      <c r="M768" t="n">
        <v>0</v>
      </c>
      <c r="N768" t="n">
        <v>0</v>
      </c>
      <c r="O768" t="n">
        <v>0</v>
      </c>
      <c r="P768" t="n">
        <v>0</v>
      </c>
      <c r="Q768" t="n">
        <v>0</v>
      </c>
      <c r="R768" s="2" t="inlineStr"/>
    </row>
    <row r="769" ht="15" customHeight="1">
      <c r="A769" t="inlineStr">
        <is>
          <t>A 26451-2019</t>
        </is>
      </c>
      <c r="B769" s="1" t="n">
        <v>43612</v>
      </c>
      <c r="C769" s="1" t="n">
        <v>45587</v>
      </c>
      <c r="D769" t="inlineStr">
        <is>
          <t>GÄVLEBORGS LÄN</t>
        </is>
      </c>
      <c r="E769" t="inlineStr">
        <is>
          <t>LJUSDAL</t>
        </is>
      </c>
      <c r="F769" t="inlineStr">
        <is>
          <t>Sveaskog</t>
        </is>
      </c>
      <c r="G769" t="n">
        <v>1.6</v>
      </c>
      <c r="H769" t="n">
        <v>0</v>
      </c>
      <c r="I769" t="n">
        <v>0</v>
      </c>
      <c r="J769" t="n">
        <v>0</v>
      </c>
      <c r="K769" t="n">
        <v>0</v>
      </c>
      <c r="L769" t="n">
        <v>0</v>
      </c>
      <c r="M769" t="n">
        <v>0</v>
      </c>
      <c r="N769" t="n">
        <v>0</v>
      </c>
      <c r="O769" t="n">
        <v>0</v>
      </c>
      <c r="P769" t="n">
        <v>0</v>
      </c>
      <c r="Q769" t="n">
        <v>0</v>
      </c>
      <c r="R769" s="2" t="inlineStr"/>
    </row>
    <row r="770" ht="15" customHeight="1">
      <c r="A770" t="inlineStr">
        <is>
          <t>A 26543-2019</t>
        </is>
      </c>
      <c r="B770" s="1" t="n">
        <v>43612</v>
      </c>
      <c r="C770" s="1" t="n">
        <v>45587</v>
      </c>
      <c r="D770" t="inlineStr">
        <is>
          <t>GÄVLEBORGS LÄN</t>
        </is>
      </c>
      <c r="E770" t="inlineStr">
        <is>
          <t>BOLLNÄS</t>
        </is>
      </c>
      <c r="G770" t="n">
        <v>4.1</v>
      </c>
      <c r="H770" t="n">
        <v>0</v>
      </c>
      <c r="I770" t="n">
        <v>0</v>
      </c>
      <c r="J770" t="n">
        <v>0</v>
      </c>
      <c r="K770" t="n">
        <v>0</v>
      </c>
      <c r="L770" t="n">
        <v>0</v>
      </c>
      <c r="M770" t="n">
        <v>0</v>
      </c>
      <c r="N770" t="n">
        <v>0</v>
      </c>
      <c r="O770" t="n">
        <v>0</v>
      </c>
      <c r="P770" t="n">
        <v>0</v>
      </c>
      <c r="Q770" t="n">
        <v>0</v>
      </c>
      <c r="R770" s="2" t="inlineStr"/>
    </row>
    <row r="771" ht="15" customHeight="1">
      <c r="A771" t="inlineStr">
        <is>
          <t>A 26317-2019</t>
        </is>
      </c>
      <c r="B771" s="1" t="n">
        <v>43612</v>
      </c>
      <c r="C771" s="1" t="n">
        <v>45587</v>
      </c>
      <c r="D771" t="inlineStr">
        <is>
          <t>GÄVLEBORGS LÄN</t>
        </is>
      </c>
      <c r="E771" t="inlineStr">
        <is>
          <t>HUDIKSVALL</t>
        </is>
      </c>
      <c r="G771" t="n">
        <v>5.9</v>
      </c>
      <c r="H771" t="n">
        <v>0</v>
      </c>
      <c r="I771" t="n">
        <v>0</v>
      </c>
      <c r="J771" t="n">
        <v>0</v>
      </c>
      <c r="K771" t="n">
        <v>0</v>
      </c>
      <c r="L771" t="n">
        <v>0</v>
      </c>
      <c r="M771" t="n">
        <v>0</v>
      </c>
      <c r="N771" t="n">
        <v>0</v>
      </c>
      <c r="O771" t="n">
        <v>0</v>
      </c>
      <c r="P771" t="n">
        <v>0</v>
      </c>
      <c r="Q771" t="n">
        <v>0</v>
      </c>
      <c r="R771" s="2" t="inlineStr"/>
    </row>
    <row r="772" ht="15" customHeight="1">
      <c r="A772" t="inlineStr">
        <is>
          <t>A 26840-2019</t>
        </is>
      </c>
      <c r="B772" s="1" t="n">
        <v>43613</v>
      </c>
      <c r="C772" s="1" t="n">
        <v>45587</v>
      </c>
      <c r="D772" t="inlineStr">
        <is>
          <t>GÄVLEBORGS LÄN</t>
        </is>
      </c>
      <c r="E772" t="inlineStr">
        <is>
          <t>LJUSDAL</t>
        </is>
      </c>
      <c r="F772" t="inlineStr">
        <is>
          <t>Bergvik skog väst AB</t>
        </is>
      </c>
      <c r="G772" t="n">
        <v>13.8</v>
      </c>
      <c r="H772" t="n">
        <v>0</v>
      </c>
      <c r="I772" t="n">
        <v>0</v>
      </c>
      <c r="J772" t="n">
        <v>0</v>
      </c>
      <c r="K772" t="n">
        <v>0</v>
      </c>
      <c r="L772" t="n">
        <v>0</v>
      </c>
      <c r="M772" t="n">
        <v>0</v>
      </c>
      <c r="N772" t="n">
        <v>0</v>
      </c>
      <c r="O772" t="n">
        <v>0</v>
      </c>
      <c r="P772" t="n">
        <v>0</v>
      </c>
      <c r="Q772" t="n">
        <v>0</v>
      </c>
      <c r="R772" s="2" t="inlineStr"/>
    </row>
    <row r="773" ht="15" customHeight="1">
      <c r="A773" t="inlineStr">
        <is>
          <t>A 26894-2019</t>
        </is>
      </c>
      <c r="B773" s="1" t="n">
        <v>43613</v>
      </c>
      <c r="C773" s="1" t="n">
        <v>45587</v>
      </c>
      <c r="D773" t="inlineStr">
        <is>
          <t>GÄVLEBORGS LÄN</t>
        </is>
      </c>
      <c r="E773" t="inlineStr">
        <is>
          <t>SÖDERHAMN</t>
        </is>
      </c>
      <c r="G773" t="n">
        <v>3.2</v>
      </c>
      <c r="H773" t="n">
        <v>0</v>
      </c>
      <c r="I773" t="n">
        <v>0</v>
      </c>
      <c r="J773" t="n">
        <v>0</v>
      </c>
      <c r="K773" t="n">
        <v>0</v>
      </c>
      <c r="L773" t="n">
        <v>0</v>
      </c>
      <c r="M773" t="n">
        <v>0</v>
      </c>
      <c r="N773" t="n">
        <v>0</v>
      </c>
      <c r="O773" t="n">
        <v>0</v>
      </c>
      <c r="P773" t="n">
        <v>0</v>
      </c>
      <c r="Q773" t="n">
        <v>0</v>
      </c>
      <c r="R773" s="2" t="inlineStr"/>
    </row>
    <row r="774" ht="15" customHeight="1">
      <c r="A774" t="inlineStr">
        <is>
          <t>A 26880-2019</t>
        </is>
      </c>
      <c r="B774" s="1" t="n">
        <v>43613</v>
      </c>
      <c r="C774" s="1" t="n">
        <v>45587</v>
      </c>
      <c r="D774" t="inlineStr">
        <is>
          <t>GÄVLEBORGS LÄN</t>
        </is>
      </c>
      <c r="E774" t="inlineStr">
        <is>
          <t>HUDIKSVALL</t>
        </is>
      </c>
      <c r="F774" t="inlineStr">
        <is>
          <t>Holmen skog AB</t>
        </is>
      </c>
      <c r="G774" t="n">
        <v>0.9</v>
      </c>
      <c r="H774" t="n">
        <v>0</v>
      </c>
      <c r="I774" t="n">
        <v>0</v>
      </c>
      <c r="J774" t="n">
        <v>0</v>
      </c>
      <c r="K774" t="n">
        <v>0</v>
      </c>
      <c r="L774" t="n">
        <v>0</v>
      </c>
      <c r="M774" t="n">
        <v>0</v>
      </c>
      <c r="N774" t="n">
        <v>0</v>
      </c>
      <c r="O774" t="n">
        <v>0</v>
      </c>
      <c r="P774" t="n">
        <v>0</v>
      </c>
      <c r="Q774" t="n">
        <v>0</v>
      </c>
      <c r="R774" s="2" t="inlineStr"/>
    </row>
    <row r="775" ht="15" customHeight="1">
      <c r="A775" t="inlineStr">
        <is>
          <t>A 26673-2019</t>
        </is>
      </c>
      <c r="B775" s="1" t="n">
        <v>43613</v>
      </c>
      <c r="C775" s="1" t="n">
        <v>45587</v>
      </c>
      <c r="D775" t="inlineStr">
        <is>
          <t>GÄVLEBORGS LÄN</t>
        </is>
      </c>
      <c r="E775" t="inlineStr">
        <is>
          <t>OVANÅKER</t>
        </is>
      </c>
      <c r="G775" t="n">
        <v>5.2</v>
      </c>
      <c r="H775" t="n">
        <v>0</v>
      </c>
      <c r="I775" t="n">
        <v>0</v>
      </c>
      <c r="J775" t="n">
        <v>0</v>
      </c>
      <c r="K775" t="n">
        <v>0</v>
      </c>
      <c r="L775" t="n">
        <v>0</v>
      </c>
      <c r="M775" t="n">
        <v>0</v>
      </c>
      <c r="N775" t="n">
        <v>0</v>
      </c>
      <c r="O775" t="n">
        <v>0</v>
      </c>
      <c r="P775" t="n">
        <v>0</v>
      </c>
      <c r="Q775" t="n">
        <v>0</v>
      </c>
      <c r="R775" s="2" t="inlineStr"/>
    </row>
    <row r="776" ht="15" customHeight="1">
      <c r="A776" t="inlineStr">
        <is>
          <t>A 26997-2019</t>
        </is>
      </c>
      <c r="B776" s="1" t="n">
        <v>43614</v>
      </c>
      <c r="C776" s="1" t="n">
        <v>45587</v>
      </c>
      <c r="D776" t="inlineStr">
        <is>
          <t>GÄVLEBORGS LÄN</t>
        </is>
      </c>
      <c r="E776" t="inlineStr">
        <is>
          <t>OVANÅKER</t>
        </is>
      </c>
      <c r="F776" t="inlineStr">
        <is>
          <t>Bergvik skog väst AB</t>
        </is>
      </c>
      <c r="G776" t="n">
        <v>1.1</v>
      </c>
      <c r="H776" t="n">
        <v>0</v>
      </c>
      <c r="I776" t="n">
        <v>0</v>
      </c>
      <c r="J776" t="n">
        <v>0</v>
      </c>
      <c r="K776" t="n">
        <v>0</v>
      </c>
      <c r="L776" t="n">
        <v>0</v>
      </c>
      <c r="M776" t="n">
        <v>0</v>
      </c>
      <c r="N776" t="n">
        <v>0</v>
      </c>
      <c r="O776" t="n">
        <v>0</v>
      </c>
      <c r="P776" t="n">
        <v>0</v>
      </c>
      <c r="Q776" t="n">
        <v>0</v>
      </c>
      <c r="R776" s="2" t="inlineStr"/>
    </row>
    <row r="777" ht="15" customHeight="1">
      <c r="A777" t="inlineStr">
        <is>
          <t>A 27152-2019</t>
        </is>
      </c>
      <c r="B777" s="1" t="n">
        <v>43614</v>
      </c>
      <c r="C777" s="1" t="n">
        <v>45587</v>
      </c>
      <c r="D777" t="inlineStr">
        <is>
          <t>GÄVLEBORGS LÄN</t>
        </is>
      </c>
      <c r="E777" t="inlineStr">
        <is>
          <t>SANDVIKEN</t>
        </is>
      </c>
      <c r="G777" t="n">
        <v>8.4</v>
      </c>
      <c r="H777" t="n">
        <v>0</v>
      </c>
      <c r="I777" t="n">
        <v>0</v>
      </c>
      <c r="J777" t="n">
        <v>0</v>
      </c>
      <c r="K777" t="n">
        <v>0</v>
      </c>
      <c r="L777" t="n">
        <v>0</v>
      </c>
      <c r="M777" t="n">
        <v>0</v>
      </c>
      <c r="N777" t="n">
        <v>0</v>
      </c>
      <c r="O777" t="n">
        <v>0</v>
      </c>
      <c r="P777" t="n">
        <v>0</v>
      </c>
      <c r="Q777" t="n">
        <v>0</v>
      </c>
      <c r="R777" s="2" t="inlineStr"/>
    </row>
    <row r="778" ht="15" customHeight="1">
      <c r="A778" t="inlineStr">
        <is>
          <t>A 26995-2019</t>
        </is>
      </c>
      <c r="B778" s="1" t="n">
        <v>43614</v>
      </c>
      <c r="C778" s="1" t="n">
        <v>45587</v>
      </c>
      <c r="D778" t="inlineStr">
        <is>
          <t>GÄVLEBORGS LÄN</t>
        </is>
      </c>
      <c r="E778" t="inlineStr">
        <is>
          <t>OVANÅKER</t>
        </is>
      </c>
      <c r="F778" t="inlineStr">
        <is>
          <t>Bergvik skog väst AB</t>
        </is>
      </c>
      <c r="G778" t="n">
        <v>1.8</v>
      </c>
      <c r="H778" t="n">
        <v>0</v>
      </c>
      <c r="I778" t="n">
        <v>0</v>
      </c>
      <c r="J778" t="n">
        <v>0</v>
      </c>
      <c r="K778" t="n">
        <v>0</v>
      </c>
      <c r="L778" t="n">
        <v>0</v>
      </c>
      <c r="M778" t="n">
        <v>0</v>
      </c>
      <c r="N778" t="n">
        <v>0</v>
      </c>
      <c r="O778" t="n">
        <v>0</v>
      </c>
      <c r="P778" t="n">
        <v>0</v>
      </c>
      <c r="Q778" t="n">
        <v>0</v>
      </c>
      <c r="R778" s="2" t="inlineStr"/>
    </row>
    <row r="779" ht="15" customHeight="1">
      <c r="A779" t="inlineStr">
        <is>
          <t>A 27176-2019</t>
        </is>
      </c>
      <c r="B779" s="1" t="n">
        <v>43614</v>
      </c>
      <c r="C779" s="1" t="n">
        <v>45587</v>
      </c>
      <c r="D779" t="inlineStr">
        <is>
          <t>GÄVLEBORGS LÄN</t>
        </is>
      </c>
      <c r="E779" t="inlineStr">
        <is>
          <t>NORDANSTIG</t>
        </is>
      </c>
      <c r="F779" t="inlineStr">
        <is>
          <t>Holmen skog AB</t>
        </is>
      </c>
      <c r="G779" t="n">
        <v>0.5</v>
      </c>
      <c r="H779" t="n">
        <v>0</v>
      </c>
      <c r="I779" t="n">
        <v>0</v>
      </c>
      <c r="J779" t="n">
        <v>0</v>
      </c>
      <c r="K779" t="n">
        <v>0</v>
      </c>
      <c r="L779" t="n">
        <v>0</v>
      </c>
      <c r="M779" t="n">
        <v>0</v>
      </c>
      <c r="N779" t="n">
        <v>0</v>
      </c>
      <c r="O779" t="n">
        <v>0</v>
      </c>
      <c r="P779" t="n">
        <v>0</v>
      </c>
      <c r="Q779" t="n">
        <v>0</v>
      </c>
      <c r="R779" s="2" t="inlineStr"/>
    </row>
    <row r="780" ht="15" customHeight="1">
      <c r="A780" t="inlineStr">
        <is>
          <t>A 27118-2019</t>
        </is>
      </c>
      <c r="B780" s="1" t="n">
        <v>43614</v>
      </c>
      <c r="C780" s="1" t="n">
        <v>45587</v>
      </c>
      <c r="D780" t="inlineStr">
        <is>
          <t>GÄVLEBORGS LÄN</t>
        </is>
      </c>
      <c r="E780" t="inlineStr">
        <is>
          <t>GÄVLE</t>
        </is>
      </c>
      <c r="G780" t="n">
        <v>3.3</v>
      </c>
      <c r="H780" t="n">
        <v>0</v>
      </c>
      <c r="I780" t="n">
        <v>0</v>
      </c>
      <c r="J780" t="n">
        <v>0</v>
      </c>
      <c r="K780" t="n">
        <v>0</v>
      </c>
      <c r="L780" t="n">
        <v>0</v>
      </c>
      <c r="M780" t="n">
        <v>0</v>
      </c>
      <c r="N780" t="n">
        <v>0</v>
      </c>
      <c r="O780" t="n">
        <v>0</v>
      </c>
      <c r="P780" t="n">
        <v>0</v>
      </c>
      <c r="Q780" t="n">
        <v>0</v>
      </c>
      <c r="R780" s="2" t="inlineStr"/>
    </row>
    <row r="781" ht="15" customHeight="1">
      <c r="A781" t="inlineStr">
        <is>
          <t>A 27133-2019</t>
        </is>
      </c>
      <c r="B781" s="1" t="n">
        <v>43614</v>
      </c>
      <c r="C781" s="1" t="n">
        <v>45587</v>
      </c>
      <c r="D781" t="inlineStr">
        <is>
          <t>GÄVLEBORGS LÄN</t>
        </is>
      </c>
      <c r="E781" t="inlineStr">
        <is>
          <t>BOLLNÄS</t>
        </is>
      </c>
      <c r="G781" t="n">
        <v>0.5</v>
      </c>
      <c r="H781" t="n">
        <v>0</v>
      </c>
      <c r="I781" t="n">
        <v>0</v>
      </c>
      <c r="J781" t="n">
        <v>0</v>
      </c>
      <c r="K781" t="n">
        <v>0</v>
      </c>
      <c r="L781" t="n">
        <v>0</v>
      </c>
      <c r="M781" t="n">
        <v>0</v>
      </c>
      <c r="N781" t="n">
        <v>0</v>
      </c>
      <c r="O781" t="n">
        <v>0</v>
      </c>
      <c r="P781" t="n">
        <v>0</v>
      </c>
      <c r="Q781" t="n">
        <v>0</v>
      </c>
      <c r="R781" s="2" t="inlineStr"/>
    </row>
    <row r="782" ht="15" customHeight="1">
      <c r="A782" t="inlineStr">
        <is>
          <t>A 26983-2019</t>
        </is>
      </c>
      <c r="B782" s="1" t="n">
        <v>43614</v>
      </c>
      <c r="C782" s="1" t="n">
        <v>45587</v>
      </c>
      <c r="D782" t="inlineStr">
        <is>
          <t>GÄVLEBORGS LÄN</t>
        </is>
      </c>
      <c r="E782" t="inlineStr">
        <is>
          <t>OVANÅKER</t>
        </is>
      </c>
      <c r="F782" t="inlineStr">
        <is>
          <t>Bergvik skog väst AB</t>
        </is>
      </c>
      <c r="G782" t="n">
        <v>0.8</v>
      </c>
      <c r="H782" t="n">
        <v>0</v>
      </c>
      <c r="I782" t="n">
        <v>0</v>
      </c>
      <c r="J782" t="n">
        <v>0</v>
      </c>
      <c r="K782" t="n">
        <v>0</v>
      </c>
      <c r="L782" t="n">
        <v>0</v>
      </c>
      <c r="M782" t="n">
        <v>0</v>
      </c>
      <c r="N782" t="n">
        <v>0</v>
      </c>
      <c r="O782" t="n">
        <v>0</v>
      </c>
      <c r="P782" t="n">
        <v>0</v>
      </c>
      <c r="Q782" t="n">
        <v>0</v>
      </c>
      <c r="R782" s="2" t="inlineStr"/>
    </row>
    <row r="783" ht="15" customHeight="1">
      <c r="A783" t="inlineStr">
        <is>
          <t>A 27405-2019</t>
        </is>
      </c>
      <c r="B783" s="1" t="n">
        <v>43616</v>
      </c>
      <c r="C783" s="1" t="n">
        <v>45587</v>
      </c>
      <c r="D783" t="inlineStr">
        <is>
          <t>GÄVLEBORGS LÄN</t>
        </is>
      </c>
      <c r="E783" t="inlineStr">
        <is>
          <t>OVANÅKER</t>
        </is>
      </c>
      <c r="F783" t="inlineStr">
        <is>
          <t>Bergvik skog väst AB</t>
        </is>
      </c>
      <c r="G783" t="n">
        <v>1.2</v>
      </c>
      <c r="H783" t="n">
        <v>0</v>
      </c>
      <c r="I783" t="n">
        <v>0</v>
      </c>
      <c r="J783" t="n">
        <v>0</v>
      </c>
      <c r="K783" t="n">
        <v>0</v>
      </c>
      <c r="L783" t="n">
        <v>0</v>
      </c>
      <c r="M783" t="n">
        <v>0</v>
      </c>
      <c r="N783" t="n">
        <v>0</v>
      </c>
      <c r="O783" t="n">
        <v>0</v>
      </c>
      <c r="P783" t="n">
        <v>0</v>
      </c>
      <c r="Q783" t="n">
        <v>0</v>
      </c>
      <c r="R783" s="2" t="inlineStr"/>
    </row>
    <row r="784" ht="15" customHeight="1">
      <c r="A784" t="inlineStr">
        <is>
          <t>A 27301-2019</t>
        </is>
      </c>
      <c r="B784" s="1" t="n">
        <v>43616</v>
      </c>
      <c r="C784" s="1" t="n">
        <v>45587</v>
      </c>
      <c r="D784" t="inlineStr">
        <is>
          <t>GÄVLEBORGS LÄN</t>
        </is>
      </c>
      <c r="E784" t="inlineStr">
        <is>
          <t>OVANÅKER</t>
        </is>
      </c>
      <c r="F784" t="inlineStr">
        <is>
          <t>Bergvik skog väst AB</t>
        </is>
      </c>
      <c r="G784" t="n">
        <v>0.4</v>
      </c>
      <c r="H784" t="n">
        <v>0</v>
      </c>
      <c r="I784" t="n">
        <v>0</v>
      </c>
      <c r="J784" t="n">
        <v>0</v>
      </c>
      <c r="K784" t="n">
        <v>0</v>
      </c>
      <c r="L784" t="n">
        <v>0</v>
      </c>
      <c r="M784" t="n">
        <v>0</v>
      </c>
      <c r="N784" t="n">
        <v>0</v>
      </c>
      <c r="O784" t="n">
        <v>0</v>
      </c>
      <c r="P784" t="n">
        <v>0</v>
      </c>
      <c r="Q784" t="n">
        <v>0</v>
      </c>
      <c r="R784" s="2" t="inlineStr"/>
    </row>
    <row r="785" ht="15" customHeight="1">
      <c r="A785" t="inlineStr">
        <is>
          <t>A 27373-2019</t>
        </is>
      </c>
      <c r="B785" s="1" t="n">
        <v>43616</v>
      </c>
      <c r="C785" s="1" t="n">
        <v>45587</v>
      </c>
      <c r="D785" t="inlineStr">
        <is>
          <t>GÄVLEBORGS LÄN</t>
        </is>
      </c>
      <c r="E785" t="inlineStr">
        <is>
          <t>HUDIKSVALL</t>
        </is>
      </c>
      <c r="G785" t="n">
        <v>1.5</v>
      </c>
      <c r="H785" t="n">
        <v>0</v>
      </c>
      <c r="I785" t="n">
        <v>0</v>
      </c>
      <c r="J785" t="n">
        <v>0</v>
      </c>
      <c r="K785" t="n">
        <v>0</v>
      </c>
      <c r="L785" t="n">
        <v>0</v>
      </c>
      <c r="M785" t="n">
        <v>0</v>
      </c>
      <c r="N785" t="n">
        <v>0</v>
      </c>
      <c r="O785" t="n">
        <v>0</v>
      </c>
      <c r="P785" t="n">
        <v>0</v>
      </c>
      <c r="Q785" t="n">
        <v>0</v>
      </c>
      <c r="R785" s="2" t="inlineStr"/>
    </row>
    <row r="786" ht="15" customHeight="1">
      <c r="A786" t="inlineStr">
        <is>
          <t>A 27298-2019</t>
        </is>
      </c>
      <c r="B786" s="1" t="n">
        <v>43616</v>
      </c>
      <c r="C786" s="1" t="n">
        <v>45587</v>
      </c>
      <c r="D786" t="inlineStr">
        <is>
          <t>GÄVLEBORGS LÄN</t>
        </is>
      </c>
      <c r="E786" t="inlineStr">
        <is>
          <t>LJUSDAL</t>
        </is>
      </c>
      <c r="F786" t="inlineStr">
        <is>
          <t>Bergvik skog väst AB</t>
        </is>
      </c>
      <c r="G786" t="n">
        <v>6.9</v>
      </c>
      <c r="H786" t="n">
        <v>0</v>
      </c>
      <c r="I786" t="n">
        <v>0</v>
      </c>
      <c r="J786" t="n">
        <v>0</v>
      </c>
      <c r="K786" t="n">
        <v>0</v>
      </c>
      <c r="L786" t="n">
        <v>0</v>
      </c>
      <c r="M786" t="n">
        <v>0</v>
      </c>
      <c r="N786" t="n">
        <v>0</v>
      </c>
      <c r="O786" t="n">
        <v>0</v>
      </c>
      <c r="P786" t="n">
        <v>0</v>
      </c>
      <c r="Q786" t="n">
        <v>0</v>
      </c>
      <c r="R786" s="2" t="inlineStr"/>
    </row>
    <row r="787" ht="15" customHeight="1">
      <c r="A787" t="inlineStr">
        <is>
          <t>A 27403-2019</t>
        </is>
      </c>
      <c r="B787" s="1" t="n">
        <v>43616</v>
      </c>
      <c r="C787" s="1" t="n">
        <v>45587</v>
      </c>
      <c r="D787" t="inlineStr">
        <is>
          <t>GÄVLEBORGS LÄN</t>
        </is>
      </c>
      <c r="E787" t="inlineStr">
        <is>
          <t>OVANÅKER</t>
        </is>
      </c>
      <c r="F787" t="inlineStr">
        <is>
          <t>Bergvik skog väst AB</t>
        </is>
      </c>
      <c r="G787" t="n">
        <v>1.9</v>
      </c>
      <c r="H787" t="n">
        <v>0</v>
      </c>
      <c r="I787" t="n">
        <v>0</v>
      </c>
      <c r="J787" t="n">
        <v>0</v>
      </c>
      <c r="K787" t="n">
        <v>0</v>
      </c>
      <c r="L787" t="n">
        <v>0</v>
      </c>
      <c r="M787" t="n">
        <v>0</v>
      </c>
      <c r="N787" t="n">
        <v>0</v>
      </c>
      <c r="O787" t="n">
        <v>0</v>
      </c>
      <c r="P787" t="n">
        <v>0</v>
      </c>
      <c r="Q787" t="n">
        <v>0</v>
      </c>
      <c r="R787" s="2" t="inlineStr"/>
    </row>
    <row r="788" ht="15" customHeight="1">
      <c r="A788" t="inlineStr">
        <is>
          <t>A 27314-2019</t>
        </is>
      </c>
      <c r="B788" s="1" t="n">
        <v>43616</v>
      </c>
      <c r="C788" s="1" t="n">
        <v>45587</v>
      </c>
      <c r="D788" t="inlineStr">
        <is>
          <t>GÄVLEBORGS LÄN</t>
        </is>
      </c>
      <c r="E788" t="inlineStr">
        <is>
          <t>OVANÅKER</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27305-2019</t>
        </is>
      </c>
      <c r="B789" s="1" t="n">
        <v>43616</v>
      </c>
      <c r="C789" s="1" t="n">
        <v>45587</v>
      </c>
      <c r="D789" t="inlineStr">
        <is>
          <t>GÄVLEBORGS LÄN</t>
        </is>
      </c>
      <c r="E789" t="inlineStr">
        <is>
          <t>OVANÅKER</t>
        </is>
      </c>
      <c r="F789" t="inlineStr">
        <is>
          <t>Bergvik skog väst AB</t>
        </is>
      </c>
      <c r="G789" t="n">
        <v>1</v>
      </c>
      <c r="H789" t="n">
        <v>0</v>
      </c>
      <c r="I789" t="n">
        <v>0</v>
      </c>
      <c r="J789" t="n">
        <v>0</v>
      </c>
      <c r="K789" t="n">
        <v>0</v>
      </c>
      <c r="L789" t="n">
        <v>0</v>
      </c>
      <c r="M789" t="n">
        <v>0</v>
      </c>
      <c r="N789" t="n">
        <v>0</v>
      </c>
      <c r="O789" t="n">
        <v>0</v>
      </c>
      <c r="P789" t="n">
        <v>0</v>
      </c>
      <c r="Q789" t="n">
        <v>0</v>
      </c>
      <c r="R789" s="2" t="inlineStr"/>
    </row>
    <row r="790" ht="15" customHeight="1">
      <c r="A790" t="inlineStr">
        <is>
          <t>A 27295-2019</t>
        </is>
      </c>
      <c r="B790" s="1" t="n">
        <v>43616</v>
      </c>
      <c r="C790" s="1" t="n">
        <v>45587</v>
      </c>
      <c r="D790" t="inlineStr">
        <is>
          <t>GÄVLEBORGS LÄN</t>
        </is>
      </c>
      <c r="E790" t="inlineStr">
        <is>
          <t>OVANÅKER</t>
        </is>
      </c>
      <c r="F790" t="inlineStr">
        <is>
          <t>Bergvik skog väst AB</t>
        </is>
      </c>
      <c r="G790" t="n">
        <v>0.5</v>
      </c>
      <c r="H790" t="n">
        <v>0</v>
      </c>
      <c r="I790" t="n">
        <v>0</v>
      </c>
      <c r="J790" t="n">
        <v>0</v>
      </c>
      <c r="K790" t="n">
        <v>0</v>
      </c>
      <c r="L790" t="n">
        <v>0</v>
      </c>
      <c r="M790" t="n">
        <v>0</v>
      </c>
      <c r="N790" t="n">
        <v>0</v>
      </c>
      <c r="O790" t="n">
        <v>0</v>
      </c>
      <c r="P790" t="n">
        <v>0</v>
      </c>
      <c r="Q790" t="n">
        <v>0</v>
      </c>
      <c r="R790" s="2" t="inlineStr"/>
    </row>
    <row r="791" ht="15" customHeight="1">
      <c r="A791" t="inlineStr">
        <is>
          <t>A 27455-2019</t>
        </is>
      </c>
      <c r="B791" s="1" t="n">
        <v>43618</v>
      </c>
      <c r="C791" s="1" t="n">
        <v>45587</v>
      </c>
      <c r="D791" t="inlineStr">
        <is>
          <t>GÄVLEBORGS LÄN</t>
        </is>
      </c>
      <c r="E791" t="inlineStr">
        <is>
          <t>NORDANSTIG</t>
        </is>
      </c>
      <c r="G791" t="n">
        <v>2.1</v>
      </c>
      <c r="H791" t="n">
        <v>0</v>
      </c>
      <c r="I791" t="n">
        <v>0</v>
      </c>
      <c r="J791" t="n">
        <v>0</v>
      </c>
      <c r="K791" t="n">
        <v>0</v>
      </c>
      <c r="L791" t="n">
        <v>0</v>
      </c>
      <c r="M791" t="n">
        <v>0</v>
      </c>
      <c r="N791" t="n">
        <v>0</v>
      </c>
      <c r="O791" t="n">
        <v>0</v>
      </c>
      <c r="P791" t="n">
        <v>0</v>
      </c>
      <c r="Q791" t="n">
        <v>0</v>
      </c>
      <c r="R791" s="2" t="inlineStr"/>
    </row>
    <row r="792" ht="15" customHeight="1">
      <c r="A792" t="inlineStr">
        <is>
          <t>A 27456-2019</t>
        </is>
      </c>
      <c r="B792" s="1" t="n">
        <v>43618</v>
      </c>
      <c r="C792" s="1" t="n">
        <v>45587</v>
      </c>
      <c r="D792" t="inlineStr">
        <is>
          <t>GÄVLEBORGS LÄN</t>
        </is>
      </c>
      <c r="E792" t="inlineStr">
        <is>
          <t>NORDANSTIG</t>
        </is>
      </c>
      <c r="G792" t="n">
        <v>1.5</v>
      </c>
      <c r="H792" t="n">
        <v>0</v>
      </c>
      <c r="I792" t="n">
        <v>0</v>
      </c>
      <c r="J792" t="n">
        <v>0</v>
      </c>
      <c r="K792" t="n">
        <v>0</v>
      </c>
      <c r="L792" t="n">
        <v>0</v>
      </c>
      <c r="M792" t="n">
        <v>0</v>
      </c>
      <c r="N792" t="n">
        <v>0</v>
      </c>
      <c r="O792" t="n">
        <v>0</v>
      </c>
      <c r="P792" t="n">
        <v>0</v>
      </c>
      <c r="Q792" t="n">
        <v>0</v>
      </c>
      <c r="R792" s="2" t="inlineStr"/>
    </row>
    <row r="793" ht="15" customHeight="1">
      <c r="A793" t="inlineStr">
        <is>
          <t>A 27457-2019</t>
        </is>
      </c>
      <c r="B793" s="1" t="n">
        <v>43618</v>
      </c>
      <c r="C793" s="1" t="n">
        <v>45587</v>
      </c>
      <c r="D793" t="inlineStr">
        <is>
          <t>GÄVLEBORGS LÄN</t>
        </is>
      </c>
      <c r="E793" t="inlineStr">
        <is>
          <t>NORDANSTIG</t>
        </is>
      </c>
      <c r="G793" t="n">
        <v>2.3</v>
      </c>
      <c r="H793" t="n">
        <v>0</v>
      </c>
      <c r="I793" t="n">
        <v>0</v>
      </c>
      <c r="J793" t="n">
        <v>0</v>
      </c>
      <c r="K793" t="n">
        <v>0</v>
      </c>
      <c r="L793" t="n">
        <v>0</v>
      </c>
      <c r="M793" t="n">
        <v>0</v>
      </c>
      <c r="N793" t="n">
        <v>0</v>
      </c>
      <c r="O793" t="n">
        <v>0</v>
      </c>
      <c r="P793" t="n">
        <v>0</v>
      </c>
      <c r="Q793" t="n">
        <v>0</v>
      </c>
      <c r="R793" s="2" t="inlineStr"/>
    </row>
    <row r="794" ht="15" customHeight="1">
      <c r="A794" t="inlineStr">
        <is>
          <t>A 27453-2019</t>
        </is>
      </c>
      <c r="B794" s="1" t="n">
        <v>43618</v>
      </c>
      <c r="C794" s="1" t="n">
        <v>45587</v>
      </c>
      <c r="D794" t="inlineStr">
        <is>
          <t>GÄVLEBORGS LÄN</t>
        </is>
      </c>
      <c r="E794" t="inlineStr">
        <is>
          <t>NORDANSTIG</t>
        </is>
      </c>
      <c r="G794" t="n">
        <v>0.7</v>
      </c>
      <c r="H794" t="n">
        <v>0</v>
      </c>
      <c r="I794" t="n">
        <v>0</v>
      </c>
      <c r="J794" t="n">
        <v>0</v>
      </c>
      <c r="K794" t="n">
        <v>0</v>
      </c>
      <c r="L794" t="n">
        <v>0</v>
      </c>
      <c r="M794" t="n">
        <v>0</v>
      </c>
      <c r="N794" t="n">
        <v>0</v>
      </c>
      <c r="O794" t="n">
        <v>0</v>
      </c>
      <c r="P794" t="n">
        <v>0</v>
      </c>
      <c r="Q794" t="n">
        <v>0</v>
      </c>
      <c r="R794" s="2" t="inlineStr"/>
    </row>
    <row r="795" ht="15" customHeight="1">
      <c r="A795" t="inlineStr">
        <is>
          <t>A 27477-2019</t>
        </is>
      </c>
      <c r="B795" s="1" t="n">
        <v>43619</v>
      </c>
      <c r="C795" s="1" t="n">
        <v>45587</v>
      </c>
      <c r="D795" t="inlineStr">
        <is>
          <t>GÄVLEBORGS LÄN</t>
        </is>
      </c>
      <c r="E795" t="inlineStr">
        <is>
          <t>LJUSDAL</t>
        </is>
      </c>
      <c r="G795" t="n">
        <v>0.8</v>
      </c>
      <c r="H795" t="n">
        <v>0</v>
      </c>
      <c r="I795" t="n">
        <v>0</v>
      </c>
      <c r="J795" t="n">
        <v>0</v>
      </c>
      <c r="K795" t="n">
        <v>0</v>
      </c>
      <c r="L795" t="n">
        <v>0</v>
      </c>
      <c r="M795" t="n">
        <v>0</v>
      </c>
      <c r="N795" t="n">
        <v>0</v>
      </c>
      <c r="O795" t="n">
        <v>0</v>
      </c>
      <c r="P795" t="n">
        <v>0</v>
      </c>
      <c r="Q795" t="n">
        <v>0</v>
      </c>
      <c r="R795" s="2" t="inlineStr"/>
    </row>
    <row r="796" ht="15" customHeight="1">
      <c r="A796" t="inlineStr">
        <is>
          <t>A 27493-2019</t>
        </is>
      </c>
      <c r="B796" s="1" t="n">
        <v>43619</v>
      </c>
      <c r="C796" s="1" t="n">
        <v>45587</v>
      </c>
      <c r="D796" t="inlineStr">
        <is>
          <t>GÄVLEBORGS LÄN</t>
        </is>
      </c>
      <c r="E796" t="inlineStr">
        <is>
          <t>LJUSDAL</t>
        </is>
      </c>
      <c r="F796" t="inlineStr">
        <is>
          <t>Bergvik skog väst AB</t>
        </is>
      </c>
      <c r="G796" t="n">
        <v>33.6</v>
      </c>
      <c r="H796" t="n">
        <v>0</v>
      </c>
      <c r="I796" t="n">
        <v>0</v>
      </c>
      <c r="J796" t="n">
        <v>0</v>
      </c>
      <c r="K796" t="n">
        <v>0</v>
      </c>
      <c r="L796" t="n">
        <v>0</v>
      </c>
      <c r="M796" t="n">
        <v>0</v>
      </c>
      <c r="N796" t="n">
        <v>0</v>
      </c>
      <c r="O796" t="n">
        <v>0</v>
      </c>
      <c r="P796" t="n">
        <v>0</v>
      </c>
      <c r="Q796" t="n">
        <v>0</v>
      </c>
      <c r="R796" s="2" t="inlineStr"/>
    </row>
    <row r="797" ht="15" customHeight="1">
      <c r="A797" t="inlineStr">
        <is>
          <t>A 27506-2019</t>
        </is>
      </c>
      <c r="B797" s="1" t="n">
        <v>43619</v>
      </c>
      <c r="C797" s="1" t="n">
        <v>45587</v>
      </c>
      <c r="D797" t="inlineStr">
        <is>
          <t>GÄVLEBORGS LÄN</t>
        </is>
      </c>
      <c r="E797" t="inlineStr">
        <is>
          <t>LJUSDAL</t>
        </is>
      </c>
      <c r="F797" t="inlineStr">
        <is>
          <t>Holmen skog AB</t>
        </is>
      </c>
      <c r="G797" t="n">
        <v>25.6</v>
      </c>
      <c r="H797" t="n">
        <v>0</v>
      </c>
      <c r="I797" t="n">
        <v>0</v>
      </c>
      <c r="J797" t="n">
        <v>0</v>
      </c>
      <c r="K797" t="n">
        <v>0</v>
      </c>
      <c r="L797" t="n">
        <v>0</v>
      </c>
      <c r="M797" t="n">
        <v>0</v>
      </c>
      <c r="N797" t="n">
        <v>0</v>
      </c>
      <c r="O797" t="n">
        <v>0</v>
      </c>
      <c r="P797" t="n">
        <v>0</v>
      </c>
      <c r="Q797" t="n">
        <v>0</v>
      </c>
      <c r="R797" s="2" t="inlineStr"/>
    </row>
    <row r="798" ht="15" customHeight="1">
      <c r="A798" t="inlineStr">
        <is>
          <t>A 27580-2019</t>
        </is>
      </c>
      <c r="B798" s="1" t="n">
        <v>43619</v>
      </c>
      <c r="C798" s="1" t="n">
        <v>45587</v>
      </c>
      <c r="D798" t="inlineStr">
        <is>
          <t>GÄVLEBORGS LÄN</t>
        </is>
      </c>
      <c r="E798" t="inlineStr">
        <is>
          <t>OVANÅKER</t>
        </is>
      </c>
      <c r="G798" t="n">
        <v>1</v>
      </c>
      <c r="H798" t="n">
        <v>0</v>
      </c>
      <c r="I798" t="n">
        <v>0</v>
      </c>
      <c r="J798" t="n">
        <v>0</v>
      </c>
      <c r="K798" t="n">
        <v>0</v>
      </c>
      <c r="L798" t="n">
        <v>0</v>
      </c>
      <c r="M798" t="n">
        <v>0</v>
      </c>
      <c r="N798" t="n">
        <v>0</v>
      </c>
      <c r="O798" t="n">
        <v>0</v>
      </c>
      <c r="P798" t="n">
        <v>0</v>
      </c>
      <c r="Q798" t="n">
        <v>0</v>
      </c>
      <c r="R798" s="2" t="inlineStr"/>
    </row>
    <row r="799" ht="15" customHeight="1">
      <c r="A799" t="inlineStr">
        <is>
          <t>A 27639-2019</t>
        </is>
      </c>
      <c r="B799" s="1" t="n">
        <v>43619</v>
      </c>
      <c r="C799" s="1" t="n">
        <v>45587</v>
      </c>
      <c r="D799" t="inlineStr">
        <is>
          <t>GÄVLEBORGS LÄN</t>
        </is>
      </c>
      <c r="E799" t="inlineStr">
        <is>
          <t>BOLLNÄS</t>
        </is>
      </c>
      <c r="F799" t="inlineStr">
        <is>
          <t>Sveaskog</t>
        </is>
      </c>
      <c r="G799" t="n">
        <v>1.1</v>
      </c>
      <c r="H799" t="n">
        <v>0</v>
      </c>
      <c r="I799" t="n">
        <v>0</v>
      </c>
      <c r="J799" t="n">
        <v>0</v>
      </c>
      <c r="K799" t="n">
        <v>0</v>
      </c>
      <c r="L799" t="n">
        <v>0</v>
      </c>
      <c r="M799" t="n">
        <v>0</v>
      </c>
      <c r="N799" t="n">
        <v>0</v>
      </c>
      <c r="O799" t="n">
        <v>0</v>
      </c>
      <c r="P799" t="n">
        <v>0</v>
      </c>
      <c r="Q799" t="n">
        <v>0</v>
      </c>
      <c r="R799" s="2" t="inlineStr"/>
    </row>
    <row r="800" ht="15" customHeight="1">
      <c r="A800" t="inlineStr">
        <is>
          <t>A 27693-2019</t>
        </is>
      </c>
      <c r="B800" s="1" t="n">
        <v>43619</v>
      </c>
      <c r="C800" s="1" t="n">
        <v>45587</v>
      </c>
      <c r="D800" t="inlineStr">
        <is>
          <t>GÄVLEBORGS LÄN</t>
        </is>
      </c>
      <c r="E800" t="inlineStr">
        <is>
          <t>BOLLNÄS</t>
        </is>
      </c>
      <c r="F800" t="inlineStr">
        <is>
          <t>Sveaskog</t>
        </is>
      </c>
      <c r="G800" t="n">
        <v>2.1</v>
      </c>
      <c r="H800" t="n">
        <v>0</v>
      </c>
      <c r="I800" t="n">
        <v>0</v>
      </c>
      <c r="J800" t="n">
        <v>0</v>
      </c>
      <c r="K800" t="n">
        <v>0</v>
      </c>
      <c r="L800" t="n">
        <v>0</v>
      </c>
      <c r="M800" t="n">
        <v>0</v>
      </c>
      <c r="N800" t="n">
        <v>0</v>
      </c>
      <c r="O800" t="n">
        <v>0</v>
      </c>
      <c r="P800" t="n">
        <v>0</v>
      </c>
      <c r="Q800" t="n">
        <v>0</v>
      </c>
      <c r="R800" s="2" t="inlineStr"/>
    </row>
    <row r="801" ht="15" customHeight="1">
      <c r="A801" t="inlineStr">
        <is>
          <t>A 27558-2019</t>
        </is>
      </c>
      <c r="B801" s="1" t="n">
        <v>43619</v>
      </c>
      <c r="C801" s="1" t="n">
        <v>45587</v>
      </c>
      <c r="D801" t="inlineStr">
        <is>
          <t>GÄVLEBORGS LÄN</t>
        </is>
      </c>
      <c r="E801" t="inlineStr">
        <is>
          <t>LJUSDAL</t>
        </is>
      </c>
      <c r="F801" t="inlineStr">
        <is>
          <t>Bergvik skog väst AB</t>
        </is>
      </c>
      <c r="G801" t="n">
        <v>12.9</v>
      </c>
      <c r="H801" t="n">
        <v>0</v>
      </c>
      <c r="I801" t="n">
        <v>0</v>
      </c>
      <c r="J801" t="n">
        <v>0</v>
      </c>
      <c r="K801" t="n">
        <v>0</v>
      </c>
      <c r="L801" t="n">
        <v>0</v>
      </c>
      <c r="M801" t="n">
        <v>0</v>
      </c>
      <c r="N801" t="n">
        <v>0</v>
      </c>
      <c r="O801" t="n">
        <v>0</v>
      </c>
      <c r="P801" t="n">
        <v>0</v>
      </c>
      <c r="Q801" t="n">
        <v>0</v>
      </c>
      <c r="R801" s="2" t="inlineStr"/>
    </row>
    <row r="802" ht="15" customHeight="1">
      <c r="A802" t="inlineStr">
        <is>
          <t>A 27685-2019</t>
        </is>
      </c>
      <c r="B802" s="1" t="n">
        <v>43619</v>
      </c>
      <c r="C802" s="1" t="n">
        <v>45587</v>
      </c>
      <c r="D802" t="inlineStr">
        <is>
          <t>GÄVLEBORGS LÄN</t>
        </is>
      </c>
      <c r="E802" t="inlineStr">
        <is>
          <t>BOLLNÄS</t>
        </is>
      </c>
      <c r="F802" t="inlineStr">
        <is>
          <t>Sveaskog</t>
        </is>
      </c>
      <c r="G802" t="n">
        <v>2.8</v>
      </c>
      <c r="H802" t="n">
        <v>0</v>
      </c>
      <c r="I802" t="n">
        <v>0</v>
      </c>
      <c r="J802" t="n">
        <v>0</v>
      </c>
      <c r="K802" t="n">
        <v>0</v>
      </c>
      <c r="L802" t="n">
        <v>0</v>
      </c>
      <c r="M802" t="n">
        <v>0</v>
      </c>
      <c r="N802" t="n">
        <v>0</v>
      </c>
      <c r="O802" t="n">
        <v>0</v>
      </c>
      <c r="P802" t="n">
        <v>0</v>
      </c>
      <c r="Q802" t="n">
        <v>0</v>
      </c>
      <c r="R802" s="2" t="inlineStr"/>
    </row>
    <row r="803" ht="15" customHeight="1">
      <c r="A803" t="inlineStr">
        <is>
          <t>A 27680-2019</t>
        </is>
      </c>
      <c r="B803" s="1" t="n">
        <v>43619</v>
      </c>
      <c r="C803" s="1" t="n">
        <v>45587</v>
      </c>
      <c r="D803" t="inlineStr">
        <is>
          <t>GÄVLEBORGS LÄN</t>
        </is>
      </c>
      <c r="E803" t="inlineStr">
        <is>
          <t>BOLLNÄS</t>
        </is>
      </c>
      <c r="G803" t="n">
        <v>4.4</v>
      </c>
      <c r="H803" t="n">
        <v>0</v>
      </c>
      <c r="I803" t="n">
        <v>0</v>
      </c>
      <c r="J803" t="n">
        <v>0</v>
      </c>
      <c r="K803" t="n">
        <v>0</v>
      </c>
      <c r="L803" t="n">
        <v>0</v>
      </c>
      <c r="M803" t="n">
        <v>0</v>
      </c>
      <c r="N803" t="n">
        <v>0</v>
      </c>
      <c r="O803" t="n">
        <v>0</v>
      </c>
      <c r="P803" t="n">
        <v>0</v>
      </c>
      <c r="Q803" t="n">
        <v>0</v>
      </c>
      <c r="R803" s="2" t="inlineStr"/>
    </row>
    <row r="804" ht="15" customHeight="1">
      <c r="A804" t="inlineStr">
        <is>
          <t>A 27524-2019</t>
        </is>
      </c>
      <c r="B804" s="1" t="n">
        <v>43619</v>
      </c>
      <c r="C804" s="1" t="n">
        <v>45587</v>
      </c>
      <c r="D804" t="inlineStr">
        <is>
          <t>GÄVLEBORGS LÄN</t>
        </is>
      </c>
      <c r="E804" t="inlineStr">
        <is>
          <t>OVANÅKER</t>
        </is>
      </c>
      <c r="F804" t="inlineStr">
        <is>
          <t>Bergvik skog väst AB</t>
        </is>
      </c>
      <c r="G804" t="n">
        <v>2.7</v>
      </c>
      <c r="H804" t="n">
        <v>0</v>
      </c>
      <c r="I804" t="n">
        <v>0</v>
      </c>
      <c r="J804" t="n">
        <v>0</v>
      </c>
      <c r="K804" t="n">
        <v>0</v>
      </c>
      <c r="L804" t="n">
        <v>0</v>
      </c>
      <c r="M804" t="n">
        <v>0</v>
      </c>
      <c r="N804" t="n">
        <v>0</v>
      </c>
      <c r="O804" t="n">
        <v>0</v>
      </c>
      <c r="P804" t="n">
        <v>0</v>
      </c>
      <c r="Q804" t="n">
        <v>0</v>
      </c>
      <c r="R804" s="2" t="inlineStr"/>
    </row>
    <row r="805" ht="15" customHeight="1">
      <c r="A805" t="inlineStr">
        <is>
          <t>A 27845-2019</t>
        </is>
      </c>
      <c r="B805" s="1" t="n">
        <v>43620</v>
      </c>
      <c r="C805" s="1" t="n">
        <v>45587</v>
      </c>
      <c r="D805" t="inlineStr">
        <is>
          <t>GÄVLEBORGS LÄN</t>
        </is>
      </c>
      <c r="E805" t="inlineStr">
        <is>
          <t>BOLLNÄS</t>
        </is>
      </c>
      <c r="G805" t="n">
        <v>0.4</v>
      </c>
      <c r="H805" t="n">
        <v>0</v>
      </c>
      <c r="I805" t="n">
        <v>0</v>
      </c>
      <c r="J805" t="n">
        <v>0</v>
      </c>
      <c r="K805" t="n">
        <v>0</v>
      </c>
      <c r="L805" t="n">
        <v>0</v>
      </c>
      <c r="M805" t="n">
        <v>0</v>
      </c>
      <c r="N805" t="n">
        <v>0</v>
      </c>
      <c r="O805" t="n">
        <v>0</v>
      </c>
      <c r="P805" t="n">
        <v>0</v>
      </c>
      <c r="Q805" t="n">
        <v>0</v>
      </c>
      <c r="R805" s="2" t="inlineStr"/>
    </row>
    <row r="806" ht="15" customHeight="1">
      <c r="A806" t="inlineStr">
        <is>
          <t>A 27888-2019</t>
        </is>
      </c>
      <c r="B806" s="1" t="n">
        <v>43620</v>
      </c>
      <c r="C806" s="1" t="n">
        <v>45587</v>
      </c>
      <c r="D806" t="inlineStr">
        <is>
          <t>GÄVLEBORGS LÄN</t>
        </is>
      </c>
      <c r="E806" t="inlineStr">
        <is>
          <t>BOLLNÄS</t>
        </is>
      </c>
      <c r="G806" t="n">
        <v>0.5</v>
      </c>
      <c r="H806" t="n">
        <v>0</v>
      </c>
      <c r="I806" t="n">
        <v>0</v>
      </c>
      <c r="J806" t="n">
        <v>0</v>
      </c>
      <c r="K806" t="n">
        <v>0</v>
      </c>
      <c r="L806" t="n">
        <v>0</v>
      </c>
      <c r="M806" t="n">
        <v>0</v>
      </c>
      <c r="N806" t="n">
        <v>0</v>
      </c>
      <c r="O806" t="n">
        <v>0</v>
      </c>
      <c r="P806" t="n">
        <v>0</v>
      </c>
      <c r="Q806" t="n">
        <v>0</v>
      </c>
      <c r="R806" s="2" t="inlineStr"/>
    </row>
    <row r="807" ht="15" customHeight="1">
      <c r="A807" t="inlineStr">
        <is>
          <t>A 27900-2019</t>
        </is>
      </c>
      <c r="B807" s="1" t="n">
        <v>43620</v>
      </c>
      <c r="C807" s="1" t="n">
        <v>45587</v>
      </c>
      <c r="D807" t="inlineStr">
        <is>
          <t>GÄVLEBORGS LÄN</t>
        </is>
      </c>
      <c r="E807" t="inlineStr">
        <is>
          <t>SANDVIKEN</t>
        </is>
      </c>
      <c r="G807" t="n">
        <v>0.5</v>
      </c>
      <c r="H807" t="n">
        <v>0</v>
      </c>
      <c r="I807" t="n">
        <v>0</v>
      </c>
      <c r="J807" t="n">
        <v>0</v>
      </c>
      <c r="K807" t="n">
        <v>0</v>
      </c>
      <c r="L807" t="n">
        <v>0</v>
      </c>
      <c r="M807" t="n">
        <v>0</v>
      </c>
      <c r="N807" t="n">
        <v>0</v>
      </c>
      <c r="O807" t="n">
        <v>0</v>
      </c>
      <c r="P807" t="n">
        <v>0</v>
      </c>
      <c r="Q807" t="n">
        <v>0</v>
      </c>
      <c r="R807" s="2" t="inlineStr"/>
    </row>
    <row r="808" ht="15" customHeight="1">
      <c r="A808" t="inlineStr">
        <is>
          <t>A 27784-2019</t>
        </is>
      </c>
      <c r="B808" s="1" t="n">
        <v>43620</v>
      </c>
      <c r="C808" s="1" t="n">
        <v>45587</v>
      </c>
      <c r="D808" t="inlineStr">
        <is>
          <t>GÄVLEBORGS LÄN</t>
        </is>
      </c>
      <c r="E808" t="inlineStr">
        <is>
          <t>LJUSDAL</t>
        </is>
      </c>
      <c r="G808" t="n">
        <v>0.9</v>
      </c>
      <c r="H808" t="n">
        <v>0</v>
      </c>
      <c r="I808" t="n">
        <v>0</v>
      </c>
      <c r="J808" t="n">
        <v>0</v>
      </c>
      <c r="K808" t="n">
        <v>0</v>
      </c>
      <c r="L808" t="n">
        <v>0</v>
      </c>
      <c r="M808" t="n">
        <v>0</v>
      </c>
      <c r="N808" t="n">
        <v>0</v>
      </c>
      <c r="O808" t="n">
        <v>0</v>
      </c>
      <c r="P808" t="n">
        <v>0</v>
      </c>
      <c r="Q808" t="n">
        <v>0</v>
      </c>
      <c r="R808" s="2" t="inlineStr"/>
    </row>
    <row r="809" ht="15" customHeight="1">
      <c r="A809" t="inlineStr">
        <is>
          <t>A 28000-2019</t>
        </is>
      </c>
      <c r="B809" s="1" t="n">
        <v>43621</v>
      </c>
      <c r="C809" s="1" t="n">
        <v>45587</v>
      </c>
      <c r="D809" t="inlineStr">
        <is>
          <t>GÄVLEBORGS LÄN</t>
        </is>
      </c>
      <c r="E809" t="inlineStr">
        <is>
          <t>OVANÅKER</t>
        </is>
      </c>
      <c r="G809" t="n">
        <v>1.6</v>
      </c>
      <c r="H809" t="n">
        <v>0</v>
      </c>
      <c r="I809" t="n">
        <v>0</v>
      </c>
      <c r="J809" t="n">
        <v>0</v>
      </c>
      <c r="K809" t="n">
        <v>0</v>
      </c>
      <c r="L809" t="n">
        <v>0</v>
      </c>
      <c r="M809" t="n">
        <v>0</v>
      </c>
      <c r="N809" t="n">
        <v>0</v>
      </c>
      <c r="O809" t="n">
        <v>0</v>
      </c>
      <c r="P809" t="n">
        <v>0</v>
      </c>
      <c r="Q809" t="n">
        <v>0</v>
      </c>
      <c r="R809" s="2" t="inlineStr"/>
    </row>
    <row r="810" ht="15" customHeight="1">
      <c r="A810" t="inlineStr">
        <is>
          <t>A 28142-2019</t>
        </is>
      </c>
      <c r="B810" s="1" t="n">
        <v>43621</v>
      </c>
      <c r="C810" s="1" t="n">
        <v>45587</v>
      </c>
      <c r="D810" t="inlineStr">
        <is>
          <t>GÄVLEBORGS LÄN</t>
        </is>
      </c>
      <c r="E810" t="inlineStr">
        <is>
          <t>SÖDERHAMN</t>
        </is>
      </c>
      <c r="G810" t="n">
        <v>5.3</v>
      </c>
      <c r="H810" t="n">
        <v>0</v>
      </c>
      <c r="I810" t="n">
        <v>0</v>
      </c>
      <c r="J810" t="n">
        <v>0</v>
      </c>
      <c r="K810" t="n">
        <v>0</v>
      </c>
      <c r="L810" t="n">
        <v>0</v>
      </c>
      <c r="M810" t="n">
        <v>0</v>
      </c>
      <c r="N810" t="n">
        <v>0</v>
      </c>
      <c r="O810" t="n">
        <v>0</v>
      </c>
      <c r="P810" t="n">
        <v>0</v>
      </c>
      <c r="Q810" t="n">
        <v>0</v>
      </c>
      <c r="R810" s="2" t="inlineStr"/>
    </row>
    <row r="811" ht="15" customHeight="1">
      <c r="A811" t="inlineStr">
        <is>
          <t>A 28034-2019</t>
        </is>
      </c>
      <c r="B811" s="1" t="n">
        <v>43621</v>
      </c>
      <c r="C811" s="1" t="n">
        <v>45587</v>
      </c>
      <c r="D811" t="inlineStr">
        <is>
          <t>GÄVLEBORGS LÄN</t>
        </is>
      </c>
      <c r="E811" t="inlineStr">
        <is>
          <t>OVANÅKER</t>
        </is>
      </c>
      <c r="G811" t="n">
        <v>4.6</v>
      </c>
      <c r="H811" t="n">
        <v>0</v>
      </c>
      <c r="I811" t="n">
        <v>0</v>
      </c>
      <c r="J811" t="n">
        <v>0</v>
      </c>
      <c r="K811" t="n">
        <v>0</v>
      </c>
      <c r="L811" t="n">
        <v>0</v>
      </c>
      <c r="M811" t="n">
        <v>0</v>
      </c>
      <c r="N811" t="n">
        <v>0</v>
      </c>
      <c r="O811" t="n">
        <v>0</v>
      </c>
      <c r="P811" t="n">
        <v>0</v>
      </c>
      <c r="Q811" t="n">
        <v>0</v>
      </c>
      <c r="R811" s="2" t="inlineStr"/>
    </row>
    <row r="812" ht="15" customHeight="1">
      <c r="A812" t="inlineStr">
        <is>
          <t>A 28255-2019</t>
        </is>
      </c>
      <c r="B812" s="1" t="n">
        <v>43623</v>
      </c>
      <c r="C812" s="1" t="n">
        <v>45587</v>
      </c>
      <c r="D812" t="inlineStr">
        <is>
          <t>GÄVLEBORGS LÄN</t>
        </is>
      </c>
      <c r="E812" t="inlineStr">
        <is>
          <t>HUDIKSVALL</t>
        </is>
      </c>
      <c r="F812" t="inlineStr">
        <is>
          <t>Holmen skog AB</t>
        </is>
      </c>
      <c r="G812" t="n">
        <v>9.300000000000001</v>
      </c>
      <c r="H812" t="n">
        <v>0</v>
      </c>
      <c r="I812" t="n">
        <v>0</v>
      </c>
      <c r="J812" t="n">
        <v>0</v>
      </c>
      <c r="K812" t="n">
        <v>0</v>
      </c>
      <c r="L812" t="n">
        <v>0</v>
      </c>
      <c r="M812" t="n">
        <v>0</v>
      </c>
      <c r="N812" t="n">
        <v>0</v>
      </c>
      <c r="O812" t="n">
        <v>0</v>
      </c>
      <c r="P812" t="n">
        <v>0</v>
      </c>
      <c r="Q812" t="n">
        <v>0</v>
      </c>
      <c r="R812" s="2" t="inlineStr"/>
    </row>
    <row r="813" ht="15" customHeight="1">
      <c r="A813" t="inlineStr">
        <is>
          <t>A 28287-2019</t>
        </is>
      </c>
      <c r="B813" s="1" t="n">
        <v>43623</v>
      </c>
      <c r="C813" s="1" t="n">
        <v>45587</v>
      </c>
      <c r="D813" t="inlineStr">
        <is>
          <t>GÄVLEBORGS LÄN</t>
        </is>
      </c>
      <c r="E813" t="inlineStr">
        <is>
          <t>OCKELBO</t>
        </is>
      </c>
      <c r="F813" t="inlineStr">
        <is>
          <t>Bergvik skog väst AB</t>
        </is>
      </c>
      <c r="G813" t="n">
        <v>6.7</v>
      </c>
      <c r="H813" t="n">
        <v>0</v>
      </c>
      <c r="I813" t="n">
        <v>0</v>
      </c>
      <c r="J813" t="n">
        <v>0</v>
      </c>
      <c r="K813" t="n">
        <v>0</v>
      </c>
      <c r="L813" t="n">
        <v>0</v>
      </c>
      <c r="M813" t="n">
        <v>0</v>
      </c>
      <c r="N813" t="n">
        <v>0</v>
      </c>
      <c r="O813" t="n">
        <v>0</v>
      </c>
      <c r="P813" t="n">
        <v>0</v>
      </c>
      <c r="Q813" t="n">
        <v>0</v>
      </c>
      <c r="R813" s="2" t="inlineStr"/>
    </row>
    <row r="814" ht="15" customHeight="1">
      <c r="A814" t="inlineStr">
        <is>
          <t>A 28316-2019</t>
        </is>
      </c>
      <c r="B814" s="1" t="n">
        <v>43623</v>
      </c>
      <c r="C814" s="1" t="n">
        <v>45587</v>
      </c>
      <c r="D814" t="inlineStr">
        <is>
          <t>GÄVLEBORGS LÄN</t>
        </is>
      </c>
      <c r="E814" t="inlineStr">
        <is>
          <t>GÄVLE</t>
        </is>
      </c>
      <c r="G814" t="n">
        <v>1.7</v>
      </c>
      <c r="H814" t="n">
        <v>0</v>
      </c>
      <c r="I814" t="n">
        <v>0</v>
      </c>
      <c r="J814" t="n">
        <v>0</v>
      </c>
      <c r="K814" t="n">
        <v>0</v>
      </c>
      <c r="L814" t="n">
        <v>0</v>
      </c>
      <c r="M814" t="n">
        <v>0</v>
      </c>
      <c r="N814" t="n">
        <v>0</v>
      </c>
      <c r="O814" t="n">
        <v>0</v>
      </c>
      <c r="P814" t="n">
        <v>0</v>
      </c>
      <c r="Q814" t="n">
        <v>0</v>
      </c>
      <c r="R814" s="2" t="inlineStr"/>
    </row>
    <row r="815" ht="15" customHeight="1">
      <c r="A815" t="inlineStr">
        <is>
          <t>A 28390-2019</t>
        </is>
      </c>
      <c r="B815" s="1" t="n">
        <v>43626</v>
      </c>
      <c r="C815" s="1" t="n">
        <v>45587</v>
      </c>
      <c r="D815" t="inlineStr">
        <is>
          <t>GÄVLEBORGS LÄN</t>
        </is>
      </c>
      <c r="E815" t="inlineStr">
        <is>
          <t>SÖDERHAMN</t>
        </is>
      </c>
      <c r="G815" t="n">
        <v>1.5</v>
      </c>
      <c r="H815" t="n">
        <v>0</v>
      </c>
      <c r="I815" t="n">
        <v>0</v>
      </c>
      <c r="J815" t="n">
        <v>0</v>
      </c>
      <c r="K815" t="n">
        <v>0</v>
      </c>
      <c r="L815" t="n">
        <v>0</v>
      </c>
      <c r="M815" t="n">
        <v>0</v>
      </c>
      <c r="N815" t="n">
        <v>0</v>
      </c>
      <c r="O815" t="n">
        <v>0</v>
      </c>
      <c r="P815" t="n">
        <v>0</v>
      </c>
      <c r="Q815" t="n">
        <v>0</v>
      </c>
      <c r="R815" s="2" t="inlineStr"/>
    </row>
    <row r="816" ht="15" customHeight="1">
      <c r="A816" t="inlineStr">
        <is>
          <t>A 28559-2019</t>
        </is>
      </c>
      <c r="B816" s="1" t="n">
        <v>43626</v>
      </c>
      <c r="C816" s="1" t="n">
        <v>45587</v>
      </c>
      <c r="D816" t="inlineStr">
        <is>
          <t>GÄVLEBORGS LÄN</t>
        </is>
      </c>
      <c r="E816" t="inlineStr">
        <is>
          <t>GÄVLE</t>
        </is>
      </c>
      <c r="F816" t="inlineStr">
        <is>
          <t>Bergvik skog väst AB</t>
        </is>
      </c>
      <c r="G816" t="n">
        <v>19.7</v>
      </c>
      <c r="H816" t="n">
        <v>0</v>
      </c>
      <c r="I816" t="n">
        <v>0</v>
      </c>
      <c r="J816" t="n">
        <v>0</v>
      </c>
      <c r="K816" t="n">
        <v>0</v>
      </c>
      <c r="L816" t="n">
        <v>0</v>
      </c>
      <c r="M816" t="n">
        <v>0</v>
      </c>
      <c r="N816" t="n">
        <v>0</v>
      </c>
      <c r="O816" t="n">
        <v>0</v>
      </c>
      <c r="P816" t="n">
        <v>0</v>
      </c>
      <c r="Q816" t="n">
        <v>0</v>
      </c>
      <c r="R816" s="2" t="inlineStr"/>
    </row>
    <row r="817" ht="15" customHeight="1">
      <c r="A817" t="inlineStr">
        <is>
          <t>A 28542-2019</t>
        </is>
      </c>
      <c r="B817" s="1" t="n">
        <v>43626</v>
      </c>
      <c r="C817" s="1" t="n">
        <v>45587</v>
      </c>
      <c r="D817" t="inlineStr">
        <is>
          <t>GÄVLEBORGS LÄN</t>
        </is>
      </c>
      <c r="E817" t="inlineStr">
        <is>
          <t>LJUSDAL</t>
        </is>
      </c>
      <c r="F817" t="inlineStr">
        <is>
          <t>Bergvik skog väst AB</t>
        </is>
      </c>
      <c r="G817" t="n">
        <v>3.5</v>
      </c>
      <c r="H817" t="n">
        <v>0</v>
      </c>
      <c r="I817" t="n">
        <v>0</v>
      </c>
      <c r="J817" t="n">
        <v>0</v>
      </c>
      <c r="K817" t="n">
        <v>0</v>
      </c>
      <c r="L817" t="n">
        <v>0</v>
      </c>
      <c r="M817" t="n">
        <v>0</v>
      </c>
      <c r="N817" t="n">
        <v>0</v>
      </c>
      <c r="O817" t="n">
        <v>0</v>
      </c>
      <c r="P817" t="n">
        <v>0</v>
      </c>
      <c r="Q817" t="n">
        <v>0</v>
      </c>
      <c r="R817" s="2" t="inlineStr"/>
    </row>
    <row r="818" ht="15" customHeight="1">
      <c r="A818" t="inlineStr">
        <is>
          <t>A 29453-2019</t>
        </is>
      </c>
      <c r="B818" s="1" t="n">
        <v>43626</v>
      </c>
      <c r="C818" s="1" t="n">
        <v>45587</v>
      </c>
      <c r="D818" t="inlineStr">
        <is>
          <t>GÄVLEBORGS LÄN</t>
        </is>
      </c>
      <c r="E818" t="inlineStr">
        <is>
          <t>NORDANSTIG</t>
        </is>
      </c>
      <c r="G818" t="n">
        <v>0.7</v>
      </c>
      <c r="H818" t="n">
        <v>0</v>
      </c>
      <c r="I818" t="n">
        <v>0</v>
      </c>
      <c r="J818" t="n">
        <v>0</v>
      </c>
      <c r="K818" t="n">
        <v>0</v>
      </c>
      <c r="L818" t="n">
        <v>0</v>
      </c>
      <c r="M818" t="n">
        <v>0</v>
      </c>
      <c r="N818" t="n">
        <v>0</v>
      </c>
      <c r="O818" t="n">
        <v>0</v>
      </c>
      <c r="P818" t="n">
        <v>0</v>
      </c>
      <c r="Q818" t="n">
        <v>0</v>
      </c>
      <c r="R818" s="2" t="inlineStr"/>
    </row>
    <row r="819" ht="15" customHeight="1">
      <c r="A819" t="inlineStr">
        <is>
          <t>A 31776-2019</t>
        </is>
      </c>
      <c r="B819" s="1" t="n">
        <v>43626</v>
      </c>
      <c r="C819" s="1" t="n">
        <v>45587</v>
      </c>
      <c r="D819" t="inlineStr">
        <is>
          <t>GÄVLEBORGS LÄN</t>
        </is>
      </c>
      <c r="E819" t="inlineStr">
        <is>
          <t>NORDANSTIG</t>
        </is>
      </c>
      <c r="G819" t="n">
        <v>90.09999999999999</v>
      </c>
      <c r="H819" t="n">
        <v>0</v>
      </c>
      <c r="I819" t="n">
        <v>0</v>
      </c>
      <c r="J819" t="n">
        <v>0</v>
      </c>
      <c r="K819" t="n">
        <v>0</v>
      </c>
      <c r="L819" t="n">
        <v>0</v>
      </c>
      <c r="M819" t="n">
        <v>0</v>
      </c>
      <c r="N819" t="n">
        <v>0</v>
      </c>
      <c r="O819" t="n">
        <v>0</v>
      </c>
      <c r="P819" t="n">
        <v>0</v>
      </c>
      <c r="Q819" t="n">
        <v>0</v>
      </c>
      <c r="R819" s="2" t="inlineStr"/>
    </row>
    <row r="820" ht="15" customHeight="1">
      <c r="A820" t="inlineStr">
        <is>
          <t>A 28545-2019</t>
        </is>
      </c>
      <c r="B820" s="1" t="n">
        <v>43626</v>
      </c>
      <c r="C820" s="1" t="n">
        <v>45587</v>
      </c>
      <c r="D820" t="inlineStr">
        <is>
          <t>GÄVLEBORGS LÄN</t>
        </is>
      </c>
      <c r="E820" t="inlineStr">
        <is>
          <t>LJUSDAL</t>
        </is>
      </c>
      <c r="F820" t="inlineStr">
        <is>
          <t>Bergvik skog väst AB</t>
        </is>
      </c>
      <c r="G820" t="n">
        <v>2</v>
      </c>
      <c r="H820" t="n">
        <v>0</v>
      </c>
      <c r="I820" t="n">
        <v>0</v>
      </c>
      <c r="J820" t="n">
        <v>0</v>
      </c>
      <c r="K820" t="n">
        <v>0</v>
      </c>
      <c r="L820" t="n">
        <v>0</v>
      </c>
      <c r="M820" t="n">
        <v>0</v>
      </c>
      <c r="N820" t="n">
        <v>0</v>
      </c>
      <c r="O820" t="n">
        <v>0</v>
      </c>
      <c r="P820" t="n">
        <v>0</v>
      </c>
      <c r="Q820" t="n">
        <v>0</v>
      </c>
      <c r="R820" s="2" t="inlineStr"/>
    </row>
    <row r="821" ht="15" customHeight="1">
      <c r="A821" t="inlineStr">
        <is>
          <t>A 28626-2019</t>
        </is>
      </c>
      <c r="B821" s="1" t="n">
        <v>43627</v>
      </c>
      <c r="C821" s="1" t="n">
        <v>45587</v>
      </c>
      <c r="D821" t="inlineStr">
        <is>
          <t>GÄVLEBORGS LÄN</t>
        </is>
      </c>
      <c r="E821" t="inlineStr">
        <is>
          <t>HUDIKSVALL</t>
        </is>
      </c>
      <c r="F821" t="inlineStr">
        <is>
          <t>Holmen skog AB</t>
        </is>
      </c>
      <c r="G821" t="n">
        <v>7.7</v>
      </c>
      <c r="H821" t="n">
        <v>0</v>
      </c>
      <c r="I821" t="n">
        <v>0</v>
      </c>
      <c r="J821" t="n">
        <v>0</v>
      </c>
      <c r="K821" t="n">
        <v>0</v>
      </c>
      <c r="L821" t="n">
        <v>0</v>
      </c>
      <c r="M821" t="n">
        <v>0</v>
      </c>
      <c r="N821" t="n">
        <v>0</v>
      </c>
      <c r="O821" t="n">
        <v>0</v>
      </c>
      <c r="P821" t="n">
        <v>0</v>
      </c>
      <c r="Q821" t="n">
        <v>0</v>
      </c>
      <c r="R821" s="2" t="inlineStr"/>
    </row>
    <row r="822" ht="15" customHeight="1">
      <c r="A822" t="inlineStr">
        <is>
          <t>A 28667-2019</t>
        </is>
      </c>
      <c r="B822" s="1" t="n">
        <v>43627</v>
      </c>
      <c r="C822" s="1" t="n">
        <v>45587</v>
      </c>
      <c r="D822" t="inlineStr">
        <is>
          <t>GÄVLEBORGS LÄN</t>
        </is>
      </c>
      <c r="E822" t="inlineStr">
        <is>
          <t>HUDIKSVALL</t>
        </is>
      </c>
      <c r="G822" t="n">
        <v>5.8</v>
      </c>
      <c r="H822" t="n">
        <v>0</v>
      </c>
      <c r="I822" t="n">
        <v>0</v>
      </c>
      <c r="J822" t="n">
        <v>0</v>
      </c>
      <c r="K822" t="n">
        <v>0</v>
      </c>
      <c r="L822" t="n">
        <v>0</v>
      </c>
      <c r="M822" t="n">
        <v>0</v>
      </c>
      <c r="N822" t="n">
        <v>0</v>
      </c>
      <c r="O822" t="n">
        <v>0</v>
      </c>
      <c r="P822" t="n">
        <v>0</v>
      </c>
      <c r="Q822" t="n">
        <v>0</v>
      </c>
      <c r="R822" s="2" t="inlineStr"/>
    </row>
    <row r="823" ht="15" customHeight="1">
      <c r="A823" t="inlineStr">
        <is>
          <t>A 28666-2019</t>
        </is>
      </c>
      <c r="B823" s="1" t="n">
        <v>43627</v>
      </c>
      <c r="C823" s="1" t="n">
        <v>45587</v>
      </c>
      <c r="D823" t="inlineStr">
        <is>
          <t>GÄVLEBORGS LÄN</t>
        </is>
      </c>
      <c r="E823" t="inlineStr">
        <is>
          <t>HUDIKSVALL</t>
        </is>
      </c>
      <c r="G823" t="n">
        <v>9.199999999999999</v>
      </c>
      <c r="H823" t="n">
        <v>0</v>
      </c>
      <c r="I823" t="n">
        <v>0</v>
      </c>
      <c r="J823" t="n">
        <v>0</v>
      </c>
      <c r="K823" t="n">
        <v>0</v>
      </c>
      <c r="L823" t="n">
        <v>0</v>
      </c>
      <c r="M823" t="n">
        <v>0</v>
      </c>
      <c r="N823" t="n">
        <v>0</v>
      </c>
      <c r="O823" t="n">
        <v>0</v>
      </c>
      <c r="P823" t="n">
        <v>0</v>
      </c>
      <c r="Q823" t="n">
        <v>0</v>
      </c>
      <c r="R823" s="2" t="inlineStr"/>
    </row>
    <row r="824" ht="15" customHeight="1">
      <c r="A824" t="inlineStr">
        <is>
          <t>A 28875-2019</t>
        </is>
      </c>
      <c r="B824" s="1" t="n">
        <v>43628</v>
      </c>
      <c r="C824" s="1" t="n">
        <v>45587</v>
      </c>
      <c r="D824" t="inlineStr">
        <is>
          <t>GÄVLEBORGS LÄN</t>
        </is>
      </c>
      <c r="E824" t="inlineStr">
        <is>
          <t>LJUSDAL</t>
        </is>
      </c>
      <c r="F824" t="inlineStr">
        <is>
          <t>Sveaskog</t>
        </is>
      </c>
      <c r="G824" t="n">
        <v>5.8</v>
      </c>
      <c r="H824" t="n">
        <v>0</v>
      </c>
      <c r="I824" t="n">
        <v>0</v>
      </c>
      <c r="J824" t="n">
        <v>0</v>
      </c>
      <c r="K824" t="n">
        <v>0</v>
      </c>
      <c r="L824" t="n">
        <v>0</v>
      </c>
      <c r="M824" t="n">
        <v>0</v>
      </c>
      <c r="N824" t="n">
        <v>0</v>
      </c>
      <c r="O824" t="n">
        <v>0</v>
      </c>
      <c r="P824" t="n">
        <v>0</v>
      </c>
      <c r="Q824" t="n">
        <v>0</v>
      </c>
      <c r="R824" s="2" t="inlineStr"/>
    </row>
    <row r="825" ht="15" customHeight="1">
      <c r="A825" t="inlineStr">
        <is>
          <t>A 29044-2019</t>
        </is>
      </c>
      <c r="B825" s="1" t="n">
        <v>43628</v>
      </c>
      <c r="C825" s="1" t="n">
        <v>45587</v>
      </c>
      <c r="D825" t="inlineStr">
        <is>
          <t>GÄVLEBORGS LÄN</t>
        </is>
      </c>
      <c r="E825" t="inlineStr">
        <is>
          <t>LJUSDAL</t>
        </is>
      </c>
      <c r="G825" t="n">
        <v>1.4</v>
      </c>
      <c r="H825" t="n">
        <v>0</v>
      </c>
      <c r="I825" t="n">
        <v>0</v>
      </c>
      <c r="J825" t="n">
        <v>0</v>
      </c>
      <c r="K825" t="n">
        <v>0</v>
      </c>
      <c r="L825" t="n">
        <v>0</v>
      </c>
      <c r="M825" t="n">
        <v>0</v>
      </c>
      <c r="N825" t="n">
        <v>0</v>
      </c>
      <c r="O825" t="n">
        <v>0</v>
      </c>
      <c r="P825" t="n">
        <v>0</v>
      </c>
      <c r="Q825" t="n">
        <v>0</v>
      </c>
      <c r="R825" s="2" t="inlineStr"/>
    </row>
    <row r="826" ht="15" customHeight="1">
      <c r="A826" t="inlineStr">
        <is>
          <t>A 29660-2019</t>
        </is>
      </c>
      <c r="B826" s="1" t="n">
        <v>43628</v>
      </c>
      <c r="C826" s="1" t="n">
        <v>45587</v>
      </c>
      <c r="D826" t="inlineStr">
        <is>
          <t>GÄVLEBORGS LÄN</t>
        </is>
      </c>
      <c r="E826" t="inlineStr">
        <is>
          <t>LJUSDAL</t>
        </is>
      </c>
      <c r="F826" t="inlineStr">
        <is>
          <t>Holmen skog AB</t>
        </is>
      </c>
      <c r="G826" t="n">
        <v>1</v>
      </c>
      <c r="H826" t="n">
        <v>0</v>
      </c>
      <c r="I826" t="n">
        <v>0</v>
      </c>
      <c r="J826" t="n">
        <v>0</v>
      </c>
      <c r="K826" t="n">
        <v>0</v>
      </c>
      <c r="L826" t="n">
        <v>0</v>
      </c>
      <c r="M826" t="n">
        <v>0</v>
      </c>
      <c r="N826" t="n">
        <v>0</v>
      </c>
      <c r="O826" t="n">
        <v>0</v>
      </c>
      <c r="P826" t="n">
        <v>0</v>
      </c>
      <c r="Q826" t="n">
        <v>0</v>
      </c>
      <c r="R826" s="2" t="inlineStr"/>
    </row>
    <row r="827" ht="15" customHeight="1">
      <c r="A827" t="inlineStr">
        <is>
          <t>A 29050-2019</t>
        </is>
      </c>
      <c r="B827" s="1" t="n">
        <v>43628</v>
      </c>
      <c r="C827" s="1" t="n">
        <v>45587</v>
      </c>
      <c r="D827" t="inlineStr">
        <is>
          <t>GÄVLEBORGS LÄN</t>
        </is>
      </c>
      <c r="E827" t="inlineStr">
        <is>
          <t>SANDVIKEN</t>
        </is>
      </c>
      <c r="G827" t="n">
        <v>1.7</v>
      </c>
      <c r="H827" t="n">
        <v>0</v>
      </c>
      <c r="I827" t="n">
        <v>0</v>
      </c>
      <c r="J827" t="n">
        <v>0</v>
      </c>
      <c r="K827" t="n">
        <v>0</v>
      </c>
      <c r="L827" t="n">
        <v>0</v>
      </c>
      <c r="M827" t="n">
        <v>0</v>
      </c>
      <c r="N827" t="n">
        <v>0</v>
      </c>
      <c r="O827" t="n">
        <v>0</v>
      </c>
      <c r="P827" t="n">
        <v>0</v>
      </c>
      <c r="Q827" t="n">
        <v>0</v>
      </c>
      <c r="R827" s="2" t="inlineStr"/>
    </row>
    <row r="828" ht="15" customHeight="1">
      <c r="A828" t="inlineStr">
        <is>
          <t>A 29267-2019</t>
        </is>
      </c>
      <c r="B828" s="1" t="n">
        <v>43629</v>
      </c>
      <c r="C828" s="1" t="n">
        <v>45587</v>
      </c>
      <c r="D828" t="inlineStr">
        <is>
          <t>GÄVLEBORGS LÄN</t>
        </is>
      </c>
      <c r="E828" t="inlineStr">
        <is>
          <t>LJUSDAL</t>
        </is>
      </c>
      <c r="G828" t="n">
        <v>4.7</v>
      </c>
      <c r="H828" t="n">
        <v>0</v>
      </c>
      <c r="I828" t="n">
        <v>0</v>
      </c>
      <c r="J828" t="n">
        <v>0</v>
      </c>
      <c r="K828" t="n">
        <v>0</v>
      </c>
      <c r="L828" t="n">
        <v>0</v>
      </c>
      <c r="M828" t="n">
        <v>0</v>
      </c>
      <c r="N828" t="n">
        <v>0</v>
      </c>
      <c r="O828" t="n">
        <v>0</v>
      </c>
      <c r="P828" t="n">
        <v>0</v>
      </c>
      <c r="Q828" t="n">
        <v>0</v>
      </c>
      <c r="R828" s="2" t="inlineStr"/>
    </row>
    <row r="829" ht="15" customHeight="1">
      <c r="A829" t="inlineStr">
        <is>
          <t>A 29255-2019</t>
        </is>
      </c>
      <c r="B829" s="1" t="n">
        <v>43629</v>
      </c>
      <c r="C829" s="1" t="n">
        <v>45587</v>
      </c>
      <c r="D829" t="inlineStr">
        <is>
          <t>GÄVLEBORGS LÄN</t>
        </is>
      </c>
      <c r="E829" t="inlineStr">
        <is>
          <t>BOLLNÄS</t>
        </is>
      </c>
      <c r="G829" t="n">
        <v>1</v>
      </c>
      <c r="H829" t="n">
        <v>0</v>
      </c>
      <c r="I829" t="n">
        <v>0</v>
      </c>
      <c r="J829" t="n">
        <v>0</v>
      </c>
      <c r="K829" t="n">
        <v>0</v>
      </c>
      <c r="L829" t="n">
        <v>0</v>
      </c>
      <c r="M829" t="n">
        <v>0</v>
      </c>
      <c r="N829" t="n">
        <v>0</v>
      </c>
      <c r="O829" t="n">
        <v>0</v>
      </c>
      <c r="P829" t="n">
        <v>0</v>
      </c>
      <c r="Q829" t="n">
        <v>0</v>
      </c>
      <c r="R829" s="2" t="inlineStr"/>
    </row>
    <row r="830" ht="15" customHeight="1">
      <c r="A830" t="inlineStr">
        <is>
          <t>A 29894-2019</t>
        </is>
      </c>
      <c r="B830" s="1" t="n">
        <v>43629</v>
      </c>
      <c r="C830" s="1" t="n">
        <v>45587</v>
      </c>
      <c r="D830" t="inlineStr">
        <is>
          <t>GÄVLEBORGS LÄN</t>
        </is>
      </c>
      <c r="E830" t="inlineStr">
        <is>
          <t>OVANÅKER</t>
        </is>
      </c>
      <c r="G830" t="n">
        <v>2.5</v>
      </c>
      <c r="H830" t="n">
        <v>0</v>
      </c>
      <c r="I830" t="n">
        <v>0</v>
      </c>
      <c r="J830" t="n">
        <v>0</v>
      </c>
      <c r="K830" t="n">
        <v>0</v>
      </c>
      <c r="L830" t="n">
        <v>0</v>
      </c>
      <c r="M830" t="n">
        <v>0</v>
      </c>
      <c r="N830" t="n">
        <v>0</v>
      </c>
      <c r="O830" t="n">
        <v>0</v>
      </c>
      <c r="P830" t="n">
        <v>0</v>
      </c>
      <c r="Q830" t="n">
        <v>0</v>
      </c>
      <c r="R830" s="2" t="inlineStr"/>
    </row>
    <row r="831" ht="15" customHeight="1">
      <c r="A831" t="inlineStr">
        <is>
          <t>A 29333-2019</t>
        </is>
      </c>
      <c r="B831" s="1" t="n">
        <v>43629</v>
      </c>
      <c r="C831" s="1" t="n">
        <v>45587</v>
      </c>
      <c r="D831" t="inlineStr">
        <is>
          <t>GÄVLEBORGS LÄN</t>
        </is>
      </c>
      <c r="E831" t="inlineStr">
        <is>
          <t>SANDVIKEN</t>
        </is>
      </c>
      <c r="G831" t="n">
        <v>1.3</v>
      </c>
      <c r="H831" t="n">
        <v>0</v>
      </c>
      <c r="I831" t="n">
        <v>0</v>
      </c>
      <c r="J831" t="n">
        <v>0</v>
      </c>
      <c r="K831" t="n">
        <v>0</v>
      </c>
      <c r="L831" t="n">
        <v>0</v>
      </c>
      <c r="M831" t="n">
        <v>0</v>
      </c>
      <c r="N831" t="n">
        <v>0</v>
      </c>
      <c r="O831" t="n">
        <v>0</v>
      </c>
      <c r="P831" t="n">
        <v>0</v>
      </c>
      <c r="Q831" t="n">
        <v>0</v>
      </c>
      <c r="R831" s="2" t="inlineStr"/>
    </row>
    <row r="832" ht="15" customHeight="1">
      <c r="A832" t="inlineStr">
        <is>
          <t>A 29401-2019</t>
        </is>
      </c>
      <c r="B832" s="1" t="n">
        <v>43629</v>
      </c>
      <c r="C832" s="1" t="n">
        <v>45587</v>
      </c>
      <c r="D832" t="inlineStr">
        <is>
          <t>GÄVLEBORGS LÄN</t>
        </is>
      </c>
      <c r="E832" t="inlineStr">
        <is>
          <t>BOLLNÄS</t>
        </is>
      </c>
      <c r="F832" t="inlineStr">
        <is>
          <t>Sveaskog</t>
        </is>
      </c>
      <c r="G832" t="n">
        <v>1.5</v>
      </c>
      <c r="H832" t="n">
        <v>0</v>
      </c>
      <c r="I832" t="n">
        <v>0</v>
      </c>
      <c r="J832" t="n">
        <v>0</v>
      </c>
      <c r="K832" t="n">
        <v>0</v>
      </c>
      <c r="L832" t="n">
        <v>0</v>
      </c>
      <c r="M832" t="n">
        <v>0</v>
      </c>
      <c r="N832" t="n">
        <v>0</v>
      </c>
      <c r="O832" t="n">
        <v>0</v>
      </c>
      <c r="P832" t="n">
        <v>0</v>
      </c>
      <c r="Q832" t="n">
        <v>0</v>
      </c>
      <c r="R832" s="2" t="inlineStr"/>
    </row>
    <row r="833" ht="15" customHeight="1">
      <c r="A833" t="inlineStr">
        <is>
          <t>A 29414-2019</t>
        </is>
      </c>
      <c r="B833" s="1" t="n">
        <v>43629</v>
      </c>
      <c r="C833" s="1" t="n">
        <v>45587</v>
      </c>
      <c r="D833" t="inlineStr">
        <is>
          <t>GÄVLEBORGS LÄN</t>
        </is>
      </c>
      <c r="E833" t="inlineStr">
        <is>
          <t>LJUSDAL</t>
        </is>
      </c>
      <c r="F833" t="inlineStr">
        <is>
          <t>Holmen skog AB</t>
        </is>
      </c>
      <c r="G833" t="n">
        <v>3.5</v>
      </c>
      <c r="H833" t="n">
        <v>0</v>
      </c>
      <c r="I833" t="n">
        <v>0</v>
      </c>
      <c r="J833" t="n">
        <v>0</v>
      </c>
      <c r="K833" t="n">
        <v>0</v>
      </c>
      <c r="L833" t="n">
        <v>0</v>
      </c>
      <c r="M833" t="n">
        <v>0</v>
      </c>
      <c r="N833" t="n">
        <v>0</v>
      </c>
      <c r="O833" t="n">
        <v>0</v>
      </c>
      <c r="P833" t="n">
        <v>0</v>
      </c>
      <c r="Q833" t="n">
        <v>0</v>
      </c>
      <c r="R833" s="2" t="inlineStr"/>
    </row>
    <row r="834" ht="15" customHeight="1">
      <c r="A834" t="inlineStr">
        <is>
          <t>A 29887-2019</t>
        </is>
      </c>
      <c r="B834" s="1" t="n">
        <v>43629</v>
      </c>
      <c r="C834" s="1" t="n">
        <v>45587</v>
      </c>
      <c r="D834" t="inlineStr">
        <is>
          <t>GÄVLEBORGS LÄN</t>
        </is>
      </c>
      <c r="E834" t="inlineStr">
        <is>
          <t>OVANÅKER</t>
        </is>
      </c>
      <c r="G834" t="n">
        <v>5.4</v>
      </c>
      <c r="H834" t="n">
        <v>0</v>
      </c>
      <c r="I834" t="n">
        <v>0</v>
      </c>
      <c r="J834" t="n">
        <v>0</v>
      </c>
      <c r="K834" t="n">
        <v>0</v>
      </c>
      <c r="L834" t="n">
        <v>0</v>
      </c>
      <c r="M834" t="n">
        <v>0</v>
      </c>
      <c r="N834" t="n">
        <v>0</v>
      </c>
      <c r="O834" t="n">
        <v>0</v>
      </c>
      <c r="P834" t="n">
        <v>0</v>
      </c>
      <c r="Q834" t="n">
        <v>0</v>
      </c>
      <c r="R834" s="2" t="inlineStr"/>
    </row>
    <row r="835" ht="15" customHeight="1">
      <c r="A835" t="inlineStr">
        <is>
          <t>A 29590-2019</t>
        </is>
      </c>
      <c r="B835" s="1" t="n">
        <v>43630</v>
      </c>
      <c r="C835" s="1" t="n">
        <v>45587</v>
      </c>
      <c r="D835" t="inlineStr">
        <is>
          <t>GÄVLEBORGS LÄN</t>
        </is>
      </c>
      <c r="E835" t="inlineStr">
        <is>
          <t>LJUSDAL</t>
        </is>
      </c>
      <c r="F835" t="inlineStr">
        <is>
          <t>Bergvik skog väst AB</t>
        </is>
      </c>
      <c r="G835" t="n">
        <v>2.1</v>
      </c>
      <c r="H835" t="n">
        <v>0</v>
      </c>
      <c r="I835" t="n">
        <v>0</v>
      </c>
      <c r="J835" t="n">
        <v>0</v>
      </c>
      <c r="K835" t="n">
        <v>0</v>
      </c>
      <c r="L835" t="n">
        <v>0</v>
      </c>
      <c r="M835" t="n">
        <v>0</v>
      </c>
      <c r="N835" t="n">
        <v>0</v>
      </c>
      <c r="O835" t="n">
        <v>0</v>
      </c>
      <c r="P835" t="n">
        <v>0</v>
      </c>
      <c r="Q835" t="n">
        <v>0</v>
      </c>
      <c r="R835" s="2" t="inlineStr"/>
    </row>
    <row r="836" ht="15" customHeight="1">
      <c r="A836" t="inlineStr">
        <is>
          <t>A 29688-2019</t>
        </is>
      </c>
      <c r="B836" s="1" t="n">
        <v>43630</v>
      </c>
      <c r="C836" s="1" t="n">
        <v>45587</v>
      </c>
      <c r="D836" t="inlineStr">
        <is>
          <t>GÄVLEBORGS LÄN</t>
        </is>
      </c>
      <c r="E836" t="inlineStr">
        <is>
          <t>SÖDERHAMN</t>
        </is>
      </c>
      <c r="G836" t="n">
        <v>0.4</v>
      </c>
      <c r="H836" t="n">
        <v>0</v>
      </c>
      <c r="I836" t="n">
        <v>0</v>
      </c>
      <c r="J836" t="n">
        <v>0</v>
      </c>
      <c r="K836" t="n">
        <v>0</v>
      </c>
      <c r="L836" t="n">
        <v>0</v>
      </c>
      <c r="M836" t="n">
        <v>0</v>
      </c>
      <c r="N836" t="n">
        <v>0</v>
      </c>
      <c r="O836" t="n">
        <v>0</v>
      </c>
      <c r="P836" t="n">
        <v>0</v>
      </c>
      <c r="Q836" t="n">
        <v>0</v>
      </c>
      <c r="R836" s="2" t="inlineStr"/>
    </row>
    <row r="837" ht="15" customHeight="1">
      <c r="A837" t="inlineStr">
        <is>
          <t>A 29559-2019</t>
        </is>
      </c>
      <c r="B837" s="1" t="n">
        <v>43630</v>
      </c>
      <c r="C837" s="1" t="n">
        <v>45587</v>
      </c>
      <c r="D837" t="inlineStr">
        <is>
          <t>GÄVLEBORGS LÄN</t>
        </is>
      </c>
      <c r="E837" t="inlineStr">
        <is>
          <t>LJUSDAL</t>
        </is>
      </c>
      <c r="F837" t="inlineStr">
        <is>
          <t>Bergvik skog väst AB</t>
        </is>
      </c>
      <c r="G837" t="n">
        <v>1.8</v>
      </c>
      <c r="H837" t="n">
        <v>0</v>
      </c>
      <c r="I837" t="n">
        <v>0</v>
      </c>
      <c r="J837" t="n">
        <v>0</v>
      </c>
      <c r="K837" t="n">
        <v>0</v>
      </c>
      <c r="L837" t="n">
        <v>0</v>
      </c>
      <c r="M837" t="n">
        <v>0</v>
      </c>
      <c r="N837" t="n">
        <v>0</v>
      </c>
      <c r="O837" t="n">
        <v>0</v>
      </c>
      <c r="P837" t="n">
        <v>0</v>
      </c>
      <c r="Q837" t="n">
        <v>0</v>
      </c>
      <c r="R837" s="2" t="inlineStr"/>
    </row>
    <row r="838" ht="15" customHeight="1">
      <c r="A838" t="inlineStr">
        <is>
          <t>A 29525-2019</t>
        </is>
      </c>
      <c r="B838" s="1" t="n">
        <v>43630</v>
      </c>
      <c r="C838" s="1" t="n">
        <v>45587</v>
      </c>
      <c r="D838" t="inlineStr">
        <is>
          <t>GÄVLEBORGS LÄN</t>
        </is>
      </c>
      <c r="E838" t="inlineStr">
        <is>
          <t>LJUSDAL</t>
        </is>
      </c>
      <c r="F838" t="inlineStr">
        <is>
          <t>Sveaskog</t>
        </is>
      </c>
      <c r="G838" t="n">
        <v>2.3</v>
      </c>
      <c r="H838" t="n">
        <v>0</v>
      </c>
      <c r="I838" t="n">
        <v>0</v>
      </c>
      <c r="J838" t="n">
        <v>0</v>
      </c>
      <c r="K838" t="n">
        <v>0</v>
      </c>
      <c r="L838" t="n">
        <v>0</v>
      </c>
      <c r="M838" t="n">
        <v>0</v>
      </c>
      <c r="N838" t="n">
        <v>0</v>
      </c>
      <c r="O838" t="n">
        <v>0</v>
      </c>
      <c r="P838" t="n">
        <v>0</v>
      </c>
      <c r="Q838" t="n">
        <v>0</v>
      </c>
      <c r="R838" s="2" t="inlineStr"/>
    </row>
    <row r="839" ht="15" customHeight="1">
      <c r="A839" t="inlineStr">
        <is>
          <t>A 29852-2019</t>
        </is>
      </c>
      <c r="B839" s="1" t="n">
        <v>43633</v>
      </c>
      <c r="C839" s="1" t="n">
        <v>45587</v>
      </c>
      <c r="D839" t="inlineStr">
        <is>
          <t>GÄVLEBORGS LÄN</t>
        </is>
      </c>
      <c r="E839" t="inlineStr">
        <is>
          <t>BOLLNÄS</t>
        </is>
      </c>
      <c r="G839" t="n">
        <v>2.9</v>
      </c>
      <c r="H839" t="n">
        <v>0</v>
      </c>
      <c r="I839" t="n">
        <v>0</v>
      </c>
      <c r="J839" t="n">
        <v>0</v>
      </c>
      <c r="K839" t="n">
        <v>0</v>
      </c>
      <c r="L839" t="n">
        <v>0</v>
      </c>
      <c r="M839" t="n">
        <v>0</v>
      </c>
      <c r="N839" t="n">
        <v>0</v>
      </c>
      <c r="O839" t="n">
        <v>0</v>
      </c>
      <c r="P839" t="n">
        <v>0</v>
      </c>
      <c r="Q839" t="n">
        <v>0</v>
      </c>
      <c r="R839" s="2" t="inlineStr"/>
    </row>
    <row r="840" ht="15" customHeight="1">
      <c r="A840" t="inlineStr">
        <is>
          <t>A 29967-2019</t>
        </is>
      </c>
      <c r="B840" s="1" t="n">
        <v>43633</v>
      </c>
      <c r="C840" s="1" t="n">
        <v>45587</v>
      </c>
      <c r="D840" t="inlineStr">
        <is>
          <t>GÄVLEBORGS LÄN</t>
        </is>
      </c>
      <c r="E840" t="inlineStr">
        <is>
          <t>SANDVIKEN</t>
        </is>
      </c>
      <c r="G840" t="n">
        <v>8.800000000000001</v>
      </c>
      <c r="H840" t="n">
        <v>0</v>
      </c>
      <c r="I840" t="n">
        <v>0</v>
      </c>
      <c r="J840" t="n">
        <v>0</v>
      </c>
      <c r="K840" t="n">
        <v>0</v>
      </c>
      <c r="L840" t="n">
        <v>0</v>
      </c>
      <c r="M840" t="n">
        <v>0</v>
      </c>
      <c r="N840" t="n">
        <v>0</v>
      </c>
      <c r="O840" t="n">
        <v>0</v>
      </c>
      <c r="P840" t="n">
        <v>0</v>
      </c>
      <c r="Q840" t="n">
        <v>0</v>
      </c>
      <c r="R840" s="2" t="inlineStr"/>
    </row>
    <row r="841" ht="15" customHeight="1">
      <c r="A841" t="inlineStr">
        <is>
          <t>A 30256-2019</t>
        </is>
      </c>
      <c r="B841" s="1" t="n">
        <v>43634</v>
      </c>
      <c r="C841" s="1" t="n">
        <v>45587</v>
      </c>
      <c r="D841" t="inlineStr">
        <is>
          <t>GÄVLEBORGS LÄN</t>
        </is>
      </c>
      <c r="E841" t="inlineStr">
        <is>
          <t>NORDANSTIG</t>
        </is>
      </c>
      <c r="G841" t="n">
        <v>3.7</v>
      </c>
      <c r="H841" t="n">
        <v>0</v>
      </c>
      <c r="I841" t="n">
        <v>0</v>
      </c>
      <c r="J841" t="n">
        <v>0</v>
      </c>
      <c r="K841" t="n">
        <v>0</v>
      </c>
      <c r="L841" t="n">
        <v>0</v>
      </c>
      <c r="M841" t="n">
        <v>0</v>
      </c>
      <c r="N841" t="n">
        <v>0</v>
      </c>
      <c r="O841" t="n">
        <v>0</v>
      </c>
      <c r="P841" t="n">
        <v>0</v>
      </c>
      <c r="Q841" t="n">
        <v>0</v>
      </c>
      <c r="R841" s="2" t="inlineStr"/>
    </row>
    <row r="842" ht="15" customHeight="1">
      <c r="A842" t="inlineStr">
        <is>
          <t>A 30581-2019</t>
        </is>
      </c>
      <c r="B842" s="1" t="n">
        <v>43635</v>
      </c>
      <c r="C842" s="1" t="n">
        <v>45587</v>
      </c>
      <c r="D842" t="inlineStr">
        <is>
          <t>GÄVLEBORGS LÄN</t>
        </is>
      </c>
      <c r="E842" t="inlineStr">
        <is>
          <t>GÄVLE</t>
        </is>
      </c>
      <c r="G842" t="n">
        <v>5.4</v>
      </c>
      <c r="H842" t="n">
        <v>0</v>
      </c>
      <c r="I842" t="n">
        <v>0</v>
      </c>
      <c r="J842" t="n">
        <v>0</v>
      </c>
      <c r="K842" t="n">
        <v>0</v>
      </c>
      <c r="L842" t="n">
        <v>0</v>
      </c>
      <c r="M842" t="n">
        <v>0</v>
      </c>
      <c r="N842" t="n">
        <v>0</v>
      </c>
      <c r="O842" t="n">
        <v>0</v>
      </c>
      <c r="P842" t="n">
        <v>0</v>
      </c>
      <c r="Q842" t="n">
        <v>0</v>
      </c>
      <c r="R842" s="2" t="inlineStr"/>
    </row>
    <row r="843" ht="15" customHeight="1">
      <c r="A843" t="inlineStr">
        <is>
          <t>A 30592-2019</t>
        </is>
      </c>
      <c r="B843" s="1" t="n">
        <v>43635</v>
      </c>
      <c r="C843" s="1" t="n">
        <v>45587</v>
      </c>
      <c r="D843" t="inlineStr">
        <is>
          <t>GÄVLEBORGS LÄN</t>
        </is>
      </c>
      <c r="E843" t="inlineStr">
        <is>
          <t>HOFORS</t>
        </is>
      </c>
      <c r="F843" t="inlineStr">
        <is>
          <t>Sveaskog</t>
        </is>
      </c>
      <c r="G843" t="n">
        <v>3.3</v>
      </c>
      <c r="H843" t="n">
        <v>0</v>
      </c>
      <c r="I843" t="n">
        <v>0</v>
      </c>
      <c r="J843" t="n">
        <v>0</v>
      </c>
      <c r="K843" t="n">
        <v>0</v>
      </c>
      <c r="L843" t="n">
        <v>0</v>
      </c>
      <c r="M843" t="n">
        <v>0</v>
      </c>
      <c r="N843" t="n">
        <v>0</v>
      </c>
      <c r="O843" t="n">
        <v>0</v>
      </c>
      <c r="P843" t="n">
        <v>0</v>
      </c>
      <c r="Q843" t="n">
        <v>0</v>
      </c>
      <c r="R843" s="2" t="inlineStr"/>
    </row>
    <row r="844" ht="15" customHeight="1">
      <c r="A844" t="inlineStr">
        <is>
          <t>A 30607-2019</t>
        </is>
      </c>
      <c r="B844" s="1" t="n">
        <v>43635</v>
      </c>
      <c r="C844" s="1" t="n">
        <v>45587</v>
      </c>
      <c r="D844" t="inlineStr">
        <is>
          <t>GÄVLEBORGS LÄN</t>
        </is>
      </c>
      <c r="E844" t="inlineStr">
        <is>
          <t>NORDANSTIG</t>
        </is>
      </c>
      <c r="G844" t="n">
        <v>1.9</v>
      </c>
      <c r="H844" t="n">
        <v>0</v>
      </c>
      <c r="I844" t="n">
        <v>0</v>
      </c>
      <c r="J844" t="n">
        <v>0</v>
      </c>
      <c r="K844" t="n">
        <v>0</v>
      </c>
      <c r="L844" t="n">
        <v>0</v>
      </c>
      <c r="M844" t="n">
        <v>0</v>
      </c>
      <c r="N844" t="n">
        <v>0</v>
      </c>
      <c r="O844" t="n">
        <v>0</v>
      </c>
      <c r="P844" t="n">
        <v>0</v>
      </c>
      <c r="Q844" t="n">
        <v>0</v>
      </c>
      <c r="R844" s="2" t="inlineStr"/>
    </row>
    <row r="845" ht="15" customHeight="1">
      <c r="A845" t="inlineStr">
        <is>
          <t>A 30484-2019</t>
        </is>
      </c>
      <c r="B845" s="1" t="n">
        <v>43635</v>
      </c>
      <c r="C845" s="1" t="n">
        <v>45587</v>
      </c>
      <c r="D845" t="inlineStr">
        <is>
          <t>GÄVLEBORGS LÄN</t>
        </is>
      </c>
      <c r="E845" t="inlineStr">
        <is>
          <t>SANDVIKEN</t>
        </is>
      </c>
      <c r="G845" t="n">
        <v>2.8</v>
      </c>
      <c r="H845" t="n">
        <v>0</v>
      </c>
      <c r="I845" t="n">
        <v>0</v>
      </c>
      <c r="J845" t="n">
        <v>0</v>
      </c>
      <c r="K845" t="n">
        <v>0</v>
      </c>
      <c r="L845" t="n">
        <v>0</v>
      </c>
      <c r="M845" t="n">
        <v>0</v>
      </c>
      <c r="N845" t="n">
        <v>0</v>
      </c>
      <c r="O845" t="n">
        <v>0</v>
      </c>
      <c r="P845" t="n">
        <v>0</v>
      </c>
      <c r="Q845" t="n">
        <v>0</v>
      </c>
      <c r="R845" s="2" t="inlineStr"/>
    </row>
    <row r="846" ht="15" customHeight="1">
      <c r="A846" t="inlineStr">
        <is>
          <t>A 30417-2019</t>
        </is>
      </c>
      <c r="B846" s="1" t="n">
        <v>43635</v>
      </c>
      <c r="C846" s="1" t="n">
        <v>45587</v>
      </c>
      <c r="D846" t="inlineStr">
        <is>
          <t>GÄVLEBORGS LÄN</t>
        </is>
      </c>
      <c r="E846" t="inlineStr">
        <is>
          <t>BOLLNÄS</t>
        </is>
      </c>
      <c r="G846" t="n">
        <v>1.4</v>
      </c>
      <c r="H846" t="n">
        <v>0</v>
      </c>
      <c r="I846" t="n">
        <v>0</v>
      </c>
      <c r="J846" t="n">
        <v>0</v>
      </c>
      <c r="K846" t="n">
        <v>0</v>
      </c>
      <c r="L846" t="n">
        <v>0</v>
      </c>
      <c r="M846" t="n">
        <v>0</v>
      </c>
      <c r="N846" t="n">
        <v>0</v>
      </c>
      <c r="O846" t="n">
        <v>0</v>
      </c>
      <c r="P846" t="n">
        <v>0</v>
      </c>
      <c r="Q846" t="n">
        <v>0</v>
      </c>
      <c r="R846" s="2" t="inlineStr"/>
    </row>
    <row r="847" ht="15" customHeight="1">
      <c r="A847" t="inlineStr">
        <is>
          <t>A 30567-2019</t>
        </is>
      </c>
      <c r="B847" s="1" t="n">
        <v>43635</v>
      </c>
      <c r="C847" s="1" t="n">
        <v>45587</v>
      </c>
      <c r="D847" t="inlineStr">
        <is>
          <t>GÄVLEBORGS LÄN</t>
        </is>
      </c>
      <c r="E847" t="inlineStr">
        <is>
          <t>GÄVLE</t>
        </is>
      </c>
      <c r="G847" t="n">
        <v>2.5</v>
      </c>
      <c r="H847" t="n">
        <v>0</v>
      </c>
      <c r="I847" t="n">
        <v>0</v>
      </c>
      <c r="J847" t="n">
        <v>0</v>
      </c>
      <c r="K847" t="n">
        <v>0</v>
      </c>
      <c r="L847" t="n">
        <v>0</v>
      </c>
      <c r="M847" t="n">
        <v>0</v>
      </c>
      <c r="N847" t="n">
        <v>0</v>
      </c>
      <c r="O847" t="n">
        <v>0</v>
      </c>
      <c r="P847" t="n">
        <v>0</v>
      </c>
      <c r="Q847" t="n">
        <v>0</v>
      </c>
      <c r="R847" s="2" t="inlineStr"/>
    </row>
    <row r="848" ht="15" customHeight="1">
      <c r="A848" t="inlineStr">
        <is>
          <t>A 30591-2019</t>
        </is>
      </c>
      <c r="B848" s="1" t="n">
        <v>43635</v>
      </c>
      <c r="C848" s="1" t="n">
        <v>45587</v>
      </c>
      <c r="D848" t="inlineStr">
        <is>
          <t>GÄVLEBORGS LÄN</t>
        </is>
      </c>
      <c r="E848" t="inlineStr">
        <is>
          <t>HOFORS</t>
        </is>
      </c>
      <c r="F848" t="inlineStr">
        <is>
          <t>Sveaskog</t>
        </is>
      </c>
      <c r="G848" t="n">
        <v>8.5</v>
      </c>
      <c r="H848" t="n">
        <v>0</v>
      </c>
      <c r="I848" t="n">
        <v>0</v>
      </c>
      <c r="J848" t="n">
        <v>0</v>
      </c>
      <c r="K848" t="n">
        <v>0</v>
      </c>
      <c r="L848" t="n">
        <v>0</v>
      </c>
      <c r="M848" t="n">
        <v>0</v>
      </c>
      <c r="N848" t="n">
        <v>0</v>
      </c>
      <c r="O848" t="n">
        <v>0</v>
      </c>
      <c r="P848" t="n">
        <v>0</v>
      </c>
      <c r="Q848" t="n">
        <v>0</v>
      </c>
      <c r="R848" s="2" t="inlineStr"/>
    </row>
    <row r="849" ht="15" customHeight="1">
      <c r="A849" t="inlineStr">
        <is>
          <t>A 30741-2019</t>
        </is>
      </c>
      <c r="B849" s="1" t="n">
        <v>43636</v>
      </c>
      <c r="C849" s="1" t="n">
        <v>45587</v>
      </c>
      <c r="D849" t="inlineStr">
        <is>
          <t>GÄVLEBORGS LÄN</t>
        </is>
      </c>
      <c r="E849" t="inlineStr">
        <is>
          <t>SANDVIKEN</t>
        </is>
      </c>
      <c r="G849" t="n">
        <v>3.4</v>
      </c>
      <c r="H849" t="n">
        <v>0</v>
      </c>
      <c r="I849" t="n">
        <v>0</v>
      </c>
      <c r="J849" t="n">
        <v>0</v>
      </c>
      <c r="K849" t="n">
        <v>0</v>
      </c>
      <c r="L849" t="n">
        <v>0</v>
      </c>
      <c r="M849" t="n">
        <v>0</v>
      </c>
      <c r="N849" t="n">
        <v>0</v>
      </c>
      <c r="O849" t="n">
        <v>0</v>
      </c>
      <c r="P849" t="n">
        <v>0</v>
      </c>
      <c r="Q849" t="n">
        <v>0</v>
      </c>
      <c r="R849" s="2" t="inlineStr"/>
    </row>
    <row r="850" ht="15" customHeight="1">
      <c r="A850" t="inlineStr">
        <is>
          <t>A 30821-2019</t>
        </is>
      </c>
      <c r="B850" s="1" t="n">
        <v>43636</v>
      </c>
      <c r="C850" s="1" t="n">
        <v>45587</v>
      </c>
      <c r="D850" t="inlineStr">
        <is>
          <t>GÄVLEBORGS LÄN</t>
        </is>
      </c>
      <c r="E850" t="inlineStr">
        <is>
          <t>GÄVLE</t>
        </is>
      </c>
      <c r="F850" t="inlineStr">
        <is>
          <t>Bergvik skog väst AB</t>
        </is>
      </c>
      <c r="G850" t="n">
        <v>5.1</v>
      </c>
      <c r="H850" t="n">
        <v>0</v>
      </c>
      <c r="I850" t="n">
        <v>0</v>
      </c>
      <c r="J850" t="n">
        <v>0</v>
      </c>
      <c r="K850" t="n">
        <v>0</v>
      </c>
      <c r="L850" t="n">
        <v>0</v>
      </c>
      <c r="M850" t="n">
        <v>0</v>
      </c>
      <c r="N850" t="n">
        <v>0</v>
      </c>
      <c r="O850" t="n">
        <v>0</v>
      </c>
      <c r="P850" t="n">
        <v>0</v>
      </c>
      <c r="Q850" t="n">
        <v>0</v>
      </c>
      <c r="R850" s="2" t="inlineStr"/>
    </row>
    <row r="851" ht="15" customHeight="1">
      <c r="A851" t="inlineStr">
        <is>
          <t>A 30786-2019</t>
        </is>
      </c>
      <c r="B851" s="1" t="n">
        <v>43636</v>
      </c>
      <c r="C851" s="1" t="n">
        <v>45587</v>
      </c>
      <c r="D851" t="inlineStr">
        <is>
          <t>GÄVLEBORGS LÄN</t>
        </is>
      </c>
      <c r="E851" t="inlineStr">
        <is>
          <t>HUDIKSVALL</t>
        </is>
      </c>
      <c r="F851" t="inlineStr">
        <is>
          <t>Holmen skog AB</t>
        </is>
      </c>
      <c r="G851" t="n">
        <v>1.7</v>
      </c>
      <c r="H851" t="n">
        <v>0</v>
      </c>
      <c r="I851" t="n">
        <v>0</v>
      </c>
      <c r="J851" t="n">
        <v>0</v>
      </c>
      <c r="K851" t="n">
        <v>0</v>
      </c>
      <c r="L851" t="n">
        <v>0</v>
      </c>
      <c r="M851" t="n">
        <v>0</v>
      </c>
      <c r="N851" t="n">
        <v>0</v>
      </c>
      <c r="O851" t="n">
        <v>0</v>
      </c>
      <c r="P851" t="n">
        <v>0</v>
      </c>
      <c r="Q851" t="n">
        <v>0</v>
      </c>
      <c r="R851" s="2" t="inlineStr"/>
    </row>
    <row r="852" ht="15" customHeight="1">
      <c r="A852" t="inlineStr">
        <is>
          <t>A 30769-2019</t>
        </is>
      </c>
      <c r="B852" s="1" t="n">
        <v>43636</v>
      </c>
      <c r="C852" s="1" t="n">
        <v>45587</v>
      </c>
      <c r="D852" t="inlineStr">
        <is>
          <t>GÄVLEBORGS LÄN</t>
        </is>
      </c>
      <c r="E852" t="inlineStr">
        <is>
          <t>HUDIKSVALL</t>
        </is>
      </c>
      <c r="F852" t="inlineStr">
        <is>
          <t>Holmen skog AB</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30727-2019</t>
        </is>
      </c>
      <c r="B853" s="1" t="n">
        <v>43636</v>
      </c>
      <c r="C853" s="1" t="n">
        <v>45587</v>
      </c>
      <c r="D853" t="inlineStr">
        <is>
          <t>GÄVLEBORGS LÄN</t>
        </is>
      </c>
      <c r="E853" t="inlineStr">
        <is>
          <t>LJUSDAL</t>
        </is>
      </c>
      <c r="F853" t="inlineStr">
        <is>
          <t>Sveaskog</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31094-2019</t>
        </is>
      </c>
      <c r="B854" s="1" t="n">
        <v>43640</v>
      </c>
      <c r="C854" s="1" t="n">
        <v>45587</v>
      </c>
      <c r="D854" t="inlineStr">
        <is>
          <t>GÄVLEBORGS LÄN</t>
        </is>
      </c>
      <c r="E854" t="inlineStr">
        <is>
          <t>HUDIKSVALL</t>
        </is>
      </c>
      <c r="G854" t="n">
        <v>5.2</v>
      </c>
      <c r="H854" t="n">
        <v>0</v>
      </c>
      <c r="I854" t="n">
        <v>0</v>
      </c>
      <c r="J854" t="n">
        <v>0</v>
      </c>
      <c r="K854" t="n">
        <v>0</v>
      </c>
      <c r="L854" t="n">
        <v>0</v>
      </c>
      <c r="M854" t="n">
        <v>0</v>
      </c>
      <c r="N854" t="n">
        <v>0</v>
      </c>
      <c r="O854" t="n">
        <v>0</v>
      </c>
      <c r="P854" t="n">
        <v>0</v>
      </c>
      <c r="Q854" t="n">
        <v>0</v>
      </c>
      <c r="R854" s="2" t="inlineStr"/>
    </row>
    <row r="855" ht="15" customHeight="1">
      <c r="A855" t="inlineStr">
        <is>
          <t>A 31014-2019</t>
        </is>
      </c>
      <c r="B855" s="1" t="n">
        <v>43640</v>
      </c>
      <c r="C855" s="1" t="n">
        <v>45587</v>
      </c>
      <c r="D855" t="inlineStr">
        <is>
          <t>GÄVLEBORGS LÄN</t>
        </is>
      </c>
      <c r="E855" t="inlineStr">
        <is>
          <t>HUDIKSVALL</t>
        </is>
      </c>
      <c r="G855" t="n">
        <v>3.5</v>
      </c>
      <c r="H855" t="n">
        <v>0</v>
      </c>
      <c r="I855" t="n">
        <v>0</v>
      </c>
      <c r="J855" t="n">
        <v>0</v>
      </c>
      <c r="K855" t="n">
        <v>0</v>
      </c>
      <c r="L855" t="n">
        <v>0</v>
      </c>
      <c r="M855" t="n">
        <v>0</v>
      </c>
      <c r="N855" t="n">
        <v>0</v>
      </c>
      <c r="O855" t="n">
        <v>0</v>
      </c>
      <c r="P855" t="n">
        <v>0</v>
      </c>
      <c r="Q855" t="n">
        <v>0</v>
      </c>
      <c r="R855" s="2" t="inlineStr"/>
    </row>
    <row r="856" ht="15" customHeight="1">
      <c r="A856" t="inlineStr">
        <is>
          <t>A 31082-2019</t>
        </is>
      </c>
      <c r="B856" s="1" t="n">
        <v>43640</v>
      </c>
      <c r="C856" s="1" t="n">
        <v>45587</v>
      </c>
      <c r="D856" t="inlineStr">
        <is>
          <t>GÄVLEBORGS LÄN</t>
        </is>
      </c>
      <c r="E856" t="inlineStr">
        <is>
          <t>BOLLNÄS</t>
        </is>
      </c>
      <c r="G856" t="n">
        <v>0.4</v>
      </c>
      <c r="H856" t="n">
        <v>0</v>
      </c>
      <c r="I856" t="n">
        <v>0</v>
      </c>
      <c r="J856" t="n">
        <v>0</v>
      </c>
      <c r="K856" t="n">
        <v>0</v>
      </c>
      <c r="L856" t="n">
        <v>0</v>
      </c>
      <c r="M856" t="n">
        <v>0</v>
      </c>
      <c r="N856" t="n">
        <v>0</v>
      </c>
      <c r="O856" t="n">
        <v>0</v>
      </c>
      <c r="P856" t="n">
        <v>0</v>
      </c>
      <c r="Q856" t="n">
        <v>0</v>
      </c>
      <c r="R856" s="2" t="inlineStr"/>
    </row>
    <row r="857" ht="15" customHeight="1">
      <c r="A857" t="inlineStr">
        <is>
          <t>A 31077-2019</t>
        </is>
      </c>
      <c r="B857" s="1" t="n">
        <v>43640</v>
      </c>
      <c r="C857" s="1" t="n">
        <v>45587</v>
      </c>
      <c r="D857" t="inlineStr">
        <is>
          <t>GÄVLEBORGS LÄN</t>
        </is>
      </c>
      <c r="E857" t="inlineStr">
        <is>
          <t>OVANÅKER</t>
        </is>
      </c>
      <c r="G857" t="n">
        <v>2.3</v>
      </c>
      <c r="H857" t="n">
        <v>0</v>
      </c>
      <c r="I857" t="n">
        <v>0</v>
      </c>
      <c r="J857" t="n">
        <v>0</v>
      </c>
      <c r="K857" t="n">
        <v>0</v>
      </c>
      <c r="L857" t="n">
        <v>0</v>
      </c>
      <c r="M857" t="n">
        <v>0</v>
      </c>
      <c r="N857" t="n">
        <v>0</v>
      </c>
      <c r="O857" t="n">
        <v>0</v>
      </c>
      <c r="P857" t="n">
        <v>0</v>
      </c>
      <c r="Q857" t="n">
        <v>0</v>
      </c>
      <c r="R857" s="2" t="inlineStr"/>
    </row>
    <row r="858" ht="15" customHeight="1">
      <c r="A858" t="inlineStr">
        <is>
          <t>A 31103-2019</t>
        </is>
      </c>
      <c r="B858" s="1" t="n">
        <v>43640</v>
      </c>
      <c r="C858" s="1" t="n">
        <v>45587</v>
      </c>
      <c r="D858" t="inlineStr">
        <is>
          <t>GÄVLEBORGS LÄN</t>
        </is>
      </c>
      <c r="E858" t="inlineStr">
        <is>
          <t>HUDIKSVALL</t>
        </is>
      </c>
      <c r="G858" t="n">
        <v>2.1</v>
      </c>
      <c r="H858" t="n">
        <v>0</v>
      </c>
      <c r="I858" t="n">
        <v>0</v>
      </c>
      <c r="J858" t="n">
        <v>0</v>
      </c>
      <c r="K858" t="n">
        <v>0</v>
      </c>
      <c r="L858" t="n">
        <v>0</v>
      </c>
      <c r="M858" t="n">
        <v>0</v>
      </c>
      <c r="N858" t="n">
        <v>0</v>
      </c>
      <c r="O858" t="n">
        <v>0</v>
      </c>
      <c r="P858" t="n">
        <v>0</v>
      </c>
      <c r="Q858" t="n">
        <v>0</v>
      </c>
      <c r="R858" s="2" t="inlineStr"/>
    </row>
    <row r="859" ht="15" customHeight="1">
      <c r="A859" t="inlineStr">
        <is>
          <t>A 31244-2019</t>
        </is>
      </c>
      <c r="B859" s="1" t="n">
        <v>43640</v>
      </c>
      <c r="C859" s="1" t="n">
        <v>45587</v>
      </c>
      <c r="D859" t="inlineStr">
        <is>
          <t>GÄVLEBORGS LÄN</t>
        </is>
      </c>
      <c r="E859" t="inlineStr">
        <is>
          <t>OVANÅKER</t>
        </is>
      </c>
      <c r="G859" t="n">
        <v>3.1</v>
      </c>
      <c r="H859" t="n">
        <v>0</v>
      </c>
      <c r="I859" t="n">
        <v>0</v>
      </c>
      <c r="J859" t="n">
        <v>0</v>
      </c>
      <c r="K859" t="n">
        <v>0</v>
      </c>
      <c r="L859" t="n">
        <v>0</v>
      </c>
      <c r="M859" t="n">
        <v>0</v>
      </c>
      <c r="N859" t="n">
        <v>0</v>
      </c>
      <c r="O859" t="n">
        <v>0</v>
      </c>
      <c r="P859" t="n">
        <v>0</v>
      </c>
      <c r="Q859" t="n">
        <v>0</v>
      </c>
      <c r="R859" s="2" t="inlineStr"/>
    </row>
    <row r="860" ht="15" customHeight="1">
      <c r="A860" t="inlineStr">
        <is>
          <t>A 31234-2019</t>
        </is>
      </c>
      <c r="B860" s="1" t="n">
        <v>43640</v>
      </c>
      <c r="C860" s="1" t="n">
        <v>45587</v>
      </c>
      <c r="D860" t="inlineStr">
        <is>
          <t>GÄVLEBORGS LÄN</t>
        </is>
      </c>
      <c r="E860" t="inlineStr">
        <is>
          <t>HUDIKSVALL</t>
        </is>
      </c>
      <c r="F860" t="inlineStr">
        <is>
          <t>Holmen skog AB</t>
        </is>
      </c>
      <c r="G860" t="n">
        <v>1.5</v>
      </c>
      <c r="H860" t="n">
        <v>0</v>
      </c>
      <c r="I860" t="n">
        <v>0</v>
      </c>
      <c r="J860" t="n">
        <v>0</v>
      </c>
      <c r="K860" t="n">
        <v>0</v>
      </c>
      <c r="L860" t="n">
        <v>0</v>
      </c>
      <c r="M860" t="n">
        <v>0</v>
      </c>
      <c r="N860" t="n">
        <v>0</v>
      </c>
      <c r="O860" t="n">
        <v>0</v>
      </c>
      <c r="P860" t="n">
        <v>0</v>
      </c>
      <c r="Q860" t="n">
        <v>0</v>
      </c>
      <c r="R860" s="2" t="inlineStr"/>
    </row>
    <row r="861" ht="15" customHeight="1">
      <c r="A861" t="inlineStr">
        <is>
          <t>A 31372-2019</t>
        </is>
      </c>
      <c r="B861" s="1" t="n">
        <v>43641</v>
      </c>
      <c r="C861" s="1" t="n">
        <v>45587</v>
      </c>
      <c r="D861" t="inlineStr">
        <is>
          <t>GÄVLEBORGS LÄN</t>
        </is>
      </c>
      <c r="E861" t="inlineStr">
        <is>
          <t>OVANÅKER</t>
        </is>
      </c>
      <c r="G861" t="n">
        <v>2.9</v>
      </c>
      <c r="H861" t="n">
        <v>0</v>
      </c>
      <c r="I861" t="n">
        <v>0</v>
      </c>
      <c r="J861" t="n">
        <v>0</v>
      </c>
      <c r="K861" t="n">
        <v>0</v>
      </c>
      <c r="L861" t="n">
        <v>0</v>
      </c>
      <c r="M861" t="n">
        <v>0</v>
      </c>
      <c r="N861" t="n">
        <v>0</v>
      </c>
      <c r="O861" t="n">
        <v>0</v>
      </c>
      <c r="P861" t="n">
        <v>0</v>
      </c>
      <c r="Q861" t="n">
        <v>0</v>
      </c>
      <c r="R861" s="2" t="inlineStr"/>
    </row>
    <row r="862" ht="15" customHeight="1">
      <c r="A862" t="inlineStr">
        <is>
          <t>A 31495-2019</t>
        </is>
      </c>
      <c r="B862" s="1" t="n">
        <v>43641</v>
      </c>
      <c r="C862" s="1" t="n">
        <v>45587</v>
      </c>
      <c r="D862" t="inlineStr">
        <is>
          <t>GÄVLEBORGS LÄN</t>
        </is>
      </c>
      <c r="E862" t="inlineStr">
        <is>
          <t>HUDIKSVALL</t>
        </is>
      </c>
      <c r="F862" t="inlineStr">
        <is>
          <t>Holmen skog AB</t>
        </is>
      </c>
      <c r="G862" t="n">
        <v>1.5</v>
      </c>
      <c r="H862" t="n">
        <v>0</v>
      </c>
      <c r="I862" t="n">
        <v>0</v>
      </c>
      <c r="J862" t="n">
        <v>0</v>
      </c>
      <c r="K862" t="n">
        <v>0</v>
      </c>
      <c r="L862" t="n">
        <v>0</v>
      </c>
      <c r="M862" t="n">
        <v>0</v>
      </c>
      <c r="N862" t="n">
        <v>0</v>
      </c>
      <c r="O862" t="n">
        <v>0</v>
      </c>
      <c r="P862" t="n">
        <v>0</v>
      </c>
      <c r="Q862" t="n">
        <v>0</v>
      </c>
      <c r="R862" s="2" t="inlineStr"/>
    </row>
    <row r="863" ht="15" customHeight="1">
      <c r="A863" t="inlineStr">
        <is>
          <t>A 31538-2019</t>
        </is>
      </c>
      <c r="B863" s="1" t="n">
        <v>43641</v>
      </c>
      <c r="C863" s="1" t="n">
        <v>45587</v>
      </c>
      <c r="D863" t="inlineStr">
        <is>
          <t>GÄVLEBORGS LÄN</t>
        </is>
      </c>
      <c r="E863" t="inlineStr">
        <is>
          <t>BOLLNÄS</t>
        </is>
      </c>
      <c r="G863" t="n">
        <v>1.6</v>
      </c>
      <c r="H863" t="n">
        <v>0</v>
      </c>
      <c r="I863" t="n">
        <v>0</v>
      </c>
      <c r="J863" t="n">
        <v>0</v>
      </c>
      <c r="K863" t="n">
        <v>0</v>
      </c>
      <c r="L863" t="n">
        <v>0</v>
      </c>
      <c r="M863" t="n">
        <v>0</v>
      </c>
      <c r="N863" t="n">
        <v>0</v>
      </c>
      <c r="O863" t="n">
        <v>0</v>
      </c>
      <c r="P863" t="n">
        <v>0</v>
      </c>
      <c r="Q863" t="n">
        <v>0</v>
      </c>
      <c r="R863" s="2" t="inlineStr"/>
    </row>
    <row r="864" ht="15" customHeight="1">
      <c r="A864" t="inlineStr">
        <is>
          <t>A 31812-2019</t>
        </is>
      </c>
      <c r="B864" s="1" t="n">
        <v>43641</v>
      </c>
      <c r="C864" s="1" t="n">
        <v>45587</v>
      </c>
      <c r="D864" t="inlineStr">
        <is>
          <t>GÄVLEBORGS LÄN</t>
        </is>
      </c>
      <c r="E864" t="inlineStr">
        <is>
          <t>LJUSDAL</t>
        </is>
      </c>
      <c r="G864" t="n">
        <v>6.6</v>
      </c>
      <c r="H864" t="n">
        <v>0</v>
      </c>
      <c r="I864" t="n">
        <v>0</v>
      </c>
      <c r="J864" t="n">
        <v>0</v>
      </c>
      <c r="K864" t="n">
        <v>0</v>
      </c>
      <c r="L864" t="n">
        <v>0</v>
      </c>
      <c r="M864" t="n">
        <v>0</v>
      </c>
      <c r="N864" t="n">
        <v>0</v>
      </c>
      <c r="O864" t="n">
        <v>0</v>
      </c>
      <c r="P864" t="n">
        <v>0</v>
      </c>
      <c r="Q864" t="n">
        <v>0</v>
      </c>
      <c r="R864" s="2" t="inlineStr"/>
    </row>
    <row r="865" ht="15" customHeight="1">
      <c r="A865" t="inlineStr">
        <is>
          <t>A 31769-2019</t>
        </is>
      </c>
      <c r="B865" s="1" t="n">
        <v>43642</v>
      </c>
      <c r="C865" s="1" t="n">
        <v>45587</v>
      </c>
      <c r="D865" t="inlineStr">
        <is>
          <t>GÄVLEBORGS LÄN</t>
        </is>
      </c>
      <c r="E865" t="inlineStr">
        <is>
          <t>LJUSDAL</t>
        </is>
      </c>
      <c r="F865" t="inlineStr">
        <is>
          <t>Holmen skog AB</t>
        </is>
      </c>
      <c r="G865" t="n">
        <v>14.4</v>
      </c>
      <c r="H865" t="n">
        <v>0</v>
      </c>
      <c r="I865" t="n">
        <v>0</v>
      </c>
      <c r="J865" t="n">
        <v>0</v>
      </c>
      <c r="K865" t="n">
        <v>0</v>
      </c>
      <c r="L865" t="n">
        <v>0</v>
      </c>
      <c r="M865" t="n">
        <v>0</v>
      </c>
      <c r="N865" t="n">
        <v>0</v>
      </c>
      <c r="O865" t="n">
        <v>0</v>
      </c>
      <c r="P865" t="n">
        <v>0</v>
      </c>
      <c r="Q865" t="n">
        <v>0</v>
      </c>
      <c r="R865" s="2" t="inlineStr"/>
    </row>
    <row r="866" ht="15" customHeight="1">
      <c r="A866" t="inlineStr">
        <is>
          <t>A 31934-2019</t>
        </is>
      </c>
      <c r="B866" s="1" t="n">
        <v>43642</v>
      </c>
      <c r="C866" s="1" t="n">
        <v>45587</v>
      </c>
      <c r="D866" t="inlineStr">
        <is>
          <t>GÄVLEBORGS LÄN</t>
        </is>
      </c>
      <c r="E866" t="inlineStr">
        <is>
          <t>NORDANSTIG</t>
        </is>
      </c>
      <c r="G866" t="n">
        <v>2.4</v>
      </c>
      <c r="H866" t="n">
        <v>0</v>
      </c>
      <c r="I866" t="n">
        <v>0</v>
      </c>
      <c r="J866" t="n">
        <v>0</v>
      </c>
      <c r="K866" t="n">
        <v>0</v>
      </c>
      <c r="L866" t="n">
        <v>0</v>
      </c>
      <c r="M866" t="n">
        <v>0</v>
      </c>
      <c r="N866" t="n">
        <v>0</v>
      </c>
      <c r="O866" t="n">
        <v>0</v>
      </c>
      <c r="P866" t="n">
        <v>0</v>
      </c>
      <c r="Q866" t="n">
        <v>0</v>
      </c>
      <c r="R866" s="2" t="inlineStr"/>
    </row>
    <row r="867" ht="15" customHeight="1">
      <c r="A867" t="inlineStr">
        <is>
          <t>A 31843-2019</t>
        </is>
      </c>
      <c r="B867" s="1" t="n">
        <v>43642</v>
      </c>
      <c r="C867" s="1" t="n">
        <v>45587</v>
      </c>
      <c r="D867" t="inlineStr">
        <is>
          <t>GÄVLEBORGS LÄN</t>
        </is>
      </c>
      <c r="E867" t="inlineStr">
        <is>
          <t>LJUSDAL</t>
        </is>
      </c>
      <c r="F867" t="inlineStr">
        <is>
          <t>Holmen skog AB</t>
        </is>
      </c>
      <c r="G867" t="n">
        <v>0.8</v>
      </c>
      <c r="H867" t="n">
        <v>0</v>
      </c>
      <c r="I867" t="n">
        <v>0</v>
      </c>
      <c r="J867" t="n">
        <v>0</v>
      </c>
      <c r="K867" t="n">
        <v>0</v>
      </c>
      <c r="L867" t="n">
        <v>0</v>
      </c>
      <c r="M867" t="n">
        <v>0</v>
      </c>
      <c r="N867" t="n">
        <v>0</v>
      </c>
      <c r="O867" t="n">
        <v>0</v>
      </c>
      <c r="P867" t="n">
        <v>0</v>
      </c>
      <c r="Q867" t="n">
        <v>0</v>
      </c>
      <c r="R867" s="2" t="inlineStr"/>
    </row>
    <row r="868" ht="15" customHeight="1">
      <c r="A868" t="inlineStr">
        <is>
          <t>A 31854-2019</t>
        </is>
      </c>
      <c r="B868" s="1" t="n">
        <v>43642</v>
      </c>
      <c r="C868" s="1" t="n">
        <v>45587</v>
      </c>
      <c r="D868" t="inlineStr">
        <is>
          <t>GÄVLEBORGS LÄN</t>
        </is>
      </c>
      <c r="E868" t="inlineStr">
        <is>
          <t>HUDIKSVALL</t>
        </is>
      </c>
      <c r="F868" t="inlineStr">
        <is>
          <t>Holmen skog AB</t>
        </is>
      </c>
      <c r="G868" t="n">
        <v>8</v>
      </c>
      <c r="H868" t="n">
        <v>0</v>
      </c>
      <c r="I868" t="n">
        <v>0</v>
      </c>
      <c r="J868" t="n">
        <v>0</v>
      </c>
      <c r="K868" t="n">
        <v>0</v>
      </c>
      <c r="L868" t="n">
        <v>0</v>
      </c>
      <c r="M868" t="n">
        <v>0</v>
      </c>
      <c r="N868" t="n">
        <v>0</v>
      </c>
      <c r="O868" t="n">
        <v>0</v>
      </c>
      <c r="P868" t="n">
        <v>0</v>
      </c>
      <c r="Q868" t="n">
        <v>0</v>
      </c>
      <c r="R868" s="2" t="inlineStr"/>
    </row>
    <row r="869" ht="15" customHeight="1">
      <c r="A869" t="inlineStr">
        <is>
          <t>A 31827-2019</t>
        </is>
      </c>
      <c r="B869" s="1" t="n">
        <v>43642</v>
      </c>
      <c r="C869" s="1" t="n">
        <v>45587</v>
      </c>
      <c r="D869" t="inlineStr">
        <is>
          <t>GÄVLEBORGS LÄN</t>
        </is>
      </c>
      <c r="E869" t="inlineStr">
        <is>
          <t>HUDIKSVALL</t>
        </is>
      </c>
      <c r="F869" t="inlineStr">
        <is>
          <t>Holmen skog AB</t>
        </is>
      </c>
      <c r="G869" t="n">
        <v>3.5</v>
      </c>
      <c r="H869" t="n">
        <v>0</v>
      </c>
      <c r="I869" t="n">
        <v>0</v>
      </c>
      <c r="J869" t="n">
        <v>0</v>
      </c>
      <c r="K869" t="n">
        <v>0</v>
      </c>
      <c r="L869" t="n">
        <v>0</v>
      </c>
      <c r="M869" t="n">
        <v>0</v>
      </c>
      <c r="N869" t="n">
        <v>0</v>
      </c>
      <c r="O869" t="n">
        <v>0</v>
      </c>
      <c r="P869" t="n">
        <v>0</v>
      </c>
      <c r="Q869" t="n">
        <v>0</v>
      </c>
      <c r="R869" s="2" t="inlineStr"/>
    </row>
    <row r="870" ht="15" customHeight="1">
      <c r="A870" t="inlineStr">
        <is>
          <t>A 31914-2019</t>
        </is>
      </c>
      <c r="B870" s="1" t="n">
        <v>43643</v>
      </c>
      <c r="C870" s="1" t="n">
        <v>45587</v>
      </c>
      <c r="D870" t="inlineStr">
        <is>
          <t>GÄVLEBORGS LÄN</t>
        </is>
      </c>
      <c r="E870" t="inlineStr">
        <is>
          <t>BOLLNÄS</t>
        </is>
      </c>
      <c r="G870" t="n">
        <v>3.5</v>
      </c>
      <c r="H870" t="n">
        <v>0</v>
      </c>
      <c r="I870" t="n">
        <v>0</v>
      </c>
      <c r="J870" t="n">
        <v>0</v>
      </c>
      <c r="K870" t="n">
        <v>0</v>
      </c>
      <c r="L870" t="n">
        <v>0</v>
      </c>
      <c r="M870" t="n">
        <v>0</v>
      </c>
      <c r="N870" t="n">
        <v>0</v>
      </c>
      <c r="O870" t="n">
        <v>0</v>
      </c>
      <c r="P870" t="n">
        <v>0</v>
      </c>
      <c r="Q870" t="n">
        <v>0</v>
      </c>
      <c r="R870" s="2" t="inlineStr"/>
    </row>
    <row r="871" ht="15" customHeight="1">
      <c r="A871" t="inlineStr">
        <is>
          <t>A 32092-2019</t>
        </is>
      </c>
      <c r="B871" s="1" t="n">
        <v>43643</v>
      </c>
      <c r="C871" s="1" t="n">
        <v>45587</v>
      </c>
      <c r="D871" t="inlineStr">
        <is>
          <t>GÄVLEBORGS LÄN</t>
        </is>
      </c>
      <c r="E871" t="inlineStr">
        <is>
          <t>NORDANSTIG</t>
        </is>
      </c>
      <c r="G871" t="n">
        <v>3.3</v>
      </c>
      <c r="H871" t="n">
        <v>0</v>
      </c>
      <c r="I871" t="n">
        <v>0</v>
      </c>
      <c r="J871" t="n">
        <v>0</v>
      </c>
      <c r="K871" t="n">
        <v>0</v>
      </c>
      <c r="L871" t="n">
        <v>0</v>
      </c>
      <c r="M871" t="n">
        <v>0</v>
      </c>
      <c r="N871" t="n">
        <v>0</v>
      </c>
      <c r="O871" t="n">
        <v>0</v>
      </c>
      <c r="P871" t="n">
        <v>0</v>
      </c>
      <c r="Q871" t="n">
        <v>0</v>
      </c>
      <c r="R871" s="2" t="inlineStr"/>
    </row>
    <row r="872" ht="15" customHeight="1">
      <c r="A872" t="inlineStr">
        <is>
          <t>A 32000-2019</t>
        </is>
      </c>
      <c r="B872" s="1" t="n">
        <v>43643</v>
      </c>
      <c r="C872" s="1" t="n">
        <v>45587</v>
      </c>
      <c r="D872" t="inlineStr">
        <is>
          <t>GÄVLEBORGS LÄN</t>
        </is>
      </c>
      <c r="E872" t="inlineStr">
        <is>
          <t>OVANÅKER</t>
        </is>
      </c>
      <c r="G872" t="n">
        <v>5.9</v>
      </c>
      <c r="H872" t="n">
        <v>0</v>
      </c>
      <c r="I872" t="n">
        <v>0</v>
      </c>
      <c r="J872" t="n">
        <v>0</v>
      </c>
      <c r="K872" t="n">
        <v>0</v>
      </c>
      <c r="L872" t="n">
        <v>0</v>
      </c>
      <c r="M872" t="n">
        <v>0</v>
      </c>
      <c r="N872" t="n">
        <v>0</v>
      </c>
      <c r="O872" t="n">
        <v>0</v>
      </c>
      <c r="P872" t="n">
        <v>0</v>
      </c>
      <c r="Q872" t="n">
        <v>0</v>
      </c>
      <c r="R872" s="2" t="inlineStr"/>
    </row>
    <row r="873" ht="15" customHeight="1">
      <c r="A873" t="inlineStr">
        <is>
          <t>A 32130-2019</t>
        </is>
      </c>
      <c r="B873" s="1" t="n">
        <v>43643</v>
      </c>
      <c r="C873" s="1" t="n">
        <v>45587</v>
      </c>
      <c r="D873" t="inlineStr">
        <is>
          <t>GÄVLEBORGS LÄN</t>
        </is>
      </c>
      <c r="E873" t="inlineStr">
        <is>
          <t>SANDVIKEN</t>
        </is>
      </c>
      <c r="G873" t="n">
        <v>2.8</v>
      </c>
      <c r="H873" t="n">
        <v>0</v>
      </c>
      <c r="I873" t="n">
        <v>0</v>
      </c>
      <c r="J873" t="n">
        <v>0</v>
      </c>
      <c r="K873" t="n">
        <v>0</v>
      </c>
      <c r="L873" t="n">
        <v>0</v>
      </c>
      <c r="M873" t="n">
        <v>0</v>
      </c>
      <c r="N873" t="n">
        <v>0</v>
      </c>
      <c r="O873" t="n">
        <v>0</v>
      </c>
      <c r="P873" t="n">
        <v>0</v>
      </c>
      <c r="Q873" t="n">
        <v>0</v>
      </c>
      <c r="R873" s="2" t="inlineStr"/>
    </row>
    <row r="874" ht="15" customHeight="1">
      <c r="A874" t="inlineStr">
        <is>
          <t>A 32007-2019</t>
        </is>
      </c>
      <c r="B874" s="1" t="n">
        <v>43643</v>
      </c>
      <c r="C874" s="1" t="n">
        <v>45587</v>
      </c>
      <c r="D874" t="inlineStr">
        <is>
          <t>GÄVLEBORGS LÄN</t>
        </is>
      </c>
      <c r="E874" t="inlineStr">
        <is>
          <t>SANDVIKEN</t>
        </is>
      </c>
      <c r="G874" t="n">
        <v>0.8</v>
      </c>
      <c r="H874" t="n">
        <v>0</v>
      </c>
      <c r="I874" t="n">
        <v>0</v>
      </c>
      <c r="J874" t="n">
        <v>0</v>
      </c>
      <c r="K874" t="n">
        <v>0</v>
      </c>
      <c r="L874" t="n">
        <v>0</v>
      </c>
      <c r="M874" t="n">
        <v>0</v>
      </c>
      <c r="N874" t="n">
        <v>0</v>
      </c>
      <c r="O874" t="n">
        <v>0</v>
      </c>
      <c r="P874" t="n">
        <v>0</v>
      </c>
      <c r="Q874" t="n">
        <v>0</v>
      </c>
      <c r="R874" s="2" t="inlineStr"/>
    </row>
    <row r="875" ht="15" customHeight="1">
      <c r="A875" t="inlineStr">
        <is>
          <t>A 33036-2019</t>
        </is>
      </c>
      <c r="B875" s="1" t="n">
        <v>43643</v>
      </c>
      <c r="C875" s="1" t="n">
        <v>45587</v>
      </c>
      <c r="D875" t="inlineStr">
        <is>
          <t>GÄVLEBORGS LÄN</t>
        </is>
      </c>
      <c r="E875" t="inlineStr">
        <is>
          <t>HUDIKSVALL</t>
        </is>
      </c>
      <c r="F875" t="inlineStr">
        <is>
          <t>Holmen skog AB</t>
        </is>
      </c>
      <c r="G875" t="n">
        <v>1.2</v>
      </c>
      <c r="H875" t="n">
        <v>0</v>
      </c>
      <c r="I875" t="n">
        <v>0</v>
      </c>
      <c r="J875" t="n">
        <v>0</v>
      </c>
      <c r="K875" t="n">
        <v>0</v>
      </c>
      <c r="L875" t="n">
        <v>0</v>
      </c>
      <c r="M875" t="n">
        <v>0</v>
      </c>
      <c r="N875" t="n">
        <v>0</v>
      </c>
      <c r="O875" t="n">
        <v>0</v>
      </c>
      <c r="P875" t="n">
        <v>0</v>
      </c>
      <c r="Q875" t="n">
        <v>0</v>
      </c>
      <c r="R875" s="2" t="inlineStr"/>
    </row>
    <row r="876" ht="15" customHeight="1">
      <c r="A876" t="inlineStr">
        <is>
          <t>A 32084-2019</t>
        </is>
      </c>
      <c r="B876" s="1" t="n">
        <v>43643</v>
      </c>
      <c r="C876" s="1" t="n">
        <v>45587</v>
      </c>
      <c r="D876" t="inlineStr">
        <is>
          <t>GÄVLEBORGS LÄN</t>
        </is>
      </c>
      <c r="E876" t="inlineStr">
        <is>
          <t>SÖDERHAMN</t>
        </is>
      </c>
      <c r="G876" t="n">
        <v>2.5</v>
      </c>
      <c r="H876" t="n">
        <v>0</v>
      </c>
      <c r="I876" t="n">
        <v>0</v>
      </c>
      <c r="J876" t="n">
        <v>0</v>
      </c>
      <c r="K876" t="n">
        <v>0</v>
      </c>
      <c r="L876" t="n">
        <v>0</v>
      </c>
      <c r="M876" t="n">
        <v>0</v>
      </c>
      <c r="N876" t="n">
        <v>0</v>
      </c>
      <c r="O876" t="n">
        <v>0</v>
      </c>
      <c r="P876" t="n">
        <v>0</v>
      </c>
      <c r="Q876" t="n">
        <v>0</v>
      </c>
      <c r="R876" s="2" t="inlineStr"/>
    </row>
    <row r="877" ht="15" customHeight="1">
      <c r="A877" t="inlineStr">
        <is>
          <t>A 32355-2019</t>
        </is>
      </c>
      <c r="B877" s="1" t="n">
        <v>43644</v>
      </c>
      <c r="C877" s="1" t="n">
        <v>45587</v>
      </c>
      <c r="D877" t="inlineStr">
        <is>
          <t>GÄVLEBORGS LÄN</t>
        </is>
      </c>
      <c r="E877" t="inlineStr">
        <is>
          <t>HUDIKSVALL</t>
        </is>
      </c>
      <c r="F877" t="inlineStr">
        <is>
          <t>Holmen skog AB</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32436-2019</t>
        </is>
      </c>
      <c r="B878" s="1" t="n">
        <v>43644</v>
      </c>
      <c r="C878" s="1" t="n">
        <v>45587</v>
      </c>
      <c r="D878" t="inlineStr">
        <is>
          <t>GÄVLEBORGS LÄN</t>
        </is>
      </c>
      <c r="E878" t="inlineStr">
        <is>
          <t>LJUSDAL</t>
        </is>
      </c>
      <c r="G878" t="n">
        <v>1.4</v>
      </c>
      <c r="H878" t="n">
        <v>0</v>
      </c>
      <c r="I878" t="n">
        <v>0</v>
      </c>
      <c r="J878" t="n">
        <v>0</v>
      </c>
      <c r="K878" t="n">
        <v>0</v>
      </c>
      <c r="L878" t="n">
        <v>0</v>
      </c>
      <c r="M878" t="n">
        <v>0</v>
      </c>
      <c r="N878" t="n">
        <v>0</v>
      </c>
      <c r="O878" t="n">
        <v>0</v>
      </c>
      <c r="P878" t="n">
        <v>0</v>
      </c>
      <c r="Q878" t="n">
        <v>0</v>
      </c>
      <c r="R878" s="2" t="inlineStr"/>
    </row>
    <row r="879" ht="15" customHeight="1">
      <c r="A879" t="inlineStr">
        <is>
          <t>A 32571-2019</t>
        </is>
      </c>
      <c r="B879" s="1" t="n">
        <v>43647</v>
      </c>
      <c r="C879" s="1" t="n">
        <v>45587</v>
      </c>
      <c r="D879" t="inlineStr">
        <is>
          <t>GÄVLEBORGS LÄN</t>
        </is>
      </c>
      <c r="E879" t="inlineStr">
        <is>
          <t>OCKELBO</t>
        </is>
      </c>
      <c r="G879" t="n">
        <v>1.9</v>
      </c>
      <c r="H879" t="n">
        <v>0</v>
      </c>
      <c r="I879" t="n">
        <v>0</v>
      </c>
      <c r="J879" t="n">
        <v>0</v>
      </c>
      <c r="K879" t="n">
        <v>0</v>
      </c>
      <c r="L879" t="n">
        <v>0</v>
      </c>
      <c r="M879" t="n">
        <v>0</v>
      </c>
      <c r="N879" t="n">
        <v>0</v>
      </c>
      <c r="O879" t="n">
        <v>0</v>
      </c>
      <c r="P879" t="n">
        <v>0</v>
      </c>
      <c r="Q879" t="n">
        <v>0</v>
      </c>
      <c r="R879" s="2" t="inlineStr"/>
    </row>
    <row r="880" ht="15" customHeight="1">
      <c r="A880" t="inlineStr">
        <is>
          <t>A 32600-2019</t>
        </is>
      </c>
      <c r="B880" s="1" t="n">
        <v>43647</v>
      </c>
      <c r="C880" s="1" t="n">
        <v>45587</v>
      </c>
      <c r="D880" t="inlineStr">
        <is>
          <t>GÄVLEBORGS LÄN</t>
        </is>
      </c>
      <c r="E880" t="inlineStr">
        <is>
          <t>HUDIKSVALL</t>
        </is>
      </c>
      <c r="F880" t="inlineStr">
        <is>
          <t>Holmen skog AB</t>
        </is>
      </c>
      <c r="G880" t="n">
        <v>1.7</v>
      </c>
      <c r="H880" t="n">
        <v>0</v>
      </c>
      <c r="I880" t="n">
        <v>0</v>
      </c>
      <c r="J880" t="n">
        <v>0</v>
      </c>
      <c r="K880" t="n">
        <v>0</v>
      </c>
      <c r="L880" t="n">
        <v>0</v>
      </c>
      <c r="M880" t="n">
        <v>0</v>
      </c>
      <c r="N880" t="n">
        <v>0</v>
      </c>
      <c r="O880" t="n">
        <v>0</v>
      </c>
      <c r="P880" t="n">
        <v>0</v>
      </c>
      <c r="Q880" t="n">
        <v>0</v>
      </c>
      <c r="R880" s="2" t="inlineStr"/>
    </row>
    <row r="881" ht="15" customHeight="1">
      <c r="A881" t="inlineStr">
        <is>
          <t>A 34322-2019</t>
        </is>
      </c>
      <c r="B881" s="1" t="n">
        <v>43647</v>
      </c>
      <c r="C881" s="1" t="n">
        <v>45587</v>
      </c>
      <c r="D881" t="inlineStr">
        <is>
          <t>GÄVLEBORGS LÄN</t>
        </is>
      </c>
      <c r="E881" t="inlineStr">
        <is>
          <t>OCKELBO</t>
        </is>
      </c>
      <c r="G881" t="n">
        <v>11.1</v>
      </c>
      <c r="H881" t="n">
        <v>0</v>
      </c>
      <c r="I881" t="n">
        <v>0</v>
      </c>
      <c r="J881" t="n">
        <v>0</v>
      </c>
      <c r="K881" t="n">
        <v>0</v>
      </c>
      <c r="L881" t="n">
        <v>0</v>
      </c>
      <c r="M881" t="n">
        <v>0</v>
      </c>
      <c r="N881" t="n">
        <v>0</v>
      </c>
      <c r="O881" t="n">
        <v>0</v>
      </c>
      <c r="P881" t="n">
        <v>0</v>
      </c>
      <c r="Q881" t="n">
        <v>0</v>
      </c>
      <c r="R881" s="2" t="inlineStr"/>
    </row>
    <row r="882" ht="15" customHeight="1">
      <c r="A882" t="inlineStr">
        <is>
          <t>A 32551-2019</t>
        </is>
      </c>
      <c r="B882" s="1" t="n">
        <v>43647</v>
      </c>
      <c r="C882" s="1" t="n">
        <v>45587</v>
      </c>
      <c r="D882" t="inlineStr">
        <is>
          <t>GÄVLEBORGS LÄN</t>
        </is>
      </c>
      <c r="E882" t="inlineStr">
        <is>
          <t>NORDANSTIG</t>
        </is>
      </c>
      <c r="G882" t="n">
        <v>1.3</v>
      </c>
      <c r="H882" t="n">
        <v>0</v>
      </c>
      <c r="I882" t="n">
        <v>0</v>
      </c>
      <c r="J882" t="n">
        <v>0</v>
      </c>
      <c r="K882" t="n">
        <v>0</v>
      </c>
      <c r="L882" t="n">
        <v>0</v>
      </c>
      <c r="M882" t="n">
        <v>0</v>
      </c>
      <c r="N882" t="n">
        <v>0</v>
      </c>
      <c r="O882" t="n">
        <v>0</v>
      </c>
      <c r="P882" t="n">
        <v>0</v>
      </c>
      <c r="Q882" t="n">
        <v>0</v>
      </c>
      <c r="R882" s="2" t="inlineStr"/>
    </row>
    <row r="883" ht="15" customHeight="1">
      <c r="A883" t="inlineStr">
        <is>
          <t>A 32576-2019</t>
        </is>
      </c>
      <c r="B883" s="1" t="n">
        <v>43647</v>
      </c>
      <c r="C883" s="1" t="n">
        <v>45587</v>
      </c>
      <c r="D883" t="inlineStr">
        <is>
          <t>GÄVLEBORGS LÄN</t>
        </is>
      </c>
      <c r="E883" t="inlineStr">
        <is>
          <t>OCKELBO</t>
        </is>
      </c>
      <c r="G883" t="n">
        <v>4.6</v>
      </c>
      <c r="H883" t="n">
        <v>0</v>
      </c>
      <c r="I883" t="n">
        <v>0</v>
      </c>
      <c r="J883" t="n">
        <v>0</v>
      </c>
      <c r="K883" t="n">
        <v>0</v>
      </c>
      <c r="L883" t="n">
        <v>0</v>
      </c>
      <c r="M883" t="n">
        <v>0</v>
      </c>
      <c r="N883" t="n">
        <v>0</v>
      </c>
      <c r="O883" t="n">
        <v>0</v>
      </c>
      <c r="P883" t="n">
        <v>0</v>
      </c>
      <c r="Q883" t="n">
        <v>0</v>
      </c>
      <c r="R883" s="2" t="inlineStr"/>
    </row>
    <row r="884" ht="15" customHeight="1">
      <c r="A884" t="inlineStr">
        <is>
          <t>A 32880-2019</t>
        </is>
      </c>
      <c r="B884" s="1" t="n">
        <v>43648</v>
      </c>
      <c r="C884" s="1" t="n">
        <v>45587</v>
      </c>
      <c r="D884" t="inlineStr">
        <is>
          <t>GÄVLEBORGS LÄN</t>
        </is>
      </c>
      <c r="E884" t="inlineStr">
        <is>
          <t>NORDANSTIG</t>
        </is>
      </c>
      <c r="G884" t="n">
        <v>6.6</v>
      </c>
      <c r="H884" t="n">
        <v>0</v>
      </c>
      <c r="I884" t="n">
        <v>0</v>
      </c>
      <c r="J884" t="n">
        <v>0</v>
      </c>
      <c r="K884" t="n">
        <v>0</v>
      </c>
      <c r="L884" t="n">
        <v>0</v>
      </c>
      <c r="M884" t="n">
        <v>0</v>
      </c>
      <c r="N884" t="n">
        <v>0</v>
      </c>
      <c r="O884" t="n">
        <v>0</v>
      </c>
      <c r="P884" t="n">
        <v>0</v>
      </c>
      <c r="Q884" t="n">
        <v>0</v>
      </c>
      <c r="R884" s="2" t="inlineStr"/>
    </row>
    <row r="885" ht="15" customHeight="1">
      <c r="A885" t="inlineStr">
        <is>
          <t>A 32912-2019</t>
        </is>
      </c>
      <c r="B885" s="1" t="n">
        <v>43648</v>
      </c>
      <c r="C885" s="1" t="n">
        <v>45587</v>
      </c>
      <c r="D885" t="inlineStr">
        <is>
          <t>GÄVLEBORGS LÄN</t>
        </is>
      </c>
      <c r="E885" t="inlineStr">
        <is>
          <t>NORDANSTIG</t>
        </is>
      </c>
      <c r="G885" t="n">
        <v>14.6</v>
      </c>
      <c r="H885" t="n">
        <v>0</v>
      </c>
      <c r="I885" t="n">
        <v>0</v>
      </c>
      <c r="J885" t="n">
        <v>0</v>
      </c>
      <c r="K885" t="n">
        <v>0</v>
      </c>
      <c r="L885" t="n">
        <v>0</v>
      </c>
      <c r="M885" t="n">
        <v>0</v>
      </c>
      <c r="N885" t="n">
        <v>0</v>
      </c>
      <c r="O885" t="n">
        <v>0</v>
      </c>
      <c r="P885" t="n">
        <v>0</v>
      </c>
      <c r="Q885" t="n">
        <v>0</v>
      </c>
      <c r="R885" s="2" t="inlineStr"/>
    </row>
    <row r="886" ht="15" customHeight="1">
      <c r="A886" t="inlineStr">
        <is>
          <t>A 33128-2019</t>
        </is>
      </c>
      <c r="B886" s="1" t="n">
        <v>43649</v>
      </c>
      <c r="C886" s="1" t="n">
        <v>45587</v>
      </c>
      <c r="D886" t="inlineStr">
        <is>
          <t>GÄVLEBORGS LÄN</t>
        </is>
      </c>
      <c r="E886" t="inlineStr">
        <is>
          <t>OCKELBO</t>
        </is>
      </c>
      <c r="G886" t="n">
        <v>1.2</v>
      </c>
      <c r="H886" t="n">
        <v>0</v>
      </c>
      <c r="I886" t="n">
        <v>0</v>
      </c>
      <c r="J886" t="n">
        <v>0</v>
      </c>
      <c r="K886" t="n">
        <v>0</v>
      </c>
      <c r="L886" t="n">
        <v>0</v>
      </c>
      <c r="M886" t="n">
        <v>0</v>
      </c>
      <c r="N886" t="n">
        <v>0</v>
      </c>
      <c r="O886" t="n">
        <v>0</v>
      </c>
      <c r="P886" t="n">
        <v>0</v>
      </c>
      <c r="Q886" t="n">
        <v>0</v>
      </c>
      <c r="R886" s="2" t="inlineStr"/>
    </row>
    <row r="887" ht="15" customHeight="1">
      <c r="A887" t="inlineStr">
        <is>
          <t>A 33064-2019</t>
        </is>
      </c>
      <c r="B887" s="1" t="n">
        <v>43649</v>
      </c>
      <c r="C887" s="1" t="n">
        <v>45587</v>
      </c>
      <c r="D887" t="inlineStr">
        <is>
          <t>GÄVLEBORGS LÄN</t>
        </is>
      </c>
      <c r="E887" t="inlineStr">
        <is>
          <t>BOLLNÄS</t>
        </is>
      </c>
      <c r="G887" t="n">
        <v>0.7</v>
      </c>
      <c r="H887" t="n">
        <v>0</v>
      </c>
      <c r="I887" t="n">
        <v>0</v>
      </c>
      <c r="J887" t="n">
        <v>0</v>
      </c>
      <c r="K887" t="n">
        <v>0</v>
      </c>
      <c r="L887" t="n">
        <v>0</v>
      </c>
      <c r="M887" t="n">
        <v>0</v>
      </c>
      <c r="N887" t="n">
        <v>0</v>
      </c>
      <c r="O887" t="n">
        <v>0</v>
      </c>
      <c r="P887" t="n">
        <v>0</v>
      </c>
      <c r="Q887" t="n">
        <v>0</v>
      </c>
      <c r="R887" s="2" t="inlineStr"/>
    </row>
    <row r="888" ht="15" customHeight="1">
      <c r="A888" t="inlineStr">
        <is>
          <t>A 33120-2019</t>
        </is>
      </c>
      <c r="B888" s="1" t="n">
        <v>43649</v>
      </c>
      <c r="C888" s="1" t="n">
        <v>45587</v>
      </c>
      <c r="D888" t="inlineStr">
        <is>
          <t>GÄVLEBORGS LÄN</t>
        </is>
      </c>
      <c r="E888" t="inlineStr">
        <is>
          <t>BOLLNÄS</t>
        </is>
      </c>
      <c r="G888" t="n">
        <v>0.8</v>
      </c>
      <c r="H888" t="n">
        <v>0</v>
      </c>
      <c r="I888" t="n">
        <v>0</v>
      </c>
      <c r="J888" t="n">
        <v>0</v>
      </c>
      <c r="K888" t="n">
        <v>0</v>
      </c>
      <c r="L888" t="n">
        <v>0</v>
      </c>
      <c r="M888" t="n">
        <v>0</v>
      </c>
      <c r="N888" t="n">
        <v>0</v>
      </c>
      <c r="O888" t="n">
        <v>0</v>
      </c>
      <c r="P888" t="n">
        <v>0</v>
      </c>
      <c r="Q888" t="n">
        <v>0</v>
      </c>
      <c r="R888" s="2" t="inlineStr"/>
    </row>
    <row r="889" ht="15" customHeight="1">
      <c r="A889" t="inlineStr">
        <is>
          <t>A 33154-2019</t>
        </is>
      </c>
      <c r="B889" s="1" t="n">
        <v>43649</v>
      </c>
      <c r="C889" s="1" t="n">
        <v>45587</v>
      </c>
      <c r="D889" t="inlineStr">
        <is>
          <t>GÄVLEBORGS LÄN</t>
        </is>
      </c>
      <c r="E889" t="inlineStr">
        <is>
          <t>SANDVIKEN</t>
        </is>
      </c>
      <c r="G889" t="n">
        <v>2.3</v>
      </c>
      <c r="H889" t="n">
        <v>0</v>
      </c>
      <c r="I889" t="n">
        <v>0</v>
      </c>
      <c r="J889" t="n">
        <v>0</v>
      </c>
      <c r="K889" t="n">
        <v>0</v>
      </c>
      <c r="L889" t="n">
        <v>0</v>
      </c>
      <c r="M889" t="n">
        <v>0</v>
      </c>
      <c r="N889" t="n">
        <v>0</v>
      </c>
      <c r="O889" t="n">
        <v>0</v>
      </c>
      <c r="P889" t="n">
        <v>0</v>
      </c>
      <c r="Q889" t="n">
        <v>0</v>
      </c>
      <c r="R889" s="2" t="inlineStr"/>
    </row>
    <row r="890" ht="15" customHeight="1">
      <c r="A890" t="inlineStr">
        <is>
          <t>A 33248-2019</t>
        </is>
      </c>
      <c r="B890" s="1" t="n">
        <v>43650</v>
      </c>
      <c r="C890" s="1" t="n">
        <v>45587</v>
      </c>
      <c r="D890" t="inlineStr">
        <is>
          <t>GÄVLEBORGS LÄN</t>
        </is>
      </c>
      <c r="E890" t="inlineStr">
        <is>
          <t>BOLLNÄS</t>
        </is>
      </c>
      <c r="G890" t="n">
        <v>3.8</v>
      </c>
      <c r="H890" t="n">
        <v>0</v>
      </c>
      <c r="I890" t="n">
        <v>0</v>
      </c>
      <c r="J890" t="n">
        <v>0</v>
      </c>
      <c r="K890" t="n">
        <v>0</v>
      </c>
      <c r="L890" t="n">
        <v>0</v>
      </c>
      <c r="M890" t="n">
        <v>0</v>
      </c>
      <c r="N890" t="n">
        <v>0</v>
      </c>
      <c r="O890" t="n">
        <v>0</v>
      </c>
      <c r="P890" t="n">
        <v>0</v>
      </c>
      <c r="Q890" t="n">
        <v>0</v>
      </c>
      <c r="R890" s="2" t="inlineStr"/>
    </row>
    <row r="891" ht="15" customHeight="1">
      <c r="A891" t="inlineStr">
        <is>
          <t>A 33378-2019</t>
        </is>
      </c>
      <c r="B891" s="1" t="n">
        <v>43650</v>
      </c>
      <c r="C891" s="1" t="n">
        <v>45587</v>
      </c>
      <c r="D891" t="inlineStr">
        <is>
          <t>GÄVLEBORGS LÄN</t>
        </is>
      </c>
      <c r="E891" t="inlineStr">
        <is>
          <t>OCKELBO</t>
        </is>
      </c>
      <c r="G891" t="n">
        <v>1.8</v>
      </c>
      <c r="H891" t="n">
        <v>0</v>
      </c>
      <c r="I891" t="n">
        <v>0</v>
      </c>
      <c r="J891" t="n">
        <v>0</v>
      </c>
      <c r="K891" t="n">
        <v>0</v>
      </c>
      <c r="L891" t="n">
        <v>0</v>
      </c>
      <c r="M891" t="n">
        <v>0</v>
      </c>
      <c r="N891" t="n">
        <v>0</v>
      </c>
      <c r="O891" t="n">
        <v>0</v>
      </c>
      <c r="P891" t="n">
        <v>0</v>
      </c>
      <c r="Q891" t="n">
        <v>0</v>
      </c>
      <c r="R891" s="2" t="inlineStr"/>
    </row>
    <row r="892" ht="15" customHeight="1">
      <c r="A892" t="inlineStr">
        <is>
          <t>A 33228-2019</t>
        </is>
      </c>
      <c r="B892" s="1" t="n">
        <v>43650</v>
      </c>
      <c r="C892" s="1" t="n">
        <v>45587</v>
      </c>
      <c r="D892" t="inlineStr">
        <is>
          <t>GÄVLEBORGS LÄN</t>
        </is>
      </c>
      <c r="E892" t="inlineStr">
        <is>
          <t>GÄVLE</t>
        </is>
      </c>
      <c r="G892" t="n">
        <v>0.5</v>
      </c>
      <c r="H892" t="n">
        <v>0</v>
      </c>
      <c r="I892" t="n">
        <v>0</v>
      </c>
      <c r="J892" t="n">
        <v>0</v>
      </c>
      <c r="K892" t="n">
        <v>0</v>
      </c>
      <c r="L892" t="n">
        <v>0</v>
      </c>
      <c r="M892" t="n">
        <v>0</v>
      </c>
      <c r="N892" t="n">
        <v>0</v>
      </c>
      <c r="O892" t="n">
        <v>0</v>
      </c>
      <c r="P892" t="n">
        <v>0</v>
      </c>
      <c r="Q892" t="n">
        <v>0</v>
      </c>
      <c r="R892" s="2" t="inlineStr"/>
    </row>
    <row r="893" ht="15" customHeight="1">
      <c r="A893" t="inlineStr">
        <is>
          <t>A 33306-2019</t>
        </is>
      </c>
      <c r="B893" s="1" t="n">
        <v>43650</v>
      </c>
      <c r="C893" s="1" t="n">
        <v>45587</v>
      </c>
      <c r="D893" t="inlineStr">
        <is>
          <t>GÄVLEBORGS LÄN</t>
        </is>
      </c>
      <c r="E893" t="inlineStr">
        <is>
          <t>LJUSDAL</t>
        </is>
      </c>
      <c r="G893" t="n">
        <v>10.9</v>
      </c>
      <c r="H893" t="n">
        <v>0</v>
      </c>
      <c r="I893" t="n">
        <v>0</v>
      </c>
      <c r="J893" t="n">
        <v>0</v>
      </c>
      <c r="K893" t="n">
        <v>0</v>
      </c>
      <c r="L893" t="n">
        <v>0</v>
      </c>
      <c r="M893" t="n">
        <v>0</v>
      </c>
      <c r="N893" t="n">
        <v>0</v>
      </c>
      <c r="O893" t="n">
        <v>0</v>
      </c>
      <c r="P893" t="n">
        <v>0</v>
      </c>
      <c r="Q893" t="n">
        <v>0</v>
      </c>
      <c r="R893" s="2" t="inlineStr"/>
    </row>
    <row r="894" ht="15" customHeight="1">
      <c r="A894" t="inlineStr">
        <is>
          <t>A 33359-2019</t>
        </is>
      </c>
      <c r="B894" s="1" t="n">
        <v>43650</v>
      </c>
      <c r="C894" s="1" t="n">
        <v>45587</v>
      </c>
      <c r="D894" t="inlineStr">
        <is>
          <t>GÄVLEBORGS LÄN</t>
        </is>
      </c>
      <c r="E894" t="inlineStr">
        <is>
          <t>OCKELBO</t>
        </is>
      </c>
      <c r="G894" t="n">
        <v>1.9</v>
      </c>
      <c r="H894" t="n">
        <v>0</v>
      </c>
      <c r="I894" t="n">
        <v>0</v>
      </c>
      <c r="J894" t="n">
        <v>0</v>
      </c>
      <c r="K894" t="n">
        <v>0</v>
      </c>
      <c r="L894" t="n">
        <v>0</v>
      </c>
      <c r="M894" t="n">
        <v>0</v>
      </c>
      <c r="N894" t="n">
        <v>0</v>
      </c>
      <c r="O894" t="n">
        <v>0</v>
      </c>
      <c r="P894" t="n">
        <v>0</v>
      </c>
      <c r="Q894" t="n">
        <v>0</v>
      </c>
      <c r="R894" s="2" t="inlineStr"/>
    </row>
    <row r="895" ht="15" customHeight="1">
      <c r="A895" t="inlineStr">
        <is>
          <t>A 33383-2019</t>
        </is>
      </c>
      <c r="B895" s="1" t="n">
        <v>43650</v>
      </c>
      <c r="C895" s="1" t="n">
        <v>45587</v>
      </c>
      <c r="D895" t="inlineStr">
        <is>
          <t>GÄVLEBORGS LÄN</t>
        </is>
      </c>
      <c r="E895" t="inlineStr">
        <is>
          <t>HUDIKSVALL</t>
        </is>
      </c>
      <c r="G895" t="n">
        <v>1</v>
      </c>
      <c r="H895" t="n">
        <v>0</v>
      </c>
      <c r="I895" t="n">
        <v>0</v>
      </c>
      <c r="J895" t="n">
        <v>0</v>
      </c>
      <c r="K895" t="n">
        <v>0</v>
      </c>
      <c r="L895" t="n">
        <v>0</v>
      </c>
      <c r="M895" t="n">
        <v>0</v>
      </c>
      <c r="N895" t="n">
        <v>0</v>
      </c>
      <c r="O895" t="n">
        <v>0</v>
      </c>
      <c r="P895" t="n">
        <v>0</v>
      </c>
      <c r="Q895" t="n">
        <v>0</v>
      </c>
      <c r="R895" s="2" t="inlineStr"/>
    </row>
    <row r="896" ht="15" customHeight="1">
      <c r="A896" t="inlineStr">
        <is>
          <t>A 33423-2019</t>
        </is>
      </c>
      <c r="B896" s="1" t="n">
        <v>43650</v>
      </c>
      <c r="C896" s="1" t="n">
        <v>45587</v>
      </c>
      <c r="D896" t="inlineStr">
        <is>
          <t>GÄVLEBORGS LÄN</t>
        </is>
      </c>
      <c r="E896" t="inlineStr">
        <is>
          <t>OCKELBO</t>
        </is>
      </c>
      <c r="G896" t="n">
        <v>2</v>
      </c>
      <c r="H896" t="n">
        <v>0</v>
      </c>
      <c r="I896" t="n">
        <v>0</v>
      </c>
      <c r="J896" t="n">
        <v>0</v>
      </c>
      <c r="K896" t="n">
        <v>0</v>
      </c>
      <c r="L896" t="n">
        <v>0</v>
      </c>
      <c r="M896" t="n">
        <v>0</v>
      </c>
      <c r="N896" t="n">
        <v>0</v>
      </c>
      <c r="O896" t="n">
        <v>0</v>
      </c>
      <c r="P896" t="n">
        <v>0</v>
      </c>
      <c r="Q896" t="n">
        <v>0</v>
      </c>
      <c r="R896" s="2" t="inlineStr"/>
    </row>
    <row r="897" ht="15" customHeight="1">
      <c r="A897" t="inlineStr">
        <is>
          <t>A 33368-2019</t>
        </is>
      </c>
      <c r="B897" s="1" t="n">
        <v>43650</v>
      </c>
      <c r="C897" s="1" t="n">
        <v>45587</v>
      </c>
      <c r="D897" t="inlineStr">
        <is>
          <t>GÄVLEBORGS LÄN</t>
        </is>
      </c>
      <c r="E897" t="inlineStr">
        <is>
          <t>HUDIKSVALL</t>
        </is>
      </c>
      <c r="G897" t="n">
        <v>4.6</v>
      </c>
      <c r="H897" t="n">
        <v>0</v>
      </c>
      <c r="I897" t="n">
        <v>0</v>
      </c>
      <c r="J897" t="n">
        <v>0</v>
      </c>
      <c r="K897" t="n">
        <v>0</v>
      </c>
      <c r="L897" t="n">
        <v>0</v>
      </c>
      <c r="M897" t="n">
        <v>0</v>
      </c>
      <c r="N897" t="n">
        <v>0</v>
      </c>
      <c r="O897" t="n">
        <v>0</v>
      </c>
      <c r="P897" t="n">
        <v>0</v>
      </c>
      <c r="Q897" t="n">
        <v>0</v>
      </c>
      <c r="R897" s="2" t="inlineStr"/>
    </row>
    <row r="898" ht="15" customHeight="1">
      <c r="A898" t="inlineStr">
        <is>
          <t>A 33374-2019</t>
        </is>
      </c>
      <c r="B898" s="1" t="n">
        <v>43650</v>
      </c>
      <c r="C898" s="1" t="n">
        <v>45587</v>
      </c>
      <c r="D898" t="inlineStr">
        <is>
          <t>GÄVLEBORGS LÄN</t>
        </is>
      </c>
      <c r="E898" t="inlineStr">
        <is>
          <t>OCKELBO</t>
        </is>
      </c>
      <c r="G898" t="n">
        <v>1.6</v>
      </c>
      <c r="H898" t="n">
        <v>0</v>
      </c>
      <c r="I898" t="n">
        <v>0</v>
      </c>
      <c r="J898" t="n">
        <v>0</v>
      </c>
      <c r="K898" t="n">
        <v>0</v>
      </c>
      <c r="L898" t="n">
        <v>0</v>
      </c>
      <c r="M898" t="n">
        <v>0</v>
      </c>
      <c r="N898" t="n">
        <v>0</v>
      </c>
      <c r="O898" t="n">
        <v>0</v>
      </c>
      <c r="P898" t="n">
        <v>0</v>
      </c>
      <c r="Q898" t="n">
        <v>0</v>
      </c>
      <c r="R898" s="2" t="inlineStr"/>
    </row>
    <row r="899" ht="15" customHeight="1">
      <c r="A899" t="inlineStr">
        <is>
          <t>A 33361-2019</t>
        </is>
      </c>
      <c r="B899" s="1" t="n">
        <v>43650</v>
      </c>
      <c r="C899" s="1" t="n">
        <v>45587</v>
      </c>
      <c r="D899" t="inlineStr">
        <is>
          <t>GÄVLEBORGS LÄN</t>
        </is>
      </c>
      <c r="E899" t="inlineStr">
        <is>
          <t>HUDIKSVALL</t>
        </is>
      </c>
      <c r="G899" t="n">
        <v>5.6</v>
      </c>
      <c r="H899" t="n">
        <v>0</v>
      </c>
      <c r="I899" t="n">
        <v>0</v>
      </c>
      <c r="J899" t="n">
        <v>0</v>
      </c>
      <c r="K899" t="n">
        <v>0</v>
      </c>
      <c r="L899" t="n">
        <v>0</v>
      </c>
      <c r="M899" t="n">
        <v>0</v>
      </c>
      <c r="N899" t="n">
        <v>0</v>
      </c>
      <c r="O899" t="n">
        <v>0</v>
      </c>
      <c r="P899" t="n">
        <v>0</v>
      </c>
      <c r="Q899" t="n">
        <v>0</v>
      </c>
      <c r="R899" s="2" t="inlineStr"/>
    </row>
    <row r="900" ht="15" customHeight="1">
      <c r="A900" t="inlineStr">
        <is>
          <t>A 33507-2019</t>
        </is>
      </c>
      <c r="B900" s="1" t="n">
        <v>43651</v>
      </c>
      <c r="C900" s="1" t="n">
        <v>45587</v>
      </c>
      <c r="D900" t="inlineStr">
        <is>
          <t>GÄVLEBORGS LÄN</t>
        </is>
      </c>
      <c r="E900" t="inlineStr">
        <is>
          <t>BOLLNÄS</t>
        </is>
      </c>
      <c r="F900" t="inlineStr">
        <is>
          <t>Bergvik skog väst AB</t>
        </is>
      </c>
      <c r="G900" t="n">
        <v>6.1</v>
      </c>
      <c r="H900" t="n">
        <v>0</v>
      </c>
      <c r="I900" t="n">
        <v>0</v>
      </c>
      <c r="J900" t="n">
        <v>0</v>
      </c>
      <c r="K900" t="n">
        <v>0</v>
      </c>
      <c r="L900" t="n">
        <v>0</v>
      </c>
      <c r="M900" t="n">
        <v>0</v>
      </c>
      <c r="N900" t="n">
        <v>0</v>
      </c>
      <c r="O900" t="n">
        <v>0</v>
      </c>
      <c r="P900" t="n">
        <v>0</v>
      </c>
      <c r="Q900" t="n">
        <v>0</v>
      </c>
      <c r="R900" s="2" t="inlineStr"/>
    </row>
    <row r="901" ht="15" customHeight="1">
      <c r="A901" t="inlineStr">
        <is>
          <t>A 33553-2019</t>
        </is>
      </c>
      <c r="B901" s="1" t="n">
        <v>43651</v>
      </c>
      <c r="C901" s="1" t="n">
        <v>45587</v>
      </c>
      <c r="D901" t="inlineStr">
        <is>
          <t>GÄVLEBORGS LÄN</t>
        </is>
      </c>
      <c r="E901" t="inlineStr">
        <is>
          <t>HUDIKSVALL</t>
        </is>
      </c>
      <c r="G901" t="n">
        <v>3.3</v>
      </c>
      <c r="H901" t="n">
        <v>0</v>
      </c>
      <c r="I901" t="n">
        <v>0</v>
      </c>
      <c r="J901" t="n">
        <v>0</v>
      </c>
      <c r="K901" t="n">
        <v>0</v>
      </c>
      <c r="L901" t="n">
        <v>0</v>
      </c>
      <c r="M901" t="n">
        <v>0</v>
      </c>
      <c r="N901" t="n">
        <v>0</v>
      </c>
      <c r="O901" t="n">
        <v>0</v>
      </c>
      <c r="P901" t="n">
        <v>0</v>
      </c>
      <c r="Q901" t="n">
        <v>0</v>
      </c>
      <c r="R901" s="2" t="inlineStr"/>
    </row>
    <row r="902" ht="15" customHeight="1">
      <c r="A902" t="inlineStr">
        <is>
          <t>A 33600-2019</t>
        </is>
      </c>
      <c r="B902" s="1" t="n">
        <v>43651</v>
      </c>
      <c r="C902" s="1" t="n">
        <v>45587</v>
      </c>
      <c r="D902" t="inlineStr">
        <is>
          <t>GÄVLEBORGS LÄN</t>
        </is>
      </c>
      <c r="E902" t="inlineStr">
        <is>
          <t>OCKELBO</t>
        </is>
      </c>
      <c r="G902" t="n">
        <v>1.6</v>
      </c>
      <c r="H902" t="n">
        <v>0</v>
      </c>
      <c r="I902" t="n">
        <v>0</v>
      </c>
      <c r="J902" t="n">
        <v>0</v>
      </c>
      <c r="K902" t="n">
        <v>0</v>
      </c>
      <c r="L902" t="n">
        <v>0</v>
      </c>
      <c r="M902" t="n">
        <v>0</v>
      </c>
      <c r="N902" t="n">
        <v>0</v>
      </c>
      <c r="O902" t="n">
        <v>0</v>
      </c>
      <c r="P902" t="n">
        <v>0</v>
      </c>
      <c r="Q902" t="n">
        <v>0</v>
      </c>
      <c r="R902" s="2" t="inlineStr"/>
    </row>
    <row r="903" ht="15" customHeight="1">
      <c r="A903" t="inlineStr">
        <is>
          <t>A 33520-2019</t>
        </is>
      </c>
      <c r="B903" s="1" t="n">
        <v>43651</v>
      </c>
      <c r="C903" s="1" t="n">
        <v>45587</v>
      </c>
      <c r="D903" t="inlineStr">
        <is>
          <t>GÄVLEBORGS LÄN</t>
        </is>
      </c>
      <c r="E903" t="inlineStr">
        <is>
          <t>HUDIKSVALL</t>
        </is>
      </c>
      <c r="G903" t="n">
        <v>1.2</v>
      </c>
      <c r="H903" t="n">
        <v>0</v>
      </c>
      <c r="I903" t="n">
        <v>0</v>
      </c>
      <c r="J903" t="n">
        <v>0</v>
      </c>
      <c r="K903" t="n">
        <v>0</v>
      </c>
      <c r="L903" t="n">
        <v>0</v>
      </c>
      <c r="M903" t="n">
        <v>0</v>
      </c>
      <c r="N903" t="n">
        <v>0</v>
      </c>
      <c r="O903" t="n">
        <v>0</v>
      </c>
      <c r="P903" t="n">
        <v>0</v>
      </c>
      <c r="Q903" t="n">
        <v>0</v>
      </c>
      <c r="R903" s="2" t="inlineStr"/>
    </row>
    <row r="904" ht="15" customHeight="1">
      <c r="A904" t="inlineStr">
        <is>
          <t>A 33661-2019</t>
        </is>
      </c>
      <c r="B904" s="1" t="n">
        <v>43651</v>
      </c>
      <c r="C904" s="1" t="n">
        <v>45587</v>
      </c>
      <c r="D904" t="inlineStr">
        <is>
          <t>GÄVLEBORGS LÄN</t>
        </is>
      </c>
      <c r="E904" t="inlineStr">
        <is>
          <t>LJUSDAL</t>
        </is>
      </c>
      <c r="F904" t="inlineStr">
        <is>
          <t>Sveaskog</t>
        </is>
      </c>
      <c r="G904" t="n">
        <v>6.3</v>
      </c>
      <c r="H904" t="n">
        <v>0</v>
      </c>
      <c r="I904" t="n">
        <v>0</v>
      </c>
      <c r="J904" t="n">
        <v>0</v>
      </c>
      <c r="K904" t="n">
        <v>0</v>
      </c>
      <c r="L904" t="n">
        <v>0</v>
      </c>
      <c r="M904" t="n">
        <v>0</v>
      </c>
      <c r="N904" t="n">
        <v>0</v>
      </c>
      <c r="O904" t="n">
        <v>0</v>
      </c>
      <c r="P904" t="n">
        <v>0</v>
      </c>
      <c r="Q904" t="n">
        <v>0</v>
      </c>
      <c r="R904" s="2" t="inlineStr"/>
    </row>
    <row r="905" ht="15" customHeight="1">
      <c r="A905" t="inlineStr">
        <is>
          <t>A 33549-2019</t>
        </is>
      </c>
      <c r="B905" s="1" t="n">
        <v>43651</v>
      </c>
      <c r="C905" s="1" t="n">
        <v>45587</v>
      </c>
      <c r="D905" t="inlineStr">
        <is>
          <t>GÄVLEBORGS LÄN</t>
        </is>
      </c>
      <c r="E905" t="inlineStr">
        <is>
          <t>HUDIKSVALL</t>
        </is>
      </c>
      <c r="G905" t="n">
        <v>0.9</v>
      </c>
      <c r="H905" t="n">
        <v>0</v>
      </c>
      <c r="I905" t="n">
        <v>0</v>
      </c>
      <c r="J905" t="n">
        <v>0</v>
      </c>
      <c r="K905" t="n">
        <v>0</v>
      </c>
      <c r="L905" t="n">
        <v>0</v>
      </c>
      <c r="M905" t="n">
        <v>0</v>
      </c>
      <c r="N905" t="n">
        <v>0</v>
      </c>
      <c r="O905" t="n">
        <v>0</v>
      </c>
      <c r="P905" t="n">
        <v>0</v>
      </c>
      <c r="Q905" t="n">
        <v>0</v>
      </c>
      <c r="R905" s="2" t="inlineStr"/>
    </row>
    <row r="906" ht="15" customHeight="1">
      <c r="A906" t="inlineStr">
        <is>
          <t>A 33629-2019</t>
        </is>
      </c>
      <c r="B906" s="1" t="n">
        <v>43651</v>
      </c>
      <c r="C906" s="1" t="n">
        <v>45587</v>
      </c>
      <c r="D906" t="inlineStr">
        <is>
          <t>GÄVLEBORGS LÄN</t>
        </is>
      </c>
      <c r="E906" t="inlineStr">
        <is>
          <t>SANDVIKEN</t>
        </is>
      </c>
      <c r="G906" t="n">
        <v>0.5</v>
      </c>
      <c r="H906" t="n">
        <v>0</v>
      </c>
      <c r="I906" t="n">
        <v>0</v>
      </c>
      <c r="J906" t="n">
        <v>0</v>
      </c>
      <c r="K906" t="n">
        <v>0</v>
      </c>
      <c r="L906" t="n">
        <v>0</v>
      </c>
      <c r="M906" t="n">
        <v>0</v>
      </c>
      <c r="N906" t="n">
        <v>0</v>
      </c>
      <c r="O906" t="n">
        <v>0</v>
      </c>
      <c r="P906" t="n">
        <v>0</v>
      </c>
      <c r="Q906" t="n">
        <v>0</v>
      </c>
      <c r="R906" s="2" t="inlineStr"/>
    </row>
    <row r="907" ht="15" customHeight="1">
      <c r="A907" t="inlineStr">
        <is>
          <t>A 35316-2019</t>
        </is>
      </c>
      <c r="B907" s="1" t="n">
        <v>43651</v>
      </c>
      <c r="C907" s="1" t="n">
        <v>45587</v>
      </c>
      <c r="D907" t="inlineStr">
        <is>
          <t>GÄVLEBORGS LÄN</t>
        </is>
      </c>
      <c r="E907" t="inlineStr">
        <is>
          <t>SANDVIKEN</t>
        </is>
      </c>
      <c r="F907" t="inlineStr">
        <is>
          <t>Kommuner</t>
        </is>
      </c>
      <c r="G907" t="n">
        <v>2.9</v>
      </c>
      <c r="H907" t="n">
        <v>0</v>
      </c>
      <c r="I907" t="n">
        <v>0</v>
      </c>
      <c r="J907" t="n">
        <v>0</v>
      </c>
      <c r="K907" t="n">
        <v>0</v>
      </c>
      <c r="L907" t="n">
        <v>0</v>
      </c>
      <c r="M907" t="n">
        <v>0</v>
      </c>
      <c r="N907" t="n">
        <v>0</v>
      </c>
      <c r="O907" t="n">
        <v>0</v>
      </c>
      <c r="P907" t="n">
        <v>0</v>
      </c>
      <c r="Q907" t="n">
        <v>0</v>
      </c>
      <c r="R907" s="2" t="inlineStr"/>
    </row>
    <row r="908" ht="15" customHeight="1">
      <c r="A908" t="inlineStr">
        <is>
          <t>A 33580-2019</t>
        </is>
      </c>
      <c r="B908" s="1" t="n">
        <v>43651</v>
      </c>
      <c r="C908" s="1" t="n">
        <v>45587</v>
      </c>
      <c r="D908" t="inlineStr">
        <is>
          <t>GÄVLEBORGS LÄN</t>
        </is>
      </c>
      <c r="E908" t="inlineStr">
        <is>
          <t>GÄVLE</t>
        </is>
      </c>
      <c r="F908" t="inlineStr">
        <is>
          <t>Bergvik skog öst AB</t>
        </is>
      </c>
      <c r="G908" t="n">
        <v>0.9</v>
      </c>
      <c r="H908" t="n">
        <v>0</v>
      </c>
      <c r="I908" t="n">
        <v>0</v>
      </c>
      <c r="J908" t="n">
        <v>0</v>
      </c>
      <c r="K908" t="n">
        <v>0</v>
      </c>
      <c r="L908" t="n">
        <v>0</v>
      </c>
      <c r="M908" t="n">
        <v>0</v>
      </c>
      <c r="N908" t="n">
        <v>0</v>
      </c>
      <c r="O908" t="n">
        <v>0</v>
      </c>
      <c r="P908" t="n">
        <v>0</v>
      </c>
      <c r="Q908" t="n">
        <v>0</v>
      </c>
      <c r="R908" s="2" t="inlineStr"/>
    </row>
    <row r="909" ht="15" customHeight="1">
      <c r="A909" t="inlineStr">
        <is>
          <t>A 33662-2019</t>
        </is>
      </c>
      <c r="B909" s="1" t="n">
        <v>43651</v>
      </c>
      <c r="C909" s="1" t="n">
        <v>45587</v>
      </c>
      <c r="D909" t="inlineStr">
        <is>
          <t>GÄVLEBORGS LÄN</t>
        </is>
      </c>
      <c r="E909" t="inlineStr">
        <is>
          <t>LJUSDAL</t>
        </is>
      </c>
      <c r="F909" t="inlineStr">
        <is>
          <t>Sveaskog</t>
        </is>
      </c>
      <c r="G909" t="n">
        <v>1.7</v>
      </c>
      <c r="H909" t="n">
        <v>0</v>
      </c>
      <c r="I909" t="n">
        <v>0</v>
      </c>
      <c r="J909" t="n">
        <v>0</v>
      </c>
      <c r="K909" t="n">
        <v>0</v>
      </c>
      <c r="L909" t="n">
        <v>0</v>
      </c>
      <c r="M909" t="n">
        <v>0</v>
      </c>
      <c r="N909" t="n">
        <v>0</v>
      </c>
      <c r="O909" t="n">
        <v>0</v>
      </c>
      <c r="P909" t="n">
        <v>0</v>
      </c>
      <c r="Q909" t="n">
        <v>0</v>
      </c>
      <c r="R909" s="2" t="inlineStr"/>
    </row>
    <row r="910" ht="15" customHeight="1">
      <c r="A910" t="inlineStr">
        <is>
          <t>A 34019-2019</t>
        </is>
      </c>
      <c r="B910" s="1" t="n">
        <v>43654</v>
      </c>
      <c r="C910" s="1" t="n">
        <v>45587</v>
      </c>
      <c r="D910" t="inlineStr">
        <is>
          <t>GÄVLEBORGS LÄN</t>
        </is>
      </c>
      <c r="E910" t="inlineStr">
        <is>
          <t>BOLLNÄS</t>
        </is>
      </c>
      <c r="G910" t="n">
        <v>0.1</v>
      </c>
      <c r="H910" t="n">
        <v>0</v>
      </c>
      <c r="I910" t="n">
        <v>0</v>
      </c>
      <c r="J910" t="n">
        <v>0</v>
      </c>
      <c r="K910" t="n">
        <v>0</v>
      </c>
      <c r="L910" t="n">
        <v>0</v>
      </c>
      <c r="M910" t="n">
        <v>0</v>
      </c>
      <c r="N910" t="n">
        <v>0</v>
      </c>
      <c r="O910" t="n">
        <v>0</v>
      </c>
      <c r="P910" t="n">
        <v>0</v>
      </c>
      <c r="Q910" t="n">
        <v>0</v>
      </c>
      <c r="R910" s="2" t="inlineStr"/>
    </row>
    <row r="911" ht="15" customHeight="1">
      <c r="A911" t="inlineStr">
        <is>
          <t>A 34197-2019</t>
        </is>
      </c>
      <c r="B911" s="1" t="n">
        <v>43655</v>
      </c>
      <c r="C911" s="1" t="n">
        <v>45587</v>
      </c>
      <c r="D911" t="inlineStr">
        <is>
          <t>GÄVLEBORGS LÄN</t>
        </is>
      </c>
      <c r="E911" t="inlineStr">
        <is>
          <t>LJUSDAL</t>
        </is>
      </c>
      <c r="G911" t="n">
        <v>3.8</v>
      </c>
      <c r="H911" t="n">
        <v>0</v>
      </c>
      <c r="I911" t="n">
        <v>0</v>
      </c>
      <c r="J911" t="n">
        <v>0</v>
      </c>
      <c r="K911" t="n">
        <v>0</v>
      </c>
      <c r="L911" t="n">
        <v>0</v>
      </c>
      <c r="M911" t="n">
        <v>0</v>
      </c>
      <c r="N911" t="n">
        <v>0</v>
      </c>
      <c r="O911" t="n">
        <v>0</v>
      </c>
      <c r="P911" t="n">
        <v>0</v>
      </c>
      <c r="Q911" t="n">
        <v>0</v>
      </c>
      <c r="R911" s="2" t="inlineStr"/>
    </row>
    <row r="912" ht="15" customHeight="1">
      <c r="A912" t="inlineStr">
        <is>
          <t>A 35651-2019</t>
        </is>
      </c>
      <c r="B912" s="1" t="n">
        <v>43655</v>
      </c>
      <c r="C912" s="1" t="n">
        <v>45587</v>
      </c>
      <c r="D912" t="inlineStr">
        <is>
          <t>GÄVLEBORGS LÄN</t>
        </is>
      </c>
      <c r="E912" t="inlineStr">
        <is>
          <t>SANDVIKEN</t>
        </is>
      </c>
      <c r="F912" t="inlineStr">
        <is>
          <t>Kommuner</t>
        </is>
      </c>
      <c r="G912" t="n">
        <v>2.3</v>
      </c>
      <c r="H912" t="n">
        <v>0</v>
      </c>
      <c r="I912" t="n">
        <v>0</v>
      </c>
      <c r="J912" t="n">
        <v>0</v>
      </c>
      <c r="K912" t="n">
        <v>0</v>
      </c>
      <c r="L912" t="n">
        <v>0</v>
      </c>
      <c r="M912" t="n">
        <v>0</v>
      </c>
      <c r="N912" t="n">
        <v>0</v>
      </c>
      <c r="O912" t="n">
        <v>0</v>
      </c>
      <c r="P912" t="n">
        <v>0</v>
      </c>
      <c r="Q912" t="n">
        <v>0</v>
      </c>
      <c r="R912" s="2" t="inlineStr"/>
    </row>
    <row r="913" ht="15" customHeight="1">
      <c r="A913" t="inlineStr">
        <is>
          <t>A 34398-2019</t>
        </is>
      </c>
      <c r="B913" s="1" t="n">
        <v>43656</v>
      </c>
      <c r="C913" s="1" t="n">
        <v>45587</v>
      </c>
      <c r="D913" t="inlineStr">
        <is>
          <t>GÄVLEBORGS LÄN</t>
        </is>
      </c>
      <c r="E913" t="inlineStr">
        <is>
          <t>LJUSDAL</t>
        </is>
      </c>
      <c r="G913" t="n">
        <v>0.5</v>
      </c>
      <c r="H913" t="n">
        <v>0</v>
      </c>
      <c r="I913" t="n">
        <v>0</v>
      </c>
      <c r="J913" t="n">
        <v>0</v>
      </c>
      <c r="K913" t="n">
        <v>0</v>
      </c>
      <c r="L913" t="n">
        <v>0</v>
      </c>
      <c r="M913" t="n">
        <v>0</v>
      </c>
      <c r="N913" t="n">
        <v>0</v>
      </c>
      <c r="O913" t="n">
        <v>0</v>
      </c>
      <c r="P913" t="n">
        <v>0</v>
      </c>
      <c r="Q913" t="n">
        <v>0</v>
      </c>
      <c r="R913" s="2" t="inlineStr"/>
    </row>
    <row r="914" ht="15" customHeight="1">
      <c r="A914" t="inlineStr">
        <is>
          <t>A 34321-2019</t>
        </is>
      </c>
      <c r="B914" s="1" t="n">
        <v>43656</v>
      </c>
      <c r="C914" s="1" t="n">
        <v>45587</v>
      </c>
      <c r="D914" t="inlineStr">
        <is>
          <t>GÄVLEBORGS LÄN</t>
        </is>
      </c>
      <c r="E914" t="inlineStr">
        <is>
          <t>BOLLNÄS</t>
        </is>
      </c>
      <c r="G914" t="n">
        <v>0.6</v>
      </c>
      <c r="H914" t="n">
        <v>0</v>
      </c>
      <c r="I914" t="n">
        <v>0</v>
      </c>
      <c r="J914" t="n">
        <v>0</v>
      </c>
      <c r="K914" t="n">
        <v>0</v>
      </c>
      <c r="L914" t="n">
        <v>0</v>
      </c>
      <c r="M914" t="n">
        <v>0</v>
      </c>
      <c r="N914" t="n">
        <v>0</v>
      </c>
      <c r="O914" t="n">
        <v>0</v>
      </c>
      <c r="P914" t="n">
        <v>0</v>
      </c>
      <c r="Q914" t="n">
        <v>0</v>
      </c>
      <c r="R914" s="2" t="inlineStr"/>
    </row>
    <row r="915" ht="15" customHeight="1">
      <c r="A915" t="inlineStr">
        <is>
          <t>A 34418-2019</t>
        </is>
      </c>
      <c r="B915" s="1" t="n">
        <v>43656</v>
      </c>
      <c r="C915" s="1" t="n">
        <v>45587</v>
      </c>
      <c r="D915" t="inlineStr">
        <is>
          <t>GÄVLEBORGS LÄN</t>
        </is>
      </c>
      <c r="E915" t="inlineStr">
        <is>
          <t>SÖDERHAMN</t>
        </is>
      </c>
      <c r="F915" t="inlineStr">
        <is>
          <t>Bergvik skog väst AB</t>
        </is>
      </c>
      <c r="G915" t="n">
        <v>1.6</v>
      </c>
      <c r="H915" t="n">
        <v>0</v>
      </c>
      <c r="I915" t="n">
        <v>0</v>
      </c>
      <c r="J915" t="n">
        <v>0</v>
      </c>
      <c r="K915" t="n">
        <v>0</v>
      </c>
      <c r="L915" t="n">
        <v>0</v>
      </c>
      <c r="M915" t="n">
        <v>0</v>
      </c>
      <c r="N915" t="n">
        <v>0</v>
      </c>
      <c r="O915" t="n">
        <v>0</v>
      </c>
      <c r="P915" t="n">
        <v>0</v>
      </c>
      <c r="Q915" t="n">
        <v>0</v>
      </c>
      <c r="R915" s="2" t="inlineStr"/>
    </row>
    <row r="916" ht="15" customHeight="1">
      <c r="A916" t="inlineStr">
        <is>
          <t>A 34438-2019</t>
        </is>
      </c>
      <c r="B916" s="1" t="n">
        <v>43656</v>
      </c>
      <c r="C916" s="1" t="n">
        <v>45587</v>
      </c>
      <c r="D916" t="inlineStr">
        <is>
          <t>GÄVLEBORGS LÄN</t>
        </is>
      </c>
      <c r="E916" t="inlineStr">
        <is>
          <t>SÖDERHAMN</t>
        </is>
      </c>
      <c r="F916" t="inlineStr">
        <is>
          <t>Bergvik skog väst AB</t>
        </is>
      </c>
      <c r="G916" t="n">
        <v>0.5</v>
      </c>
      <c r="H916" t="n">
        <v>0</v>
      </c>
      <c r="I916" t="n">
        <v>0</v>
      </c>
      <c r="J916" t="n">
        <v>0</v>
      </c>
      <c r="K916" t="n">
        <v>0</v>
      </c>
      <c r="L916" t="n">
        <v>0</v>
      </c>
      <c r="M916" t="n">
        <v>0</v>
      </c>
      <c r="N916" t="n">
        <v>0</v>
      </c>
      <c r="O916" t="n">
        <v>0</v>
      </c>
      <c r="P916" t="n">
        <v>0</v>
      </c>
      <c r="Q916" t="n">
        <v>0</v>
      </c>
      <c r="R916" s="2" t="inlineStr"/>
    </row>
    <row r="917" ht="15" customHeight="1">
      <c r="A917" t="inlineStr">
        <is>
          <t>A 34547-2019</t>
        </is>
      </c>
      <c r="B917" s="1" t="n">
        <v>43657</v>
      </c>
      <c r="C917" s="1" t="n">
        <v>45587</v>
      </c>
      <c r="D917" t="inlineStr">
        <is>
          <t>GÄVLEBORGS LÄN</t>
        </is>
      </c>
      <c r="E917" t="inlineStr">
        <is>
          <t>SANDVIKEN</t>
        </is>
      </c>
      <c r="G917" t="n">
        <v>2.3</v>
      </c>
      <c r="H917" t="n">
        <v>0</v>
      </c>
      <c r="I917" t="n">
        <v>0</v>
      </c>
      <c r="J917" t="n">
        <v>0</v>
      </c>
      <c r="K917" t="n">
        <v>0</v>
      </c>
      <c r="L917" t="n">
        <v>0</v>
      </c>
      <c r="M917" t="n">
        <v>0</v>
      </c>
      <c r="N917" t="n">
        <v>0</v>
      </c>
      <c r="O917" t="n">
        <v>0</v>
      </c>
      <c r="P917" t="n">
        <v>0</v>
      </c>
      <c r="Q917" t="n">
        <v>0</v>
      </c>
      <c r="R917" s="2" t="inlineStr"/>
    </row>
    <row r="918" ht="15" customHeight="1">
      <c r="A918" t="inlineStr">
        <is>
          <t>A 34690-2019</t>
        </is>
      </c>
      <c r="B918" s="1" t="n">
        <v>43657</v>
      </c>
      <c r="C918" s="1" t="n">
        <v>45587</v>
      </c>
      <c r="D918" t="inlineStr">
        <is>
          <t>GÄVLEBORGS LÄN</t>
        </is>
      </c>
      <c r="E918" t="inlineStr">
        <is>
          <t>HUDIKSVALL</t>
        </is>
      </c>
      <c r="G918" t="n">
        <v>8.6</v>
      </c>
      <c r="H918" t="n">
        <v>0</v>
      </c>
      <c r="I918" t="n">
        <v>0</v>
      </c>
      <c r="J918" t="n">
        <v>0</v>
      </c>
      <c r="K918" t="n">
        <v>0</v>
      </c>
      <c r="L918" t="n">
        <v>0</v>
      </c>
      <c r="M918" t="n">
        <v>0</v>
      </c>
      <c r="N918" t="n">
        <v>0</v>
      </c>
      <c r="O918" t="n">
        <v>0</v>
      </c>
      <c r="P918" t="n">
        <v>0</v>
      </c>
      <c r="Q918" t="n">
        <v>0</v>
      </c>
      <c r="R918" s="2" t="inlineStr"/>
    </row>
    <row r="919" ht="15" customHeight="1">
      <c r="A919" t="inlineStr">
        <is>
          <t>A 34610-2019</t>
        </is>
      </c>
      <c r="B919" s="1" t="n">
        <v>43657</v>
      </c>
      <c r="C919" s="1" t="n">
        <v>45587</v>
      </c>
      <c r="D919" t="inlineStr">
        <is>
          <t>GÄVLEBORGS LÄN</t>
        </is>
      </c>
      <c r="E919" t="inlineStr">
        <is>
          <t>BOLLNÄS</t>
        </is>
      </c>
      <c r="F919" t="inlineStr">
        <is>
          <t>Kyrkan</t>
        </is>
      </c>
      <c r="G919" t="n">
        <v>0.4</v>
      </c>
      <c r="H919" t="n">
        <v>0</v>
      </c>
      <c r="I919" t="n">
        <v>0</v>
      </c>
      <c r="J919" t="n">
        <v>0</v>
      </c>
      <c r="K919" t="n">
        <v>0</v>
      </c>
      <c r="L919" t="n">
        <v>0</v>
      </c>
      <c r="M919" t="n">
        <v>0</v>
      </c>
      <c r="N919" t="n">
        <v>0</v>
      </c>
      <c r="O919" t="n">
        <v>0</v>
      </c>
      <c r="P919" t="n">
        <v>0</v>
      </c>
      <c r="Q919" t="n">
        <v>0</v>
      </c>
      <c r="R919" s="2" t="inlineStr"/>
    </row>
    <row r="920" ht="15" customHeight="1">
      <c r="A920" t="inlineStr">
        <is>
          <t>A 34564-2019</t>
        </is>
      </c>
      <c r="B920" s="1" t="n">
        <v>43657</v>
      </c>
      <c r="C920" s="1" t="n">
        <v>45587</v>
      </c>
      <c r="D920" t="inlineStr">
        <is>
          <t>GÄVLEBORGS LÄN</t>
        </is>
      </c>
      <c r="E920" t="inlineStr">
        <is>
          <t>SANDVIKEN</t>
        </is>
      </c>
      <c r="G920" t="n">
        <v>0.7</v>
      </c>
      <c r="H920" t="n">
        <v>0</v>
      </c>
      <c r="I920" t="n">
        <v>0</v>
      </c>
      <c r="J920" t="n">
        <v>0</v>
      </c>
      <c r="K920" t="n">
        <v>0</v>
      </c>
      <c r="L920" t="n">
        <v>0</v>
      </c>
      <c r="M920" t="n">
        <v>0</v>
      </c>
      <c r="N920" t="n">
        <v>0</v>
      </c>
      <c r="O920" t="n">
        <v>0</v>
      </c>
      <c r="P920" t="n">
        <v>0</v>
      </c>
      <c r="Q920" t="n">
        <v>0</v>
      </c>
      <c r="R920" s="2" t="inlineStr"/>
    </row>
    <row r="921" ht="15" customHeight="1">
      <c r="A921" t="inlineStr">
        <is>
          <t>A 34516-2019</t>
        </is>
      </c>
      <c r="B921" s="1" t="n">
        <v>43657</v>
      </c>
      <c r="C921" s="1" t="n">
        <v>45587</v>
      </c>
      <c r="D921" t="inlineStr">
        <is>
          <t>GÄVLEBORGS LÄN</t>
        </is>
      </c>
      <c r="E921" t="inlineStr">
        <is>
          <t>BOLLNÄS</t>
        </is>
      </c>
      <c r="G921" t="n">
        <v>1.8</v>
      </c>
      <c r="H921" t="n">
        <v>0</v>
      </c>
      <c r="I921" t="n">
        <v>0</v>
      </c>
      <c r="J921" t="n">
        <v>0</v>
      </c>
      <c r="K921" t="n">
        <v>0</v>
      </c>
      <c r="L921" t="n">
        <v>0</v>
      </c>
      <c r="M921" t="n">
        <v>0</v>
      </c>
      <c r="N921" t="n">
        <v>0</v>
      </c>
      <c r="O921" t="n">
        <v>0</v>
      </c>
      <c r="P921" t="n">
        <v>0</v>
      </c>
      <c r="Q921" t="n">
        <v>0</v>
      </c>
      <c r="R921" s="2" t="inlineStr"/>
    </row>
    <row r="922" ht="15" customHeight="1">
      <c r="A922" t="inlineStr">
        <is>
          <t>A 34767-2019</t>
        </is>
      </c>
      <c r="B922" s="1" t="n">
        <v>43658</v>
      </c>
      <c r="C922" s="1" t="n">
        <v>45587</v>
      </c>
      <c r="D922" t="inlineStr">
        <is>
          <t>GÄVLEBORGS LÄN</t>
        </is>
      </c>
      <c r="E922" t="inlineStr">
        <is>
          <t>HUDIKSVALL</t>
        </is>
      </c>
      <c r="G922" t="n">
        <v>6.4</v>
      </c>
      <c r="H922" t="n">
        <v>0</v>
      </c>
      <c r="I922" t="n">
        <v>0</v>
      </c>
      <c r="J922" t="n">
        <v>0</v>
      </c>
      <c r="K922" t="n">
        <v>0</v>
      </c>
      <c r="L922" t="n">
        <v>0</v>
      </c>
      <c r="M922" t="n">
        <v>0</v>
      </c>
      <c r="N922" t="n">
        <v>0</v>
      </c>
      <c r="O922" t="n">
        <v>0</v>
      </c>
      <c r="P922" t="n">
        <v>0</v>
      </c>
      <c r="Q922" t="n">
        <v>0</v>
      </c>
      <c r="R922" s="2" t="inlineStr"/>
    </row>
    <row r="923" ht="15" customHeight="1">
      <c r="A923" t="inlineStr">
        <is>
          <t>A 34989-2019</t>
        </is>
      </c>
      <c r="B923" s="1" t="n">
        <v>43659</v>
      </c>
      <c r="C923" s="1" t="n">
        <v>45587</v>
      </c>
      <c r="D923" t="inlineStr">
        <is>
          <t>GÄVLEBORGS LÄN</t>
        </is>
      </c>
      <c r="E923" t="inlineStr">
        <is>
          <t>SANDVIKEN</t>
        </is>
      </c>
      <c r="G923" t="n">
        <v>5.3</v>
      </c>
      <c r="H923" t="n">
        <v>0</v>
      </c>
      <c r="I923" t="n">
        <v>0</v>
      </c>
      <c r="J923" t="n">
        <v>0</v>
      </c>
      <c r="K923" t="n">
        <v>0</v>
      </c>
      <c r="L923" t="n">
        <v>0</v>
      </c>
      <c r="M923" t="n">
        <v>0</v>
      </c>
      <c r="N923" t="n">
        <v>0</v>
      </c>
      <c r="O923" t="n">
        <v>0</v>
      </c>
      <c r="P923" t="n">
        <v>0</v>
      </c>
      <c r="Q923" t="n">
        <v>0</v>
      </c>
      <c r="R923" s="2" t="inlineStr"/>
    </row>
    <row r="924" ht="15" customHeight="1">
      <c r="A924" t="inlineStr">
        <is>
          <t>A 35016-2019</t>
        </is>
      </c>
      <c r="B924" s="1" t="n">
        <v>43661</v>
      </c>
      <c r="C924" s="1" t="n">
        <v>45587</v>
      </c>
      <c r="D924" t="inlineStr">
        <is>
          <t>GÄVLEBORGS LÄN</t>
        </is>
      </c>
      <c r="E924" t="inlineStr">
        <is>
          <t>LJUSDAL</t>
        </is>
      </c>
      <c r="G924" t="n">
        <v>4.5</v>
      </c>
      <c r="H924" t="n">
        <v>0</v>
      </c>
      <c r="I924" t="n">
        <v>0</v>
      </c>
      <c r="J924" t="n">
        <v>0</v>
      </c>
      <c r="K924" t="n">
        <v>0</v>
      </c>
      <c r="L924" t="n">
        <v>0</v>
      </c>
      <c r="M924" t="n">
        <v>0</v>
      </c>
      <c r="N924" t="n">
        <v>0</v>
      </c>
      <c r="O924" t="n">
        <v>0</v>
      </c>
      <c r="P924" t="n">
        <v>0</v>
      </c>
      <c r="Q924" t="n">
        <v>0</v>
      </c>
      <c r="R924" s="2" t="inlineStr"/>
    </row>
    <row r="925" ht="15" customHeight="1">
      <c r="A925" t="inlineStr">
        <is>
          <t>A 35034-2019</t>
        </is>
      </c>
      <c r="B925" s="1" t="n">
        <v>43661</v>
      </c>
      <c r="C925" s="1" t="n">
        <v>45587</v>
      </c>
      <c r="D925" t="inlineStr">
        <is>
          <t>GÄVLEBORGS LÄN</t>
        </is>
      </c>
      <c r="E925" t="inlineStr">
        <is>
          <t>LJUSDAL</t>
        </is>
      </c>
      <c r="G925" t="n">
        <v>0.7</v>
      </c>
      <c r="H925" t="n">
        <v>0</v>
      </c>
      <c r="I925" t="n">
        <v>0</v>
      </c>
      <c r="J925" t="n">
        <v>0</v>
      </c>
      <c r="K925" t="n">
        <v>0</v>
      </c>
      <c r="L925" t="n">
        <v>0</v>
      </c>
      <c r="M925" t="n">
        <v>0</v>
      </c>
      <c r="N925" t="n">
        <v>0</v>
      </c>
      <c r="O925" t="n">
        <v>0</v>
      </c>
      <c r="P925" t="n">
        <v>0</v>
      </c>
      <c r="Q925" t="n">
        <v>0</v>
      </c>
      <c r="R925" s="2" t="inlineStr"/>
    </row>
    <row r="926" ht="15" customHeight="1">
      <c r="A926" t="inlineStr">
        <is>
          <t>A 35107-2019</t>
        </is>
      </c>
      <c r="B926" s="1" t="n">
        <v>43661</v>
      </c>
      <c r="C926" s="1" t="n">
        <v>45587</v>
      </c>
      <c r="D926" t="inlineStr">
        <is>
          <t>GÄVLEBORGS LÄN</t>
        </is>
      </c>
      <c r="E926" t="inlineStr">
        <is>
          <t>LJUSDAL</t>
        </is>
      </c>
      <c r="G926" t="n">
        <v>2.8</v>
      </c>
      <c r="H926" t="n">
        <v>0</v>
      </c>
      <c r="I926" t="n">
        <v>0</v>
      </c>
      <c r="J926" t="n">
        <v>0</v>
      </c>
      <c r="K926" t="n">
        <v>0</v>
      </c>
      <c r="L926" t="n">
        <v>0</v>
      </c>
      <c r="M926" t="n">
        <v>0</v>
      </c>
      <c r="N926" t="n">
        <v>0</v>
      </c>
      <c r="O926" t="n">
        <v>0</v>
      </c>
      <c r="P926" t="n">
        <v>0</v>
      </c>
      <c r="Q926" t="n">
        <v>0</v>
      </c>
      <c r="R926" s="2" t="inlineStr"/>
    </row>
    <row r="927" ht="15" customHeight="1">
      <c r="A927" t="inlineStr">
        <is>
          <t>A 35208-2019</t>
        </is>
      </c>
      <c r="B927" s="1" t="n">
        <v>43662</v>
      </c>
      <c r="C927" s="1" t="n">
        <v>45587</v>
      </c>
      <c r="D927" t="inlineStr">
        <is>
          <t>GÄVLEBORGS LÄN</t>
        </is>
      </c>
      <c r="E927" t="inlineStr">
        <is>
          <t>GÄVLE</t>
        </is>
      </c>
      <c r="F927" t="inlineStr">
        <is>
          <t>Bergvik skog öst AB</t>
        </is>
      </c>
      <c r="G927" t="n">
        <v>1</v>
      </c>
      <c r="H927" t="n">
        <v>0</v>
      </c>
      <c r="I927" t="n">
        <v>0</v>
      </c>
      <c r="J927" t="n">
        <v>0</v>
      </c>
      <c r="K927" t="n">
        <v>0</v>
      </c>
      <c r="L927" t="n">
        <v>0</v>
      </c>
      <c r="M927" t="n">
        <v>0</v>
      </c>
      <c r="N927" t="n">
        <v>0</v>
      </c>
      <c r="O927" t="n">
        <v>0</v>
      </c>
      <c r="P927" t="n">
        <v>0</v>
      </c>
      <c r="Q927" t="n">
        <v>0</v>
      </c>
      <c r="R927" s="2" t="inlineStr"/>
    </row>
    <row r="928" ht="15" customHeight="1">
      <c r="A928" t="inlineStr">
        <is>
          <t>A 35295-2019</t>
        </is>
      </c>
      <c r="B928" s="1" t="n">
        <v>43662</v>
      </c>
      <c r="C928" s="1" t="n">
        <v>45587</v>
      </c>
      <c r="D928" t="inlineStr">
        <is>
          <t>GÄVLEBORGS LÄN</t>
        </is>
      </c>
      <c r="E928" t="inlineStr">
        <is>
          <t>LJUSDAL</t>
        </is>
      </c>
      <c r="F928" t="inlineStr">
        <is>
          <t>Kommuner</t>
        </is>
      </c>
      <c r="G928" t="n">
        <v>5.5</v>
      </c>
      <c r="H928" t="n">
        <v>0</v>
      </c>
      <c r="I928" t="n">
        <v>0</v>
      </c>
      <c r="J928" t="n">
        <v>0</v>
      </c>
      <c r="K928" t="n">
        <v>0</v>
      </c>
      <c r="L928" t="n">
        <v>0</v>
      </c>
      <c r="M928" t="n">
        <v>0</v>
      </c>
      <c r="N928" t="n">
        <v>0</v>
      </c>
      <c r="O928" t="n">
        <v>0</v>
      </c>
      <c r="P928" t="n">
        <v>0</v>
      </c>
      <c r="Q928" t="n">
        <v>0</v>
      </c>
      <c r="R928" s="2" t="inlineStr"/>
    </row>
    <row r="929" ht="15" customHeight="1">
      <c r="A929" t="inlineStr">
        <is>
          <t>A 35347-2019</t>
        </is>
      </c>
      <c r="B929" s="1" t="n">
        <v>43663</v>
      </c>
      <c r="C929" s="1" t="n">
        <v>45587</v>
      </c>
      <c r="D929" t="inlineStr">
        <is>
          <t>GÄVLEBORGS LÄN</t>
        </is>
      </c>
      <c r="E929" t="inlineStr">
        <is>
          <t>LJUSDAL</t>
        </is>
      </c>
      <c r="G929" t="n">
        <v>3.4</v>
      </c>
      <c r="H929" t="n">
        <v>0</v>
      </c>
      <c r="I929" t="n">
        <v>0</v>
      </c>
      <c r="J929" t="n">
        <v>0</v>
      </c>
      <c r="K929" t="n">
        <v>0</v>
      </c>
      <c r="L929" t="n">
        <v>0</v>
      </c>
      <c r="M929" t="n">
        <v>0</v>
      </c>
      <c r="N929" t="n">
        <v>0</v>
      </c>
      <c r="O929" t="n">
        <v>0</v>
      </c>
      <c r="P929" t="n">
        <v>0</v>
      </c>
      <c r="Q929" t="n">
        <v>0</v>
      </c>
      <c r="R929" s="2" t="inlineStr"/>
    </row>
    <row r="930" ht="15" customHeight="1">
      <c r="A930" t="inlineStr">
        <is>
          <t>A 35354-2019</t>
        </is>
      </c>
      <c r="B930" s="1" t="n">
        <v>43663</v>
      </c>
      <c r="C930" s="1" t="n">
        <v>45587</v>
      </c>
      <c r="D930" t="inlineStr">
        <is>
          <t>GÄVLEBORGS LÄN</t>
        </is>
      </c>
      <c r="E930" t="inlineStr">
        <is>
          <t>LJUSDAL</t>
        </is>
      </c>
      <c r="G930" t="n">
        <v>2.2</v>
      </c>
      <c r="H930" t="n">
        <v>0</v>
      </c>
      <c r="I930" t="n">
        <v>0</v>
      </c>
      <c r="J930" t="n">
        <v>0</v>
      </c>
      <c r="K930" t="n">
        <v>0</v>
      </c>
      <c r="L930" t="n">
        <v>0</v>
      </c>
      <c r="M930" t="n">
        <v>0</v>
      </c>
      <c r="N930" t="n">
        <v>0</v>
      </c>
      <c r="O930" t="n">
        <v>0</v>
      </c>
      <c r="P930" t="n">
        <v>0</v>
      </c>
      <c r="Q930" t="n">
        <v>0</v>
      </c>
      <c r="R930" s="2" t="inlineStr"/>
    </row>
    <row r="931" ht="15" customHeight="1">
      <c r="A931" t="inlineStr">
        <is>
          <t>A 35610-2019</t>
        </is>
      </c>
      <c r="B931" s="1" t="n">
        <v>43664</v>
      </c>
      <c r="C931" s="1" t="n">
        <v>45587</v>
      </c>
      <c r="D931" t="inlineStr">
        <is>
          <t>GÄVLEBORGS LÄN</t>
        </is>
      </c>
      <c r="E931" t="inlineStr">
        <is>
          <t>BOLLNÄS</t>
        </is>
      </c>
      <c r="G931" t="n">
        <v>2.2</v>
      </c>
      <c r="H931" t="n">
        <v>0</v>
      </c>
      <c r="I931" t="n">
        <v>0</v>
      </c>
      <c r="J931" t="n">
        <v>0</v>
      </c>
      <c r="K931" t="n">
        <v>0</v>
      </c>
      <c r="L931" t="n">
        <v>0</v>
      </c>
      <c r="M931" t="n">
        <v>0</v>
      </c>
      <c r="N931" t="n">
        <v>0</v>
      </c>
      <c r="O931" t="n">
        <v>0</v>
      </c>
      <c r="P931" t="n">
        <v>0</v>
      </c>
      <c r="Q931" t="n">
        <v>0</v>
      </c>
      <c r="R931" s="2" t="inlineStr"/>
    </row>
    <row r="932" ht="15" customHeight="1">
      <c r="A932" t="inlineStr">
        <is>
          <t>A 35805-2019</t>
        </is>
      </c>
      <c r="B932" s="1" t="n">
        <v>43665</v>
      </c>
      <c r="C932" s="1" t="n">
        <v>45587</v>
      </c>
      <c r="D932" t="inlineStr">
        <is>
          <t>GÄVLEBORGS LÄN</t>
        </is>
      </c>
      <c r="E932" t="inlineStr">
        <is>
          <t>LJUSDAL</t>
        </is>
      </c>
      <c r="G932" t="n">
        <v>3.4</v>
      </c>
      <c r="H932" t="n">
        <v>0</v>
      </c>
      <c r="I932" t="n">
        <v>0</v>
      </c>
      <c r="J932" t="n">
        <v>0</v>
      </c>
      <c r="K932" t="n">
        <v>0</v>
      </c>
      <c r="L932" t="n">
        <v>0</v>
      </c>
      <c r="M932" t="n">
        <v>0</v>
      </c>
      <c r="N932" t="n">
        <v>0</v>
      </c>
      <c r="O932" t="n">
        <v>0</v>
      </c>
      <c r="P932" t="n">
        <v>0</v>
      </c>
      <c r="Q932" t="n">
        <v>0</v>
      </c>
      <c r="R932" s="2" t="inlineStr"/>
    </row>
    <row r="933" ht="15" customHeight="1">
      <c r="A933" t="inlineStr">
        <is>
          <t>A 35851-2019</t>
        </is>
      </c>
      <c r="B933" s="1" t="n">
        <v>43665</v>
      </c>
      <c r="C933" s="1" t="n">
        <v>45587</v>
      </c>
      <c r="D933" t="inlineStr">
        <is>
          <t>GÄVLEBORGS LÄN</t>
        </is>
      </c>
      <c r="E933" t="inlineStr">
        <is>
          <t>HUDIKSVALL</t>
        </is>
      </c>
      <c r="F933" t="inlineStr">
        <is>
          <t>Holmen skog AB</t>
        </is>
      </c>
      <c r="G933" t="n">
        <v>2.9</v>
      </c>
      <c r="H933" t="n">
        <v>0</v>
      </c>
      <c r="I933" t="n">
        <v>0</v>
      </c>
      <c r="J933" t="n">
        <v>0</v>
      </c>
      <c r="K933" t="n">
        <v>0</v>
      </c>
      <c r="L933" t="n">
        <v>0</v>
      </c>
      <c r="M933" t="n">
        <v>0</v>
      </c>
      <c r="N933" t="n">
        <v>0</v>
      </c>
      <c r="O933" t="n">
        <v>0</v>
      </c>
      <c r="P933" t="n">
        <v>0</v>
      </c>
      <c r="Q933" t="n">
        <v>0</v>
      </c>
      <c r="R933" s="2" t="inlineStr"/>
    </row>
    <row r="934" ht="15" customHeight="1">
      <c r="A934" t="inlineStr">
        <is>
          <t>A 35859-2019</t>
        </is>
      </c>
      <c r="B934" s="1" t="n">
        <v>43665</v>
      </c>
      <c r="C934" s="1" t="n">
        <v>45587</v>
      </c>
      <c r="D934" t="inlineStr">
        <is>
          <t>GÄVLEBORGS LÄN</t>
        </is>
      </c>
      <c r="E934" t="inlineStr">
        <is>
          <t>LJUSDAL</t>
        </is>
      </c>
      <c r="F934" t="inlineStr">
        <is>
          <t>Kommuner</t>
        </is>
      </c>
      <c r="G934" t="n">
        <v>3</v>
      </c>
      <c r="H934" t="n">
        <v>0</v>
      </c>
      <c r="I934" t="n">
        <v>0</v>
      </c>
      <c r="J934" t="n">
        <v>0</v>
      </c>
      <c r="K934" t="n">
        <v>0</v>
      </c>
      <c r="L934" t="n">
        <v>0</v>
      </c>
      <c r="M934" t="n">
        <v>0</v>
      </c>
      <c r="N934" t="n">
        <v>0</v>
      </c>
      <c r="O934" t="n">
        <v>0</v>
      </c>
      <c r="P934" t="n">
        <v>0</v>
      </c>
      <c r="Q934" t="n">
        <v>0</v>
      </c>
      <c r="R934" s="2" t="inlineStr"/>
    </row>
    <row r="935" ht="15" customHeight="1">
      <c r="A935" t="inlineStr">
        <is>
          <t>A 36056-2019</t>
        </is>
      </c>
      <c r="B935" s="1" t="n">
        <v>43668</v>
      </c>
      <c r="C935" s="1" t="n">
        <v>45587</v>
      </c>
      <c r="D935" t="inlineStr">
        <is>
          <t>GÄVLEBORGS LÄN</t>
        </is>
      </c>
      <c r="E935" t="inlineStr">
        <is>
          <t>OCKELBO</t>
        </is>
      </c>
      <c r="F935" t="inlineStr">
        <is>
          <t>Bergvik skog väst AB</t>
        </is>
      </c>
      <c r="G935" t="n">
        <v>0.5</v>
      </c>
      <c r="H935" t="n">
        <v>0</v>
      </c>
      <c r="I935" t="n">
        <v>0</v>
      </c>
      <c r="J935" t="n">
        <v>0</v>
      </c>
      <c r="K935" t="n">
        <v>0</v>
      </c>
      <c r="L935" t="n">
        <v>0</v>
      </c>
      <c r="M935" t="n">
        <v>0</v>
      </c>
      <c r="N935" t="n">
        <v>0</v>
      </c>
      <c r="O935" t="n">
        <v>0</v>
      </c>
      <c r="P935" t="n">
        <v>0</v>
      </c>
      <c r="Q935" t="n">
        <v>0</v>
      </c>
      <c r="R935" s="2" t="inlineStr"/>
    </row>
    <row r="936" ht="15" customHeight="1">
      <c r="A936" t="inlineStr">
        <is>
          <t>A 36040-2019</t>
        </is>
      </c>
      <c r="B936" s="1" t="n">
        <v>43668</v>
      </c>
      <c r="C936" s="1" t="n">
        <v>45587</v>
      </c>
      <c r="D936" t="inlineStr">
        <is>
          <t>GÄVLEBORGS LÄN</t>
        </is>
      </c>
      <c r="E936" t="inlineStr">
        <is>
          <t>LJUSDAL</t>
        </is>
      </c>
      <c r="G936" t="n">
        <v>7.9</v>
      </c>
      <c r="H936" t="n">
        <v>0</v>
      </c>
      <c r="I936" t="n">
        <v>0</v>
      </c>
      <c r="J936" t="n">
        <v>0</v>
      </c>
      <c r="K936" t="n">
        <v>0</v>
      </c>
      <c r="L936" t="n">
        <v>0</v>
      </c>
      <c r="M936" t="n">
        <v>0</v>
      </c>
      <c r="N936" t="n">
        <v>0</v>
      </c>
      <c r="O936" t="n">
        <v>0</v>
      </c>
      <c r="P936" t="n">
        <v>0</v>
      </c>
      <c r="Q936" t="n">
        <v>0</v>
      </c>
      <c r="R936" s="2" t="inlineStr"/>
    </row>
    <row r="937" ht="15" customHeight="1">
      <c r="A937" t="inlineStr">
        <is>
          <t>A 36062-2019</t>
        </is>
      </c>
      <c r="B937" s="1" t="n">
        <v>43668</v>
      </c>
      <c r="C937" s="1" t="n">
        <v>45587</v>
      </c>
      <c r="D937" t="inlineStr">
        <is>
          <t>GÄVLEBORGS LÄN</t>
        </is>
      </c>
      <c r="E937" t="inlineStr">
        <is>
          <t>OCKELBO</t>
        </is>
      </c>
      <c r="F937" t="inlineStr">
        <is>
          <t>Bergvik skog väst AB</t>
        </is>
      </c>
      <c r="G937" t="n">
        <v>0.8</v>
      </c>
      <c r="H937" t="n">
        <v>0</v>
      </c>
      <c r="I937" t="n">
        <v>0</v>
      </c>
      <c r="J937" t="n">
        <v>0</v>
      </c>
      <c r="K937" t="n">
        <v>0</v>
      </c>
      <c r="L937" t="n">
        <v>0</v>
      </c>
      <c r="M937" t="n">
        <v>0</v>
      </c>
      <c r="N937" t="n">
        <v>0</v>
      </c>
      <c r="O937" t="n">
        <v>0</v>
      </c>
      <c r="P937" t="n">
        <v>0</v>
      </c>
      <c r="Q937" t="n">
        <v>0</v>
      </c>
      <c r="R937" s="2" t="inlineStr"/>
    </row>
    <row r="938" ht="15" customHeight="1">
      <c r="A938" t="inlineStr">
        <is>
          <t>A 36239-2019</t>
        </is>
      </c>
      <c r="B938" s="1" t="n">
        <v>43669</v>
      </c>
      <c r="C938" s="1" t="n">
        <v>45587</v>
      </c>
      <c r="D938" t="inlineStr">
        <is>
          <t>GÄVLEBORGS LÄN</t>
        </is>
      </c>
      <c r="E938" t="inlineStr">
        <is>
          <t>SÖDERHAMN</t>
        </is>
      </c>
      <c r="G938" t="n">
        <v>5.7</v>
      </c>
      <c r="H938" t="n">
        <v>0</v>
      </c>
      <c r="I938" t="n">
        <v>0</v>
      </c>
      <c r="J938" t="n">
        <v>0</v>
      </c>
      <c r="K938" t="n">
        <v>0</v>
      </c>
      <c r="L938" t="n">
        <v>0</v>
      </c>
      <c r="M938" t="n">
        <v>0</v>
      </c>
      <c r="N938" t="n">
        <v>0</v>
      </c>
      <c r="O938" t="n">
        <v>0</v>
      </c>
      <c r="P938" t="n">
        <v>0</v>
      </c>
      <c r="Q938" t="n">
        <v>0</v>
      </c>
      <c r="R938" s="2" t="inlineStr"/>
    </row>
    <row r="939" ht="15" customHeight="1">
      <c r="A939" t="inlineStr">
        <is>
          <t>A 36190-2019</t>
        </is>
      </c>
      <c r="B939" s="1" t="n">
        <v>43669</v>
      </c>
      <c r="C939" s="1" t="n">
        <v>45587</v>
      </c>
      <c r="D939" t="inlineStr">
        <is>
          <t>GÄVLEBORGS LÄN</t>
        </is>
      </c>
      <c r="E939" t="inlineStr">
        <is>
          <t>LJUSDAL</t>
        </is>
      </c>
      <c r="G939" t="n">
        <v>53.2</v>
      </c>
      <c r="H939" t="n">
        <v>0</v>
      </c>
      <c r="I939" t="n">
        <v>0</v>
      </c>
      <c r="J939" t="n">
        <v>0</v>
      </c>
      <c r="K939" t="n">
        <v>0</v>
      </c>
      <c r="L939" t="n">
        <v>0</v>
      </c>
      <c r="M939" t="n">
        <v>0</v>
      </c>
      <c r="N939" t="n">
        <v>0</v>
      </c>
      <c r="O939" t="n">
        <v>0</v>
      </c>
      <c r="P939" t="n">
        <v>0</v>
      </c>
      <c r="Q939" t="n">
        <v>0</v>
      </c>
      <c r="R939" s="2" t="inlineStr"/>
    </row>
    <row r="940" ht="15" customHeight="1">
      <c r="A940" t="inlineStr">
        <is>
          <t>A 36533-2019</t>
        </is>
      </c>
      <c r="B940" s="1" t="n">
        <v>43671</v>
      </c>
      <c r="C940" s="1" t="n">
        <v>45587</v>
      </c>
      <c r="D940" t="inlineStr">
        <is>
          <t>GÄVLEBORGS LÄN</t>
        </is>
      </c>
      <c r="E940" t="inlineStr">
        <is>
          <t>OVANÅKER</t>
        </is>
      </c>
      <c r="F940" t="inlineStr">
        <is>
          <t>Bergvik skog väst AB</t>
        </is>
      </c>
      <c r="G940" t="n">
        <v>0.7</v>
      </c>
      <c r="H940" t="n">
        <v>0</v>
      </c>
      <c r="I940" t="n">
        <v>0</v>
      </c>
      <c r="J940" t="n">
        <v>0</v>
      </c>
      <c r="K940" t="n">
        <v>0</v>
      </c>
      <c r="L940" t="n">
        <v>0</v>
      </c>
      <c r="M940" t="n">
        <v>0</v>
      </c>
      <c r="N940" t="n">
        <v>0</v>
      </c>
      <c r="O940" t="n">
        <v>0</v>
      </c>
      <c r="P940" t="n">
        <v>0</v>
      </c>
      <c r="Q940" t="n">
        <v>0</v>
      </c>
      <c r="R940" s="2" t="inlineStr"/>
    </row>
    <row r="941" ht="15" customHeight="1">
      <c r="A941" t="inlineStr">
        <is>
          <t>A 36721-2019</t>
        </is>
      </c>
      <c r="B941" s="1" t="n">
        <v>43672</v>
      </c>
      <c r="C941" s="1" t="n">
        <v>45587</v>
      </c>
      <c r="D941" t="inlineStr">
        <is>
          <t>GÄVLEBORGS LÄN</t>
        </is>
      </c>
      <c r="E941" t="inlineStr">
        <is>
          <t>HUDIKSVALL</t>
        </is>
      </c>
      <c r="G941" t="n">
        <v>1.2</v>
      </c>
      <c r="H941" t="n">
        <v>0</v>
      </c>
      <c r="I941" t="n">
        <v>0</v>
      </c>
      <c r="J941" t="n">
        <v>0</v>
      </c>
      <c r="K941" t="n">
        <v>0</v>
      </c>
      <c r="L941" t="n">
        <v>0</v>
      </c>
      <c r="M941" t="n">
        <v>0</v>
      </c>
      <c r="N941" t="n">
        <v>0</v>
      </c>
      <c r="O941" t="n">
        <v>0</v>
      </c>
      <c r="P941" t="n">
        <v>0</v>
      </c>
      <c r="Q941" t="n">
        <v>0</v>
      </c>
      <c r="R941" s="2" t="inlineStr"/>
    </row>
    <row r="942" ht="15" customHeight="1">
      <c r="A942" t="inlineStr">
        <is>
          <t>A 36864-2019</t>
        </is>
      </c>
      <c r="B942" s="1" t="n">
        <v>43675</v>
      </c>
      <c r="C942" s="1" t="n">
        <v>45587</v>
      </c>
      <c r="D942" t="inlineStr">
        <is>
          <t>GÄVLEBORGS LÄN</t>
        </is>
      </c>
      <c r="E942" t="inlineStr">
        <is>
          <t>OCKELBO</t>
        </is>
      </c>
      <c r="G942" t="n">
        <v>5.2</v>
      </c>
      <c r="H942" t="n">
        <v>0</v>
      </c>
      <c r="I942" t="n">
        <v>0</v>
      </c>
      <c r="J942" t="n">
        <v>0</v>
      </c>
      <c r="K942" t="n">
        <v>0</v>
      </c>
      <c r="L942" t="n">
        <v>0</v>
      </c>
      <c r="M942" t="n">
        <v>0</v>
      </c>
      <c r="N942" t="n">
        <v>0</v>
      </c>
      <c r="O942" t="n">
        <v>0</v>
      </c>
      <c r="P942" t="n">
        <v>0</v>
      </c>
      <c r="Q942" t="n">
        <v>0</v>
      </c>
      <c r="R942" s="2" t="inlineStr"/>
    </row>
    <row r="943" ht="15" customHeight="1">
      <c r="A943" t="inlineStr">
        <is>
          <t>A 37116-2019</t>
        </is>
      </c>
      <c r="B943" s="1" t="n">
        <v>43676</v>
      </c>
      <c r="C943" s="1" t="n">
        <v>45587</v>
      </c>
      <c r="D943" t="inlineStr">
        <is>
          <t>GÄVLEBORGS LÄN</t>
        </is>
      </c>
      <c r="E943" t="inlineStr">
        <is>
          <t>HUDIKSVALL</t>
        </is>
      </c>
      <c r="G943" t="n">
        <v>5.3</v>
      </c>
      <c r="H943" t="n">
        <v>0</v>
      </c>
      <c r="I943" t="n">
        <v>0</v>
      </c>
      <c r="J943" t="n">
        <v>0</v>
      </c>
      <c r="K943" t="n">
        <v>0</v>
      </c>
      <c r="L943" t="n">
        <v>0</v>
      </c>
      <c r="M943" t="n">
        <v>0</v>
      </c>
      <c r="N943" t="n">
        <v>0</v>
      </c>
      <c r="O943" t="n">
        <v>0</v>
      </c>
      <c r="P943" t="n">
        <v>0</v>
      </c>
      <c r="Q943" t="n">
        <v>0</v>
      </c>
      <c r="R943" s="2" t="inlineStr"/>
    </row>
    <row r="944" ht="15" customHeight="1">
      <c r="A944" t="inlineStr">
        <is>
          <t>A 37102-2019</t>
        </is>
      </c>
      <c r="B944" s="1" t="n">
        <v>43676</v>
      </c>
      <c r="C944" s="1" t="n">
        <v>45587</v>
      </c>
      <c r="D944" t="inlineStr">
        <is>
          <t>GÄVLEBORGS LÄN</t>
        </is>
      </c>
      <c r="E944" t="inlineStr">
        <is>
          <t>SANDVIKEN</t>
        </is>
      </c>
      <c r="F944" t="inlineStr">
        <is>
          <t>Sveaskog</t>
        </is>
      </c>
      <c r="G944" t="n">
        <v>2.6</v>
      </c>
      <c r="H944" t="n">
        <v>0</v>
      </c>
      <c r="I944" t="n">
        <v>0</v>
      </c>
      <c r="J944" t="n">
        <v>0</v>
      </c>
      <c r="K944" t="n">
        <v>0</v>
      </c>
      <c r="L944" t="n">
        <v>0</v>
      </c>
      <c r="M944" t="n">
        <v>0</v>
      </c>
      <c r="N944" t="n">
        <v>0</v>
      </c>
      <c r="O944" t="n">
        <v>0</v>
      </c>
      <c r="P944" t="n">
        <v>0</v>
      </c>
      <c r="Q944" t="n">
        <v>0</v>
      </c>
      <c r="R944" s="2" t="inlineStr"/>
    </row>
    <row r="945" ht="15" customHeight="1">
      <c r="A945" t="inlineStr">
        <is>
          <t>A 37326-2019</t>
        </is>
      </c>
      <c r="B945" s="1" t="n">
        <v>43677</v>
      </c>
      <c r="C945" s="1" t="n">
        <v>45587</v>
      </c>
      <c r="D945" t="inlineStr">
        <is>
          <t>GÄVLEBORGS LÄN</t>
        </is>
      </c>
      <c r="E945" t="inlineStr">
        <is>
          <t>LJUSDAL</t>
        </is>
      </c>
      <c r="G945" t="n">
        <v>9.199999999999999</v>
      </c>
      <c r="H945" t="n">
        <v>0</v>
      </c>
      <c r="I945" t="n">
        <v>0</v>
      </c>
      <c r="J945" t="n">
        <v>0</v>
      </c>
      <c r="K945" t="n">
        <v>0</v>
      </c>
      <c r="L945" t="n">
        <v>0</v>
      </c>
      <c r="M945" t="n">
        <v>0</v>
      </c>
      <c r="N945" t="n">
        <v>0</v>
      </c>
      <c r="O945" t="n">
        <v>0</v>
      </c>
      <c r="P945" t="n">
        <v>0</v>
      </c>
      <c r="Q945" t="n">
        <v>0</v>
      </c>
      <c r="R945" s="2" t="inlineStr"/>
    </row>
    <row r="946" ht="15" customHeight="1">
      <c r="A946" t="inlineStr">
        <is>
          <t>A 37469-2019</t>
        </is>
      </c>
      <c r="B946" s="1" t="n">
        <v>43679</v>
      </c>
      <c r="C946" s="1" t="n">
        <v>45587</v>
      </c>
      <c r="D946" t="inlineStr">
        <is>
          <t>GÄVLEBORGS LÄN</t>
        </is>
      </c>
      <c r="E946" t="inlineStr">
        <is>
          <t>OVANÅKER</t>
        </is>
      </c>
      <c r="F946" t="inlineStr">
        <is>
          <t>Holmen skog AB</t>
        </is>
      </c>
      <c r="G946" t="n">
        <v>7.8</v>
      </c>
      <c r="H946" t="n">
        <v>0</v>
      </c>
      <c r="I946" t="n">
        <v>0</v>
      </c>
      <c r="J946" t="n">
        <v>0</v>
      </c>
      <c r="K946" t="n">
        <v>0</v>
      </c>
      <c r="L946" t="n">
        <v>0</v>
      </c>
      <c r="M946" t="n">
        <v>0</v>
      </c>
      <c r="N946" t="n">
        <v>0</v>
      </c>
      <c r="O946" t="n">
        <v>0</v>
      </c>
      <c r="P946" t="n">
        <v>0</v>
      </c>
      <c r="Q946" t="n">
        <v>0</v>
      </c>
      <c r="R946" s="2" t="inlineStr"/>
    </row>
    <row r="947" ht="15" customHeight="1">
      <c r="A947" t="inlineStr">
        <is>
          <t>A 37506-2019</t>
        </is>
      </c>
      <c r="B947" s="1" t="n">
        <v>43679</v>
      </c>
      <c r="C947" s="1" t="n">
        <v>45587</v>
      </c>
      <c r="D947" t="inlineStr">
        <is>
          <t>GÄVLEBORGS LÄN</t>
        </is>
      </c>
      <c r="E947" t="inlineStr">
        <is>
          <t>OVANÅKER</t>
        </is>
      </c>
      <c r="F947" t="inlineStr">
        <is>
          <t>Holmen skog AB</t>
        </is>
      </c>
      <c r="G947" t="n">
        <v>1</v>
      </c>
      <c r="H947" t="n">
        <v>0</v>
      </c>
      <c r="I947" t="n">
        <v>0</v>
      </c>
      <c r="J947" t="n">
        <v>0</v>
      </c>
      <c r="K947" t="n">
        <v>0</v>
      </c>
      <c r="L947" t="n">
        <v>0</v>
      </c>
      <c r="M947" t="n">
        <v>0</v>
      </c>
      <c r="N947" t="n">
        <v>0</v>
      </c>
      <c r="O947" t="n">
        <v>0</v>
      </c>
      <c r="P947" t="n">
        <v>0</v>
      </c>
      <c r="Q947" t="n">
        <v>0</v>
      </c>
      <c r="R947" s="2" t="inlineStr"/>
    </row>
    <row r="948" ht="15" customHeight="1">
      <c r="A948" t="inlineStr">
        <is>
          <t>A 37676-2019</t>
        </is>
      </c>
      <c r="B948" s="1" t="n">
        <v>43679</v>
      </c>
      <c r="C948" s="1" t="n">
        <v>45587</v>
      </c>
      <c r="D948" t="inlineStr">
        <is>
          <t>GÄVLEBORGS LÄN</t>
        </is>
      </c>
      <c r="E948" t="inlineStr">
        <is>
          <t>LJUSDAL</t>
        </is>
      </c>
      <c r="G948" t="n">
        <v>11.6</v>
      </c>
      <c r="H948" t="n">
        <v>0</v>
      </c>
      <c r="I948" t="n">
        <v>0</v>
      </c>
      <c r="J948" t="n">
        <v>0</v>
      </c>
      <c r="K948" t="n">
        <v>0</v>
      </c>
      <c r="L948" t="n">
        <v>0</v>
      </c>
      <c r="M948" t="n">
        <v>0</v>
      </c>
      <c r="N948" t="n">
        <v>0</v>
      </c>
      <c r="O948" t="n">
        <v>0</v>
      </c>
      <c r="P948" t="n">
        <v>0</v>
      </c>
      <c r="Q948" t="n">
        <v>0</v>
      </c>
      <c r="R948" s="2" t="inlineStr"/>
    </row>
    <row r="949" ht="15" customHeight="1">
      <c r="A949" t="inlineStr">
        <is>
          <t>A 37537-2019</t>
        </is>
      </c>
      <c r="B949" s="1" t="n">
        <v>43679</v>
      </c>
      <c r="C949" s="1" t="n">
        <v>45587</v>
      </c>
      <c r="D949" t="inlineStr">
        <is>
          <t>GÄVLEBORGS LÄN</t>
        </is>
      </c>
      <c r="E949" t="inlineStr">
        <is>
          <t>LJUSDAL</t>
        </is>
      </c>
      <c r="G949" t="n">
        <v>1.7</v>
      </c>
      <c r="H949" t="n">
        <v>0</v>
      </c>
      <c r="I949" t="n">
        <v>0</v>
      </c>
      <c r="J949" t="n">
        <v>0</v>
      </c>
      <c r="K949" t="n">
        <v>0</v>
      </c>
      <c r="L949" t="n">
        <v>0</v>
      </c>
      <c r="M949" t="n">
        <v>0</v>
      </c>
      <c r="N949" t="n">
        <v>0</v>
      </c>
      <c r="O949" t="n">
        <v>0</v>
      </c>
      <c r="P949" t="n">
        <v>0</v>
      </c>
      <c r="Q949" t="n">
        <v>0</v>
      </c>
      <c r="R949" s="2" t="inlineStr"/>
    </row>
    <row r="950" ht="15" customHeight="1">
      <c r="A950" t="inlineStr">
        <is>
          <t>A 37473-2019</t>
        </is>
      </c>
      <c r="B950" s="1" t="n">
        <v>43679</v>
      </c>
      <c r="C950" s="1" t="n">
        <v>45587</v>
      </c>
      <c r="D950" t="inlineStr">
        <is>
          <t>GÄVLEBORGS LÄN</t>
        </is>
      </c>
      <c r="E950" t="inlineStr">
        <is>
          <t>SÖDERHAMN</t>
        </is>
      </c>
      <c r="G950" t="n">
        <v>0.4</v>
      </c>
      <c r="H950" t="n">
        <v>0</v>
      </c>
      <c r="I950" t="n">
        <v>0</v>
      </c>
      <c r="J950" t="n">
        <v>0</v>
      </c>
      <c r="K950" t="n">
        <v>0</v>
      </c>
      <c r="L950" t="n">
        <v>0</v>
      </c>
      <c r="M950" t="n">
        <v>0</v>
      </c>
      <c r="N950" t="n">
        <v>0</v>
      </c>
      <c r="O950" t="n">
        <v>0</v>
      </c>
      <c r="P950" t="n">
        <v>0</v>
      </c>
      <c r="Q950" t="n">
        <v>0</v>
      </c>
      <c r="R950" s="2" t="inlineStr"/>
    </row>
    <row r="951" ht="15" customHeight="1">
      <c r="A951" t="inlineStr">
        <is>
          <t>A 37854-2019</t>
        </is>
      </c>
      <c r="B951" s="1" t="n">
        <v>43682</v>
      </c>
      <c r="C951" s="1" t="n">
        <v>45587</v>
      </c>
      <c r="D951" t="inlineStr">
        <is>
          <t>GÄVLEBORGS LÄN</t>
        </is>
      </c>
      <c r="E951" t="inlineStr">
        <is>
          <t>OVANÅKER</t>
        </is>
      </c>
      <c r="F951" t="inlineStr">
        <is>
          <t>Bergvik skog öst AB</t>
        </is>
      </c>
      <c r="G951" t="n">
        <v>14.7</v>
      </c>
      <c r="H951" t="n">
        <v>0</v>
      </c>
      <c r="I951" t="n">
        <v>0</v>
      </c>
      <c r="J951" t="n">
        <v>0</v>
      </c>
      <c r="K951" t="n">
        <v>0</v>
      </c>
      <c r="L951" t="n">
        <v>0</v>
      </c>
      <c r="M951" t="n">
        <v>0</v>
      </c>
      <c r="N951" t="n">
        <v>0</v>
      </c>
      <c r="O951" t="n">
        <v>0</v>
      </c>
      <c r="P951" t="n">
        <v>0</v>
      </c>
      <c r="Q951" t="n">
        <v>0</v>
      </c>
      <c r="R951" s="2" t="inlineStr"/>
    </row>
    <row r="952" ht="15" customHeight="1">
      <c r="A952" t="inlineStr">
        <is>
          <t>A 37852-2019</t>
        </is>
      </c>
      <c r="B952" s="1" t="n">
        <v>43682</v>
      </c>
      <c r="C952" s="1" t="n">
        <v>45587</v>
      </c>
      <c r="D952" t="inlineStr">
        <is>
          <t>GÄVLEBORGS LÄN</t>
        </is>
      </c>
      <c r="E952" t="inlineStr">
        <is>
          <t>SÖDERHAMN</t>
        </is>
      </c>
      <c r="G952" t="n">
        <v>1.4</v>
      </c>
      <c r="H952" t="n">
        <v>0</v>
      </c>
      <c r="I952" t="n">
        <v>0</v>
      </c>
      <c r="J952" t="n">
        <v>0</v>
      </c>
      <c r="K952" t="n">
        <v>0</v>
      </c>
      <c r="L952" t="n">
        <v>0</v>
      </c>
      <c r="M952" t="n">
        <v>0</v>
      </c>
      <c r="N952" t="n">
        <v>0</v>
      </c>
      <c r="O952" t="n">
        <v>0</v>
      </c>
      <c r="P952" t="n">
        <v>0</v>
      </c>
      <c r="Q952" t="n">
        <v>0</v>
      </c>
      <c r="R952" s="2" t="inlineStr"/>
    </row>
    <row r="953" ht="15" customHeight="1">
      <c r="A953" t="inlineStr">
        <is>
          <t>A 38619-2019</t>
        </is>
      </c>
      <c r="B953" s="1" t="n">
        <v>43686</v>
      </c>
      <c r="C953" s="1" t="n">
        <v>45587</v>
      </c>
      <c r="D953" t="inlineStr">
        <is>
          <t>GÄVLEBORGS LÄN</t>
        </is>
      </c>
      <c r="E953" t="inlineStr">
        <is>
          <t>OVANÅKER</t>
        </is>
      </c>
      <c r="G953" t="n">
        <v>2</v>
      </c>
      <c r="H953" t="n">
        <v>0</v>
      </c>
      <c r="I953" t="n">
        <v>0</v>
      </c>
      <c r="J953" t="n">
        <v>0</v>
      </c>
      <c r="K953" t="n">
        <v>0</v>
      </c>
      <c r="L953" t="n">
        <v>0</v>
      </c>
      <c r="M953" t="n">
        <v>0</v>
      </c>
      <c r="N953" t="n">
        <v>0</v>
      </c>
      <c r="O953" t="n">
        <v>0</v>
      </c>
      <c r="P953" t="n">
        <v>0</v>
      </c>
      <c r="Q953" t="n">
        <v>0</v>
      </c>
      <c r="R953" s="2" t="inlineStr"/>
    </row>
    <row r="954" ht="15" customHeight="1">
      <c r="A954" t="inlineStr">
        <is>
          <t>A 38756-2019</t>
        </is>
      </c>
      <c r="B954" s="1" t="n">
        <v>43686</v>
      </c>
      <c r="C954" s="1" t="n">
        <v>45587</v>
      </c>
      <c r="D954" t="inlineStr">
        <is>
          <t>GÄVLEBORGS LÄN</t>
        </is>
      </c>
      <c r="E954" t="inlineStr">
        <is>
          <t>LJUSDAL</t>
        </is>
      </c>
      <c r="G954" t="n">
        <v>51.7</v>
      </c>
      <c r="H954" t="n">
        <v>0</v>
      </c>
      <c r="I954" t="n">
        <v>0</v>
      </c>
      <c r="J954" t="n">
        <v>0</v>
      </c>
      <c r="K954" t="n">
        <v>0</v>
      </c>
      <c r="L954" t="n">
        <v>0</v>
      </c>
      <c r="M954" t="n">
        <v>0</v>
      </c>
      <c r="N954" t="n">
        <v>0</v>
      </c>
      <c r="O954" t="n">
        <v>0</v>
      </c>
      <c r="P954" t="n">
        <v>0</v>
      </c>
      <c r="Q954" t="n">
        <v>0</v>
      </c>
      <c r="R954" s="2" t="inlineStr"/>
    </row>
    <row r="955" ht="15" customHeight="1">
      <c r="A955" t="inlineStr">
        <is>
          <t>A 38892-2019</t>
        </is>
      </c>
      <c r="B955" s="1" t="n">
        <v>43689</v>
      </c>
      <c r="C955" s="1" t="n">
        <v>45587</v>
      </c>
      <c r="D955" t="inlineStr">
        <is>
          <t>GÄVLEBORGS LÄN</t>
        </is>
      </c>
      <c r="E955" t="inlineStr">
        <is>
          <t>OVANÅKER</t>
        </is>
      </c>
      <c r="G955" t="n">
        <v>5.5</v>
      </c>
      <c r="H955" t="n">
        <v>0</v>
      </c>
      <c r="I955" t="n">
        <v>0</v>
      </c>
      <c r="J955" t="n">
        <v>0</v>
      </c>
      <c r="K955" t="n">
        <v>0</v>
      </c>
      <c r="L955" t="n">
        <v>0</v>
      </c>
      <c r="M955" t="n">
        <v>0</v>
      </c>
      <c r="N955" t="n">
        <v>0</v>
      </c>
      <c r="O955" t="n">
        <v>0</v>
      </c>
      <c r="P955" t="n">
        <v>0</v>
      </c>
      <c r="Q955" t="n">
        <v>0</v>
      </c>
      <c r="R955" s="2" t="inlineStr"/>
    </row>
    <row r="956" ht="15" customHeight="1">
      <c r="A956" t="inlineStr">
        <is>
          <t>A 38945-2019</t>
        </is>
      </c>
      <c r="B956" s="1" t="n">
        <v>43689</v>
      </c>
      <c r="C956" s="1" t="n">
        <v>45587</v>
      </c>
      <c r="D956" t="inlineStr">
        <is>
          <t>GÄVLEBORGS LÄN</t>
        </is>
      </c>
      <c r="E956" t="inlineStr">
        <is>
          <t>NORDANSTIG</t>
        </is>
      </c>
      <c r="G956" t="n">
        <v>3.1</v>
      </c>
      <c r="H956" t="n">
        <v>0</v>
      </c>
      <c r="I956" t="n">
        <v>0</v>
      </c>
      <c r="J956" t="n">
        <v>0</v>
      </c>
      <c r="K956" t="n">
        <v>0</v>
      </c>
      <c r="L956" t="n">
        <v>0</v>
      </c>
      <c r="M956" t="n">
        <v>0</v>
      </c>
      <c r="N956" t="n">
        <v>0</v>
      </c>
      <c r="O956" t="n">
        <v>0</v>
      </c>
      <c r="P956" t="n">
        <v>0</v>
      </c>
      <c r="Q956" t="n">
        <v>0</v>
      </c>
      <c r="R956" s="2" t="inlineStr"/>
    </row>
    <row r="957" ht="15" customHeight="1">
      <c r="A957" t="inlineStr">
        <is>
          <t>A 38891-2019</t>
        </is>
      </c>
      <c r="B957" s="1" t="n">
        <v>43689</v>
      </c>
      <c r="C957" s="1" t="n">
        <v>45587</v>
      </c>
      <c r="D957" t="inlineStr">
        <is>
          <t>GÄVLEBORGS LÄN</t>
        </is>
      </c>
      <c r="E957" t="inlineStr">
        <is>
          <t>OVANÅKER</t>
        </is>
      </c>
      <c r="G957" t="n">
        <v>0.7</v>
      </c>
      <c r="H957" t="n">
        <v>0</v>
      </c>
      <c r="I957" t="n">
        <v>0</v>
      </c>
      <c r="J957" t="n">
        <v>0</v>
      </c>
      <c r="K957" t="n">
        <v>0</v>
      </c>
      <c r="L957" t="n">
        <v>0</v>
      </c>
      <c r="M957" t="n">
        <v>0</v>
      </c>
      <c r="N957" t="n">
        <v>0</v>
      </c>
      <c r="O957" t="n">
        <v>0</v>
      </c>
      <c r="P957" t="n">
        <v>0</v>
      </c>
      <c r="Q957" t="n">
        <v>0</v>
      </c>
      <c r="R957" s="2" t="inlineStr"/>
    </row>
    <row r="958" ht="15" customHeight="1">
      <c r="A958" t="inlineStr">
        <is>
          <t>A 38978-2019</t>
        </is>
      </c>
      <c r="B958" s="1" t="n">
        <v>43689</v>
      </c>
      <c r="C958" s="1" t="n">
        <v>45587</v>
      </c>
      <c r="D958" t="inlineStr">
        <is>
          <t>GÄVLEBORGS LÄN</t>
        </is>
      </c>
      <c r="E958" t="inlineStr">
        <is>
          <t>NORDANSTIG</t>
        </is>
      </c>
      <c r="F958" t="inlineStr">
        <is>
          <t>Holmen skog AB</t>
        </is>
      </c>
      <c r="G958" t="n">
        <v>0.8</v>
      </c>
      <c r="H958" t="n">
        <v>0</v>
      </c>
      <c r="I958" t="n">
        <v>0</v>
      </c>
      <c r="J958" t="n">
        <v>0</v>
      </c>
      <c r="K958" t="n">
        <v>0</v>
      </c>
      <c r="L958" t="n">
        <v>0</v>
      </c>
      <c r="M958" t="n">
        <v>0</v>
      </c>
      <c r="N958" t="n">
        <v>0</v>
      </c>
      <c r="O958" t="n">
        <v>0</v>
      </c>
      <c r="P958" t="n">
        <v>0</v>
      </c>
      <c r="Q958" t="n">
        <v>0</v>
      </c>
      <c r="R958" s="2" t="inlineStr"/>
    </row>
    <row r="959" ht="15" customHeight="1">
      <c r="A959" t="inlineStr">
        <is>
          <t>A 39020-2019</t>
        </is>
      </c>
      <c r="B959" s="1" t="n">
        <v>43689</v>
      </c>
      <c r="C959" s="1" t="n">
        <v>45587</v>
      </c>
      <c r="D959" t="inlineStr">
        <is>
          <t>GÄVLEBORGS LÄN</t>
        </is>
      </c>
      <c r="E959" t="inlineStr">
        <is>
          <t>BOLLNÄS</t>
        </is>
      </c>
      <c r="G959" t="n">
        <v>2.7</v>
      </c>
      <c r="H959" t="n">
        <v>0</v>
      </c>
      <c r="I959" t="n">
        <v>0</v>
      </c>
      <c r="J959" t="n">
        <v>0</v>
      </c>
      <c r="K959" t="n">
        <v>0</v>
      </c>
      <c r="L959" t="n">
        <v>0</v>
      </c>
      <c r="M959" t="n">
        <v>0</v>
      </c>
      <c r="N959" t="n">
        <v>0</v>
      </c>
      <c r="O959" t="n">
        <v>0</v>
      </c>
      <c r="P959" t="n">
        <v>0</v>
      </c>
      <c r="Q959" t="n">
        <v>0</v>
      </c>
      <c r="R959" s="2" t="inlineStr"/>
    </row>
    <row r="960" ht="15" customHeight="1">
      <c r="A960" t="inlineStr">
        <is>
          <t>A 38983-2019</t>
        </is>
      </c>
      <c r="B960" s="1" t="n">
        <v>43689</v>
      </c>
      <c r="C960" s="1" t="n">
        <v>45587</v>
      </c>
      <c r="D960" t="inlineStr">
        <is>
          <t>GÄVLEBORGS LÄN</t>
        </is>
      </c>
      <c r="E960" t="inlineStr">
        <is>
          <t>NORDANSTIG</t>
        </is>
      </c>
      <c r="F960" t="inlineStr">
        <is>
          <t>Holmen skog AB</t>
        </is>
      </c>
      <c r="G960" t="n">
        <v>1</v>
      </c>
      <c r="H960" t="n">
        <v>0</v>
      </c>
      <c r="I960" t="n">
        <v>0</v>
      </c>
      <c r="J960" t="n">
        <v>0</v>
      </c>
      <c r="K960" t="n">
        <v>0</v>
      </c>
      <c r="L960" t="n">
        <v>0</v>
      </c>
      <c r="M960" t="n">
        <v>0</v>
      </c>
      <c r="N960" t="n">
        <v>0</v>
      </c>
      <c r="O960" t="n">
        <v>0</v>
      </c>
      <c r="P960" t="n">
        <v>0</v>
      </c>
      <c r="Q960" t="n">
        <v>0</v>
      </c>
      <c r="R960" s="2" t="inlineStr"/>
    </row>
    <row r="961" ht="15" customHeight="1">
      <c r="A961" t="inlineStr">
        <is>
          <t>A 38883-2019</t>
        </is>
      </c>
      <c r="B961" s="1" t="n">
        <v>43689</v>
      </c>
      <c r="C961" s="1" t="n">
        <v>45587</v>
      </c>
      <c r="D961" t="inlineStr">
        <is>
          <t>GÄVLEBORGS LÄN</t>
        </is>
      </c>
      <c r="E961" t="inlineStr">
        <is>
          <t>SANDVIKEN</t>
        </is>
      </c>
      <c r="G961" t="n">
        <v>3.6</v>
      </c>
      <c r="H961" t="n">
        <v>0</v>
      </c>
      <c r="I961" t="n">
        <v>0</v>
      </c>
      <c r="J961" t="n">
        <v>0</v>
      </c>
      <c r="K961" t="n">
        <v>0</v>
      </c>
      <c r="L961" t="n">
        <v>0</v>
      </c>
      <c r="M961" t="n">
        <v>0</v>
      </c>
      <c r="N961" t="n">
        <v>0</v>
      </c>
      <c r="O961" t="n">
        <v>0</v>
      </c>
      <c r="P961" t="n">
        <v>0</v>
      </c>
      <c r="Q961" t="n">
        <v>0</v>
      </c>
      <c r="R961" s="2" t="inlineStr"/>
    </row>
    <row r="962" ht="15" customHeight="1">
      <c r="A962" t="inlineStr">
        <is>
          <t>A 39223-2019</t>
        </is>
      </c>
      <c r="B962" s="1" t="n">
        <v>43690</v>
      </c>
      <c r="C962" s="1" t="n">
        <v>45587</v>
      </c>
      <c r="D962" t="inlineStr">
        <is>
          <t>GÄVLEBORGS LÄN</t>
        </is>
      </c>
      <c r="E962" t="inlineStr">
        <is>
          <t>OVANÅKER</t>
        </is>
      </c>
      <c r="G962" t="n">
        <v>1.1</v>
      </c>
      <c r="H962" t="n">
        <v>0</v>
      </c>
      <c r="I962" t="n">
        <v>0</v>
      </c>
      <c r="J962" t="n">
        <v>0</v>
      </c>
      <c r="K962" t="n">
        <v>0</v>
      </c>
      <c r="L962" t="n">
        <v>0</v>
      </c>
      <c r="M962" t="n">
        <v>0</v>
      </c>
      <c r="N962" t="n">
        <v>0</v>
      </c>
      <c r="O962" t="n">
        <v>0</v>
      </c>
      <c r="P962" t="n">
        <v>0</v>
      </c>
      <c r="Q962" t="n">
        <v>0</v>
      </c>
      <c r="R962" s="2" t="inlineStr"/>
    </row>
    <row r="963" ht="15" customHeight="1">
      <c r="A963" t="inlineStr">
        <is>
          <t>A 39235-2019</t>
        </is>
      </c>
      <c r="B963" s="1" t="n">
        <v>43690</v>
      </c>
      <c r="C963" s="1" t="n">
        <v>45587</v>
      </c>
      <c r="D963" t="inlineStr">
        <is>
          <t>GÄVLEBORGS LÄN</t>
        </is>
      </c>
      <c r="E963" t="inlineStr">
        <is>
          <t>HUDIKSVALL</t>
        </is>
      </c>
      <c r="G963" t="n">
        <v>5.9</v>
      </c>
      <c r="H963" t="n">
        <v>0</v>
      </c>
      <c r="I963" t="n">
        <v>0</v>
      </c>
      <c r="J963" t="n">
        <v>0</v>
      </c>
      <c r="K963" t="n">
        <v>0</v>
      </c>
      <c r="L963" t="n">
        <v>0</v>
      </c>
      <c r="M963" t="n">
        <v>0</v>
      </c>
      <c r="N963" t="n">
        <v>0</v>
      </c>
      <c r="O963" t="n">
        <v>0</v>
      </c>
      <c r="P963" t="n">
        <v>0</v>
      </c>
      <c r="Q963" t="n">
        <v>0</v>
      </c>
      <c r="R963" s="2" t="inlineStr"/>
    </row>
    <row r="964" ht="15" customHeight="1">
      <c r="A964" t="inlineStr">
        <is>
          <t>A 39275-2019</t>
        </is>
      </c>
      <c r="B964" s="1" t="n">
        <v>43690</v>
      </c>
      <c r="C964" s="1" t="n">
        <v>45587</v>
      </c>
      <c r="D964" t="inlineStr">
        <is>
          <t>GÄVLEBORGS LÄN</t>
        </is>
      </c>
      <c r="E964" t="inlineStr">
        <is>
          <t>SANDVIKEN</t>
        </is>
      </c>
      <c r="G964" t="n">
        <v>2.8</v>
      </c>
      <c r="H964" t="n">
        <v>0</v>
      </c>
      <c r="I964" t="n">
        <v>0</v>
      </c>
      <c r="J964" t="n">
        <v>0</v>
      </c>
      <c r="K964" t="n">
        <v>0</v>
      </c>
      <c r="L964" t="n">
        <v>0</v>
      </c>
      <c r="M964" t="n">
        <v>0</v>
      </c>
      <c r="N964" t="n">
        <v>0</v>
      </c>
      <c r="O964" t="n">
        <v>0</v>
      </c>
      <c r="P964" t="n">
        <v>0</v>
      </c>
      <c r="Q964" t="n">
        <v>0</v>
      </c>
      <c r="R964" s="2" t="inlineStr"/>
    </row>
    <row r="965" ht="15" customHeight="1">
      <c r="A965" t="inlineStr">
        <is>
          <t>A 39310-2019</t>
        </is>
      </c>
      <c r="B965" s="1" t="n">
        <v>43690</v>
      </c>
      <c r="C965" s="1" t="n">
        <v>45587</v>
      </c>
      <c r="D965" t="inlineStr">
        <is>
          <t>GÄVLEBORGS LÄN</t>
        </is>
      </c>
      <c r="E965" t="inlineStr">
        <is>
          <t>SANDVIKEN</t>
        </is>
      </c>
      <c r="G965" t="n">
        <v>1.3</v>
      </c>
      <c r="H965" t="n">
        <v>0</v>
      </c>
      <c r="I965" t="n">
        <v>0</v>
      </c>
      <c r="J965" t="n">
        <v>0</v>
      </c>
      <c r="K965" t="n">
        <v>0</v>
      </c>
      <c r="L965" t="n">
        <v>0</v>
      </c>
      <c r="M965" t="n">
        <v>0</v>
      </c>
      <c r="N965" t="n">
        <v>0</v>
      </c>
      <c r="O965" t="n">
        <v>0</v>
      </c>
      <c r="P965" t="n">
        <v>0</v>
      </c>
      <c r="Q965" t="n">
        <v>0</v>
      </c>
      <c r="R965" s="2" t="inlineStr"/>
    </row>
    <row r="966" ht="15" customHeight="1">
      <c r="A966" t="inlineStr">
        <is>
          <t>A 39191-2019</t>
        </is>
      </c>
      <c r="B966" s="1" t="n">
        <v>43690</v>
      </c>
      <c r="C966" s="1" t="n">
        <v>45587</v>
      </c>
      <c r="D966" t="inlineStr">
        <is>
          <t>GÄVLEBORGS LÄN</t>
        </is>
      </c>
      <c r="E966" t="inlineStr">
        <is>
          <t>HUDIKSVALL</t>
        </is>
      </c>
      <c r="G966" t="n">
        <v>2.9</v>
      </c>
      <c r="H966" t="n">
        <v>0</v>
      </c>
      <c r="I966" t="n">
        <v>0</v>
      </c>
      <c r="J966" t="n">
        <v>0</v>
      </c>
      <c r="K966" t="n">
        <v>0</v>
      </c>
      <c r="L966" t="n">
        <v>0</v>
      </c>
      <c r="M966" t="n">
        <v>0</v>
      </c>
      <c r="N966" t="n">
        <v>0</v>
      </c>
      <c r="O966" t="n">
        <v>0</v>
      </c>
      <c r="P966" t="n">
        <v>0</v>
      </c>
      <c r="Q966" t="n">
        <v>0</v>
      </c>
      <c r="R966" s="2" t="inlineStr"/>
    </row>
    <row r="967" ht="15" customHeight="1">
      <c r="A967" t="inlineStr">
        <is>
          <t>A 39365-2019</t>
        </is>
      </c>
      <c r="B967" s="1" t="n">
        <v>43690</v>
      </c>
      <c r="C967" s="1" t="n">
        <v>45587</v>
      </c>
      <c r="D967" t="inlineStr">
        <is>
          <t>GÄVLEBORGS LÄN</t>
        </is>
      </c>
      <c r="E967" t="inlineStr">
        <is>
          <t>SÖDERHAMN</t>
        </is>
      </c>
      <c r="G967" t="n">
        <v>2.2</v>
      </c>
      <c r="H967" t="n">
        <v>0</v>
      </c>
      <c r="I967" t="n">
        <v>0</v>
      </c>
      <c r="J967" t="n">
        <v>0</v>
      </c>
      <c r="K967" t="n">
        <v>0</v>
      </c>
      <c r="L967" t="n">
        <v>0</v>
      </c>
      <c r="M967" t="n">
        <v>0</v>
      </c>
      <c r="N967" t="n">
        <v>0</v>
      </c>
      <c r="O967" t="n">
        <v>0</v>
      </c>
      <c r="P967" t="n">
        <v>0</v>
      </c>
      <c r="Q967" t="n">
        <v>0</v>
      </c>
      <c r="R967" s="2" t="inlineStr"/>
    </row>
    <row r="968" ht="15" customHeight="1">
      <c r="A968" t="inlineStr">
        <is>
          <t>A 39237-2019</t>
        </is>
      </c>
      <c r="B968" s="1" t="n">
        <v>43690</v>
      </c>
      <c r="C968" s="1" t="n">
        <v>45587</v>
      </c>
      <c r="D968" t="inlineStr">
        <is>
          <t>GÄVLEBORGS LÄN</t>
        </is>
      </c>
      <c r="E968" t="inlineStr">
        <is>
          <t>HUDIKSVALL</t>
        </is>
      </c>
      <c r="G968" t="n">
        <v>3.8</v>
      </c>
      <c r="H968" t="n">
        <v>0</v>
      </c>
      <c r="I968" t="n">
        <v>0</v>
      </c>
      <c r="J968" t="n">
        <v>0</v>
      </c>
      <c r="K968" t="n">
        <v>0</v>
      </c>
      <c r="L968" t="n">
        <v>0</v>
      </c>
      <c r="M968" t="n">
        <v>0</v>
      </c>
      <c r="N968" t="n">
        <v>0</v>
      </c>
      <c r="O968" t="n">
        <v>0</v>
      </c>
      <c r="P968" t="n">
        <v>0</v>
      </c>
      <c r="Q968" t="n">
        <v>0</v>
      </c>
      <c r="R968" s="2" t="inlineStr"/>
    </row>
    <row r="969" ht="15" customHeight="1">
      <c r="A969" t="inlineStr">
        <is>
          <t>A 39513-2019</t>
        </is>
      </c>
      <c r="B969" s="1" t="n">
        <v>43691</v>
      </c>
      <c r="C969" s="1" t="n">
        <v>45587</v>
      </c>
      <c r="D969" t="inlineStr">
        <is>
          <t>GÄVLEBORGS LÄN</t>
        </is>
      </c>
      <c r="E969" t="inlineStr">
        <is>
          <t>OCKELBO</t>
        </is>
      </c>
      <c r="G969" t="n">
        <v>1.5</v>
      </c>
      <c r="H969" t="n">
        <v>0</v>
      </c>
      <c r="I969" t="n">
        <v>0</v>
      </c>
      <c r="J969" t="n">
        <v>0</v>
      </c>
      <c r="K969" t="n">
        <v>0</v>
      </c>
      <c r="L969" t="n">
        <v>0</v>
      </c>
      <c r="M969" t="n">
        <v>0</v>
      </c>
      <c r="N969" t="n">
        <v>0</v>
      </c>
      <c r="O969" t="n">
        <v>0</v>
      </c>
      <c r="P969" t="n">
        <v>0</v>
      </c>
      <c r="Q969" t="n">
        <v>0</v>
      </c>
      <c r="R969" s="2" t="inlineStr"/>
    </row>
    <row r="970" ht="15" customHeight="1">
      <c r="A970" t="inlineStr">
        <is>
          <t>A 39643-2019</t>
        </is>
      </c>
      <c r="B970" s="1" t="n">
        <v>43691</v>
      </c>
      <c r="C970" s="1" t="n">
        <v>45587</v>
      </c>
      <c r="D970" t="inlineStr">
        <is>
          <t>GÄVLEBORGS LÄN</t>
        </is>
      </c>
      <c r="E970" t="inlineStr">
        <is>
          <t>BOLLNÄS</t>
        </is>
      </c>
      <c r="F970" t="inlineStr">
        <is>
          <t>Sveaskog</t>
        </is>
      </c>
      <c r="G970" t="n">
        <v>2.1</v>
      </c>
      <c r="H970" t="n">
        <v>0</v>
      </c>
      <c r="I970" t="n">
        <v>0</v>
      </c>
      <c r="J970" t="n">
        <v>0</v>
      </c>
      <c r="K970" t="n">
        <v>0</v>
      </c>
      <c r="L970" t="n">
        <v>0</v>
      </c>
      <c r="M970" t="n">
        <v>0</v>
      </c>
      <c r="N970" t="n">
        <v>0</v>
      </c>
      <c r="O970" t="n">
        <v>0</v>
      </c>
      <c r="P970" t="n">
        <v>0</v>
      </c>
      <c r="Q970" t="n">
        <v>0</v>
      </c>
      <c r="R970" s="2" t="inlineStr"/>
    </row>
    <row r="971" ht="15" customHeight="1">
      <c r="A971" t="inlineStr">
        <is>
          <t>A 40196-2019</t>
        </is>
      </c>
      <c r="B971" s="1" t="n">
        <v>43691</v>
      </c>
      <c r="C971" s="1" t="n">
        <v>45587</v>
      </c>
      <c r="D971" t="inlineStr">
        <is>
          <t>GÄVLEBORGS LÄN</t>
        </is>
      </c>
      <c r="E971" t="inlineStr">
        <is>
          <t>LJUSDAL</t>
        </is>
      </c>
      <c r="G971" t="n">
        <v>0.2</v>
      </c>
      <c r="H971" t="n">
        <v>0</v>
      </c>
      <c r="I971" t="n">
        <v>0</v>
      </c>
      <c r="J971" t="n">
        <v>0</v>
      </c>
      <c r="K971" t="n">
        <v>0</v>
      </c>
      <c r="L971" t="n">
        <v>0</v>
      </c>
      <c r="M971" t="n">
        <v>0</v>
      </c>
      <c r="N971" t="n">
        <v>0</v>
      </c>
      <c r="O971" t="n">
        <v>0</v>
      </c>
      <c r="P971" t="n">
        <v>0</v>
      </c>
      <c r="Q971" t="n">
        <v>0</v>
      </c>
      <c r="R971" s="2" t="inlineStr"/>
    </row>
    <row r="972" ht="15" customHeight="1">
      <c r="A972" t="inlineStr">
        <is>
          <t>A 39687-2019</t>
        </is>
      </c>
      <c r="B972" s="1" t="n">
        <v>43691</v>
      </c>
      <c r="C972" s="1" t="n">
        <v>45587</v>
      </c>
      <c r="D972" t="inlineStr">
        <is>
          <t>GÄVLEBORGS LÄN</t>
        </is>
      </c>
      <c r="E972" t="inlineStr">
        <is>
          <t>OCKELBO</t>
        </is>
      </c>
      <c r="G972" t="n">
        <v>0.9</v>
      </c>
      <c r="H972" t="n">
        <v>0</v>
      </c>
      <c r="I972" t="n">
        <v>0</v>
      </c>
      <c r="J972" t="n">
        <v>0</v>
      </c>
      <c r="K972" t="n">
        <v>0</v>
      </c>
      <c r="L972" t="n">
        <v>0</v>
      </c>
      <c r="M972" t="n">
        <v>0</v>
      </c>
      <c r="N972" t="n">
        <v>0</v>
      </c>
      <c r="O972" t="n">
        <v>0</v>
      </c>
      <c r="P972" t="n">
        <v>0</v>
      </c>
      <c r="Q972" t="n">
        <v>0</v>
      </c>
      <c r="R972" s="2" t="inlineStr"/>
    </row>
    <row r="973" ht="15" customHeight="1">
      <c r="A973" t="inlineStr">
        <is>
          <t>A 39812-2019</t>
        </is>
      </c>
      <c r="B973" s="1" t="n">
        <v>43692</v>
      </c>
      <c r="C973" s="1" t="n">
        <v>45587</v>
      </c>
      <c r="D973" t="inlineStr">
        <is>
          <t>GÄVLEBORGS LÄN</t>
        </is>
      </c>
      <c r="E973" t="inlineStr">
        <is>
          <t>OVANÅKER</t>
        </is>
      </c>
      <c r="G973" t="n">
        <v>7</v>
      </c>
      <c r="H973" t="n">
        <v>0</v>
      </c>
      <c r="I973" t="n">
        <v>0</v>
      </c>
      <c r="J973" t="n">
        <v>0</v>
      </c>
      <c r="K973" t="n">
        <v>0</v>
      </c>
      <c r="L973" t="n">
        <v>0</v>
      </c>
      <c r="M973" t="n">
        <v>0</v>
      </c>
      <c r="N973" t="n">
        <v>0</v>
      </c>
      <c r="O973" t="n">
        <v>0</v>
      </c>
      <c r="P973" t="n">
        <v>0</v>
      </c>
      <c r="Q973" t="n">
        <v>0</v>
      </c>
      <c r="R973" s="2" t="inlineStr"/>
    </row>
    <row r="974" ht="15" customHeight="1">
      <c r="A974" t="inlineStr">
        <is>
          <t>A 39762-2019</t>
        </is>
      </c>
      <c r="B974" s="1" t="n">
        <v>43692</v>
      </c>
      <c r="C974" s="1" t="n">
        <v>45587</v>
      </c>
      <c r="D974" t="inlineStr">
        <is>
          <t>GÄVLEBORGS LÄN</t>
        </is>
      </c>
      <c r="E974" t="inlineStr">
        <is>
          <t>LJUSDAL</t>
        </is>
      </c>
      <c r="G974" t="n">
        <v>11.3</v>
      </c>
      <c r="H974" t="n">
        <v>0</v>
      </c>
      <c r="I974" t="n">
        <v>0</v>
      </c>
      <c r="J974" t="n">
        <v>0</v>
      </c>
      <c r="K974" t="n">
        <v>0</v>
      </c>
      <c r="L974" t="n">
        <v>0</v>
      </c>
      <c r="M974" t="n">
        <v>0</v>
      </c>
      <c r="N974" t="n">
        <v>0</v>
      </c>
      <c r="O974" t="n">
        <v>0</v>
      </c>
      <c r="P974" t="n">
        <v>0</v>
      </c>
      <c r="Q974" t="n">
        <v>0</v>
      </c>
      <c r="R974" s="2" t="inlineStr"/>
    </row>
    <row r="975" ht="15" customHeight="1">
      <c r="A975" t="inlineStr">
        <is>
          <t>A 39945-2019</t>
        </is>
      </c>
      <c r="B975" s="1" t="n">
        <v>43692</v>
      </c>
      <c r="C975" s="1" t="n">
        <v>45587</v>
      </c>
      <c r="D975" t="inlineStr">
        <is>
          <t>GÄVLEBORGS LÄN</t>
        </is>
      </c>
      <c r="E975" t="inlineStr">
        <is>
          <t>OVANÅKER</t>
        </is>
      </c>
      <c r="G975" t="n">
        <v>2.3</v>
      </c>
      <c r="H975" t="n">
        <v>0</v>
      </c>
      <c r="I975" t="n">
        <v>0</v>
      </c>
      <c r="J975" t="n">
        <v>0</v>
      </c>
      <c r="K975" t="n">
        <v>0</v>
      </c>
      <c r="L975" t="n">
        <v>0</v>
      </c>
      <c r="M975" t="n">
        <v>0</v>
      </c>
      <c r="N975" t="n">
        <v>0</v>
      </c>
      <c r="O975" t="n">
        <v>0</v>
      </c>
      <c r="P975" t="n">
        <v>0</v>
      </c>
      <c r="Q975" t="n">
        <v>0</v>
      </c>
      <c r="R975" s="2" t="inlineStr"/>
    </row>
    <row r="976" ht="15" customHeight="1">
      <c r="A976" t="inlineStr">
        <is>
          <t>A 40164-2019</t>
        </is>
      </c>
      <c r="B976" s="1" t="n">
        <v>43693</v>
      </c>
      <c r="C976" s="1" t="n">
        <v>45587</v>
      </c>
      <c r="D976" t="inlineStr">
        <is>
          <t>GÄVLEBORGS LÄN</t>
        </is>
      </c>
      <c r="E976" t="inlineStr">
        <is>
          <t>HUDIKSVALL</t>
        </is>
      </c>
      <c r="G976" t="n">
        <v>2.7</v>
      </c>
      <c r="H976" t="n">
        <v>0</v>
      </c>
      <c r="I976" t="n">
        <v>0</v>
      </c>
      <c r="J976" t="n">
        <v>0</v>
      </c>
      <c r="K976" t="n">
        <v>0</v>
      </c>
      <c r="L976" t="n">
        <v>0</v>
      </c>
      <c r="M976" t="n">
        <v>0</v>
      </c>
      <c r="N976" t="n">
        <v>0</v>
      </c>
      <c r="O976" t="n">
        <v>0</v>
      </c>
      <c r="P976" t="n">
        <v>0</v>
      </c>
      <c r="Q976" t="n">
        <v>0</v>
      </c>
      <c r="R976" s="2" t="inlineStr"/>
    </row>
    <row r="977" ht="15" customHeight="1">
      <c r="A977" t="inlineStr">
        <is>
          <t>A 40184-2019</t>
        </is>
      </c>
      <c r="B977" s="1" t="n">
        <v>43693</v>
      </c>
      <c r="C977" s="1" t="n">
        <v>45587</v>
      </c>
      <c r="D977" t="inlineStr">
        <is>
          <t>GÄVLEBORGS LÄN</t>
        </is>
      </c>
      <c r="E977" t="inlineStr">
        <is>
          <t>LJUSDAL</t>
        </is>
      </c>
      <c r="F977" t="inlineStr">
        <is>
          <t>Bergvik skog väst AB</t>
        </is>
      </c>
      <c r="G977" t="n">
        <v>1.7</v>
      </c>
      <c r="H977" t="n">
        <v>0</v>
      </c>
      <c r="I977" t="n">
        <v>0</v>
      </c>
      <c r="J977" t="n">
        <v>0</v>
      </c>
      <c r="K977" t="n">
        <v>0</v>
      </c>
      <c r="L977" t="n">
        <v>0</v>
      </c>
      <c r="M977" t="n">
        <v>0</v>
      </c>
      <c r="N977" t="n">
        <v>0</v>
      </c>
      <c r="O977" t="n">
        <v>0</v>
      </c>
      <c r="P977" t="n">
        <v>0</v>
      </c>
      <c r="Q977" t="n">
        <v>0</v>
      </c>
      <c r="R977" s="2" t="inlineStr"/>
    </row>
    <row r="978" ht="15" customHeight="1">
      <c r="A978" t="inlineStr">
        <is>
          <t>A 40190-2019</t>
        </is>
      </c>
      <c r="B978" s="1" t="n">
        <v>43693</v>
      </c>
      <c r="C978" s="1" t="n">
        <v>45587</v>
      </c>
      <c r="D978" t="inlineStr">
        <is>
          <t>GÄVLEBORGS LÄN</t>
        </is>
      </c>
      <c r="E978" t="inlineStr">
        <is>
          <t>LJUSDAL</t>
        </is>
      </c>
      <c r="F978" t="inlineStr">
        <is>
          <t>Sveaskog</t>
        </is>
      </c>
      <c r="G978" t="n">
        <v>9.199999999999999</v>
      </c>
      <c r="H978" t="n">
        <v>0</v>
      </c>
      <c r="I978" t="n">
        <v>0</v>
      </c>
      <c r="J978" t="n">
        <v>0</v>
      </c>
      <c r="K978" t="n">
        <v>0</v>
      </c>
      <c r="L978" t="n">
        <v>0</v>
      </c>
      <c r="M978" t="n">
        <v>0</v>
      </c>
      <c r="N978" t="n">
        <v>0</v>
      </c>
      <c r="O978" t="n">
        <v>0</v>
      </c>
      <c r="P978" t="n">
        <v>0</v>
      </c>
      <c r="Q978" t="n">
        <v>0</v>
      </c>
      <c r="R978" s="2" t="inlineStr"/>
    </row>
    <row r="979" ht="15" customHeight="1">
      <c r="A979" t="inlineStr">
        <is>
          <t>A 40128-2019</t>
        </is>
      </c>
      <c r="B979" s="1" t="n">
        <v>43693</v>
      </c>
      <c r="C979" s="1" t="n">
        <v>45587</v>
      </c>
      <c r="D979" t="inlineStr">
        <is>
          <t>GÄVLEBORGS LÄN</t>
        </is>
      </c>
      <c r="E979" t="inlineStr">
        <is>
          <t>OVANÅKER</t>
        </is>
      </c>
      <c r="G979" t="n">
        <v>1.8</v>
      </c>
      <c r="H979" t="n">
        <v>0</v>
      </c>
      <c r="I979" t="n">
        <v>0</v>
      </c>
      <c r="J979" t="n">
        <v>0</v>
      </c>
      <c r="K979" t="n">
        <v>0</v>
      </c>
      <c r="L979" t="n">
        <v>0</v>
      </c>
      <c r="M979" t="n">
        <v>0</v>
      </c>
      <c r="N979" t="n">
        <v>0</v>
      </c>
      <c r="O979" t="n">
        <v>0</v>
      </c>
      <c r="P979" t="n">
        <v>0</v>
      </c>
      <c r="Q979" t="n">
        <v>0</v>
      </c>
      <c r="R979" s="2" t="inlineStr"/>
    </row>
    <row r="980" ht="15" customHeight="1">
      <c r="A980" t="inlineStr">
        <is>
          <t>A 40071-2019</t>
        </is>
      </c>
      <c r="B980" s="1" t="n">
        <v>43693</v>
      </c>
      <c r="C980" s="1" t="n">
        <v>45587</v>
      </c>
      <c r="D980" t="inlineStr">
        <is>
          <t>GÄVLEBORGS LÄN</t>
        </is>
      </c>
      <c r="E980" t="inlineStr">
        <is>
          <t>LJUSDAL</t>
        </is>
      </c>
      <c r="F980" t="inlineStr">
        <is>
          <t>Sveaskog</t>
        </is>
      </c>
      <c r="G980" t="n">
        <v>5</v>
      </c>
      <c r="H980" t="n">
        <v>0</v>
      </c>
      <c r="I980" t="n">
        <v>0</v>
      </c>
      <c r="J980" t="n">
        <v>0</v>
      </c>
      <c r="K980" t="n">
        <v>0</v>
      </c>
      <c r="L980" t="n">
        <v>0</v>
      </c>
      <c r="M980" t="n">
        <v>0</v>
      </c>
      <c r="N980" t="n">
        <v>0</v>
      </c>
      <c r="O980" t="n">
        <v>0</v>
      </c>
      <c r="P980" t="n">
        <v>0</v>
      </c>
      <c r="Q980" t="n">
        <v>0</v>
      </c>
      <c r="R980" s="2" t="inlineStr"/>
    </row>
    <row r="981" ht="15" customHeight="1">
      <c r="A981" t="inlineStr">
        <is>
          <t>A 40327-2019</t>
        </is>
      </c>
      <c r="B981" s="1" t="n">
        <v>43696</v>
      </c>
      <c r="C981" s="1" t="n">
        <v>45587</v>
      </c>
      <c r="D981" t="inlineStr">
        <is>
          <t>GÄVLEBORGS LÄN</t>
        </is>
      </c>
      <c r="E981" t="inlineStr">
        <is>
          <t>OCKELBO</t>
        </is>
      </c>
      <c r="G981" t="n">
        <v>1.8</v>
      </c>
      <c r="H981" t="n">
        <v>0</v>
      </c>
      <c r="I981" t="n">
        <v>0</v>
      </c>
      <c r="J981" t="n">
        <v>0</v>
      </c>
      <c r="K981" t="n">
        <v>0</v>
      </c>
      <c r="L981" t="n">
        <v>0</v>
      </c>
      <c r="M981" t="n">
        <v>0</v>
      </c>
      <c r="N981" t="n">
        <v>0</v>
      </c>
      <c r="O981" t="n">
        <v>0</v>
      </c>
      <c r="P981" t="n">
        <v>0</v>
      </c>
      <c r="Q981" t="n">
        <v>0</v>
      </c>
      <c r="R981" s="2" t="inlineStr"/>
    </row>
    <row r="982" ht="15" customHeight="1">
      <c r="A982" t="inlineStr">
        <is>
          <t>A 40380-2019</t>
        </is>
      </c>
      <c r="B982" s="1" t="n">
        <v>43696</v>
      </c>
      <c r="C982" s="1" t="n">
        <v>45587</v>
      </c>
      <c r="D982" t="inlineStr">
        <is>
          <t>GÄVLEBORGS LÄN</t>
        </is>
      </c>
      <c r="E982" t="inlineStr">
        <is>
          <t>SANDVIKEN</t>
        </is>
      </c>
      <c r="F982" t="inlineStr">
        <is>
          <t>Sveaskog</t>
        </is>
      </c>
      <c r="G982" t="n">
        <v>6.2</v>
      </c>
      <c r="H982" t="n">
        <v>0</v>
      </c>
      <c r="I982" t="n">
        <v>0</v>
      </c>
      <c r="J982" t="n">
        <v>0</v>
      </c>
      <c r="K982" t="n">
        <v>0</v>
      </c>
      <c r="L982" t="n">
        <v>0</v>
      </c>
      <c r="M982" t="n">
        <v>0</v>
      </c>
      <c r="N982" t="n">
        <v>0</v>
      </c>
      <c r="O982" t="n">
        <v>0</v>
      </c>
      <c r="P982" t="n">
        <v>0</v>
      </c>
      <c r="Q982" t="n">
        <v>0</v>
      </c>
      <c r="R982" s="2" t="inlineStr"/>
    </row>
    <row r="983" ht="15" customHeight="1">
      <c r="A983" t="inlineStr">
        <is>
          <t>A 40385-2019</t>
        </is>
      </c>
      <c r="B983" s="1" t="n">
        <v>43696</v>
      </c>
      <c r="C983" s="1" t="n">
        <v>45587</v>
      </c>
      <c r="D983" t="inlineStr">
        <is>
          <t>GÄVLEBORGS LÄN</t>
        </is>
      </c>
      <c r="E983" t="inlineStr">
        <is>
          <t>HOFORS</t>
        </is>
      </c>
      <c r="F983" t="inlineStr">
        <is>
          <t>Sveaskog</t>
        </is>
      </c>
      <c r="G983" t="n">
        <v>2.7</v>
      </c>
      <c r="H983" t="n">
        <v>0</v>
      </c>
      <c r="I983" t="n">
        <v>0</v>
      </c>
      <c r="J983" t="n">
        <v>0</v>
      </c>
      <c r="K983" t="n">
        <v>0</v>
      </c>
      <c r="L983" t="n">
        <v>0</v>
      </c>
      <c r="M983" t="n">
        <v>0</v>
      </c>
      <c r="N983" t="n">
        <v>0</v>
      </c>
      <c r="O983" t="n">
        <v>0</v>
      </c>
      <c r="P983" t="n">
        <v>0</v>
      </c>
      <c r="Q983" t="n">
        <v>0</v>
      </c>
      <c r="R983" s="2" t="inlineStr"/>
      <c r="U983">
        <f>HYPERLINK("https://klasma.github.io/Logging_2104/knärot/A 40385-2019 karta knärot.png", "A 40385-2019")</f>
        <v/>
      </c>
      <c r="V983">
        <f>HYPERLINK("https://klasma.github.io/Logging_2104/klagomål/A 40385-2019 FSC-klagomål.docx", "A 40385-2019")</f>
        <v/>
      </c>
      <c r="W983">
        <f>HYPERLINK("https://klasma.github.io/Logging_2104/klagomålsmail/A 40385-2019 FSC-klagomål mail.docx", "A 40385-2019")</f>
        <v/>
      </c>
      <c r="X983">
        <f>HYPERLINK("https://klasma.github.io/Logging_2104/tillsyn/A 40385-2019 tillsynsbegäran.docx", "A 40385-2019")</f>
        <v/>
      </c>
      <c r="Y983">
        <f>HYPERLINK("https://klasma.github.io/Logging_2104/tillsynsmail/A 40385-2019 tillsynsbegäran mail.docx", "A 40385-2019")</f>
        <v/>
      </c>
    </row>
    <row r="984" ht="15" customHeight="1">
      <c r="A984" t="inlineStr">
        <is>
          <t>A 41483-2019</t>
        </is>
      </c>
      <c r="B984" s="1" t="n">
        <v>43696</v>
      </c>
      <c r="C984" s="1" t="n">
        <v>45587</v>
      </c>
      <c r="D984" t="inlineStr">
        <is>
          <t>GÄVLEBORGS LÄN</t>
        </is>
      </c>
      <c r="E984" t="inlineStr">
        <is>
          <t>GÄVLE</t>
        </is>
      </c>
      <c r="F984" t="inlineStr">
        <is>
          <t>Bergvik skog väst AB</t>
        </is>
      </c>
      <c r="G984" t="n">
        <v>4.9</v>
      </c>
      <c r="H984" t="n">
        <v>0</v>
      </c>
      <c r="I984" t="n">
        <v>0</v>
      </c>
      <c r="J984" t="n">
        <v>0</v>
      </c>
      <c r="K984" t="n">
        <v>0</v>
      </c>
      <c r="L984" t="n">
        <v>0</v>
      </c>
      <c r="M984" t="n">
        <v>0</v>
      </c>
      <c r="N984" t="n">
        <v>0</v>
      </c>
      <c r="O984" t="n">
        <v>0</v>
      </c>
      <c r="P984" t="n">
        <v>0</v>
      </c>
      <c r="Q984" t="n">
        <v>0</v>
      </c>
      <c r="R984" s="2" t="inlineStr"/>
    </row>
    <row r="985" ht="15" customHeight="1">
      <c r="A985" t="inlineStr">
        <is>
          <t>A 40433-2019</t>
        </is>
      </c>
      <c r="B985" s="1" t="n">
        <v>43696</v>
      </c>
      <c r="C985" s="1" t="n">
        <v>45587</v>
      </c>
      <c r="D985" t="inlineStr">
        <is>
          <t>GÄVLEBORGS LÄN</t>
        </is>
      </c>
      <c r="E985" t="inlineStr">
        <is>
          <t>SÖDERHAMN</t>
        </is>
      </c>
      <c r="G985" t="n">
        <v>1.8</v>
      </c>
      <c r="H985" t="n">
        <v>0</v>
      </c>
      <c r="I985" t="n">
        <v>0</v>
      </c>
      <c r="J985" t="n">
        <v>0</v>
      </c>
      <c r="K985" t="n">
        <v>0</v>
      </c>
      <c r="L985" t="n">
        <v>0</v>
      </c>
      <c r="M985" t="n">
        <v>0</v>
      </c>
      <c r="N985" t="n">
        <v>0</v>
      </c>
      <c r="O985" t="n">
        <v>0</v>
      </c>
      <c r="P985" t="n">
        <v>0</v>
      </c>
      <c r="Q985" t="n">
        <v>0</v>
      </c>
      <c r="R985" s="2" t="inlineStr"/>
    </row>
    <row r="986" ht="15" customHeight="1">
      <c r="A986" t="inlineStr">
        <is>
          <t>A 40440-2019</t>
        </is>
      </c>
      <c r="B986" s="1" t="n">
        <v>43696</v>
      </c>
      <c r="C986" s="1" t="n">
        <v>45587</v>
      </c>
      <c r="D986" t="inlineStr">
        <is>
          <t>GÄVLEBORGS LÄN</t>
        </is>
      </c>
      <c r="E986" t="inlineStr">
        <is>
          <t>GÄVLE</t>
        </is>
      </c>
      <c r="G986" t="n">
        <v>1.1</v>
      </c>
      <c r="H986" t="n">
        <v>0</v>
      </c>
      <c r="I986" t="n">
        <v>0</v>
      </c>
      <c r="J986" t="n">
        <v>0</v>
      </c>
      <c r="K986" t="n">
        <v>0</v>
      </c>
      <c r="L986" t="n">
        <v>0</v>
      </c>
      <c r="M986" t="n">
        <v>0</v>
      </c>
      <c r="N986" t="n">
        <v>0</v>
      </c>
      <c r="O986" t="n">
        <v>0</v>
      </c>
      <c r="P986" t="n">
        <v>0</v>
      </c>
      <c r="Q986" t="n">
        <v>0</v>
      </c>
      <c r="R986" s="2" t="inlineStr"/>
    </row>
    <row r="987" ht="15" customHeight="1">
      <c r="A987" t="inlineStr">
        <is>
          <t>A 40915-2019</t>
        </is>
      </c>
      <c r="B987" s="1" t="n">
        <v>43697</v>
      </c>
      <c r="C987" s="1" t="n">
        <v>45587</v>
      </c>
      <c r="D987" t="inlineStr">
        <is>
          <t>GÄVLEBORGS LÄN</t>
        </is>
      </c>
      <c r="E987" t="inlineStr">
        <is>
          <t>OCKELBO</t>
        </is>
      </c>
      <c r="G987" t="n">
        <v>1.6</v>
      </c>
      <c r="H987" t="n">
        <v>0</v>
      </c>
      <c r="I987" t="n">
        <v>0</v>
      </c>
      <c r="J987" t="n">
        <v>0</v>
      </c>
      <c r="K987" t="n">
        <v>0</v>
      </c>
      <c r="L987" t="n">
        <v>0</v>
      </c>
      <c r="M987" t="n">
        <v>0</v>
      </c>
      <c r="N987" t="n">
        <v>0</v>
      </c>
      <c r="O987" t="n">
        <v>0</v>
      </c>
      <c r="P987" t="n">
        <v>0</v>
      </c>
      <c r="Q987" t="n">
        <v>0</v>
      </c>
      <c r="R987" s="2" t="inlineStr"/>
    </row>
    <row r="988" ht="15" customHeight="1">
      <c r="A988" t="inlineStr">
        <is>
          <t>A 40830-2019</t>
        </is>
      </c>
      <c r="B988" s="1" t="n">
        <v>43697</v>
      </c>
      <c r="C988" s="1" t="n">
        <v>45587</v>
      </c>
      <c r="D988" t="inlineStr">
        <is>
          <t>GÄVLEBORGS LÄN</t>
        </is>
      </c>
      <c r="E988" t="inlineStr">
        <is>
          <t>OVANÅKER</t>
        </is>
      </c>
      <c r="G988" t="n">
        <v>1.4</v>
      </c>
      <c r="H988" t="n">
        <v>0</v>
      </c>
      <c r="I988" t="n">
        <v>0</v>
      </c>
      <c r="J988" t="n">
        <v>0</v>
      </c>
      <c r="K988" t="n">
        <v>0</v>
      </c>
      <c r="L988" t="n">
        <v>0</v>
      </c>
      <c r="M988" t="n">
        <v>0</v>
      </c>
      <c r="N988" t="n">
        <v>0</v>
      </c>
      <c r="O988" t="n">
        <v>0</v>
      </c>
      <c r="P988" t="n">
        <v>0</v>
      </c>
      <c r="Q988" t="n">
        <v>0</v>
      </c>
      <c r="R988" s="2" t="inlineStr"/>
    </row>
    <row r="989" ht="15" customHeight="1">
      <c r="A989" t="inlineStr">
        <is>
          <t>A 40707-2019</t>
        </is>
      </c>
      <c r="B989" s="1" t="n">
        <v>43697</v>
      </c>
      <c r="C989" s="1" t="n">
        <v>45587</v>
      </c>
      <c r="D989" t="inlineStr">
        <is>
          <t>GÄVLEBORGS LÄN</t>
        </is>
      </c>
      <c r="E989" t="inlineStr">
        <is>
          <t>LJUSDAL</t>
        </is>
      </c>
      <c r="F989" t="inlineStr">
        <is>
          <t>Sveaskog</t>
        </is>
      </c>
      <c r="G989" t="n">
        <v>1.4</v>
      </c>
      <c r="H989" t="n">
        <v>0</v>
      </c>
      <c r="I989" t="n">
        <v>0</v>
      </c>
      <c r="J989" t="n">
        <v>0</v>
      </c>
      <c r="K989" t="n">
        <v>0</v>
      </c>
      <c r="L989" t="n">
        <v>0</v>
      </c>
      <c r="M989" t="n">
        <v>0</v>
      </c>
      <c r="N989" t="n">
        <v>0</v>
      </c>
      <c r="O989" t="n">
        <v>0</v>
      </c>
      <c r="P989" t="n">
        <v>0</v>
      </c>
      <c r="Q989" t="n">
        <v>0</v>
      </c>
      <c r="R989" s="2" t="inlineStr"/>
    </row>
    <row r="990" ht="15" customHeight="1">
      <c r="A990" t="inlineStr">
        <is>
          <t>A 41111-2019</t>
        </is>
      </c>
      <c r="B990" s="1" t="n">
        <v>43698</v>
      </c>
      <c r="C990" s="1" t="n">
        <v>45587</v>
      </c>
      <c r="D990" t="inlineStr">
        <is>
          <t>GÄVLEBORGS LÄN</t>
        </is>
      </c>
      <c r="E990" t="inlineStr">
        <is>
          <t>LJUSDAL</t>
        </is>
      </c>
      <c r="G990" t="n">
        <v>3.1</v>
      </c>
      <c r="H990" t="n">
        <v>0</v>
      </c>
      <c r="I990" t="n">
        <v>0</v>
      </c>
      <c r="J990" t="n">
        <v>0</v>
      </c>
      <c r="K990" t="n">
        <v>0</v>
      </c>
      <c r="L990" t="n">
        <v>0</v>
      </c>
      <c r="M990" t="n">
        <v>0</v>
      </c>
      <c r="N990" t="n">
        <v>0</v>
      </c>
      <c r="O990" t="n">
        <v>0</v>
      </c>
      <c r="P990" t="n">
        <v>0</v>
      </c>
      <c r="Q990" t="n">
        <v>0</v>
      </c>
      <c r="R990" s="2" t="inlineStr"/>
    </row>
    <row r="991" ht="15" customHeight="1">
      <c r="A991" t="inlineStr">
        <is>
          <t>A 41047-2019</t>
        </is>
      </c>
      <c r="B991" s="1" t="n">
        <v>43698</v>
      </c>
      <c r="C991" s="1" t="n">
        <v>45587</v>
      </c>
      <c r="D991" t="inlineStr">
        <is>
          <t>GÄVLEBORGS LÄN</t>
        </is>
      </c>
      <c r="E991" t="inlineStr">
        <is>
          <t>BOLLNÄS</t>
        </is>
      </c>
      <c r="G991" t="n">
        <v>1</v>
      </c>
      <c r="H991" t="n">
        <v>0</v>
      </c>
      <c r="I991" t="n">
        <v>0</v>
      </c>
      <c r="J991" t="n">
        <v>0</v>
      </c>
      <c r="K991" t="n">
        <v>0</v>
      </c>
      <c r="L991" t="n">
        <v>0</v>
      </c>
      <c r="M991" t="n">
        <v>0</v>
      </c>
      <c r="N991" t="n">
        <v>0</v>
      </c>
      <c r="O991" t="n">
        <v>0</v>
      </c>
      <c r="P991" t="n">
        <v>0</v>
      </c>
      <c r="Q991" t="n">
        <v>0</v>
      </c>
      <c r="R991" s="2" t="inlineStr"/>
    </row>
    <row r="992" ht="15" customHeight="1">
      <c r="A992" t="inlineStr">
        <is>
          <t>A 41365-2019</t>
        </is>
      </c>
      <c r="B992" s="1" t="n">
        <v>43698</v>
      </c>
      <c r="C992" s="1" t="n">
        <v>45587</v>
      </c>
      <c r="D992" t="inlineStr">
        <is>
          <t>GÄVLEBORGS LÄN</t>
        </is>
      </c>
      <c r="E992" t="inlineStr">
        <is>
          <t>BOLLNÄS</t>
        </is>
      </c>
      <c r="G992" t="n">
        <v>3</v>
      </c>
      <c r="H992" t="n">
        <v>0</v>
      </c>
      <c r="I992" t="n">
        <v>0</v>
      </c>
      <c r="J992" t="n">
        <v>0</v>
      </c>
      <c r="K992" t="n">
        <v>0</v>
      </c>
      <c r="L992" t="n">
        <v>0</v>
      </c>
      <c r="M992" t="n">
        <v>0</v>
      </c>
      <c r="N992" t="n">
        <v>0</v>
      </c>
      <c r="O992" t="n">
        <v>0</v>
      </c>
      <c r="P992" t="n">
        <v>0</v>
      </c>
      <c r="Q992" t="n">
        <v>0</v>
      </c>
      <c r="R992" s="2" t="inlineStr"/>
    </row>
    <row r="993" ht="15" customHeight="1">
      <c r="A993" t="inlineStr">
        <is>
          <t>A 41223-2019</t>
        </is>
      </c>
      <c r="B993" s="1" t="n">
        <v>43698</v>
      </c>
      <c r="C993" s="1" t="n">
        <v>45587</v>
      </c>
      <c r="D993" t="inlineStr">
        <is>
          <t>GÄVLEBORGS LÄN</t>
        </is>
      </c>
      <c r="E993" t="inlineStr">
        <is>
          <t>GÄVLE</t>
        </is>
      </c>
      <c r="G993" t="n">
        <v>3</v>
      </c>
      <c r="H993" t="n">
        <v>0</v>
      </c>
      <c r="I993" t="n">
        <v>0</v>
      </c>
      <c r="J993" t="n">
        <v>0</v>
      </c>
      <c r="K993" t="n">
        <v>0</v>
      </c>
      <c r="L993" t="n">
        <v>0</v>
      </c>
      <c r="M993" t="n">
        <v>0</v>
      </c>
      <c r="N993" t="n">
        <v>0</v>
      </c>
      <c r="O993" t="n">
        <v>0</v>
      </c>
      <c r="P993" t="n">
        <v>0</v>
      </c>
      <c r="Q993" t="n">
        <v>0</v>
      </c>
      <c r="R993" s="2" t="inlineStr"/>
    </row>
    <row r="994" ht="15" customHeight="1">
      <c r="A994" t="inlineStr">
        <is>
          <t>A 41212-2019</t>
        </is>
      </c>
      <c r="B994" s="1" t="n">
        <v>43698</v>
      </c>
      <c r="C994" s="1" t="n">
        <v>45587</v>
      </c>
      <c r="D994" t="inlineStr">
        <is>
          <t>GÄVLEBORGS LÄN</t>
        </is>
      </c>
      <c r="E994" t="inlineStr">
        <is>
          <t>LJUSDAL</t>
        </is>
      </c>
      <c r="F994" t="inlineStr">
        <is>
          <t>Allmännings- och besparingsskogar</t>
        </is>
      </c>
      <c r="G994" t="n">
        <v>1.3</v>
      </c>
      <c r="H994" t="n">
        <v>0</v>
      </c>
      <c r="I994" t="n">
        <v>0</v>
      </c>
      <c r="J994" t="n">
        <v>0</v>
      </c>
      <c r="K994" t="n">
        <v>0</v>
      </c>
      <c r="L994" t="n">
        <v>0</v>
      </c>
      <c r="M994" t="n">
        <v>0</v>
      </c>
      <c r="N994" t="n">
        <v>0</v>
      </c>
      <c r="O994" t="n">
        <v>0</v>
      </c>
      <c r="P994" t="n">
        <v>0</v>
      </c>
      <c r="Q994" t="n">
        <v>0</v>
      </c>
      <c r="R994" s="2" t="inlineStr"/>
    </row>
    <row r="995" ht="15" customHeight="1">
      <c r="A995" t="inlineStr">
        <is>
          <t>A 41569-2019</t>
        </is>
      </c>
      <c r="B995" s="1" t="n">
        <v>43699</v>
      </c>
      <c r="C995" s="1" t="n">
        <v>45587</v>
      </c>
      <c r="D995" t="inlineStr">
        <is>
          <t>GÄVLEBORGS LÄN</t>
        </is>
      </c>
      <c r="E995" t="inlineStr">
        <is>
          <t>OCKELBO</t>
        </is>
      </c>
      <c r="G995" t="n">
        <v>1.3</v>
      </c>
      <c r="H995" t="n">
        <v>0</v>
      </c>
      <c r="I995" t="n">
        <v>0</v>
      </c>
      <c r="J995" t="n">
        <v>0</v>
      </c>
      <c r="K995" t="n">
        <v>0</v>
      </c>
      <c r="L995" t="n">
        <v>0</v>
      </c>
      <c r="M995" t="n">
        <v>0</v>
      </c>
      <c r="N995" t="n">
        <v>0</v>
      </c>
      <c r="O995" t="n">
        <v>0</v>
      </c>
      <c r="P995" t="n">
        <v>0</v>
      </c>
      <c r="Q995" t="n">
        <v>0</v>
      </c>
      <c r="R995" s="2" t="inlineStr"/>
    </row>
    <row r="996" ht="15" customHeight="1">
      <c r="A996" t="inlineStr">
        <is>
          <t>A 41608-2019</t>
        </is>
      </c>
      <c r="B996" s="1" t="n">
        <v>43699</v>
      </c>
      <c r="C996" s="1" t="n">
        <v>45587</v>
      </c>
      <c r="D996" t="inlineStr">
        <is>
          <t>GÄVLEBORGS LÄN</t>
        </is>
      </c>
      <c r="E996" t="inlineStr">
        <is>
          <t>HUDIKSVALL</t>
        </is>
      </c>
      <c r="F996" t="inlineStr">
        <is>
          <t>Holmen skog AB</t>
        </is>
      </c>
      <c r="G996" t="n">
        <v>1.4</v>
      </c>
      <c r="H996" t="n">
        <v>0</v>
      </c>
      <c r="I996" t="n">
        <v>0</v>
      </c>
      <c r="J996" t="n">
        <v>0</v>
      </c>
      <c r="K996" t="n">
        <v>0</v>
      </c>
      <c r="L996" t="n">
        <v>0</v>
      </c>
      <c r="M996" t="n">
        <v>0</v>
      </c>
      <c r="N996" t="n">
        <v>0</v>
      </c>
      <c r="O996" t="n">
        <v>0</v>
      </c>
      <c r="P996" t="n">
        <v>0</v>
      </c>
      <c r="Q996" t="n">
        <v>0</v>
      </c>
      <c r="R996" s="2" t="inlineStr"/>
    </row>
    <row r="997" ht="15" customHeight="1">
      <c r="A997" t="inlineStr">
        <is>
          <t>A 41509-2019</t>
        </is>
      </c>
      <c r="B997" s="1" t="n">
        <v>43699</v>
      </c>
      <c r="C997" s="1" t="n">
        <v>45587</v>
      </c>
      <c r="D997" t="inlineStr">
        <is>
          <t>GÄVLEBORGS LÄN</t>
        </is>
      </c>
      <c r="E997" t="inlineStr">
        <is>
          <t>OVANÅKER</t>
        </is>
      </c>
      <c r="G997" t="n">
        <v>4.8</v>
      </c>
      <c r="H997" t="n">
        <v>0</v>
      </c>
      <c r="I997" t="n">
        <v>0</v>
      </c>
      <c r="J997" t="n">
        <v>0</v>
      </c>
      <c r="K997" t="n">
        <v>0</v>
      </c>
      <c r="L997" t="n">
        <v>0</v>
      </c>
      <c r="M997" t="n">
        <v>0</v>
      </c>
      <c r="N997" t="n">
        <v>0</v>
      </c>
      <c r="O997" t="n">
        <v>0</v>
      </c>
      <c r="P997" t="n">
        <v>0</v>
      </c>
      <c r="Q997" t="n">
        <v>0</v>
      </c>
      <c r="R997" s="2" t="inlineStr"/>
    </row>
    <row r="998" ht="15" customHeight="1">
      <c r="A998" t="inlineStr">
        <is>
          <t>A 41620-2019</t>
        </is>
      </c>
      <c r="B998" s="1" t="n">
        <v>43699</v>
      </c>
      <c r="C998" s="1" t="n">
        <v>45587</v>
      </c>
      <c r="D998" t="inlineStr">
        <is>
          <t>GÄVLEBORGS LÄN</t>
        </is>
      </c>
      <c r="E998" t="inlineStr">
        <is>
          <t>NORDANSTIG</t>
        </is>
      </c>
      <c r="G998" t="n">
        <v>1.3</v>
      </c>
      <c r="H998" t="n">
        <v>0</v>
      </c>
      <c r="I998" t="n">
        <v>0</v>
      </c>
      <c r="J998" t="n">
        <v>0</v>
      </c>
      <c r="K998" t="n">
        <v>0</v>
      </c>
      <c r="L998" t="n">
        <v>0</v>
      </c>
      <c r="M998" t="n">
        <v>0</v>
      </c>
      <c r="N998" t="n">
        <v>0</v>
      </c>
      <c r="O998" t="n">
        <v>0</v>
      </c>
      <c r="P998" t="n">
        <v>0</v>
      </c>
      <c r="Q998" t="n">
        <v>0</v>
      </c>
      <c r="R998" s="2" t="inlineStr"/>
    </row>
    <row r="999" ht="15" customHeight="1">
      <c r="A999" t="inlineStr">
        <is>
          <t>A 41558-2019</t>
        </is>
      </c>
      <c r="B999" s="1" t="n">
        <v>43699</v>
      </c>
      <c r="C999" s="1" t="n">
        <v>45587</v>
      </c>
      <c r="D999" t="inlineStr">
        <is>
          <t>GÄVLEBORGS LÄN</t>
        </is>
      </c>
      <c r="E999" t="inlineStr">
        <is>
          <t>OCKELBO</t>
        </is>
      </c>
      <c r="G999" t="n">
        <v>1.6</v>
      </c>
      <c r="H999" t="n">
        <v>0</v>
      </c>
      <c r="I999" t="n">
        <v>0</v>
      </c>
      <c r="J999" t="n">
        <v>0</v>
      </c>
      <c r="K999" t="n">
        <v>0</v>
      </c>
      <c r="L999" t="n">
        <v>0</v>
      </c>
      <c r="M999" t="n">
        <v>0</v>
      </c>
      <c r="N999" t="n">
        <v>0</v>
      </c>
      <c r="O999" t="n">
        <v>0</v>
      </c>
      <c r="P999" t="n">
        <v>0</v>
      </c>
      <c r="Q999" t="n">
        <v>0</v>
      </c>
      <c r="R999" s="2" t="inlineStr"/>
    </row>
    <row r="1000" ht="15" customHeight="1">
      <c r="A1000" t="inlineStr">
        <is>
          <t>A 41917-2019</t>
        </is>
      </c>
      <c r="B1000" s="1" t="n">
        <v>43700</v>
      </c>
      <c r="C1000" s="1" t="n">
        <v>45587</v>
      </c>
      <c r="D1000" t="inlineStr">
        <is>
          <t>GÄVLEBORGS LÄN</t>
        </is>
      </c>
      <c r="E1000" t="inlineStr">
        <is>
          <t>LJUSDAL</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41977-2019</t>
        </is>
      </c>
      <c r="B1001" s="1" t="n">
        <v>43700</v>
      </c>
      <c r="C1001" s="1" t="n">
        <v>45587</v>
      </c>
      <c r="D1001" t="inlineStr">
        <is>
          <t>GÄVLEBORGS LÄN</t>
        </is>
      </c>
      <c r="E1001" t="inlineStr">
        <is>
          <t>GÄVLE</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42018-2019</t>
        </is>
      </c>
      <c r="B1002" s="1" t="n">
        <v>43700</v>
      </c>
      <c r="C1002" s="1" t="n">
        <v>45587</v>
      </c>
      <c r="D1002" t="inlineStr">
        <is>
          <t>GÄVLEBORGS LÄN</t>
        </is>
      </c>
      <c r="E1002" t="inlineStr">
        <is>
          <t>NORDANSTIG</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41843-2019</t>
        </is>
      </c>
      <c r="B1003" s="1" t="n">
        <v>43700</v>
      </c>
      <c r="C1003" s="1" t="n">
        <v>45587</v>
      </c>
      <c r="D1003" t="inlineStr">
        <is>
          <t>GÄVLEBORGS LÄN</t>
        </is>
      </c>
      <c r="E1003" t="inlineStr">
        <is>
          <t>NORDANSTIG</t>
        </is>
      </c>
      <c r="F1003" t="inlineStr">
        <is>
          <t>Holmen skog AB</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41978-2019</t>
        </is>
      </c>
      <c r="B1004" s="1" t="n">
        <v>43700</v>
      </c>
      <c r="C1004" s="1" t="n">
        <v>45587</v>
      </c>
      <c r="D1004" t="inlineStr">
        <is>
          <t>GÄVLEBORGS LÄN</t>
        </is>
      </c>
      <c r="E1004" t="inlineStr">
        <is>
          <t>OVANÅKER</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42038-2019</t>
        </is>
      </c>
      <c r="B1005" s="1" t="n">
        <v>43700</v>
      </c>
      <c r="C1005" s="1" t="n">
        <v>45587</v>
      </c>
      <c r="D1005" t="inlineStr">
        <is>
          <t>GÄVLEBORGS LÄN</t>
        </is>
      </c>
      <c r="E1005" t="inlineStr">
        <is>
          <t>NORDANSTIG</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42009-2019</t>
        </is>
      </c>
      <c r="B1006" s="1" t="n">
        <v>43700</v>
      </c>
      <c r="C1006" s="1" t="n">
        <v>45587</v>
      </c>
      <c r="D1006" t="inlineStr">
        <is>
          <t>GÄVLEBORGS LÄN</t>
        </is>
      </c>
      <c r="E1006" t="inlineStr">
        <is>
          <t>HUDIKSVALL</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44374-2019</t>
        </is>
      </c>
      <c r="B1007" s="1" t="n">
        <v>43700</v>
      </c>
      <c r="C1007" s="1" t="n">
        <v>45587</v>
      </c>
      <c r="D1007" t="inlineStr">
        <is>
          <t>GÄVLEBORGS LÄN</t>
        </is>
      </c>
      <c r="E1007" t="inlineStr">
        <is>
          <t>LJUSDAL</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42026-2019</t>
        </is>
      </c>
      <c r="B1008" s="1" t="n">
        <v>43700</v>
      </c>
      <c r="C1008" s="1" t="n">
        <v>45587</v>
      </c>
      <c r="D1008" t="inlineStr">
        <is>
          <t>GÄVLEBORGS LÄN</t>
        </is>
      </c>
      <c r="E1008" t="inlineStr">
        <is>
          <t>NORDANSTIG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41852-2019</t>
        </is>
      </c>
      <c r="B1009" s="1" t="n">
        <v>43700</v>
      </c>
      <c r="C1009" s="1" t="n">
        <v>45587</v>
      </c>
      <c r="D1009" t="inlineStr">
        <is>
          <t>GÄVLEBORGS LÄN</t>
        </is>
      </c>
      <c r="E1009" t="inlineStr">
        <is>
          <t>LJUSDAL</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42287-2019</t>
        </is>
      </c>
      <c r="B1010" s="1" t="n">
        <v>43703</v>
      </c>
      <c r="C1010" s="1" t="n">
        <v>45587</v>
      </c>
      <c r="D1010" t="inlineStr">
        <is>
          <t>GÄVLEBORGS LÄN</t>
        </is>
      </c>
      <c r="E1010" t="inlineStr">
        <is>
          <t>HUDIKSVALL</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42181-2019</t>
        </is>
      </c>
      <c r="B1011" s="1" t="n">
        <v>43703</v>
      </c>
      <c r="C1011" s="1" t="n">
        <v>45587</v>
      </c>
      <c r="D1011" t="inlineStr">
        <is>
          <t>GÄVLEBORGS LÄN</t>
        </is>
      </c>
      <c r="E1011" t="inlineStr">
        <is>
          <t>BOLLNÄS</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42289-2019</t>
        </is>
      </c>
      <c r="B1012" s="1" t="n">
        <v>43703</v>
      </c>
      <c r="C1012" s="1" t="n">
        <v>45587</v>
      </c>
      <c r="D1012" t="inlineStr">
        <is>
          <t>GÄVLEBORGS LÄN</t>
        </is>
      </c>
      <c r="E1012" t="inlineStr">
        <is>
          <t>HUDIKSVALL</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42253-2019</t>
        </is>
      </c>
      <c r="B1013" s="1" t="n">
        <v>43703</v>
      </c>
      <c r="C1013" s="1" t="n">
        <v>45587</v>
      </c>
      <c r="D1013" t="inlineStr">
        <is>
          <t>GÄVLEBORGS LÄN</t>
        </is>
      </c>
      <c r="E1013" t="inlineStr">
        <is>
          <t>HOFORS</t>
        </is>
      </c>
      <c r="F1013" t="inlineStr">
        <is>
          <t>Sveaskog</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42122-2019</t>
        </is>
      </c>
      <c r="B1014" s="1" t="n">
        <v>43703</v>
      </c>
      <c r="C1014" s="1" t="n">
        <v>45587</v>
      </c>
      <c r="D1014" t="inlineStr">
        <is>
          <t>GÄVLEBORGS LÄN</t>
        </is>
      </c>
      <c r="E1014" t="inlineStr">
        <is>
          <t>BOLLNÄS</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42596-2019</t>
        </is>
      </c>
      <c r="B1015" s="1" t="n">
        <v>43704</v>
      </c>
      <c r="C1015" s="1" t="n">
        <v>45587</v>
      </c>
      <c r="D1015" t="inlineStr">
        <is>
          <t>GÄVLEBORGS LÄN</t>
        </is>
      </c>
      <c r="E1015" t="inlineStr">
        <is>
          <t>BOLLNÄS</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42445-2019</t>
        </is>
      </c>
      <c r="B1016" s="1" t="n">
        <v>43704</v>
      </c>
      <c r="C1016" s="1" t="n">
        <v>45587</v>
      </c>
      <c r="D1016" t="inlineStr">
        <is>
          <t>GÄVLEBORGS LÄN</t>
        </is>
      </c>
      <c r="E1016" t="inlineStr">
        <is>
          <t>LJUSDAL</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42454-2019</t>
        </is>
      </c>
      <c r="B1017" s="1" t="n">
        <v>43704</v>
      </c>
      <c r="C1017" s="1" t="n">
        <v>45587</v>
      </c>
      <c r="D1017" t="inlineStr">
        <is>
          <t>GÄVLEBORGS LÄN</t>
        </is>
      </c>
      <c r="E1017" t="inlineStr">
        <is>
          <t>OVANÅKER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42598-2019</t>
        </is>
      </c>
      <c r="B1018" s="1" t="n">
        <v>43704</v>
      </c>
      <c r="C1018" s="1" t="n">
        <v>45587</v>
      </c>
      <c r="D1018" t="inlineStr">
        <is>
          <t>GÄVLEBORGS LÄN</t>
        </is>
      </c>
      <c r="E1018" t="inlineStr">
        <is>
          <t>BOLLNÄS</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42820-2019</t>
        </is>
      </c>
      <c r="B1019" s="1" t="n">
        <v>43705</v>
      </c>
      <c r="C1019" s="1" t="n">
        <v>45587</v>
      </c>
      <c r="D1019" t="inlineStr">
        <is>
          <t>GÄVLEBORGS LÄN</t>
        </is>
      </c>
      <c r="E1019" t="inlineStr">
        <is>
          <t>OCKELBO</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42874-2019</t>
        </is>
      </c>
      <c r="B1020" s="1" t="n">
        <v>43705</v>
      </c>
      <c r="C1020" s="1" t="n">
        <v>45587</v>
      </c>
      <c r="D1020" t="inlineStr">
        <is>
          <t>GÄVLEBORGS LÄN</t>
        </is>
      </c>
      <c r="E1020" t="inlineStr">
        <is>
          <t>HUDIKSVALL</t>
        </is>
      </c>
      <c r="G1020" t="n">
        <v>15.6</v>
      </c>
      <c r="H1020" t="n">
        <v>0</v>
      </c>
      <c r="I1020" t="n">
        <v>0</v>
      </c>
      <c r="J1020" t="n">
        <v>0</v>
      </c>
      <c r="K1020" t="n">
        <v>0</v>
      </c>
      <c r="L1020" t="n">
        <v>0</v>
      </c>
      <c r="M1020" t="n">
        <v>0</v>
      </c>
      <c r="N1020" t="n">
        <v>0</v>
      </c>
      <c r="O1020" t="n">
        <v>0</v>
      </c>
      <c r="P1020" t="n">
        <v>0</v>
      </c>
      <c r="Q1020" t="n">
        <v>0</v>
      </c>
      <c r="R1020" s="2" t="inlineStr"/>
    </row>
    <row r="1021" ht="15" customHeight="1">
      <c r="A1021" t="inlineStr">
        <is>
          <t>A 42927-2019</t>
        </is>
      </c>
      <c r="B1021" s="1" t="n">
        <v>43705</v>
      </c>
      <c r="C1021" s="1" t="n">
        <v>45587</v>
      </c>
      <c r="D1021" t="inlineStr">
        <is>
          <t>GÄVLEBORGS LÄN</t>
        </is>
      </c>
      <c r="E1021" t="inlineStr">
        <is>
          <t>HUDIKSVALL</t>
        </is>
      </c>
      <c r="F1021" t="inlineStr">
        <is>
          <t>Holmen skog AB</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42987-2019</t>
        </is>
      </c>
      <c r="B1022" s="1" t="n">
        <v>43705</v>
      </c>
      <c r="C1022" s="1" t="n">
        <v>45587</v>
      </c>
      <c r="D1022" t="inlineStr">
        <is>
          <t>GÄVLEBORGS LÄN</t>
        </is>
      </c>
      <c r="E1022" t="inlineStr">
        <is>
          <t>NORDANSTIG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43095-2019</t>
        </is>
      </c>
      <c r="B1023" s="1" t="n">
        <v>43705</v>
      </c>
      <c r="C1023" s="1" t="n">
        <v>45587</v>
      </c>
      <c r="D1023" t="inlineStr">
        <is>
          <t>GÄVLEBORGS LÄN</t>
        </is>
      </c>
      <c r="E1023" t="inlineStr">
        <is>
          <t>SANDVIKEN</t>
        </is>
      </c>
      <c r="F1023" t="inlineStr">
        <is>
          <t>Bergvik skog öst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42868-2019</t>
        </is>
      </c>
      <c r="B1024" s="1" t="n">
        <v>43705</v>
      </c>
      <c r="C1024" s="1" t="n">
        <v>45587</v>
      </c>
      <c r="D1024" t="inlineStr">
        <is>
          <t>GÄVLEBORGS LÄN</t>
        </is>
      </c>
      <c r="E1024" t="inlineStr">
        <is>
          <t>LJUSDAL</t>
        </is>
      </c>
      <c r="F1024" t="inlineStr">
        <is>
          <t>Sveaskog</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43051-2019</t>
        </is>
      </c>
      <c r="B1025" s="1" t="n">
        <v>43705</v>
      </c>
      <c r="C1025" s="1" t="n">
        <v>45587</v>
      </c>
      <c r="D1025" t="inlineStr">
        <is>
          <t>GÄVLEBORGS LÄN</t>
        </is>
      </c>
      <c r="E1025" t="inlineStr">
        <is>
          <t>HUDIKSVALL</t>
        </is>
      </c>
      <c r="F1025" t="inlineStr">
        <is>
          <t>Holmen skog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42908-2019</t>
        </is>
      </c>
      <c r="B1026" s="1" t="n">
        <v>43705</v>
      </c>
      <c r="C1026" s="1" t="n">
        <v>45587</v>
      </c>
      <c r="D1026" t="inlineStr">
        <is>
          <t>GÄVLEBORGS LÄN</t>
        </is>
      </c>
      <c r="E1026" t="inlineStr">
        <is>
          <t>BOLLNÄS</t>
        </is>
      </c>
      <c r="F1026" t="inlineStr">
        <is>
          <t>Bergvik skog väst AB</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42995-2019</t>
        </is>
      </c>
      <c r="B1027" s="1" t="n">
        <v>43705</v>
      </c>
      <c r="C1027" s="1" t="n">
        <v>45587</v>
      </c>
      <c r="D1027" t="inlineStr">
        <is>
          <t>GÄVLEBORGS LÄN</t>
        </is>
      </c>
      <c r="E1027" t="inlineStr">
        <is>
          <t>OVANÅKER</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43287-2019</t>
        </is>
      </c>
      <c r="B1028" s="1" t="n">
        <v>43706</v>
      </c>
      <c r="C1028" s="1" t="n">
        <v>45587</v>
      </c>
      <c r="D1028" t="inlineStr">
        <is>
          <t>GÄVLEBORGS LÄN</t>
        </is>
      </c>
      <c r="E1028" t="inlineStr">
        <is>
          <t>GÄVLE</t>
        </is>
      </c>
      <c r="F1028" t="inlineStr">
        <is>
          <t>Bergvik skog väst AB</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43529-2019</t>
        </is>
      </c>
      <c r="B1029" s="1" t="n">
        <v>43706</v>
      </c>
      <c r="C1029" s="1" t="n">
        <v>45587</v>
      </c>
      <c r="D1029" t="inlineStr">
        <is>
          <t>GÄVLEBORGS LÄN</t>
        </is>
      </c>
      <c r="E1029" t="inlineStr">
        <is>
          <t>BOLLNÄS</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43570-2019</t>
        </is>
      </c>
      <c r="B1030" s="1" t="n">
        <v>43706</v>
      </c>
      <c r="C1030" s="1" t="n">
        <v>45587</v>
      </c>
      <c r="D1030" t="inlineStr">
        <is>
          <t>GÄVLEBORGS LÄN</t>
        </is>
      </c>
      <c r="E1030" t="inlineStr">
        <is>
          <t>HUDIKSVALL</t>
        </is>
      </c>
      <c r="G1030" t="n">
        <v>7</v>
      </c>
      <c r="H1030" t="n">
        <v>0</v>
      </c>
      <c r="I1030" t="n">
        <v>0</v>
      </c>
      <c r="J1030" t="n">
        <v>0</v>
      </c>
      <c r="K1030" t="n">
        <v>0</v>
      </c>
      <c r="L1030" t="n">
        <v>0</v>
      </c>
      <c r="M1030" t="n">
        <v>0</v>
      </c>
      <c r="N1030" t="n">
        <v>0</v>
      </c>
      <c r="O1030" t="n">
        <v>0</v>
      </c>
      <c r="P1030" t="n">
        <v>0</v>
      </c>
      <c r="Q1030" t="n">
        <v>0</v>
      </c>
      <c r="R1030" s="2" t="inlineStr"/>
    </row>
    <row r="1031" ht="15" customHeight="1">
      <c r="A1031" t="inlineStr">
        <is>
          <t>A 43624-2019</t>
        </is>
      </c>
      <c r="B1031" s="1" t="n">
        <v>43707</v>
      </c>
      <c r="C1031" s="1" t="n">
        <v>45587</v>
      </c>
      <c r="D1031" t="inlineStr">
        <is>
          <t>GÄVLEBORGS LÄN</t>
        </is>
      </c>
      <c r="E1031" t="inlineStr">
        <is>
          <t>HUDIKSVALL</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43780-2019</t>
        </is>
      </c>
      <c r="B1032" s="1" t="n">
        <v>43707</v>
      </c>
      <c r="C1032" s="1" t="n">
        <v>45587</v>
      </c>
      <c r="D1032" t="inlineStr">
        <is>
          <t>GÄVLEBORGS LÄN</t>
        </is>
      </c>
      <c r="E1032" t="inlineStr">
        <is>
          <t>BOLLNÄS</t>
        </is>
      </c>
      <c r="F1032" t="inlineStr">
        <is>
          <t>Sveaskog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43610-2019</t>
        </is>
      </c>
      <c r="B1033" s="1" t="n">
        <v>43707</v>
      </c>
      <c r="C1033" s="1" t="n">
        <v>45587</v>
      </c>
      <c r="D1033" t="inlineStr">
        <is>
          <t>GÄVLEBORGS LÄN</t>
        </is>
      </c>
      <c r="E1033" t="inlineStr">
        <is>
          <t>GÄVLE</t>
        </is>
      </c>
      <c r="F1033" t="inlineStr">
        <is>
          <t>Kyrkan</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43778-2019</t>
        </is>
      </c>
      <c r="B1034" s="1" t="n">
        <v>43707</v>
      </c>
      <c r="C1034" s="1" t="n">
        <v>45587</v>
      </c>
      <c r="D1034" t="inlineStr">
        <is>
          <t>GÄVLEBORGS LÄN</t>
        </is>
      </c>
      <c r="E1034" t="inlineStr">
        <is>
          <t>BOLLNÄS</t>
        </is>
      </c>
      <c r="F1034" t="inlineStr">
        <is>
          <t>Sveaskog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44801-2019</t>
        </is>
      </c>
      <c r="B1035" s="1" t="n">
        <v>43707</v>
      </c>
      <c r="C1035" s="1" t="n">
        <v>45587</v>
      </c>
      <c r="D1035" t="inlineStr">
        <is>
          <t>GÄVLEBORGS LÄN</t>
        </is>
      </c>
      <c r="E1035" t="inlineStr">
        <is>
          <t>SANDVIKEN</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43941-2019</t>
        </is>
      </c>
      <c r="B1036" s="1" t="n">
        <v>43707</v>
      </c>
      <c r="C1036" s="1" t="n">
        <v>45587</v>
      </c>
      <c r="D1036" t="inlineStr">
        <is>
          <t>GÄVLEBORGS LÄN</t>
        </is>
      </c>
      <c r="E1036" t="inlineStr">
        <is>
          <t>HUDIKSVALL</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44791-2019</t>
        </is>
      </c>
      <c r="B1037" s="1" t="n">
        <v>43707</v>
      </c>
      <c r="C1037" s="1" t="n">
        <v>45587</v>
      </c>
      <c r="D1037" t="inlineStr">
        <is>
          <t>GÄVLEBORGS LÄN</t>
        </is>
      </c>
      <c r="E1037" t="inlineStr">
        <is>
          <t>HOFORS</t>
        </is>
      </c>
      <c r="G1037" t="n">
        <v>14.7</v>
      </c>
      <c r="H1037" t="n">
        <v>0</v>
      </c>
      <c r="I1037" t="n">
        <v>0</v>
      </c>
      <c r="J1037" t="n">
        <v>0</v>
      </c>
      <c r="K1037" t="n">
        <v>0</v>
      </c>
      <c r="L1037" t="n">
        <v>0</v>
      </c>
      <c r="M1037" t="n">
        <v>0</v>
      </c>
      <c r="N1037" t="n">
        <v>0</v>
      </c>
      <c r="O1037" t="n">
        <v>0</v>
      </c>
      <c r="P1037" t="n">
        <v>0</v>
      </c>
      <c r="Q1037" t="n">
        <v>0</v>
      </c>
      <c r="R1037" s="2" t="inlineStr"/>
    </row>
    <row r="1038" ht="15" customHeight="1">
      <c r="A1038" t="inlineStr">
        <is>
          <t>A 44218-2019</t>
        </is>
      </c>
      <c r="B1038" s="1" t="n">
        <v>43710</v>
      </c>
      <c r="C1038" s="1" t="n">
        <v>45587</v>
      </c>
      <c r="D1038" t="inlineStr">
        <is>
          <t>GÄVLEBORGS LÄN</t>
        </is>
      </c>
      <c r="E1038" t="inlineStr">
        <is>
          <t>HOFORS</t>
        </is>
      </c>
      <c r="F1038" t="inlineStr">
        <is>
          <t>Sveaskog</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44212-2019</t>
        </is>
      </c>
      <c r="B1039" s="1" t="n">
        <v>43710</v>
      </c>
      <c r="C1039" s="1" t="n">
        <v>45587</v>
      </c>
      <c r="D1039" t="inlineStr">
        <is>
          <t>GÄVLEBORGS LÄN</t>
        </is>
      </c>
      <c r="E1039" t="inlineStr">
        <is>
          <t>BOLLNÄS</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44275-2019</t>
        </is>
      </c>
      <c r="B1040" s="1" t="n">
        <v>43710</v>
      </c>
      <c r="C1040" s="1" t="n">
        <v>45587</v>
      </c>
      <c r="D1040" t="inlineStr">
        <is>
          <t>GÄVLEBORGS LÄN</t>
        </is>
      </c>
      <c r="E1040" t="inlineStr">
        <is>
          <t>LJUSDAL</t>
        </is>
      </c>
      <c r="F1040" t="inlineStr">
        <is>
          <t>Sveaskog</t>
        </is>
      </c>
      <c r="G1040" t="n">
        <v>25.1</v>
      </c>
      <c r="H1040" t="n">
        <v>0</v>
      </c>
      <c r="I1040" t="n">
        <v>0</v>
      </c>
      <c r="J1040" t="n">
        <v>0</v>
      </c>
      <c r="K1040" t="n">
        <v>0</v>
      </c>
      <c r="L1040" t="n">
        <v>0</v>
      </c>
      <c r="M1040" t="n">
        <v>0</v>
      </c>
      <c r="N1040" t="n">
        <v>0</v>
      </c>
      <c r="O1040" t="n">
        <v>0</v>
      </c>
      <c r="P1040" t="n">
        <v>0</v>
      </c>
      <c r="Q1040" t="n">
        <v>0</v>
      </c>
      <c r="R1040" s="2" t="inlineStr"/>
    </row>
    <row r="1041" ht="15" customHeight="1">
      <c r="A1041" t="inlineStr">
        <is>
          <t>A 44139-2019</t>
        </is>
      </c>
      <c r="B1041" s="1" t="n">
        <v>43710</v>
      </c>
      <c r="C1041" s="1" t="n">
        <v>45587</v>
      </c>
      <c r="D1041" t="inlineStr">
        <is>
          <t>GÄVLEBORGS LÄN</t>
        </is>
      </c>
      <c r="E1041" t="inlineStr">
        <is>
          <t>HUDIKSVALL</t>
        </is>
      </c>
      <c r="F1041" t="inlineStr">
        <is>
          <t>Holmen skog AB</t>
        </is>
      </c>
      <c r="G1041" t="n">
        <v>13.4</v>
      </c>
      <c r="H1041" t="n">
        <v>0</v>
      </c>
      <c r="I1041" t="n">
        <v>0</v>
      </c>
      <c r="J1041" t="n">
        <v>0</v>
      </c>
      <c r="K1041" t="n">
        <v>0</v>
      </c>
      <c r="L1041" t="n">
        <v>0</v>
      </c>
      <c r="M1041" t="n">
        <v>0</v>
      </c>
      <c r="N1041" t="n">
        <v>0</v>
      </c>
      <c r="O1041" t="n">
        <v>0</v>
      </c>
      <c r="P1041" t="n">
        <v>0</v>
      </c>
      <c r="Q1041" t="n">
        <v>0</v>
      </c>
      <c r="R1041" s="2" t="inlineStr"/>
    </row>
    <row r="1042" ht="15" customHeight="1">
      <c r="A1042" t="inlineStr">
        <is>
          <t>A 44196-2019</t>
        </is>
      </c>
      <c r="B1042" s="1" t="n">
        <v>43710</v>
      </c>
      <c r="C1042" s="1" t="n">
        <v>45587</v>
      </c>
      <c r="D1042" t="inlineStr">
        <is>
          <t>GÄVLEBORGS LÄN</t>
        </is>
      </c>
      <c r="E1042" t="inlineStr">
        <is>
          <t>HOFORS</t>
        </is>
      </c>
      <c r="F1042" t="inlineStr">
        <is>
          <t>Sveaskog</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44066-2019</t>
        </is>
      </c>
      <c r="B1043" s="1" t="n">
        <v>43710</v>
      </c>
      <c r="C1043" s="1" t="n">
        <v>45587</v>
      </c>
      <c r="D1043" t="inlineStr">
        <is>
          <t>GÄVLEBORGS LÄN</t>
        </is>
      </c>
      <c r="E1043" t="inlineStr">
        <is>
          <t>LJUSDAL</t>
        </is>
      </c>
      <c r="F1043" t="inlineStr">
        <is>
          <t>Holmen skog AB</t>
        </is>
      </c>
      <c r="G1043" t="n">
        <v>19.6</v>
      </c>
      <c r="H1043" t="n">
        <v>0</v>
      </c>
      <c r="I1043" t="n">
        <v>0</v>
      </c>
      <c r="J1043" t="n">
        <v>0</v>
      </c>
      <c r="K1043" t="n">
        <v>0</v>
      </c>
      <c r="L1043" t="n">
        <v>0</v>
      </c>
      <c r="M1043" t="n">
        <v>0</v>
      </c>
      <c r="N1043" t="n">
        <v>0</v>
      </c>
      <c r="O1043" t="n">
        <v>0</v>
      </c>
      <c r="P1043" t="n">
        <v>0</v>
      </c>
      <c r="Q1043" t="n">
        <v>0</v>
      </c>
      <c r="R1043" s="2" t="inlineStr"/>
    </row>
    <row r="1044" ht="15" customHeight="1">
      <c r="A1044" t="inlineStr">
        <is>
          <t>A 44150-2019</t>
        </is>
      </c>
      <c r="B1044" s="1" t="n">
        <v>43710</v>
      </c>
      <c r="C1044" s="1" t="n">
        <v>45587</v>
      </c>
      <c r="D1044" t="inlineStr">
        <is>
          <t>GÄVLEBORGS LÄN</t>
        </is>
      </c>
      <c r="E1044" t="inlineStr">
        <is>
          <t>SÖDERHAMN</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44062-2019</t>
        </is>
      </c>
      <c r="B1045" s="1" t="n">
        <v>43710</v>
      </c>
      <c r="C1045" s="1" t="n">
        <v>45587</v>
      </c>
      <c r="D1045" t="inlineStr">
        <is>
          <t>GÄVLEBORGS LÄN</t>
        </is>
      </c>
      <c r="E1045" t="inlineStr">
        <is>
          <t>LJUSDAL</t>
        </is>
      </c>
      <c r="F1045" t="inlineStr">
        <is>
          <t>Sveaskog</t>
        </is>
      </c>
      <c r="G1045" t="n">
        <v>7.4</v>
      </c>
      <c r="H1045" t="n">
        <v>0</v>
      </c>
      <c r="I1045" t="n">
        <v>0</v>
      </c>
      <c r="J1045" t="n">
        <v>0</v>
      </c>
      <c r="K1045" t="n">
        <v>0</v>
      </c>
      <c r="L1045" t="n">
        <v>0</v>
      </c>
      <c r="M1045" t="n">
        <v>0</v>
      </c>
      <c r="N1045" t="n">
        <v>0</v>
      </c>
      <c r="O1045" t="n">
        <v>0</v>
      </c>
      <c r="P1045" t="n">
        <v>0</v>
      </c>
      <c r="Q1045" t="n">
        <v>0</v>
      </c>
      <c r="R1045" s="2" t="inlineStr"/>
    </row>
    <row r="1046" ht="15" customHeight="1">
      <c r="A1046" t="inlineStr">
        <is>
          <t>A 44342-2019</t>
        </is>
      </c>
      <c r="B1046" s="1" t="n">
        <v>43711</v>
      </c>
      <c r="C1046" s="1" t="n">
        <v>45587</v>
      </c>
      <c r="D1046" t="inlineStr">
        <is>
          <t>GÄVLEBORGS LÄN</t>
        </is>
      </c>
      <c r="E1046" t="inlineStr">
        <is>
          <t>BOLLNÄS</t>
        </is>
      </c>
      <c r="F1046" t="inlineStr">
        <is>
          <t>Sveaskog</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44439-2019</t>
        </is>
      </c>
      <c r="B1047" s="1" t="n">
        <v>43711</v>
      </c>
      <c r="C1047" s="1" t="n">
        <v>45587</v>
      </c>
      <c r="D1047" t="inlineStr">
        <is>
          <t>GÄVLEBORGS LÄN</t>
        </is>
      </c>
      <c r="E1047" t="inlineStr">
        <is>
          <t>SÖDERHAMN</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44717-2019</t>
        </is>
      </c>
      <c r="B1048" s="1" t="n">
        <v>43712</v>
      </c>
      <c r="C1048" s="1" t="n">
        <v>45587</v>
      </c>
      <c r="D1048" t="inlineStr">
        <is>
          <t>GÄVLEBORGS LÄN</t>
        </is>
      </c>
      <c r="E1048" t="inlineStr">
        <is>
          <t>SANDVIKEN</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44847-2019</t>
        </is>
      </c>
      <c r="B1049" s="1" t="n">
        <v>43712</v>
      </c>
      <c r="C1049" s="1" t="n">
        <v>45587</v>
      </c>
      <c r="D1049" t="inlineStr">
        <is>
          <t>GÄVLEBORGS LÄN</t>
        </is>
      </c>
      <c r="E1049" t="inlineStr">
        <is>
          <t>LJUSDAL</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44904-2019</t>
        </is>
      </c>
      <c r="B1050" s="1" t="n">
        <v>43713</v>
      </c>
      <c r="C1050" s="1" t="n">
        <v>45587</v>
      </c>
      <c r="D1050" t="inlineStr">
        <is>
          <t>GÄVLEBORGS LÄN</t>
        </is>
      </c>
      <c r="E1050" t="inlineStr">
        <is>
          <t>LJUSDAL</t>
        </is>
      </c>
      <c r="F1050" t="inlineStr">
        <is>
          <t>Sveaskog</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45085-2019</t>
        </is>
      </c>
      <c r="B1051" s="1" t="n">
        <v>43713</v>
      </c>
      <c r="C1051" s="1" t="n">
        <v>45587</v>
      </c>
      <c r="D1051" t="inlineStr">
        <is>
          <t>GÄVLEBORGS LÄN</t>
        </is>
      </c>
      <c r="E1051" t="inlineStr">
        <is>
          <t>HUDIKSVALL</t>
        </is>
      </c>
      <c r="F1051" t="inlineStr">
        <is>
          <t>Holmen skog AB</t>
        </is>
      </c>
      <c r="G1051" t="n">
        <v>11.1</v>
      </c>
      <c r="H1051" t="n">
        <v>0</v>
      </c>
      <c r="I1051" t="n">
        <v>0</v>
      </c>
      <c r="J1051" t="n">
        <v>0</v>
      </c>
      <c r="K1051" t="n">
        <v>0</v>
      </c>
      <c r="L1051" t="n">
        <v>0</v>
      </c>
      <c r="M1051" t="n">
        <v>0</v>
      </c>
      <c r="N1051" t="n">
        <v>0</v>
      </c>
      <c r="O1051" t="n">
        <v>0</v>
      </c>
      <c r="P1051" t="n">
        <v>0</v>
      </c>
      <c r="Q1051" t="n">
        <v>0</v>
      </c>
      <c r="R1051" s="2" t="inlineStr"/>
    </row>
    <row r="1052" ht="15" customHeight="1">
      <c r="A1052" t="inlineStr">
        <is>
          <t>A 44897-2019</t>
        </is>
      </c>
      <c r="B1052" s="1" t="n">
        <v>43713</v>
      </c>
      <c r="C1052" s="1" t="n">
        <v>45587</v>
      </c>
      <c r="D1052" t="inlineStr">
        <is>
          <t>GÄVLEBORGS LÄN</t>
        </is>
      </c>
      <c r="E1052" t="inlineStr">
        <is>
          <t>NORDANSTIG</t>
        </is>
      </c>
      <c r="G1052" t="n">
        <v>11.3</v>
      </c>
      <c r="H1052" t="n">
        <v>0</v>
      </c>
      <c r="I1052" t="n">
        <v>0</v>
      </c>
      <c r="J1052" t="n">
        <v>0</v>
      </c>
      <c r="K1052" t="n">
        <v>0</v>
      </c>
      <c r="L1052" t="n">
        <v>0</v>
      </c>
      <c r="M1052" t="n">
        <v>0</v>
      </c>
      <c r="N1052" t="n">
        <v>0</v>
      </c>
      <c r="O1052" t="n">
        <v>0</v>
      </c>
      <c r="P1052" t="n">
        <v>0</v>
      </c>
      <c r="Q1052" t="n">
        <v>0</v>
      </c>
      <c r="R1052" s="2" t="inlineStr"/>
    </row>
    <row r="1053" ht="15" customHeight="1">
      <c r="A1053" t="inlineStr">
        <is>
          <t>A 44974-2019</t>
        </is>
      </c>
      <c r="B1053" s="1" t="n">
        <v>43713</v>
      </c>
      <c r="C1053" s="1" t="n">
        <v>45587</v>
      </c>
      <c r="D1053" t="inlineStr">
        <is>
          <t>GÄVLEBORGS LÄN</t>
        </is>
      </c>
      <c r="E1053" t="inlineStr">
        <is>
          <t>SANDVIKEN</t>
        </is>
      </c>
      <c r="F1053" t="inlineStr">
        <is>
          <t>Bergvik skog öst AB</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44999-2019</t>
        </is>
      </c>
      <c r="B1054" s="1" t="n">
        <v>43713</v>
      </c>
      <c r="C1054" s="1" t="n">
        <v>45587</v>
      </c>
      <c r="D1054" t="inlineStr">
        <is>
          <t>GÄVLEBORGS LÄN</t>
        </is>
      </c>
      <c r="E1054" t="inlineStr">
        <is>
          <t>OVANÅKER</t>
        </is>
      </c>
      <c r="F1054" t="inlineStr">
        <is>
          <t>Sveaskog</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45158-2019</t>
        </is>
      </c>
      <c r="B1055" s="1" t="n">
        <v>43713</v>
      </c>
      <c r="C1055" s="1" t="n">
        <v>45587</v>
      </c>
      <c r="D1055" t="inlineStr">
        <is>
          <t>GÄVLEBORGS LÄN</t>
        </is>
      </c>
      <c r="E1055" t="inlineStr">
        <is>
          <t>HUDIKSVALL</t>
        </is>
      </c>
      <c r="F1055" t="inlineStr">
        <is>
          <t>Holmen skog AB</t>
        </is>
      </c>
      <c r="G1055" t="n">
        <v>8.6</v>
      </c>
      <c r="H1055" t="n">
        <v>0</v>
      </c>
      <c r="I1055" t="n">
        <v>0</v>
      </c>
      <c r="J1055" t="n">
        <v>0</v>
      </c>
      <c r="K1055" t="n">
        <v>0</v>
      </c>
      <c r="L1055" t="n">
        <v>0</v>
      </c>
      <c r="M1055" t="n">
        <v>0</v>
      </c>
      <c r="N1055" t="n">
        <v>0</v>
      </c>
      <c r="O1055" t="n">
        <v>0</v>
      </c>
      <c r="P1055" t="n">
        <v>0</v>
      </c>
      <c r="Q1055" t="n">
        <v>0</v>
      </c>
      <c r="R1055" s="2" t="inlineStr"/>
    </row>
    <row r="1056" ht="15" customHeight="1">
      <c r="A1056" t="inlineStr">
        <is>
          <t>A 45207-2019</t>
        </is>
      </c>
      <c r="B1056" s="1" t="n">
        <v>43713</v>
      </c>
      <c r="C1056" s="1" t="n">
        <v>45587</v>
      </c>
      <c r="D1056" t="inlineStr">
        <is>
          <t>GÄVLEBORGS LÄN</t>
        </is>
      </c>
      <c r="E1056" t="inlineStr">
        <is>
          <t>SANDVIKEN</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45019-2019</t>
        </is>
      </c>
      <c r="B1057" s="1" t="n">
        <v>43713</v>
      </c>
      <c r="C1057" s="1" t="n">
        <v>45587</v>
      </c>
      <c r="D1057" t="inlineStr">
        <is>
          <t>GÄVLEBORGS LÄN</t>
        </is>
      </c>
      <c r="E1057" t="inlineStr">
        <is>
          <t>SANDVIKEN</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45211-2019</t>
        </is>
      </c>
      <c r="B1058" s="1" t="n">
        <v>43713</v>
      </c>
      <c r="C1058" s="1" t="n">
        <v>45587</v>
      </c>
      <c r="D1058" t="inlineStr">
        <is>
          <t>GÄVLEBORGS LÄN</t>
        </is>
      </c>
      <c r="E1058" t="inlineStr">
        <is>
          <t>OCKELBO</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45052-2019</t>
        </is>
      </c>
      <c r="B1059" s="1" t="n">
        <v>43713</v>
      </c>
      <c r="C1059" s="1" t="n">
        <v>45587</v>
      </c>
      <c r="D1059" t="inlineStr">
        <is>
          <t>GÄVLEBORGS LÄN</t>
        </is>
      </c>
      <c r="E1059" t="inlineStr">
        <is>
          <t>HUDIKSVALL</t>
        </is>
      </c>
      <c r="F1059" t="inlineStr">
        <is>
          <t>Holmen skog AB</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45358-2019</t>
        </is>
      </c>
      <c r="B1060" s="1" t="n">
        <v>43714</v>
      </c>
      <c r="C1060" s="1" t="n">
        <v>45587</v>
      </c>
      <c r="D1060" t="inlineStr">
        <is>
          <t>GÄVLEBORGS LÄN</t>
        </is>
      </c>
      <c r="E1060" t="inlineStr">
        <is>
          <t>GÄVLE</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45419-2019</t>
        </is>
      </c>
      <c r="B1061" s="1" t="n">
        <v>43714</v>
      </c>
      <c r="C1061" s="1" t="n">
        <v>45587</v>
      </c>
      <c r="D1061" t="inlineStr">
        <is>
          <t>GÄVLEBORGS LÄN</t>
        </is>
      </c>
      <c r="E1061" t="inlineStr">
        <is>
          <t>NORDANSTIG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45451-2019</t>
        </is>
      </c>
      <c r="B1062" s="1" t="n">
        <v>43714</v>
      </c>
      <c r="C1062" s="1" t="n">
        <v>45587</v>
      </c>
      <c r="D1062" t="inlineStr">
        <is>
          <t>GÄVLEBORGS LÄN</t>
        </is>
      </c>
      <c r="E1062" t="inlineStr">
        <is>
          <t>LJUSDAL</t>
        </is>
      </c>
      <c r="F1062" t="inlineStr">
        <is>
          <t>Sveaskog</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45450-2019</t>
        </is>
      </c>
      <c r="B1063" s="1" t="n">
        <v>43714</v>
      </c>
      <c r="C1063" s="1" t="n">
        <v>45587</v>
      </c>
      <c r="D1063" t="inlineStr">
        <is>
          <t>GÄVLEBORGS LÄN</t>
        </is>
      </c>
      <c r="E1063" t="inlineStr">
        <is>
          <t>LJUSDAL</t>
        </is>
      </c>
      <c r="F1063" t="inlineStr">
        <is>
          <t>Sveaskog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45516-2019</t>
        </is>
      </c>
      <c r="B1064" s="1" t="n">
        <v>43714</v>
      </c>
      <c r="C1064" s="1" t="n">
        <v>45587</v>
      </c>
      <c r="D1064" t="inlineStr">
        <is>
          <t>GÄVLEBORGS LÄN</t>
        </is>
      </c>
      <c r="E1064" t="inlineStr">
        <is>
          <t>HUDIKSVALL</t>
        </is>
      </c>
      <c r="F1064" t="inlineStr">
        <is>
          <t>Holmen skog AB</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45287-2019</t>
        </is>
      </c>
      <c r="B1065" s="1" t="n">
        <v>43714</v>
      </c>
      <c r="C1065" s="1" t="n">
        <v>45587</v>
      </c>
      <c r="D1065" t="inlineStr">
        <is>
          <t>GÄVLEBORGS LÄN</t>
        </is>
      </c>
      <c r="E1065" t="inlineStr">
        <is>
          <t>HUDIKSVALL</t>
        </is>
      </c>
      <c r="G1065" t="n">
        <v>7.7</v>
      </c>
      <c r="H1065" t="n">
        <v>0</v>
      </c>
      <c r="I1065" t="n">
        <v>0</v>
      </c>
      <c r="J1065" t="n">
        <v>0</v>
      </c>
      <c r="K1065" t="n">
        <v>0</v>
      </c>
      <c r="L1065" t="n">
        <v>0</v>
      </c>
      <c r="M1065" t="n">
        <v>0</v>
      </c>
      <c r="N1065" t="n">
        <v>0</v>
      </c>
      <c r="O1065" t="n">
        <v>0</v>
      </c>
      <c r="P1065" t="n">
        <v>0</v>
      </c>
      <c r="Q1065" t="n">
        <v>0</v>
      </c>
      <c r="R1065" s="2" t="inlineStr"/>
    </row>
    <row r="1066" ht="15" customHeight="1">
      <c r="A1066" t="inlineStr">
        <is>
          <t>A 45661-2019</t>
        </is>
      </c>
      <c r="B1066" s="1" t="n">
        <v>43717</v>
      </c>
      <c r="C1066" s="1" t="n">
        <v>45587</v>
      </c>
      <c r="D1066" t="inlineStr">
        <is>
          <t>GÄVLEBORGS LÄN</t>
        </is>
      </c>
      <c r="E1066" t="inlineStr">
        <is>
          <t>OCKELBO</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45595-2019</t>
        </is>
      </c>
      <c r="B1067" s="1" t="n">
        <v>43717</v>
      </c>
      <c r="C1067" s="1" t="n">
        <v>45587</v>
      </c>
      <c r="D1067" t="inlineStr">
        <is>
          <t>GÄVLEBORGS LÄN</t>
        </is>
      </c>
      <c r="E1067" t="inlineStr">
        <is>
          <t>BOLLNÄS</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45749-2019</t>
        </is>
      </c>
      <c r="B1068" s="1" t="n">
        <v>43717</v>
      </c>
      <c r="C1068" s="1" t="n">
        <v>45587</v>
      </c>
      <c r="D1068" t="inlineStr">
        <is>
          <t>GÄVLEBORGS LÄN</t>
        </is>
      </c>
      <c r="E1068" t="inlineStr">
        <is>
          <t>NORDANSTIG</t>
        </is>
      </c>
      <c r="F1068" t="inlineStr">
        <is>
          <t>Holmen skog AB</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45808-2019</t>
        </is>
      </c>
      <c r="B1069" s="1" t="n">
        <v>43717</v>
      </c>
      <c r="C1069" s="1" t="n">
        <v>45587</v>
      </c>
      <c r="D1069" t="inlineStr">
        <is>
          <t>GÄVLEBORGS LÄN</t>
        </is>
      </c>
      <c r="E1069" t="inlineStr">
        <is>
          <t>LJUSDAL</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46273-2019</t>
        </is>
      </c>
      <c r="B1070" s="1" t="n">
        <v>43718</v>
      </c>
      <c r="C1070" s="1" t="n">
        <v>45587</v>
      </c>
      <c r="D1070" t="inlineStr">
        <is>
          <t>GÄVLEBORGS LÄN</t>
        </is>
      </c>
      <c r="E1070" t="inlineStr">
        <is>
          <t>BOLLNÄS</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46253-2019</t>
        </is>
      </c>
      <c r="B1071" s="1" t="n">
        <v>43718</v>
      </c>
      <c r="C1071" s="1" t="n">
        <v>45587</v>
      </c>
      <c r="D1071" t="inlineStr">
        <is>
          <t>GÄVLEBORGS LÄN</t>
        </is>
      </c>
      <c r="E1071" t="inlineStr">
        <is>
          <t>BOLLNÄS</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46294-2019</t>
        </is>
      </c>
      <c r="B1072" s="1" t="n">
        <v>43718</v>
      </c>
      <c r="C1072" s="1" t="n">
        <v>45587</v>
      </c>
      <c r="D1072" t="inlineStr">
        <is>
          <t>GÄVLEBORGS LÄN</t>
        </is>
      </c>
      <c r="E1072" t="inlineStr">
        <is>
          <t>NORDANSTIG</t>
        </is>
      </c>
      <c r="F1072" t="inlineStr">
        <is>
          <t>Holmen skog AB</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46032-2019</t>
        </is>
      </c>
      <c r="B1073" s="1" t="n">
        <v>43718</v>
      </c>
      <c r="C1073" s="1" t="n">
        <v>45587</v>
      </c>
      <c r="D1073" t="inlineStr">
        <is>
          <t>GÄVLEBORGS LÄN</t>
        </is>
      </c>
      <c r="E1073" t="inlineStr">
        <is>
          <t>HUDIKSVALL</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46014-2019</t>
        </is>
      </c>
      <c r="B1074" s="1" t="n">
        <v>43718</v>
      </c>
      <c r="C1074" s="1" t="n">
        <v>45587</v>
      </c>
      <c r="D1074" t="inlineStr">
        <is>
          <t>GÄVLEBORGS LÄN</t>
        </is>
      </c>
      <c r="E1074" t="inlineStr">
        <is>
          <t>GÄVLE</t>
        </is>
      </c>
      <c r="F1074" t="inlineStr">
        <is>
          <t>Bergvik skog öst AB</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46153-2019</t>
        </is>
      </c>
      <c r="B1075" s="1" t="n">
        <v>43718</v>
      </c>
      <c r="C1075" s="1" t="n">
        <v>45587</v>
      </c>
      <c r="D1075" t="inlineStr">
        <is>
          <t>GÄVLEBORGS LÄN</t>
        </is>
      </c>
      <c r="E1075" t="inlineStr">
        <is>
          <t>HOFORS</t>
        </is>
      </c>
      <c r="F1075" t="inlineStr">
        <is>
          <t>Sveaskog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46161-2019</t>
        </is>
      </c>
      <c r="B1076" s="1" t="n">
        <v>43718</v>
      </c>
      <c r="C1076" s="1" t="n">
        <v>45587</v>
      </c>
      <c r="D1076" t="inlineStr">
        <is>
          <t>GÄVLEBORGS LÄN</t>
        </is>
      </c>
      <c r="E1076" t="inlineStr">
        <is>
          <t>HOFORS</t>
        </is>
      </c>
      <c r="F1076" t="inlineStr">
        <is>
          <t>Sveaskog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46036-2019</t>
        </is>
      </c>
      <c r="B1077" s="1" t="n">
        <v>43718</v>
      </c>
      <c r="C1077" s="1" t="n">
        <v>45587</v>
      </c>
      <c r="D1077" t="inlineStr">
        <is>
          <t>GÄVLEBORGS LÄN</t>
        </is>
      </c>
      <c r="E1077" t="inlineStr">
        <is>
          <t>HUDIKSVALL</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46113-2019</t>
        </is>
      </c>
      <c r="B1078" s="1" t="n">
        <v>43718</v>
      </c>
      <c r="C1078" s="1" t="n">
        <v>45587</v>
      </c>
      <c r="D1078" t="inlineStr">
        <is>
          <t>GÄVLEBORGS LÄN</t>
        </is>
      </c>
      <c r="E1078" t="inlineStr">
        <is>
          <t>SANDVIKEN</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46262-2019</t>
        </is>
      </c>
      <c r="B1079" s="1" t="n">
        <v>43718</v>
      </c>
      <c r="C1079" s="1" t="n">
        <v>45587</v>
      </c>
      <c r="D1079" t="inlineStr">
        <is>
          <t>GÄVLEBORGS LÄN</t>
        </is>
      </c>
      <c r="E1079" t="inlineStr">
        <is>
          <t>SANDVIKEN</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46019-2019</t>
        </is>
      </c>
      <c r="B1080" s="1" t="n">
        <v>43718</v>
      </c>
      <c r="C1080" s="1" t="n">
        <v>45587</v>
      </c>
      <c r="D1080" t="inlineStr">
        <is>
          <t>GÄVLEBORGS LÄN</t>
        </is>
      </c>
      <c r="E1080" t="inlineStr">
        <is>
          <t>OVANÅKER</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46444-2019</t>
        </is>
      </c>
      <c r="B1081" s="1" t="n">
        <v>43719</v>
      </c>
      <c r="C1081" s="1" t="n">
        <v>45587</v>
      </c>
      <c r="D1081" t="inlineStr">
        <is>
          <t>GÄVLEBORGS LÄN</t>
        </is>
      </c>
      <c r="E1081" t="inlineStr">
        <is>
          <t>GÄVLE</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46442-2019</t>
        </is>
      </c>
      <c r="B1082" s="1" t="n">
        <v>43719</v>
      </c>
      <c r="C1082" s="1" t="n">
        <v>45587</v>
      </c>
      <c r="D1082" t="inlineStr">
        <is>
          <t>GÄVLEBORGS LÄN</t>
        </is>
      </c>
      <c r="E1082" t="inlineStr">
        <is>
          <t>GÄVLE</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46408-2019</t>
        </is>
      </c>
      <c r="B1083" s="1" t="n">
        <v>43719</v>
      </c>
      <c r="C1083" s="1" t="n">
        <v>45587</v>
      </c>
      <c r="D1083" t="inlineStr">
        <is>
          <t>GÄVLEBORGS LÄN</t>
        </is>
      </c>
      <c r="E1083" t="inlineStr">
        <is>
          <t>LJUSDAL</t>
        </is>
      </c>
      <c r="F1083" t="inlineStr">
        <is>
          <t>Bergvik skog väst AB</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46577-2019</t>
        </is>
      </c>
      <c r="B1084" s="1" t="n">
        <v>43719</v>
      </c>
      <c r="C1084" s="1" t="n">
        <v>45587</v>
      </c>
      <c r="D1084" t="inlineStr">
        <is>
          <t>GÄVLEBORGS LÄN</t>
        </is>
      </c>
      <c r="E1084" t="inlineStr">
        <is>
          <t>HUDIKSVALL</t>
        </is>
      </c>
      <c r="F1084" t="inlineStr">
        <is>
          <t>Holmen skog AB</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46949-2019</t>
        </is>
      </c>
      <c r="B1085" s="1" t="n">
        <v>43719</v>
      </c>
      <c r="C1085" s="1" t="n">
        <v>45587</v>
      </c>
      <c r="D1085" t="inlineStr">
        <is>
          <t>GÄVLEBORGS LÄN</t>
        </is>
      </c>
      <c r="E1085" t="inlineStr">
        <is>
          <t>SANDVIKEN</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46865-2019</t>
        </is>
      </c>
      <c r="B1086" s="1" t="n">
        <v>43720</v>
      </c>
      <c r="C1086" s="1" t="n">
        <v>45587</v>
      </c>
      <c r="D1086" t="inlineStr">
        <is>
          <t>GÄVLEBORGS LÄN</t>
        </is>
      </c>
      <c r="E1086" t="inlineStr">
        <is>
          <t>HUDIKSVALL</t>
        </is>
      </c>
      <c r="F1086" t="inlineStr">
        <is>
          <t>Holmen skog AB</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46773-2019</t>
        </is>
      </c>
      <c r="B1087" s="1" t="n">
        <v>43720</v>
      </c>
      <c r="C1087" s="1" t="n">
        <v>45587</v>
      </c>
      <c r="D1087" t="inlineStr">
        <is>
          <t>GÄVLEBORGS LÄN</t>
        </is>
      </c>
      <c r="E1087" t="inlineStr">
        <is>
          <t>LJUSDAL</t>
        </is>
      </c>
      <c r="F1087" t="inlineStr">
        <is>
          <t>Holmen skog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46864-2019</t>
        </is>
      </c>
      <c r="B1088" s="1" t="n">
        <v>43720</v>
      </c>
      <c r="C1088" s="1" t="n">
        <v>45587</v>
      </c>
      <c r="D1088" t="inlineStr">
        <is>
          <t>GÄVLEBORGS LÄN</t>
        </is>
      </c>
      <c r="E1088" t="inlineStr">
        <is>
          <t>HUDIKSVALL</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46794-2019</t>
        </is>
      </c>
      <c r="B1089" s="1" t="n">
        <v>43720</v>
      </c>
      <c r="C1089" s="1" t="n">
        <v>45587</v>
      </c>
      <c r="D1089" t="inlineStr">
        <is>
          <t>GÄVLEBORGS LÄN</t>
        </is>
      </c>
      <c r="E1089" t="inlineStr">
        <is>
          <t>HUDIKSVALL</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47003-2019</t>
        </is>
      </c>
      <c r="B1090" s="1" t="n">
        <v>43720</v>
      </c>
      <c r="C1090" s="1" t="n">
        <v>45587</v>
      </c>
      <c r="D1090" t="inlineStr">
        <is>
          <t>GÄVLEBORGS LÄN</t>
        </is>
      </c>
      <c r="E1090" t="inlineStr">
        <is>
          <t>OCKELBO</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47286-2019</t>
        </is>
      </c>
      <c r="B1091" s="1" t="n">
        <v>43721</v>
      </c>
      <c r="C1091" s="1" t="n">
        <v>45587</v>
      </c>
      <c r="D1091" t="inlineStr">
        <is>
          <t>GÄVLEBORGS LÄN</t>
        </is>
      </c>
      <c r="E1091" t="inlineStr">
        <is>
          <t>SANDVIKEN</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47301-2019</t>
        </is>
      </c>
      <c r="B1092" s="1" t="n">
        <v>43721</v>
      </c>
      <c r="C1092" s="1" t="n">
        <v>45587</v>
      </c>
      <c r="D1092" t="inlineStr">
        <is>
          <t>GÄVLEBORGS LÄN</t>
        </is>
      </c>
      <c r="E1092" t="inlineStr">
        <is>
          <t>SÖDERHAMN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47290-2019</t>
        </is>
      </c>
      <c r="B1093" s="1" t="n">
        <v>43721</v>
      </c>
      <c r="C1093" s="1" t="n">
        <v>45587</v>
      </c>
      <c r="D1093" t="inlineStr">
        <is>
          <t>GÄVLEBORGS LÄN</t>
        </is>
      </c>
      <c r="E1093" t="inlineStr">
        <is>
          <t>HUDIKSVALL</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47326-2019</t>
        </is>
      </c>
      <c r="B1094" s="1" t="n">
        <v>43721</v>
      </c>
      <c r="C1094" s="1" t="n">
        <v>45587</v>
      </c>
      <c r="D1094" t="inlineStr">
        <is>
          <t>GÄVLEBORGS LÄN</t>
        </is>
      </c>
      <c r="E1094" t="inlineStr">
        <is>
          <t>LJUSDAL</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47182-2019</t>
        </is>
      </c>
      <c r="B1095" s="1" t="n">
        <v>43721</v>
      </c>
      <c r="C1095" s="1" t="n">
        <v>45587</v>
      </c>
      <c r="D1095" t="inlineStr">
        <is>
          <t>GÄVLEBORGS LÄN</t>
        </is>
      </c>
      <c r="E1095" t="inlineStr">
        <is>
          <t>BOLLNÄS</t>
        </is>
      </c>
      <c r="F1095" t="inlineStr">
        <is>
          <t>Holmen skog AB</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47205-2019</t>
        </is>
      </c>
      <c r="B1096" s="1" t="n">
        <v>43721</v>
      </c>
      <c r="C1096" s="1" t="n">
        <v>45587</v>
      </c>
      <c r="D1096" t="inlineStr">
        <is>
          <t>GÄVLEBORGS LÄN</t>
        </is>
      </c>
      <c r="E1096" t="inlineStr">
        <is>
          <t>OCKELBO</t>
        </is>
      </c>
      <c r="F1096" t="inlineStr">
        <is>
          <t>Bergvik skog väst AB</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47378-2019</t>
        </is>
      </c>
      <c r="B1097" s="1" t="n">
        <v>43721</v>
      </c>
      <c r="C1097" s="1" t="n">
        <v>45587</v>
      </c>
      <c r="D1097" t="inlineStr">
        <is>
          <t>GÄVLEBORGS LÄN</t>
        </is>
      </c>
      <c r="E1097" t="inlineStr">
        <is>
          <t>GÄVLE</t>
        </is>
      </c>
      <c r="F1097" t="inlineStr">
        <is>
          <t>Bergvik skog öst AB</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47329-2019</t>
        </is>
      </c>
      <c r="B1098" s="1" t="n">
        <v>43721</v>
      </c>
      <c r="C1098" s="1" t="n">
        <v>45587</v>
      </c>
      <c r="D1098" t="inlineStr">
        <is>
          <t>GÄVLEBORGS LÄN</t>
        </is>
      </c>
      <c r="E1098" t="inlineStr">
        <is>
          <t>LJUSDAL</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47449-2019</t>
        </is>
      </c>
      <c r="B1099" s="1" t="n">
        <v>43721</v>
      </c>
      <c r="C1099" s="1" t="n">
        <v>45587</v>
      </c>
      <c r="D1099" t="inlineStr">
        <is>
          <t>GÄVLEBORGS LÄN</t>
        </is>
      </c>
      <c r="E1099" t="inlineStr">
        <is>
          <t>LJUSDAL</t>
        </is>
      </c>
      <c r="G1099" t="n">
        <v>12.5</v>
      </c>
      <c r="H1099" t="n">
        <v>0</v>
      </c>
      <c r="I1099" t="n">
        <v>0</v>
      </c>
      <c r="J1099" t="n">
        <v>0</v>
      </c>
      <c r="K1099" t="n">
        <v>0</v>
      </c>
      <c r="L1099" t="n">
        <v>0</v>
      </c>
      <c r="M1099" t="n">
        <v>0</v>
      </c>
      <c r="N1099" t="n">
        <v>0</v>
      </c>
      <c r="O1099" t="n">
        <v>0</v>
      </c>
      <c r="P1099" t="n">
        <v>0</v>
      </c>
      <c r="Q1099" t="n">
        <v>0</v>
      </c>
      <c r="R1099" s="2" t="inlineStr"/>
    </row>
    <row r="1100" ht="15" customHeight="1">
      <c r="A1100" t="inlineStr">
        <is>
          <t>A 47843-2019</t>
        </is>
      </c>
      <c r="B1100" s="1" t="n">
        <v>43725</v>
      </c>
      <c r="C1100" s="1" t="n">
        <v>45587</v>
      </c>
      <c r="D1100" t="inlineStr">
        <is>
          <t>GÄVLEBORGS LÄN</t>
        </is>
      </c>
      <c r="E1100" t="inlineStr">
        <is>
          <t>OVANÅKER</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48019-2019</t>
        </is>
      </c>
      <c r="B1101" s="1" t="n">
        <v>43725</v>
      </c>
      <c r="C1101" s="1" t="n">
        <v>45587</v>
      </c>
      <c r="D1101" t="inlineStr">
        <is>
          <t>GÄVLEBORGS LÄN</t>
        </is>
      </c>
      <c r="E1101" t="inlineStr">
        <is>
          <t>NORDANSTIG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47907-2019</t>
        </is>
      </c>
      <c r="B1102" s="1" t="n">
        <v>43725</v>
      </c>
      <c r="C1102" s="1" t="n">
        <v>45587</v>
      </c>
      <c r="D1102" t="inlineStr">
        <is>
          <t>GÄVLEBORGS LÄN</t>
        </is>
      </c>
      <c r="E1102" t="inlineStr">
        <is>
          <t>NORDANSTIG</t>
        </is>
      </c>
      <c r="G1102" t="n">
        <v>8.300000000000001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47929-2019</t>
        </is>
      </c>
      <c r="B1103" s="1" t="n">
        <v>43725</v>
      </c>
      <c r="C1103" s="1" t="n">
        <v>45587</v>
      </c>
      <c r="D1103" t="inlineStr">
        <is>
          <t>GÄVLEBORGS LÄN</t>
        </is>
      </c>
      <c r="E1103" t="inlineStr">
        <is>
          <t>OVANÅKER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47984-2019</t>
        </is>
      </c>
      <c r="B1104" s="1" t="n">
        <v>43725</v>
      </c>
      <c r="C1104" s="1" t="n">
        <v>45587</v>
      </c>
      <c r="D1104" t="inlineStr">
        <is>
          <t>GÄVLEBORGS LÄN</t>
        </is>
      </c>
      <c r="E1104" t="inlineStr">
        <is>
          <t>HUDIKSVALL</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48100-2019</t>
        </is>
      </c>
      <c r="B1105" s="1" t="n">
        <v>43725</v>
      </c>
      <c r="C1105" s="1" t="n">
        <v>45587</v>
      </c>
      <c r="D1105" t="inlineStr">
        <is>
          <t>GÄVLEBORGS LÄN</t>
        </is>
      </c>
      <c r="E1105" t="inlineStr">
        <is>
          <t>SÖDERHAMN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48003-2019</t>
        </is>
      </c>
      <c r="B1106" s="1" t="n">
        <v>43725</v>
      </c>
      <c r="C1106" s="1" t="n">
        <v>45587</v>
      </c>
      <c r="D1106" t="inlineStr">
        <is>
          <t>GÄVLEBORGS LÄN</t>
        </is>
      </c>
      <c r="E1106" t="inlineStr">
        <is>
          <t>OVANÅKER</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48139-2019</t>
        </is>
      </c>
      <c r="B1107" s="1" t="n">
        <v>43725</v>
      </c>
      <c r="C1107" s="1" t="n">
        <v>45587</v>
      </c>
      <c r="D1107" t="inlineStr">
        <is>
          <t>GÄVLEBORGS LÄN</t>
        </is>
      </c>
      <c r="E1107" t="inlineStr">
        <is>
          <t>NORDANSTIG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48236-2019</t>
        </is>
      </c>
      <c r="B1108" s="1" t="n">
        <v>43726</v>
      </c>
      <c r="C1108" s="1" t="n">
        <v>45587</v>
      </c>
      <c r="D1108" t="inlineStr">
        <is>
          <t>GÄVLEBORGS LÄN</t>
        </is>
      </c>
      <c r="E1108" t="inlineStr">
        <is>
          <t>OCKELBO</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48358-2019</t>
        </is>
      </c>
      <c r="B1109" s="1" t="n">
        <v>43726</v>
      </c>
      <c r="C1109" s="1" t="n">
        <v>45587</v>
      </c>
      <c r="D1109" t="inlineStr">
        <is>
          <t>GÄVLEBORGS LÄN</t>
        </is>
      </c>
      <c r="E1109" t="inlineStr">
        <is>
          <t>HUDIKSVALL</t>
        </is>
      </c>
      <c r="F1109" t="inlineStr">
        <is>
          <t>Holmen skog AB</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48379-2019</t>
        </is>
      </c>
      <c r="B1110" s="1" t="n">
        <v>43726</v>
      </c>
      <c r="C1110" s="1" t="n">
        <v>45587</v>
      </c>
      <c r="D1110" t="inlineStr">
        <is>
          <t>GÄVLEBORGS LÄN</t>
        </is>
      </c>
      <c r="E1110" t="inlineStr">
        <is>
          <t>LJUSDAL</t>
        </is>
      </c>
      <c r="F1110" t="inlineStr">
        <is>
          <t>Bergvik skog väst AB</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48178-2019</t>
        </is>
      </c>
      <c r="B1111" s="1" t="n">
        <v>43726</v>
      </c>
      <c r="C1111" s="1" t="n">
        <v>45587</v>
      </c>
      <c r="D1111" t="inlineStr">
        <is>
          <t>GÄVLEBORGS LÄN</t>
        </is>
      </c>
      <c r="E1111" t="inlineStr">
        <is>
          <t>OVANÅKER</t>
        </is>
      </c>
      <c r="G1111" t="n">
        <v>9.5</v>
      </c>
      <c r="H1111" t="n">
        <v>0</v>
      </c>
      <c r="I1111" t="n">
        <v>0</v>
      </c>
      <c r="J1111" t="n">
        <v>0</v>
      </c>
      <c r="K1111" t="n">
        <v>0</v>
      </c>
      <c r="L1111" t="n">
        <v>0</v>
      </c>
      <c r="M1111" t="n">
        <v>0</v>
      </c>
      <c r="N1111" t="n">
        <v>0</v>
      </c>
      <c r="O1111" t="n">
        <v>0</v>
      </c>
      <c r="P1111" t="n">
        <v>0</v>
      </c>
      <c r="Q1111" t="n">
        <v>0</v>
      </c>
      <c r="R1111" s="2" t="inlineStr"/>
    </row>
    <row r="1112" ht="15" customHeight="1">
      <c r="A1112" t="inlineStr">
        <is>
          <t>A 48375-2019</t>
        </is>
      </c>
      <c r="B1112" s="1" t="n">
        <v>43726</v>
      </c>
      <c r="C1112" s="1" t="n">
        <v>45587</v>
      </c>
      <c r="D1112" t="inlineStr">
        <is>
          <t>GÄVLEBORGS LÄN</t>
        </is>
      </c>
      <c r="E1112" t="inlineStr">
        <is>
          <t>LJUSDAL</t>
        </is>
      </c>
      <c r="F1112" t="inlineStr">
        <is>
          <t>Bergvik skog väst AB</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48344-2019</t>
        </is>
      </c>
      <c r="B1113" s="1" t="n">
        <v>43726</v>
      </c>
      <c r="C1113" s="1" t="n">
        <v>45587</v>
      </c>
      <c r="D1113" t="inlineStr">
        <is>
          <t>GÄVLEBORGS LÄN</t>
        </is>
      </c>
      <c r="E1113" t="inlineStr">
        <is>
          <t>BOLLNÄS</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48355-2019</t>
        </is>
      </c>
      <c r="B1114" s="1" t="n">
        <v>43726</v>
      </c>
      <c r="C1114" s="1" t="n">
        <v>45587</v>
      </c>
      <c r="D1114" t="inlineStr">
        <is>
          <t>GÄVLEBORGS LÄN</t>
        </is>
      </c>
      <c r="E1114" t="inlineStr">
        <is>
          <t>OCKELBO</t>
        </is>
      </c>
      <c r="F1114" t="inlineStr">
        <is>
          <t>Bergvik skog väst AB</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48467-2019</t>
        </is>
      </c>
      <c r="B1115" s="1" t="n">
        <v>43727</v>
      </c>
      <c r="C1115" s="1" t="n">
        <v>45587</v>
      </c>
      <c r="D1115" t="inlineStr">
        <is>
          <t>GÄVLEBORGS LÄN</t>
        </is>
      </c>
      <c r="E1115" t="inlineStr">
        <is>
          <t>LJUSDAL</t>
        </is>
      </c>
      <c r="F1115" t="inlineStr">
        <is>
          <t>Holmen skog AB</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48439-2019</t>
        </is>
      </c>
      <c r="B1116" s="1" t="n">
        <v>43727</v>
      </c>
      <c r="C1116" s="1" t="n">
        <v>45587</v>
      </c>
      <c r="D1116" t="inlineStr">
        <is>
          <t>GÄVLEBORGS LÄN</t>
        </is>
      </c>
      <c r="E1116" t="inlineStr">
        <is>
          <t>HUDIKSVALL</t>
        </is>
      </c>
      <c r="F1116" t="inlineStr">
        <is>
          <t>Holmen skog AB</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48599-2019</t>
        </is>
      </c>
      <c r="B1117" s="1" t="n">
        <v>43727</v>
      </c>
      <c r="C1117" s="1" t="n">
        <v>45587</v>
      </c>
      <c r="D1117" t="inlineStr">
        <is>
          <t>GÄVLEBORGS LÄN</t>
        </is>
      </c>
      <c r="E1117" t="inlineStr">
        <is>
          <t>HUDIKSVALL</t>
        </is>
      </c>
      <c r="F1117" t="inlineStr">
        <is>
          <t>Kommuner</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48772-2019</t>
        </is>
      </c>
      <c r="B1118" s="1" t="n">
        <v>43727</v>
      </c>
      <c r="C1118" s="1" t="n">
        <v>45587</v>
      </c>
      <c r="D1118" t="inlineStr">
        <is>
          <t>GÄVLEBORGS LÄN</t>
        </is>
      </c>
      <c r="E1118" t="inlineStr">
        <is>
          <t>SANDVIKEN</t>
        </is>
      </c>
      <c r="F1118" t="inlineStr">
        <is>
          <t>Sveaskog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48781-2019</t>
        </is>
      </c>
      <c r="B1119" s="1" t="n">
        <v>43727</v>
      </c>
      <c r="C1119" s="1" t="n">
        <v>45587</v>
      </c>
      <c r="D1119" t="inlineStr">
        <is>
          <t>GÄVLEBORGS LÄN</t>
        </is>
      </c>
      <c r="E1119" t="inlineStr">
        <is>
          <t>SANDVIKEN</t>
        </is>
      </c>
      <c r="F1119" t="inlineStr">
        <is>
          <t>Sveaskog</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48765-2019</t>
        </is>
      </c>
      <c r="B1120" s="1" t="n">
        <v>43727</v>
      </c>
      <c r="C1120" s="1" t="n">
        <v>45587</v>
      </c>
      <c r="D1120" t="inlineStr">
        <is>
          <t>GÄVLEBORGS LÄN</t>
        </is>
      </c>
      <c r="E1120" t="inlineStr">
        <is>
          <t>SANDVIKEN</t>
        </is>
      </c>
      <c r="F1120" t="inlineStr">
        <is>
          <t>Sveaskog</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48764-2019</t>
        </is>
      </c>
      <c r="B1121" s="1" t="n">
        <v>43727</v>
      </c>
      <c r="C1121" s="1" t="n">
        <v>45587</v>
      </c>
      <c r="D1121" t="inlineStr">
        <is>
          <t>GÄVLEBORGS LÄN</t>
        </is>
      </c>
      <c r="E1121" t="inlineStr">
        <is>
          <t>SANDVIKEN</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48773-2019</t>
        </is>
      </c>
      <c r="B1122" s="1" t="n">
        <v>43727</v>
      </c>
      <c r="C1122" s="1" t="n">
        <v>45587</v>
      </c>
      <c r="D1122" t="inlineStr">
        <is>
          <t>GÄVLEBORGS LÄN</t>
        </is>
      </c>
      <c r="E1122" t="inlineStr">
        <is>
          <t>SANDVIKEN</t>
        </is>
      </c>
      <c r="F1122" t="inlineStr">
        <is>
          <t>Sveaskog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48787-2019</t>
        </is>
      </c>
      <c r="B1123" s="1" t="n">
        <v>43727</v>
      </c>
      <c r="C1123" s="1" t="n">
        <v>45587</v>
      </c>
      <c r="D1123" t="inlineStr">
        <is>
          <t>GÄVLEBORGS LÄN</t>
        </is>
      </c>
      <c r="E1123" t="inlineStr">
        <is>
          <t>SANDVIKEN</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48596-2019</t>
        </is>
      </c>
      <c r="B1124" s="1" t="n">
        <v>43727</v>
      </c>
      <c r="C1124" s="1" t="n">
        <v>45587</v>
      </c>
      <c r="D1124" t="inlineStr">
        <is>
          <t>GÄVLEBORGS LÄN</t>
        </is>
      </c>
      <c r="E1124" t="inlineStr">
        <is>
          <t>OVANÅKER</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48766-2019</t>
        </is>
      </c>
      <c r="B1125" s="1" t="n">
        <v>43727</v>
      </c>
      <c r="C1125" s="1" t="n">
        <v>45587</v>
      </c>
      <c r="D1125" t="inlineStr">
        <is>
          <t>GÄVLEBORGS LÄN</t>
        </is>
      </c>
      <c r="E1125" t="inlineStr">
        <is>
          <t>SANDVIKEN</t>
        </is>
      </c>
      <c r="F1125" t="inlineStr">
        <is>
          <t>Sveaskog</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48885-2019</t>
        </is>
      </c>
      <c r="B1126" s="1" t="n">
        <v>43728</v>
      </c>
      <c r="C1126" s="1" t="n">
        <v>45587</v>
      </c>
      <c r="D1126" t="inlineStr">
        <is>
          <t>GÄVLEBORGS LÄN</t>
        </is>
      </c>
      <c r="E1126" t="inlineStr">
        <is>
          <t>HUDIKSVALL</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48914-2019</t>
        </is>
      </c>
      <c r="B1127" s="1" t="n">
        <v>43728</v>
      </c>
      <c r="C1127" s="1" t="n">
        <v>45587</v>
      </c>
      <c r="D1127" t="inlineStr">
        <is>
          <t>GÄVLEBORGS LÄN</t>
        </is>
      </c>
      <c r="E1127" t="inlineStr">
        <is>
          <t>LJUSDAL</t>
        </is>
      </c>
      <c r="F1127" t="inlineStr">
        <is>
          <t>Holmen skog AB</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48641-2019</t>
        </is>
      </c>
      <c r="B1128" s="1" t="n">
        <v>43728</v>
      </c>
      <c r="C1128" s="1" t="n">
        <v>45587</v>
      </c>
      <c r="D1128" t="inlineStr">
        <is>
          <t>GÄVLEBORGS LÄN</t>
        </is>
      </c>
      <c r="E1128" t="inlineStr">
        <is>
          <t>GÄVLE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48736-2019</t>
        </is>
      </c>
      <c r="B1129" s="1" t="n">
        <v>43728</v>
      </c>
      <c r="C1129" s="1" t="n">
        <v>45587</v>
      </c>
      <c r="D1129" t="inlineStr">
        <is>
          <t>GÄVLEBORGS LÄN</t>
        </is>
      </c>
      <c r="E1129" t="inlineStr">
        <is>
          <t>OVANÅKER</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48642-2019</t>
        </is>
      </c>
      <c r="B1130" s="1" t="n">
        <v>43728</v>
      </c>
      <c r="C1130" s="1" t="n">
        <v>45587</v>
      </c>
      <c r="D1130" t="inlineStr">
        <is>
          <t>GÄVLEBORGS LÄN</t>
        </is>
      </c>
      <c r="E1130" t="inlineStr">
        <is>
          <t>GÄVLE</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48647-2019</t>
        </is>
      </c>
      <c r="B1131" s="1" t="n">
        <v>43728</v>
      </c>
      <c r="C1131" s="1" t="n">
        <v>45587</v>
      </c>
      <c r="D1131" t="inlineStr">
        <is>
          <t>GÄVLEBORGS LÄN</t>
        </is>
      </c>
      <c r="E1131" t="inlineStr">
        <is>
          <t>GÄVLE</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48931-2019</t>
        </is>
      </c>
      <c r="B1132" s="1" t="n">
        <v>43728</v>
      </c>
      <c r="C1132" s="1" t="n">
        <v>45587</v>
      </c>
      <c r="D1132" t="inlineStr">
        <is>
          <t>GÄVLEBORGS LÄN</t>
        </is>
      </c>
      <c r="E1132" t="inlineStr">
        <is>
          <t>OVANÅKER</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49156-2019</t>
        </is>
      </c>
      <c r="B1133" s="1" t="n">
        <v>43731</v>
      </c>
      <c r="C1133" s="1" t="n">
        <v>45587</v>
      </c>
      <c r="D1133" t="inlineStr">
        <is>
          <t>GÄVLEBORGS LÄN</t>
        </is>
      </c>
      <c r="E1133" t="inlineStr">
        <is>
          <t>OVANÅKER</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49108-2019</t>
        </is>
      </c>
      <c r="B1134" s="1" t="n">
        <v>43731</v>
      </c>
      <c r="C1134" s="1" t="n">
        <v>45587</v>
      </c>
      <c r="D1134" t="inlineStr">
        <is>
          <t>GÄVLEBORGS LÄN</t>
        </is>
      </c>
      <c r="E1134" t="inlineStr">
        <is>
          <t>LJUSDAL</t>
        </is>
      </c>
      <c r="F1134" t="inlineStr">
        <is>
          <t>Sveaskog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49127-2019</t>
        </is>
      </c>
      <c r="B1135" s="1" t="n">
        <v>43731</v>
      </c>
      <c r="C1135" s="1" t="n">
        <v>45587</v>
      </c>
      <c r="D1135" t="inlineStr">
        <is>
          <t>GÄVLEBORGS LÄN</t>
        </is>
      </c>
      <c r="E1135" t="inlineStr">
        <is>
          <t>OVANÅKER</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49251-2019</t>
        </is>
      </c>
      <c r="B1136" s="1" t="n">
        <v>43731</v>
      </c>
      <c r="C1136" s="1" t="n">
        <v>45587</v>
      </c>
      <c r="D1136" t="inlineStr">
        <is>
          <t>GÄVLEBORGS LÄN</t>
        </is>
      </c>
      <c r="E1136" t="inlineStr">
        <is>
          <t>HUDIKSVALL</t>
        </is>
      </c>
      <c r="F1136" t="inlineStr">
        <is>
          <t>Holmen skog AB</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49103-2019</t>
        </is>
      </c>
      <c r="B1137" s="1" t="n">
        <v>43731</v>
      </c>
      <c r="C1137" s="1" t="n">
        <v>45587</v>
      </c>
      <c r="D1137" t="inlineStr">
        <is>
          <t>GÄVLEBORGS LÄN</t>
        </is>
      </c>
      <c r="E1137" t="inlineStr">
        <is>
          <t>OVANÅKER</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49248-2019</t>
        </is>
      </c>
      <c r="B1138" s="1" t="n">
        <v>43731</v>
      </c>
      <c r="C1138" s="1" t="n">
        <v>45587</v>
      </c>
      <c r="D1138" t="inlineStr">
        <is>
          <t>GÄVLEBORGS LÄN</t>
        </is>
      </c>
      <c r="E1138" t="inlineStr">
        <is>
          <t>OVANÅKER</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49135-2019</t>
        </is>
      </c>
      <c r="B1139" s="1" t="n">
        <v>43731</v>
      </c>
      <c r="C1139" s="1" t="n">
        <v>45587</v>
      </c>
      <c r="D1139" t="inlineStr">
        <is>
          <t>GÄVLEBORGS LÄN</t>
        </is>
      </c>
      <c r="E1139" t="inlineStr">
        <is>
          <t>OVANÅKER</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49241-2019</t>
        </is>
      </c>
      <c r="B1140" s="1" t="n">
        <v>43731</v>
      </c>
      <c r="C1140" s="1" t="n">
        <v>45587</v>
      </c>
      <c r="D1140" t="inlineStr">
        <is>
          <t>GÄVLEBORGS LÄN</t>
        </is>
      </c>
      <c r="E1140" t="inlineStr">
        <is>
          <t>OVANÅKER</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49298-2019</t>
        </is>
      </c>
      <c r="B1141" s="1" t="n">
        <v>43731</v>
      </c>
      <c r="C1141" s="1" t="n">
        <v>45587</v>
      </c>
      <c r="D1141" t="inlineStr">
        <is>
          <t>GÄVLEBORGS LÄN</t>
        </is>
      </c>
      <c r="E1141" t="inlineStr">
        <is>
          <t>HUDIKSVALL</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49361-2019</t>
        </is>
      </c>
      <c r="B1142" s="1" t="n">
        <v>43731</v>
      </c>
      <c r="C1142" s="1" t="n">
        <v>45587</v>
      </c>
      <c r="D1142" t="inlineStr">
        <is>
          <t>GÄVLEBORGS LÄN</t>
        </is>
      </c>
      <c r="E1142" t="inlineStr">
        <is>
          <t>HOFORS</t>
        </is>
      </c>
      <c r="F1142" t="inlineStr">
        <is>
          <t>Sveaskog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49296-2019</t>
        </is>
      </c>
      <c r="B1143" s="1" t="n">
        <v>43731</v>
      </c>
      <c r="C1143" s="1" t="n">
        <v>45587</v>
      </c>
      <c r="D1143" t="inlineStr">
        <is>
          <t>GÄVLEBORGS LÄN</t>
        </is>
      </c>
      <c r="E1143" t="inlineStr">
        <is>
          <t>HOFORS</t>
        </is>
      </c>
      <c r="F1143" t="inlineStr">
        <is>
          <t>Sveaskog</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50311-2019</t>
        </is>
      </c>
      <c r="B1144" s="1" t="n">
        <v>43731</v>
      </c>
      <c r="C1144" s="1" t="n">
        <v>45587</v>
      </c>
      <c r="D1144" t="inlineStr">
        <is>
          <t>GÄVLEBORGS LÄN</t>
        </is>
      </c>
      <c r="E1144" t="inlineStr">
        <is>
          <t>LJUSDAL</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49390-2019</t>
        </is>
      </c>
      <c r="B1145" s="1" t="n">
        <v>43732</v>
      </c>
      <c r="C1145" s="1" t="n">
        <v>45587</v>
      </c>
      <c r="D1145" t="inlineStr">
        <is>
          <t>GÄVLEBORGS LÄN</t>
        </is>
      </c>
      <c r="E1145" t="inlineStr">
        <is>
          <t>HUDIKSVALL</t>
        </is>
      </c>
      <c r="F1145" t="inlineStr">
        <is>
          <t>Holmen skog AB</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49477-2019</t>
        </is>
      </c>
      <c r="B1146" s="1" t="n">
        <v>43732</v>
      </c>
      <c r="C1146" s="1" t="n">
        <v>45587</v>
      </c>
      <c r="D1146" t="inlineStr">
        <is>
          <t>GÄVLEBORGS LÄN</t>
        </is>
      </c>
      <c r="E1146" t="inlineStr">
        <is>
          <t>SÖDERHAMN</t>
        </is>
      </c>
      <c r="F1146" t="inlineStr">
        <is>
          <t>Kommuner</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49492-2019</t>
        </is>
      </c>
      <c r="B1147" s="1" t="n">
        <v>43732</v>
      </c>
      <c r="C1147" s="1" t="n">
        <v>45587</v>
      </c>
      <c r="D1147" t="inlineStr">
        <is>
          <t>GÄVLEBORGS LÄN</t>
        </is>
      </c>
      <c r="E1147" t="inlineStr">
        <is>
          <t>LJUSDAL</t>
        </is>
      </c>
      <c r="F1147" t="inlineStr">
        <is>
          <t>Bergvik skog väst AB</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49513-2019</t>
        </is>
      </c>
      <c r="B1148" s="1" t="n">
        <v>43732</v>
      </c>
      <c r="C1148" s="1" t="n">
        <v>45587</v>
      </c>
      <c r="D1148" t="inlineStr">
        <is>
          <t>GÄVLEBORGS LÄN</t>
        </is>
      </c>
      <c r="E1148" t="inlineStr">
        <is>
          <t>HUDIKSVALL</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49520-2019</t>
        </is>
      </c>
      <c r="B1149" s="1" t="n">
        <v>43732</v>
      </c>
      <c r="C1149" s="1" t="n">
        <v>45587</v>
      </c>
      <c r="D1149" t="inlineStr">
        <is>
          <t>GÄVLEBORGS LÄN</t>
        </is>
      </c>
      <c r="E1149" t="inlineStr">
        <is>
          <t>BOLLNÄS</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49472-2019</t>
        </is>
      </c>
      <c r="B1150" s="1" t="n">
        <v>43732</v>
      </c>
      <c r="C1150" s="1" t="n">
        <v>45587</v>
      </c>
      <c r="D1150" t="inlineStr">
        <is>
          <t>GÄVLEBORGS LÄN</t>
        </is>
      </c>
      <c r="E1150" t="inlineStr">
        <is>
          <t>HUDIKSVALL</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49481-2019</t>
        </is>
      </c>
      <c r="B1151" s="1" t="n">
        <v>43732</v>
      </c>
      <c r="C1151" s="1" t="n">
        <v>45587</v>
      </c>
      <c r="D1151" t="inlineStr">
        <is>
          <t>GÄVLEBORGS LÄN</t>
        </is>
      </c>
      <c r="E1151" t="inlineStr">
        <is>
          <t>SÖDERHAMN</t>
        </is>
      </c>
      <c r="F1151" t="inlineStr">
        <is>
          <t>Kommuner</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49607-2019</t>
        </is>
      </c>
      <c r="B1152" s="1" t="n">
        <v>43732</v>
      </c>
      <c r="C1152" s="1" t="n">
        <v>45587</v>
      </c>
      <c r="D1152" t="inlineStr">
        <is>
          <t>GÄVLEBORGS LÄN</t>
        </is>
      </c>
      <c r="E1152" t="inlineStr">
        <is>
          <t>HUDIKSVALL</t>
        </is>
      </c>
      <c r="F1152" t="inlineStr">
        <is>
          <t>Holmen skog AB</t>
        </is>
      </c>
      <c r="G1152" t="n">
        <v>9</v>
      </c>
      <c r="H1152" t="n">
        <v>0</v>
      </c>
      <c r="I1152" t="n">
        <v>0</v>
      </c>
      <c r="J1152" t="n">
        <v>0</v>
      </c>
      <c r="K1152" t="n">
        <v>0</v>
      </c>
      <c r="L1152" t="n">
        <v>0</v>
      </c>
      <c r="M1152" t="n">
        <v>0</v>
      </c>
      <c r="N1152" t="n">
        <v>0</v>
      </c>
      <c r="O1152" t="n">
        <v>0</v>
      </c>
      <c r="P1152" t="n">
        <v>0</v>
      </c>
      <c r="Q1152" t="n">
        <v>0</v>
      </c>
      <c r="R1152" s="2" t="inlineStr"/>
    </row>
    <row r="1153" ht="15" customHeight="1">
      <c r="A1153" t="inlineStr">
        <is>
          <t>A 49656-2019</t>
        </is>
      </c>
      <c r="B1153" s="1" t="n">
        <v>43732</v>
      </c>
      <c r="C1153" s="1" t="n">
        <v>45587</v>
      </c>
      <c r="D1153" t="inlineStr">
        <is>
          <t>GÄVLEBORGS LÄN</t>
        </is>
      </c>
      <c r="E1153" t="inlineStr">
        <is>
          <t>LJUSDAL</t>
        </is>
      </c>
      <c r="F1153" t="inlineStr">
        <is>
          <t>Sveaskog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49622-2019</t>
        </is>
      </c>
      <c r="B1154" s="1" t="n">
        <v>43732</v>
      </c>
      <c r="C1154" s="1" t="n">
        <v>45587</v>
      </c>
      <c r="D1154" t="inlineStr">
        <is>
          <t>GÄVLEBORGS LÄN</t>
        </is>
      </c>
      <c r="E1154" t="inlineStr">
        <is>
          <t>OCKELBO</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49573-2019</t>
        </is>
      </c>
      <c r="B1155" s="1" t="n">
        <v>43732</v>
      </c>
      <c r="C1155" s="1" t="n">
        <v>45587</v>
      </c>
      <c r="D1155" t="inlineStr">
        <is>
          <t>GÄVLEBORGS LÄN</t>
        </is>
      </c>
      <c r="E1155" t="inlineStr">
        <is>
          <t>GÄVLE</t>
        </is>
      </c>
      <c r="F1155" t="inlineStr">
        <is>
          <t>Bergvik skog öst AB</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49547-2019</t>
        </is>
      </c>
      <c r="B1156" s="1" t="n">
        <v>43732</v>
      </c>
      <c r="C1156" s="1" t="n">
        <v>45587</v>
      </c>
      <c r="D1156" t="inlineStr">
        <is>
          <t>GÄVLEBORGS LÄN</t>
        </is>
      </c>
      <c r="E1156" t="inlineStr">
        <is>
          <t>SÖDERHAMN</t>
        </is>
      </c>
      <c r="F1156" t="inlineStr">
        <is>
          <t>Kommuner</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49528-2019</t>
        </is>
      </c>
      <c r="B1157" s="1" t="n">
        <v>43732</v>
      </c>
      <c r="C1157" s="1" t="n">
        <v>45587</v>
      </c>
      <c r="D1157" t="inlineStr">
        <is>
          <t>GÄVLEBORGS LÄN</t>
        </is>
      </c>
      <c r="E1157" t="inlineStr">
        <is>
          <t>SANDVIKEN</t>
        </is>
      </c>
      <c r="F1157" t="inlineStr">
        <is>
          <t>Bergvik skog öst AB</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49994-2019</t>
        </is>
      </c>
      <c r="B1158" s="1" t="n">
        <v>43733</v>
      </c>
      <c r="C1158" s="1" t="n">
        <v>45587</v>
      </c>
      <c r="D1158" t="inlineStr">
        <is>
          <t>GÄVLEBORGS LÄN</t>
        </is>
      </c>
      <c r="E1158" t="inlineStr">
        <is>
          <t>HUDIKSVALL</t>
        </is>
      </c>
      <c r="G1158" t="n">
        <v>9.6</v>
      </c>
      <c r="H1158" t="n">
        <v>0</v>
      </c>
      <c r="I1158" t="n">
        <v>0</v>
      </c>
      <c r="J1158" t="n">
        <v>0</v>
      </c>
      <c r="K1158" t="n">
        <v>0</v>
      </c>
      <c r="L1158" t="n">
        <v>0</v>
      </c>
      <c r="M1158" t="n">
        <v>0</v>
      </c>
      <c r="N1158" t="n">
        <v>0</v>
      </c>
      <c r="O1158" t="n">
        <v>0</v>
      </c>
      <c r="P1158" t="n">
        <v>0</v>
      </c>
      <c r="Q1158" t="n">
        <v>0</v>
      </c>
      <c r="R1158" s="2" t="inlineStr"/>
    </row>
    <row r="1159" ht="15" customHeight="1">
      <c r="A1159" t="inlineStr">
        <is>
          <t>A 49909-2019</t>
        </is>
      </c>
      <c r="B1159" s="1" t="n">
        <v>43733</v>
      </c>
      <c r="C1159" s="1" t="n">
        <v>45587</v>
      </c>
      <c r="D1159" t="inlineStr">
        <is>
          <t>GÄVLEBORGS LÄN</t>
        </is>
      </c>
      <c r="E1159" t="inlineStr">
        <is>
          <t>BOLLNÄS</t>
        </is>
      </c>
      <c r="F1159" t="inlineStr">
        <is>
          <t>Sveaskog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49906-2019</t>
        </is>
      </c>
      <c r="B1160" s="1" t="n">
        <v>43733</v>
      </c>
      <c r="C1160" s="1" t="n">
        <v>45587</v>
      </c>
      <c r="D1160" t="inlineStr">
        <is>
          <t>GÄVLEBORGS LÄN</t>
        </is>
      </c>
      <c r="E1160" t="inlineStr">
        <is>
          <t>BOLLNÄS</t>
        </is>
      </c>
      <c r="F1160" t="inlineStr">
        <is>
          <t>Sveaskog</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50222-2019</t>
        </is>
      </c>
      <c r="B1161" s="1" t="n">
        <v>43734</v>
      </c>
      <c r="C1161" s="1" t="n">
        <v>45587</v>
      </c>
      <c r="D1161" t="inlineStr">
        <is>
          <t>GÄVLEBORGS LÄN</t>
        </is>
      </c>
      <c r="E1161" t="inlineStr">
        <is>
          <t>LJUSDAL</t>
        </is>
      </c>
      <c r="G1161" t="n">
        <v>22.9</v>
      </c>
      <c r="H1161" t="n">
        <v>0</v>
      </c>
      <c r="I1161" t="n">
        <v>0</v>
      </c>
      <c r="J1161" t="n">
        <v>0</v>
      </c>
      <c r="K1161" t="n">
        <v>0</v>
      </c>
      <c r="L1161" t="n">
        <v>0</v>
      </c>
      <c r="M1161" t="n">
        <v>0</v>
      </c>
      <c r="N1161" t="n">
        <v>0</v>
      </c>
      <c r="O1161" t="n">
        <v>0</v>
      </c>
      <c r="P1161" t="n">
        <v>0</v>
      </c>
      <c r="Q1161" t="n">
        <v>0</v>
      </c>
      <c r="R1161" s="2" t="inlineStr"/>
    </row>
    <row r="1162" ht="15" customHeight="1">
      <c r="A1162" t="inlineStr">
        <is>
          <t>A 50154-2019</t>
        </is>
      </c>
      <c r="B1162" s="1" t="n">
        <v>43734</v>
      </c>
      <c r="C1162" s="1" t="n">
        <v>45587</v>
      </c>
      <c r="D1162" t="inlineStr">
        <is>
          <t>GÄVLEBORGS LÄN</t>
        </is>
      </c>
      <c r="E1162" t="inlineStr">
        <is>
          <t>HUDIKSVALL</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50201-2019</t>
        </is>
      </c>
      <c r="B1163" s="1" t="n">
        <v>43734</v>
      </c>
      <c r="C1163" s="1" t="n">
        <v>45587</v>
      </c>
      <c r="D1163" t="inlineStr">
        <is>
          <t>GÄVLEBORGS LÄN</t>
        </is>
      </c>
      <c r="E1163" t="inlineStr">
        <is>
          <t>SÖDERHAMN</t>
        </is>
      </c>
      <c r="F1163" t="inlineStr">
        <is>
          <t>Kommuner</t>
        </is>
      </c>
      <c r="G1163" t="n">
        <v>8.800000000000001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50093-2019</t>
        </is>
      </c>
      <c r="B1164" s="1" t="n">
        <v>43734</v>
      </c>
      <c r="C1164" s="1" t="n">
        <v>45587</v>
      </c>
      <c r="D1164" t="inlineStr">
        <is>
          <t>GÄVLEBORGS LÄN</t>
        </is>
      </c>
      <c r="E1164" t="inlineStr">
        <is>
          <t>HUDIKSVALL</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50150-2019</t>
        </is>
      </c>
      <c r="B1165" s="1" t="n">
        <v>43734</v>
      </c>
      <c r="C1165" s="1" t="n">
        <v>45587</v>
      </c>
      <c r="D1165" t="inlineStr">
        <is>
          <t>GÄVLEBORGS LÄN</t>
        </is>
      </c>
      <c r="E1165" t="inlineStr">
        <is>
          <t>NORDANSTIG</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50249-2019</t>
        </is>
      </c>
      <c r="B1166" s="1" t="n">
        <v>43734</v>
      </c>
      <c r="C1166" s="1" t="n">
        <v>45587</v>
      </c>
      <c r="D1166" t="inlineStr">
        <is>
          <t>GÄVLEBORGS LÄN</t>
        </is>
      </c>
      <c r="E1166" t="inlineStr">
        <is>
          <t>HUDIKSVALL</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50152-2019</t>
        </is>
      </c>
      <c r="B1167" s="1" t="n">
        <v>43734</v>
      </c>
      <c r="C1167" s="1" t="n">
        <v>45587</v>
      </c>
      <c r="D1167" t="inlineStr">
        <is>
          <t>GÄVLEBORGS LÄN</t>
        </is>
      </c>
      <c r="E1167" t="inlineStr">
        <is>
          <t>HUDIKSVALL</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50333-2019</t>
        </is>
      </c>
      <c r="B1168" s="1" t="n">
        <v>43735</v>
      </c>
      <c r="C1168" s="1" t="n">
        <v>45587</v>
      </c>
      <c r="D1168" t="inlineStr">
        <is>
          <t>GÄVLEBORGS LÄN</t>
        </is>
      </c>
      <c r="E1168" t="inlineStr">
        <is>
          <t>GÄVLE</t>
        </is>
      </c>
      <c r="F1168" t="inlineStr">
        <is>
          <t>Bergvik skog väst AB</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50444-2019</t>
        </is>
      </c>
      <c r="B1169" s="1" t="n">
        <v>43735</v>
      </c>
      <c r="C1169" s="1" t="n">
        <v>45587</v>
      </c>
      <c r="D1169" t="inlineStr">
        <is>
          <t>GÄVLEBORGS LÄN</t>
        </is>
      </c>
      <c r="E1169" t="inlineStr">
        <is>
          <t>OVANÅKER</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50307-2019</t>
        </is>
      </c>
      <c r="B1170" s="1" t="n">
        <v>43735</v>
      </c>
      <c r="C1170" s="1" t="n">
        <v>45587</v>
      </c>
      <c r="D1170" t="inlineStr">
        <is>
          <t>GÄVLEBORGS LÄN</t>
        </is>
      </c>
      <c r="E1170" t="inlineStr">
        <is>
          <t>LJUSDAL</t>
        </is>
      </c>
      <c r="G1170" t="n">
        <v>18.4</v>
      </c>
      <c r="H1170" t="n">
        <v>0</v>
      </c>
      <c r="I1170" t="n">
        <v>0</v>
      </c>
      <c r="J1170" t="n">
        <v>0</v>
      </c>
      <c r="K1170" t="n">
        <v>0</v>
      </c>
      <c r="L1170" t="n">
        <v>0</v>
      </c>
      <c r="M1170" t="n">
        <v>0</v>
      </c>
      <c r="N1170" t="n">
        <v>0</v>
      </c>
      <c r="O1170" t="n">
        <v>0</v>
      </c>
      <c r="P1170" t="n">
        <v>0</v>
      </c>
      <c r="Q1170" t="n">
        <v>0</v>
      </c>
      <c r="R1170" s="2" t="inlineStr"/>
    </row>
    <row r="1171" ht="15" customHeight="1">
      <c r="A1171" t="inlineStr">
        <is>
          <t>A 50757-2019</t>
        </is>
      </c>
      <c r="B1171" s="1" t="n">
        <v>43738</v>
      </c>
      <c r="C1171" s="1" t="n">
        <v>45587</v>
      </c>
      <c r="D1171" t="inlineStr">
        <is>
          <t>GÄVLEBORGS LÄN</t>
        </is>
      </c>
      <c r="E1171" t="inlineStr">
        <is>
          <t>HUDIKSVALL</t>
        </is>
      </c>
      <c r="F1171" t="inlineStr">
        <is>
          <t>Holmen skog AB</t>
        </is>
      </c>
      <c r="G1171" t="n">
        <v>35.3</v>
      </c>
      <c r="H1171" t="n">
        <v>0</v>
      </c>
      <c r="I1171" t="n">
        <v>0</v>
      </c>
      <c r="J1171" t="n">
        <v>0</v>
      </c>
      <c r="K1171" t="n">
        <v>0</v>
      </c>
      <c r="L1171" t="n">
        <v>0</v>
      </c>
      <c r="M1171" t="n">
        <v>0</v>
      </c>
      <c r="N1171" t="n">
        <v>0</v>
      </c>
      <c r="O1171" t="n">
        <v>0</v>
      </c>
      <c r="P1171" t="n">
        <v>0</v>
      </c>
      <c r="Q1171" t="n">
        <v>0</v>
      </c>
      <c r="R1171" s="2" t="inlineStr"/>
    </row>
    <row r="1172" ht="15" customHeight="1">
      <c r="A1172" t="inlineStr">
        <is>
          <t>A 50705-2019</t>
        </is>
      </c>
      <c r="B1172" s="1" t="n">
        <v>43738</v>
      </c>
      <c r="C1172" s="1" t="n">
        <v>45587</v>
      </c>
      <c r="D1172" t="inlineStr">
        <is>
          <t>GÄVLEBORGS LÄN</t>
        </is>
      </c>
      <c r="E1172" t="inlineStr">
        <is>
          <t>BOLLNÄS</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55504-2019</t>
        </is>
      </c>
      <c r="B1173" s="1" t="n">
        <v>43738</v>
      </c>
      <c r="C1173" s="1" t="n">
        <v>45587</v>
      </c>
      <c r="D1173" t="inlineStr">
        <is>
          <t>GÄVLEBORGS LÄN</t>
        </is>
      </c>
      <c r="E1173" t="inlineStr">
        <is>
          <t>LJUSDAL</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50696-2019</t>
        </is>
      </c>
      <c r="B1174" s="1" t="n">
        <v>43738</v>
      </c>
      <c r="C1174" s="1" t="n">
        <v>45587</v>
      </c>
      <c r="D1174" t="inlineStr">
        <is>
          <t>GÄVLEBORGS LÄN</t>
        </is>
      </c>
      <c r="E1174" t="inlineStr">
        <is>
          <t>HOFORS</t>
        </is>
      </c>
      <c r="F1174" t="inlineStr">
        <is>
          <t>Sveaskog</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50694-2019</t>
        </is>
      </c>
      <c r="B1175" s="1" t="n">
        <v>43738</v>
      </c>
      <c r="C1175" s="1" t="n">
        <v>45587</v>
      </c>
      <c r="D1175" t="inlineStr">
        <is>
          <t>GÄVLEBORGS LÄN</t>
        </is>
      </c>
      <c r="E1175" t="inlineStr">
        <is>
          <t>HOFORS</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55549-2019</t>
        </is>
      </c>
      <c r="B1176" s="1" t="n">
        <v>43738</v>
      </c>
      <c r="C1176" s="1" t="n">
        <v>45587</v>
      </c>
      <c r="D1176" t="inlineStr">
        <is>
          <t>GÄVLEBORGS LÄN</t>
        </is>
      </c>
      <c r="E1176" t="inlineStr">
        <is>
          <t>LJUSDAL</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51162-2019</t>
        </is>
      </c>
      <c r="B1177" s="1" t="n">
        <v>43739</v>
      </c>
      <c r="C1177" s="1" t="n">
        <v>45587</v>
      </c>
      <c r="D1177" t="inlineStr">
        <is>
          <t>GÄVLEBORGS LÄN</t>
        </is>
      </c>
      <c r="E1177" t="inlineStr">
        <is>
          <t>BOLLNÄS</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51286-2019</t>
        </is>
      </c>
      <c r="B1178" s="1" t="n">
        <v>43739</v>
      </c>
      <c r="C1178" s="1" t="n">
        <v>45587</v>
      </c>
      <c r="D1178" t="inlineStr">
        <is>
          <t>GÄVLEBORGS LÄN</t>
        </is>
      </c>
      <c r="E1178" t="inlineStr">
        <is>
          <t>OVANÅKER</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51307-2019</t>
        </is>
      </c>
      <c r="B1179" s="1" t="n">
        <v>43739</v>
      </c>
      <c r="C1179" s="1" t="n">
        <v>45587</v>
      </c>
      <c r="D1179" t="inlineStr">
        <is>
          <t>GÄVLEBORGS LÄN</t>
        </is>
      </c>
      <c r="E1179" t="inlineStr">
        <is>
          <t>HUDIKSVALL</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51076-2019</t>
        </is>
      </c>
      <c r="B1180" s="1" t="n">
        <v>43739</v>
      </c>
      <c r="C1180" s="1" t="n">
        <v>45587</v>
      </c>
      <c r="D1180" t="inlineStr">
        <is>
          <t>GÄVLEBORGS LÄN</t>
        </is>
      </c>
      <c r="E1180" t="inlineStr">
        <is>
          <t>HUDIKSVALL</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51425-2019</t>
        </is>
      </c>
      <c r="B1181" s="1" t="n">
        <v>43740</v>
      </c>
      <c r="C1181" s="1" t="n">
        <v>45587</v>
      </c>
      <c r="D1181" t="inlineStr">
        <is>
          <t>GÄVLEBORGS LÄN</t>
        </is>
      </c>
      <c r="E1181" t="inlineStr">
        <is>
          <t>BOLLNÄS</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51582-2019</t>
        </is>
      </c>
      <c r="B1182" s="1" t="n">
        <v>43740</v>
      </c>
      <c r="C1182" s="1" t="n">
        <v>45587</v>
      </c>
      <c r="D1182" t="inlineStr">
        <is>
          <t>GÄVLEBORGS LÄN</t>
        </is>
      </c>
      <c r="E1182" t="inlineStr">
        <is>
          <t>HUDIKSVALL</t>
        </is>
      </c>
      <c r="F1182" t="inlineStr">
        <is>
          <t>Holmen skog AB</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53327-2019</t>
        </is>
      </c>
      <c r="B1183" s="1" t="n">
        <v>43740</v>
      </c>
      <c r="C1183" s="1" t="n">
        <v>45587</v>
      </c>
      <c r="D1183" t="inlineStr">
        <is>
          <t>GÄVLEBORGS LÄN</t>
        </is>
      </c>
      <c r="E1183" t="inlineStr">
        <is>
          <t>OVANÅKER</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51770-2019</t>
        </is>
      </c>
      <c r="B1184" s="1" t="n">
        <v>43741</v>
      </c>
      <c r="C1184" s="1" t="n">
        <v>45587</v>
      </c>
      <c r="D1184" t="inlineStr">
        <is>
          <t>GÄVLEBORGS LÄN</t>
        </is>
      </c>
      <c r="E1184" t="inlineStr">
        <is>
          <t>HUDIKSVALL</t>
        </is>
      </c>
      <c r="F1184" t="inlineStr">
        <is>
          <t>Holmen skog AB</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51825-2019</t>
        </is>
      </c>
      <c r="B1185" s="1" t="n">
        <v>43741</v>
      </c>
      <c r="C1185" s="1" t="n">
        <v>45587</v>
      </c>
      <c r="D1185" t="inlineStr">
        <is>
          <t>GÄVLEBORGS LÄN</t>
        </is>
      </c>
      <c r="E1185" t="inlineStr">
        <is>
          <t>BOLLNÄS</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51904-2019</t>
        </is>
      </c>
      <c r="B1186" s="1" t="n">
        <v>43741</v>
      </c>
      <c r="C1186" s="1" t="n">
        <v>45587</v>
      </c>
      <c r="D1186" t="inlineStr">
        <is>
          <t>GÄVLEBORGS LÄN</t>
        </is>
      </c>
      <c r="E1186" t="inlineStr">
        <is>
          <t>NORDANSTIG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51927-2019</t>
        </is>
      </c>
      <c r="B1187" s="1" t="n">
        <v>43741</v>
      </c>
      <c r="C1187" s="1" t="n">
        <v>45587</v>
      </c>
      <c r="D1187" t="inlineStr">
        <is>
          <t>GÄVLEBORGS LÄN</t>
        </is>
      </c>
      <c r="E1187" t="inlineStr">
        <is>
          <t>HOFORS</t>
        </is>
      </c>
      <c r="F1187" t="inlineStr">
        <is>
          <t>Sveaskog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51779-2019</t>
        </is>
      </c>
      <c r="B1188" s="1" t="n">
        <v>43741</v>
      </c>
      <c r="C1188" s="1" t="n">
        <v>45587</v>
      </c>
      <c r="D1188" t="inlineStr">
        <is>
          <t>GÄVLEBORGS LÄN</t>
        </is>
      </c>
      <c r="E1188" t="inlineStr">
        <is>
          <t>LJUSDAL</t>
        </is>
      </c>
      <c r="F1188" t="inlineStr">
        <is>
          <t>Sveaskog</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52096-2019</t>
        </is>
      </c>
      <c r="B1189" s="1" t="n">
        <v>43742</v>
      </c>
      <c r="C1189" s="1" t="n">
        <v>45587</v>
      </c>
      <c r="D1189" t="inlineStr">
        <is>
          <t>GÄVLEBORGS LÄN</t>
        </is>
      </c>
      <c r="E1189" t="inlineStr">
        <is>
          <t>LJUSDAL</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52178-2019</t>
        </is>
      </c>
      <c r="B1190" s="1" t="n">
        <v>43742</v>
      </c>
      <c r="C1190" s="1" t="n">
        <v>45587</v>
      </c>
      <c r="D1190" t="inlineStr">
        <is>
          <t>GÄVLEBORGS LÄN</t>
        </is>
      </c>
      <c r="E1190" t="inlineStr">
        <is>
          <t>BOLLNÄS</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52176-2019</t>
        </is>
      </c>
      <c r="B1191" s="1" t="n">
        <v>43742</v>
      </c>
      <c r="C1191" s="1" t="n">
        <v>45587</v>
      </c>
      <c r="D1191" t="inlineStr">
        <is>
          <t>GÄVLEBORGS LÄN</t>
        </is>
      </c>
      <c r="E1191" t="inlineStr">
        <is>
          <t>BOLLNÄS</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52125-2019</t>
        </is>
      </c>
      <c r="B1192" s="1" t="n">
        <v>43742</v>
      </c>
      <c r="C1192" s="1" t="n">
        <v>45587</v>
      </c>
      <c r="D1192" t="inlineStr">
        <is>
          <t>GÄVLEBORGS LÄN</t>
        </is>
      </c>
      <c r="E1192" t="inlineStr">
        <is>
          <t>BOLLNÄS</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52181-2019</t>
        </is>
      </c>
      <c r="B1193" s="1" t="n">
        <v>43742</v>
      </c>
      <c r="C1193" s="1" t="n">
        <v>45587</v>
      </c>
      <c r="D1193" t="inlineStr">
        <is>
          <t>GÄVLEBORGS LÄN</t>
        </is>
      </c>
      <c r="E1193" t="inlineStr">
        <is>
          <t>BOLLNÄS</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52336-2019</t>
        </is>
      </c>
      <c r="B1194" s="1" t="n">
        <v>43745</v>
      </c>
      <c r="C1194" s="1" t="n">
        <v>45587</v>
      </c>
      <c r="D1194" t="inlineStr">
        <is>
          <t>GÄVLEBORGS LÄN</t>
        </is>
      </c>
      <c r="E1194" t="inlineStr">
        <is>
          <t>HUDIKSVALL</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52458-2019</t>
        </is>
      </c>
      <c r="B1195" s="1" t="n">
        <v>43745</v>
      </c>
      <c r="C1195" s="1" t="n">
        <v>45587</v>
      </c>
      <c r="D1195" t="inlineStr">
        <is>
          <t>GÄVLEBORGS LÄN</t>
        </is>
      </c>
      <c r="E1195" t="inlineStr">
        <is>
          <t>SANDVIKEN</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54168-2019</t>
        </is>
      </c>
      <c r="B1196" s="1" t="n">
        <v>43745</v>
      </c>
      <c r="C1196" s="1" t="n">
        <v>45587</v>
      </c>
      <c r="D1196" t="inlineStr">
        <is>
          <t>GÄVLEBORGS LÄN</t>
        </is>
      </c>
      <c r="E1196" t="inlineStr">
        <is>
          <t>LJUSDAL</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52405-2019</t>
        </is>
      </c>
      <c r="B1197" s="1" t="n">
        <v>43745</v>
      </c>
      <c r="C1197" s="1" t="n">
        <v>45587</v>
      </c>
      <c r="D1197" t="inlineStr">
        <is>
          <t>GÄVLEBORGS LÄN</t>
        </is>
      </c>
      <c r="E1197" t="inlineStr">
        <is>
          <t>LJUSDAL</t>
        </is>
      </c>
      <c r="F1197" t="inlineStr">
        <is>
          <t>Sveaskog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52365-2019</t>
        </is>
      </c>
      <c r="B1198" s="1" t="n">
        <v>43745</v>
      </c>
      <c r="C1198" s="1" t="n">
        <v>45587</v>
      </c>
      <c r="D1198" t="inlineStr">
        <is>
          <t>GÄVLEBORGS LÄN</t>
        </is>
      </c>
      <c r="E1198" t="inlineStr">
        <is>
          <t>HUDIKSVALL</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52795-2019</t>
        </is>
      </c>
      <c r="B1199" s="1" t="n">
        <v>43746</v>
      </c>
      <c r="C1199" s="1" t="n">
        <v>45587</v>
      </c>
      <c r="D1199" t="inlineStr">
        <is>
          <t>GÄVLEBORGS LÄN</t>
        </is>
      </c>
      <c r="E1199" t="inlineStr">
        <is>
          <t>NORDANSTIG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52626-2019</t>
        </is>
      </c>
      <c r="B1200" s="1" t="n">
        <v>43746</v>
      </c>
      <c r="C1200" s="1" t="n">
        <v>45587</v>
      </c>
      <c r="D1200" t="inlineStr">
        <is>
          <t>GÄVLEBORGS LÄN</t>
        </is>
      </c>
      <c r="E1200" t="inlineStr">
        <is>
          <t>LJUSDAL</t>
        </is>
      </c>
      <c r="G1200" t="n">
        <v>18.9</v>
      </c>
      <c r="H1200" t="n">
        <v>0</v>
      </c>
      <c r="I1200" t="n">
        <v>0</v>
      </c>
      <c r="J1200" t="n">
        <v>0</v>
      </c>
      <c r="K1200" t="n">
        <v>0</v>
      </c>
      <c r="L1200" t="n">
        <v>0</v>
      </c>
      <c r="M1200" t="n">
        <v>0</v>
      </c>
      <c r="N1200" t="n">
        <v>0</v>
      </c>
      <c r="O1200" t="n">
        <v>0</v>
      </c>
      <c r="P1200" t="n">
        <v>0</v>
      </c>
      <c r="Q1200" t="n">
        <v>0</v>
      </c>
      <c r="R1200" s="2" t="inlineStr"/>
    </row>
    <row r="1201" ht="15" customHeight="1">
      <c r="A1201" t="inlineStr">
        <is>
          <t>A 53589-2019</t>
        </is>
      </c>
      <c r="B1201" s="1" t="n">
        <v>43746</v>
      </c>
      <c r="C1201" s="1" t="n">
        <v>45587</v>
      </c>
      <c r="D1201" t="inlineStr">
        <is>
          <t>GÄVLEBORGS LÄN</t>
        </is>
      </c>
      <c r="E1201" t="inlineStr">
        <is>
          <t>SÖDERHAMN</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52743-2019</t>
        </is>
      </c>
      <c r="B1202" s="1" t="n">
        <v>43746</v>
      </c>
      <c r="C1202" s="1" t="n">
        <v>45587</v>
      </c>
      <c r="D1202" t="inlineStr">
        <is>
          <t>GÄVLEBORGS LÄN</t>
        </is>
      </c>
      <c r="E1202" t="inlineStr">
        <is>
          <t>GÄVLE</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52942-2019</t>
        </is>
      </c>
      <c r="B1203" s="1" t="n">
        <v>43747</v>
      </c>
      <c r="C1203" s="1" t="n">
        <v>45587</v>
      </c>
      <c r="D1203" t="inlineStr">
        <is>
          <t>GÄVLEBORGS LÄN</t>
        </is>
      </c>
      <c r="E1203" t="inlineStr">
        <is>
          <t>OVANÅKER</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52976-2019</t>
        </is>
      </c>
      <c r="B1204" s="1" t="n">
        <v>43747</v>
      </c>
      <c r="C1204" s="1" t="n">
        <v>45587</v>
      </c>
      <c r="D1204" t="inlineStr">
        <is>
          <t>GÄVLEBORGS LÄN</t>
        </is>
      </c>
      <c r="E1204" t="inlineStr">
        <is>
          <t>SÖDERHAMN</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53010-2019</t>
        </is>
      </c>
      <c r="B1205" s="1" t="n">
        <v>43747</v>
      </c>
      <c r="C1205" s="1" t="n">
        <v>45587</v>
      </c>
      <c r="D1205" t="inlineStr">
        <is>
          <t>GÄVLEBORGS LÄN</t>
        </is>
      </c>
      <c r="E1205" t="inlineStr">
        <is>
          <t>OCKELBO</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52972-2019</t>
        </is>
      </c>
      <c r="B1206" s="1" t="n">
        <v>43747</v>
      </c>
      <c r="C1206" s="1" t="n">
        <v>45587</v>
      </c>
      <c r="D1206" t="inlineStr">
        <is>
          <t>GÄVLEBORGS LÄN</t>
        </is>
      </c>
      <c r="E1206" t="inlineStr">
        <is>
          <t>LJUSDAL</t>
        </is>
      </c>
      <c r="F1206" t="inlineStr">
        <is>
          <t>Sveaskog</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52973-2019</t>
        </is>
      </c>
      <c r="B1207" s="1" t="n">
        <v>43747</v>
      </c>
      <c r="C1207" s="1" t="n">
        <v>45587</v>
      </c>
      <c r="D1207" t="inlineStr">
        <is>
          <t>GÄVLEBORGS LÄN</t>
        </is>
      </c>
      <c r="E1207" t="inlineStr">
        <is>
          <t>LJUSDAL</t>
        </is>
      </c>
      <c r="F1207" t="inlineStr">
        <is>
          <t>Sveaskog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53219-2019</t>
        </is>
      </c>
      <c r="B1208" s="1" t="n">
        <v>43748</v>
      </c>
      <c r="C1208" s="1" t="n">
        <v>45587</v>
      </c>
      <c r="D1208" t="inlineStr">
        <is>
          <t>GÄVLEBORGS LÄN</t>
        </is>
      </c>
      <c r="E1208" t="inlineStr">
        <is>
          <t>OCKELBO</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53312-2019</t>
        </is>
      </c>
      <c r="B1209" s="1" t="n">
        <v>43748</v>
      </c>
      <c r="C1209" s="1" t="n">
        <v>45587</v>
      </c>
      <c r="D1209" t="inlineStr">
        <is>
          <t>GÄVLEBORGS LÄN</t>
        </is>
      </c>
      <c r="E1209" t="inlineStr">
        <is>
          <t>HOFORS</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53356-2019</t>
        </is>
      </c>
      <c r="B1210" s="1" t="n">
        <v>43748</v>
      </c>
      <c r="C1210" s="1" t="n">
        <v>45587</v>
      </c>
      <c r="D1210" t="inlineStr">
        <is>
          <t>GÄVLEBORGS LÄN</t>
        </is>
      </c>
      <c r="E1210" t="inlineStr">
        <is>
          <t>OCKELBO</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53249-2019</t>
        </is>
      </c>
      <c r="B1211" s="1" t="n">
        <v>43748</v>
      </c>
      <c r="C1211" s="1" t="n">
        <v>45587</v>
      </c>
      <c r="D1211" t="inlineStr">
        <is>
          <t>GÄVLEBORGS LÄN</t>
        </is>
      </c>
      <c r="E1211" t="inlineStr">
        <is>
          <t>OVANÅKER</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53361-2019</t>
        </is>
      </c>
      <c r="B1212" s="1" t="n">
        <v>43748</v>
      </c>
      <c r="C1212" s="1" t="n">
        <v>45587</v>
      </c>
      <c r="D1212" t="inlineStr">
        <is>
          <t>GÄVLEBORGS LÄN</t>
        </is>
      </c>
      <c r="E1212" t="inlineStr">
        <is>
          <t>NORDANSTIG</t>
        </is>
      </c>
      <c r="F1212" t="inlineStr">
        <is>
          <t>Holmen skog AB</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53384-2019</t>
        </is>
      </c>
      <c r="B1213" s="1" t="n">
        <v>43748</v>
      </c>
      <c r="C1213" s="1" t="n">
        <v>45587</v>
      </c>
      <c r="D1213" t="inlineStr">
        <is>
          <t>GÄVLEBORGS LÄN</t>
        </is>
      </c>
      <c r="E1213" t="inlineStr">
        <is>
          <t>HUDIKSVALL</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53395-2019</t>
        </is>
      </c>
      <c r="B1214" s="1" t="n">
        <v>43748</v>
      </c>
      <c r="C1214" s="1" t="n">
        <v>45587</v>
      </c>
      <c r="D1214" t="inlineStr">
        <is>
          <t>GÄVLEBORGS LÄN</t>
        </is>
      </c>
      <c r="E1214" t="inlineStr">
        <is>
          <t>BOLLNÄS</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53218-2019</t>
        </is>
      </c>
      <c r="B1215" s="1" t="n">
        <v>43748</v>
      </c>
      <c r="C1215" s="1" t="n">
        <v>45587</v>
      </c>
      <c r="D1215" t="inlineStr">
        <is>
          <t>GÄVLEBORGS LÄN</t>
        </is>
      </c>
      <c r="E1215" t="inlineStr">
        <is>
          <t>OCKELBO</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53386-2019</t>
        </is>
      </c>
      <c r="B1216" s="1" t="n">
        <v>43748</v>
      </c>
      <c r="C1216" s="1" t="n">
        <v>45587</v>
      </c>
      <c r="D1216" t="inlineStr">
        <is>
          <t>GÄVLEBORGS LÄN</t>
        </is>
      </c>
      <c r="E1216" t="inlineStr">
        <is>
          <t>SÖDERHAMN</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53429-2019</t>
        </is>
      </c>
      <c r="B1217" s="1" t="n">
        <v>43748</v>
      </c>
      <c r="C1217" s="1" t="n">
        <v>45587</v>
      </c>
      <c r="D1217" t="inlineStr">
        <is>
          <t>GÄVLEBORGS LÄN</t>
        </is>
      </c>
      <c r="E1217" t="inlineStr">
        <is>
          <t>LJUSDAL</t>
        </is>
      </c>
      <c r="F1217" t="inlineStr">
        <is>
          <t>Sveaskog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53409-2019</t>
        </is>
      </c>
      <c r="B1218" s="1" t="n">
        <v>43748</v>
      </c>
      <c r="C1218" s="1" t="n">
        <v>45587</v>
      </c>
      <c r="D1218" t="inlineStr">
        <is>
          <t>GÄVLEBORGS LÄN</t>
        </is>
      </c>
      <c r="E1218" t="inlineStr">
        <is>
          <t>SÖDERHAMN</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53198-2019</t>
        </is>
      </c>
      <c r="B1219" s="1" t="n">
        <v>43748</v>
      </c>
      <c r="C1219" s="1" t="n">
        <v>45587</v>
      </c>
      <c r="D1219" t="inlineStr">
        <is>
          <t>GÄVLEBORGS LÄN</t>
        </is>
      </c>
      <c r="E1219" t="inlineStr">
        <is>
          <t>NORDANSTIG</t>
        </is>
      </c>
      <c r="F1219" t="inlineStr">
        <is>
          <t>Holmen skog AB</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53215-2019</t>
        </is>
      </c>
      <c r="B1220" s="1" t="n">
        <v>43748</v>
      </c>
      <c r="C1220" s="1" t="n">
        <v>45587</v>
      </c>
      <c r="D1220" t="inlineStr">
        <is>
          <t>GÄVLEBORGS LÄN</t>
        </is>
      </c>
      <c r="E1220" t="inlineStr">
        <is>
          <t>OCKELBO</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53646-2019</t>
        </is>
      </c>
      <c r="B1221" s="1" t="n">
        <v>43749</v>
      </c>
      <c r="C1221" s="1" t="n">
        <v>45587</v>
      </c>
      <c r="D1221" t="inlineStr">
        <is>
          <t>GÄVLEBORGS LÄN</t>
        </is>
      </c>
      <c r="E1221" t="inlineStr">
        <is>
          <t>OVANÅKER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53513-2019</t>
        </is>
      </c>
      <c r="B1222" s="1" t="n">
        <v>43749</v>
      </c>
      <c r="C1222" s="1" t="n">
        <v>45587</v>
      </c>
      <c r="D1222" t="inlineStr">
        <is>
          <t>GÄVLEBORGS LÄN</t>
        </is>
      </c>
      <c r="E1222" t="inlineStr">
        <is>
          <t>LJUSDAL</t>
        </is>
      </c>
      <c r="F1222" t="inlineStr">
        <is>
          <t>Sveaskog</t>
        </is>
      </c>
      <c r="G1222" t="n">
        <v>15.8</v>
      </c>
      <c r="H1222" t="n">
        <v>0</v>
      </c>
      <c r="I1222" t="n">
        <v>0</v>
      </c>
      <c r="J1222" t="n">
        <v>0</v>
      </c>
      <c r="K1222" t="n">
        <v>0</v>
      </c>
      <c r="L1222" t="n">
        <v>0</v>
      </c>
      <c r="M1222" t="n">
        <v>0</v>
      </c>
      <c r="N1222" t="n">
        <v>0</v>
      </c>
      <c r="O1222" t="n">
        <v>0</v>
      </c>
      <c r="P1222" t="n">
        <v>0</v>
      </c>
      <c r="Q1222" t="n">
        <v>0</v>
      </c>
      <c r="R1222" s="2" t="inlineStr"/>
    </row>
    <row r="1223" ht="15" customHeight="1">
      <c r="A1223" t="inlineStr">
        <is>
          <t>A 53507-2019</t>
        </is>
      </c>
      <c r="B1223" s="1" t="n">
        <v>43749</v>
      </c>
      <c r="C1223" s="1" t="n">
        <v>45587</v>
      </c>
      <c r="D1223" t="inlineStr">
        <is>
          <t>GÄVLEBORGS LÄN</t>
        </is>
      </c>
      <c r="E1223" t="inlineStr">
        <is>
          <t>BOLLNÄS</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53520-2019</t>
        </is>
      </c>
      <c r="B1224" s="1" t="n">
        <v>43749</v>
      </c>
      <c r="C1224" s="1" t="n">
        <v>45587</v>
      </c>
      <c r="D1224" t="inlineStr">
        <is>
          <t>GÄVLEBORGS LÄN</t>
        </is>
      </c>
      <c r="E1224" t="inlineStr">
        <is>
          <t>SANDVIKEN</t>
        </is>
      </c>
      <c r="F1224" t="inlineStr">
        <is>
          <t>Bergvik skog öst AB</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53850-2019</t>
        </is>
      </c>
      <c r="B1225" s="1" t="n">
        <v>43752</v>
      </c>
      <c r="C1225" s="1" t="n">
        <v>45587</v>
      </c>
      <c r="D1225" t="inlineStr">
        <is>
          <t>GÄVLEBORGS LÄN</t>
        </is>
      </c>
      <c r="E1225" t="inlineStr">
        <is>
          <t>HOFORS</t>
        </is>
      </c>
      <c r="F1225" t="inlineStr">
        <is>
          <t>Sveaskog</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53908-2019</t>
        </is>
      </c>
      <c r="B1226" s="1" t="n">
        <v>43752</v>
      </c>
      <c r="C1226" s="1" t="n">
        <v>45587</v>
      </c>
      <c r="D1226" t="inlineStr">
        <is>
          <t>GÄVLEBORGS LÄN</t>
        </is>
      </c>
      <c r="E1226" t="inlineStr">
        <is>
          <t>HOFORS</t>
        </is>
      </c>
      <c r="F1226" t="inlineStr">
        <is>
          <t>Sveaskog</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53975-2019</t>
        </is>
      </c>
      <c r="B1227" s="1" t="n">
        <v>43752</v>
      </c>
      <c r="C1227" s="1" t="n">
        <v>45587</v>
      </c>
      <c r="D1227" t="inlineStr">
        <is>
          <t>GÄVLEBORGS LÄN</t>
        </is>
      </c>
      <c r="E1227" t="inlineStr">
        <is>
          <t>HOFORS</t>
        </is>
      </c>
      <c r="F1227" t="inlineStr">
        <is>
          <t>Sveaskog</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53930-2019</t>
        </is>
      </c>
      <c r="B1228" s="1" t="n">
        <v>43752</v>
      </c>
      <c r="C1228" s="1" t="n">
        <v>45587</v>
      </c>
      <c r="D1228" t="inlineStr">
        <is>
          <t>GÄVLEBORGS LÄN</t>
        </is>
      </c>
      <c r="E1228" t="inlineStr">
        <is>
          <t>HOFORS</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54142-2019</t>
        </is>
      </c>
      <c r="B1229" s="1" t="n">
        <v>43753</v>
      </c>
      <c r="C1229" s="1" t="n">
        <v>45587</v>
      </c>
      <c r="D1229" t="inlineStr">
        <is>
          <t>GÄVLEBORGS LÄN</t>
        </is>
      </c>
      <c r="E1229" t="inlineStr">
        <is>
          <t>BOLLNÄS</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54172-2019</t>
        </is>
      </c>
      <c r="B1230" s="1" t="n">
        <v>43753</v>
      </c>
      <c r="C1230" s="1" t="n">
        <v>45587</v>
      </c>
      <c r="D1230" t="inlineStr">
        <is>
          <t>GÄVLEBORGS LÄN</t>
        </is>
      </c>
      <c r="E1230" t="inlineStr">
        <is>
          <t>OCKELBO</t>
        </is>
      </c>
      <c r="F1230" t="inlineStr">
        <is>
          <t>Bergvik skog väst AB</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54402-2019</t>
        </is>
      </c>
      <c r="B1231" s="1" t="n">
        <v>43754</v>
      </c>
      <c r="C1231" s="1" t="n">
        <v>45587</v>
      </c>
      <c r="D1231" t="inlineStr">
        <is>
          <t>GÄVLEBORGS LÄN</t>
        </is>
      </c>
      <c r="E1231" t="inlineStr">
        <is>
          <t>LJUSDAL</t>
        </is>
      </c>
      <c r="F1231" t="inlineStr">
        <is>
          <t>Sveaskog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54600-2019</t>
        </is>
      </c>
      <c r="B1232" s="1" t="n">
        <v>43754</v>
      </c>
      <c r="C1232" s="1" t="n">
        <v>45587</v>
      </c>
      <c r="D1232" t="inlineStr">
        <is>
          <t>GÄVLEBORGS LÄN</t>
        </is>
      </c>
      <c r="E1232" t="inlineStr">
        <is>
          <t>BOLLNÄS</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54606-2019</t>
        </is>
      </c>
      <c r="B1233" s="1" t="n">
        <v>43754</v>
      </c>
      <c r="C1233" s="1" t="n">
        <v>45587</v>
      </c>
      <c r="D1233" t="inlineStr">
        <is>
          <t>GÄVLEBORGS LÄN</t>
        </is>
      </c>
      <c r="E1233" t="inlineStr">
        <is>
          <t>BOLLNÄS</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54670-2019</t>
        </is>
      </c>
      <c r="B1234" s="1" t="n">
        <v>43754</v>
      </c>
      <c r="C1234" s="1" t="n">
        <v>45587</v>
      </c>
      <c r="D1234" t="inlineStr">
        <is>
          <t>GÄVLEBORGS LÄN</t>
        </is>
      </c>
      <c r="E1234" t="inlineStr">
        <is>
          <t>NORDANSTIG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54401-2019</t>
        </is>
      </c>
      <c r="B1235" s="1" t="n">
        <v>43754</v>
      </c>
      <c r="C1235" s="1" t="n">
        <v>45587</v>
      </c>
      <c r="D1235" t="inlineStr">
        <is>
          <t>GÄVLEBORGS LÄN</t>
        </is>
      </c>
      <c r="E1235" t="inlineStr">
        <is>
          <t>LJUSDAL</t>
        </is>
      </c>
      <c r="F1235" t="inlineStr">
        <is>
          <t>Sveaskog</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54773-2019</t>
        </is>
      </c>
      <c r="B1236" s="1" t="n">
        <v>43755</v>
      </c>
      <c r="C1236" s="1" t="n">
        <v>45587</v>
      </c>
      <c r="D1236" t="inlineStr">
        <is>
          <t>GÄVLEBORGS LÄN</t>
        </is>
      </c>
      <c r="E1236" t="inlineStr">
        <is>
          <t>GÄVLE</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54812-2019</t>
        </is>
      </c>
      <c r="B1237" s="1" t="n">
        <v>43755</v>
      </c>
      <c r="C1237" s="1" t="n">
        <v>45587</v>
      </c>
      <c r="D1237" t="inlineStr">
        <is>
          <t>GÄVLEBORGS LÄN</t>
        </is>
      </c>
      <c r="E1237" t="inlineStr">
        <is>
          <t>OVANÅKER</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54934-2019</t>
        </is>
      </c>
      <c r="B1238" s="1" t="n">
        <v>43755</v>
      </c>
      <c r="C1238" s="1" t="n">
        <v>45587</v>
      </c>
      <c r="D1238" t="inlineStr">
        <is>
          <t>GÄVLEBORGS LÄN</t>
        </is>
      </c>
      <c r="E1238" t="inlineStr">
        <is>
          <t>HOFORS</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54807-2019</t>
        </is>
      </c>
      <c r="B1239" s="1" t="n">
        <v>43755</v>
      </c>
      <c r="C1239" s="1" t="n">
        <v>45587</v>
      </c>
      <c r="D1239" t="inlineStr">
        <is>
          <t>GÄVLEBORGS LÄN</t>
        </is>
      </c>
      <c r="E1239" t="inlineStr">
        <is>
          <t>BOLLNÄS</t>
        </is>
      </c>
      <c r="F1239" t="inlineStr">
        <is>
          <t>Sveaskog</t>
        </is>
      </c>
      <c r="G1239" t="n">
        <v>12.9</v>
      </c>
      <c r="H1239" t="n">
        <v>0</v>
      </c>
      <c r="I1239" t="n">
        <v>0</v>
      </c>
      <c r="J1239" t="n">
        <v>0</v>
      </c>
      <c r="K1239" t="n">
        <v>0</v>
      </c>
      <c r="L1239" t="n">
        <v>0</v>
      </c>
      <c r="M1239" t="n">
        <v>0</v>
      </c>
      <c r="N1239" t="n">
        <v>0</v>
      </c>
      <c r="O1239" t="n">
        <v>0</v>
      </c>
      <c r="P1239" t="n">
        <v>0</v>
      </c>
      <c r="Q1239" t="n">
        <v>0</v>
      </c>
      <c r="R1239" s="2" t="inlineStr"/>
    </row>
    <row r="1240" ht="15" customHeight="1">
      <c r="A1240" t="inlineStr">
        <is>
          <t>A 54840-2019</t>
        </is>
      </c>
      <c r="B1240" s="1" t="n">
        <v>43755</v>
      </c>
      <c r="C1240" s="1" t="n">
        <v>45587</v>
      </c>
      <c r="D1240" t="inlineStr">
        <is>
          <t>GÄVLEBORGS LÄN</t>
        </is>
      </c>
      <c r="E1240" t="inlineStr">
        <is>
          <t>OCKELBO</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54833-2019</t>
        </is>
      </c>
      <c r="B1241" s="1" t="n">
        <v>43755</v>
      </c>
      <c r="C1241" s="1" t="n">
        <v>45587</v>
      </c>
      <c r="D1241" t="inlineStr">
        <is>
          <t>GÄVLEBORGS LÄN</t>
        </is>
      </c>
      <c r="E1241" t="inlineStr">
        <is>
          <t>OVANÅKER</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54966-2019</t>
        </is>
      </c>
      <c r="B1242" s="1" t="n">
        <v>43755</v>
      </c>
      <c r="C1242" s="1" t="n">
        <v>45587</v>
      </c>
      <c r="D1242" t="inlineStr">
        <is>
          <t>GÄVLEBORGS LÄN</t>
        </is>
      </c>
      <c r="E1242" t="inlineStr">
        <is>
          <t>LJUSDAL</t>
        </is>
      </c>
      <c r="F1242" t="inlineStr">
        <is>
          <t>Sveaskog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54723-2019</t>
        </is>
      </c>
      <c r="B1243" s="1" t="n">
        <v>43755</v>
      </c>
      <c r="C1243" s="1" t="n">
        <v>45587</v>
      </c>
      <c r="D1243" t="inlineStr">
        <is>
          <t>GÄVLEBORGS LÄN</t>
        </is>
      </c>
      <c r="E1243" t="inlineStr">
        <is>
          <t>LJUSDAL</t>
        </is>
      </c>
      <c r="F1243" t="inlineStr">
        <is>
          <t>Allmännings- och besparingsskogar</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55279-2019</t>
        </is>
      </c>
      <c r="B1244" s="1" t="n">
        <v>43756</v>
      </c>
      <c r="C1244" s="1" t="n">
        <v>45587</v>
      </c>
      <c r="D1244" t="inlineStr">
        <is>
          <t>GÄVLEBORGS LÄN</t>
        </is>
      </c>
      <c r="E1244" t="inlineStr">
        <is>
          <t>HUDIKSVALL</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55108-2019</t>
        </is>
      </c>
      <c r="B1245" s="1" t="n">
        <v>43756</v>
      </c>
      <c r="C1245" s="1" t="n">
        <v>45587</v>
      </c>
      <c r="D1245" t="inlineStr">
        <is>
          <t>GÄVLEBORGS LÄN</t>
        </is>
      </c>
      <c r="E1245" t="inlineStr">
        <is>
          <t>OCKELBO</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55045-2019</t>
        </is>
      </c>
      <c r="B1246" s="1" t="n">
        <v>43756</v>
      </c>
      <c r="C1246" s="1" t="n">
        <v>45587</v>
      </c>
      <c r="D1246" t="inlineStr">
        <is>
          <t>GÄVLEBORGS LÄN</t>
        </is>
      </c>
      <c r="E1246" t="inlineStr">
        <is>
          <t>HUDIKSVALL</t>
        </is>
      </c>
      <c r="F1246" t="inlineStr">
        <is>
          <t>Holmen skog AB</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55789-2019</t>
        </is>
      </c>
      <c r="B1247" s="1" t="n">
        <v>43759</v>
      </c>
      <c r="C1247" s="1" t="n">
        <v>45587</v>
      </c>
      <c r="D1247" t="inlineStr">
        <is>
          <t>GÄVLEBORGS LÄN</t>
        </is>
      </c>
      <c r="E1247" t="inlineStr">
        <is>
          <t>SÖDERHAMN</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55880-2019</t>
        </is>
      </c>
      <c r="B1248" s="1" t="n">
        <v>43759</v>
      </c>
      <c r="C1248" s="1" t="n">
        <v>45587</v>
      </c>
      <c r="D1248" t="inlineStr">
        <is>
          <t>GÄVLEBORGS LÄN</t>
        </is>
      </c>
      <c r="E1248" t="inlineStr">
        <is>
          <t>LJUSDAL</t>
        </is>
      </c>
      <c r="F1248" t="inlineStr">
        <is>
          <t>Kommuner</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55791-2019</t>
        </is>
      </c>
      <c r="B1249" s="1" t="n">
        <v>43759</v>
      </c>
      <c r="C1249" s="1" t="n">
        <v>45587</v>
      </c>
      <c r="D1249" t="inlineStr">
        <is>
          <t>GÄVLEBORGS LÄN</t>
        </is>
      </c>
      <c r="E1249" t="inlineStr">
        <is>
          <t>SANDVIKEN</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55857-2019</t>
        </is>
      </c>
      <c r="B1250" s="1" t="n">
        <v>43759</v>
      </c>
      <c r="C1250" s="1" t="n">
        <v>45587</v>
      </c>
      <c r="D1250" t="inlineStr">
        <is>
          <t>GÄVLEBORGS LÄN</t>
        </is>
      </c>
      <c r="E1250" t="inlineStr">
        <is>
          <t>GÄVLE</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56047-2019</t>
        </is>
      </c>
      <c r="B1251" s="1" t="n">
        <v>43759</v>
      </c>
      <c r="C1251" s="1" t="n">
        <v>45587</v>
      </c>
      <c r="D1251" t="inlineStr">
        <is>
          <t>GÄVLEBORGS LÄN</t>
        </is>
      </c>
      <c r="E1251" t="inlineStr">
        <is>
          <t>BOLLNÄS</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56956-2019</t>
        </is>
      </c>
      <c r="B1252" s="1" t="n">
        <v>43759</v>
      </c>
      <c r="C1252" s="1" t="n">
        <v>45587</v>
      </c>
      <c r="D1252" t="inlineStr">
        <is>
          <t>GÄVLEBORGS LÄN</t>
        </is>
      </c>
      <c r="E1252" t="inlineStr">
        <is>
          <t>BOLLNÄS</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55956-2019</t>
        </is>
      </c>
      <c r="B1253" s="1" t="n">
        <v>43759</v>
      </c>
      <c r="C1253" s="1" t="n">
        <v>45587</v>
      </c>
      <c r="D1253" t="inlineStr">
        <is>
          <t>GÄVLEBORGS LÄN</t>
        </is>
      </c>
      <c r="E1253" t="inlineStr">
        <is>
          <t>LJUSDAL</t>
        </is>
      </c>
      <c r="G1253" t="n">
        <v>14.2</v>
      </c>
      <c r="H1253" t="n">
        <v>0</v>
      </c>
      <c r="I1253" t="n">
        <v>0</v>
      </c>
      <c r="J1253" t="n">
        <v>0</v>
      </c>
      <c r="K1253" t="n">
        <v>0</v>
      </c>
      <c r="L1253" t="n">
        <v>0</v>
      </c>
      <c r="M1253" t="n">
        <v>0</v>
      </c>
      <c r="N1253" t="n">
        <v>0</v>
      </c>
      <c r="O1253" t="n">
        <v>0</v>
      </c>
      <c r="P1253" t="n">
        <v>0</v>
      </c>
      <c r="Q1253" t="n">
        <v>0</v>
      </c>
      <c r="R1253" s="2" t="inlineStr"/>
    </row>
    <row r="1254" ht="15" customHeight="1">
      <c r="A1254" t="inlineStr">
        <is>
          <t>A 55464-2019</t>
        </is>
      </c>
      <c r="B1254" s="1" t="n">
        <v>43760</v>
      </c>
      <c r="C1254" s="1" t="n">
        <v>45587</v>
      </c>
      <c r="D1254" t="inlineStr">
        <is>
          <t>GÄVLEBORGS LÄN</t>
        </is>
      </c>
      <c r="E1254" t="inlineStr">
        <is>
          <t>LJUSDAL</t>
        </is>
      </c>
      <c r="F1254" t="inlineStr">
        <is>
          <t>Sveaskog</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55539-2019</t>
        </is>
      </c>
      <c r="B1255" s="1" t="n">
        <v>43760</v>
      </c>
      <c r="C1255" s="1" t="n">
        <v>45587</v>
      </c>
      <c r="D1255" t="inlineStr">
        <is>
          <t>GÄVLEBORGS LÄN</t>
        </is>
      </c>
      <c r="E1255" t="inlineStr">
        <is>
          <t>BOLLNÄS</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56076-2019</t>
        </is>
      </c>
      <c r="B1256" s="1" t="n">
        <v>43761</v>
      </c>
      <c r="C1256" s="1" t="n">
        <v>45587</v>
      </c>
      <c r="D1256" t="inlineStr">
        <is>
          <t>GÄVLEBORGS LÄN</t>
        </is>
      </c>
      <c r="E1256" t="inlineStr">
        <is>
          <t>BOLLNÄS</t>
        </is>
      </c>
      <c r="F1256" t="inlineStr">
        <is>
          <t>Kommuner</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56142-2019</t>
        </is>
      </c>
      <c r="B1257" s="1" t="n">
        <v>43761</v>
      </c>
      <c r="C1257" s="1" t="n">
        <v>45587</v>
      </c>
      <c r="D1257" t="inlineStr">
        <is>
          <t>GÄVLEBORGS LÄN</t>
        </is>
      </c>
      <c r="E1257" t="inlineStr">
        <is>
          <t>SANDVIKEN</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55774-2019</t>
        </is>
      </c>
      <c r="B1258" s="1" t="n">
        <v>43761</v>
      </c>
      <c r="C1258" s="1" t="n">
        <v>45587</v>
      </c>
      <c r="D1258" t="inlineStr">
        <is>
          <t>GÄVLEBORGS LÄN</t>
        </is>
      </c>
      <c r="E1258" t="inlineStr">
        <is>
          <t>GÄVLE</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55933-2019</t>
        </is>
      </c>
      <c r="B1259" s="1" t="n">
        <v>43761</v>
      </c>
      <c r="C1259" s="1" t="n">
        <v>45587</v>
      </c>
      <c r="D1259" t="inlineStr">
        <is>
          <t>GÄVLEBORGS LÄN</t>
        </is>
      </c>
      <c r="E1259" t="inlineStr">
        <is>
          <t>SÖDERHAMN</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55742-2019</t>
        </is>
      </c>
      <c r="B1260" s="1" t="n">
        <v>43761</v>
      </c>
      <c r="C1260" s="1" t="n">
        <v>45587</v>
      </c>
      <c r="D1260" t="inlineStr">
        <is>
          <t>GÄVLEBORGS LÄN</t>
        </is>
      </c>
      <c r="E1260" t="inlineStr">
        <is>
          <t>GÄVLE</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55883-2019</t>
        </is>
      </c>
      <c r="B1261" s="1" t="n">
        <v>43761</v>
      </c>
      <c r="C1261" s="1" t="n">
        <v>45587</v>
      </c>
      <c r="D1261" t="inlineStr">
        <is>
          <t>GÄVLEBORGS LÄN</t>
        </is>
      </c>
      <c r="E1261" t="inlineStr">
        <is>
          <t>SANDVIKEN</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56151-2019</t>
        </is>
      </c>
      <c r="B1262" s="1" t="n">
        <v>43761</v>
      </c>
      <c r="C1262" s="1" t="n">
        <v>45587</v>
      </c>
      <c r="D1262" t="inlineStr">
        <is>
          <t>GÄVLEBORGS LÄN</t>
        </is>
      </c>
      <c r="E1262" t="inlineStr">
        <is>
          <t>NORDANSTIG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55949-2019</t>
        </is>
      </c>
      <c r="B1263" s="1" t="n">
        <v>43761</v>
      </c>
      <c r="C1263" s="1" t="n">
        <v>45587</v>
      </c>
      <c r="D1263" t="inlineStr">
        <is>
          <t>GÄVLEBORGS LÄN</t>
        </is>
      </c>
      <c r="E1263" t="inlineStr">
        <is>
          <t>SÖDERHAMN</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55932-2019</t>
        </is>
      </c>
      <c r="B1264" s="1" t="n">
        <v>43761</v>
      </c>
      <c r="C1264" s="1" t="n">
        <v>45587</v>
      </c>
      <c r="D1264" t="inlineStr">
        <is>
          <t>GÄVLEBORGS LÄN</t>
        </is>
      </c>
      <c r="E1264" t="inlineStr">
        <is>
          <t>SÖDERHAMN</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56447-2019</t>
        </is>
      </c>
      <c r="B1265" s="1" t="n">
        <v>43762</v>
      </c>
      <c r="C1265" s="1" t="n">
        <v>45587</v>
      </c>
      <c r="D1265" t="inlineStr">
        <is>
          <t>GÄVLEBORGS LÄN</t>
        </is>
      </c>
      <c r="E1265" t="inlineStr">
        <is>
          <t>OCKELBO</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56541-2019</t>
        </is>
      </c>
      <c r="B1266" s="1" t="n">
        <v>43763</v>
      </c>
      <c r="C1266" s="1" t="n">
        <v>45587</v>
      </c>
      <c r="D1266" t="inlineStr">
        <is>
          <t>GÄVLEBORGS LÄN</t>
        </is>
      </c>
      <c r="E1266" t="inlineStr">
        <is>
          <t>LJUSDAL</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56670-2019</t>
        </is>
      </c>
      <c r="B1267" s="1" t="n">
        <v>43763</v>
      </c>
      <c r="C1267" s="1" t="n">
        <v>45587</v>
      </c>
      <c r="D1267" t="inlineStr">
        <is>
          <t>GÄVLEBORGS LÄN</t>
        </is>
      </c>
      <c r="E1267" t="inlineStr">
        <is>
          <t>GÄVLE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56667-2019</t>
        </is>
      </c>
      <c r="B1268" s="1" t="n">
        <v>43763</v>
      </c>
      <c r="C1268" s="1" t="n">
        <v>45587</v>
      </c>
      <c r="D1268" t="inlineStr">
        <is>
          <t>GÄVLEBORGS LÄN</t>
        </is>
      </c>
      <c r="E1268" t="inlineStr">
        <is>
          <t>OVANÅKER</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56693-2019</t>
        </is>
      </c>
      <c r="B1269" s="1" t="n">
        <v>43763</v>
      </c>
      <c r="C1269" s="1" t="n">
        <v>45587</v>
      </c>
      <c r="D1269" t="inlineStr">
        <is>
          <t>GÄVLEBORGS LÄN</t>
        </is>
      </c>
      <c r="E1269" t="inlineStr">
        <is>
          <t>LJUSDAL</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56728-2019</t>
        </is>
      </c>
      <c r="B1270" s="1" t="n">
        <v>43763</v>
      </c>
      <c r="C1270" s="1" t="n">
        <v>45587</v>
      </c>
      <c r="D1270" t="inlineStr">
        <is>
          <t>GÄVLEBORGS LÄN</t>
        </is>
      </c>
      <c r="E1270" t="inlineStr">
        <is>
          <t>HUDIKSVALL</t>
        </is>
      </c>
      <c r="G1270" t="n">
        <v>14.6</v>
      </c>
      <c r="H1270" t="n">
        <v>0</v>
      </c>
      <c r="I1270" t="n">
        <v>0</v>
      </c>
      <c r="J1270" t="n">
        <v>0</v>
      </c>
      <c r="K1270" t="n">
        <v>0</v>
      </c>
      <c r="L1270" t="n">
        <v>0</v>
      </c>
      <c r="M1270" t="n">
        <v>0</v>
      </c>
      <c r="N1270" t="n">
        <v>0</v>
      </c>
      <c r="O1270" t="n">
        <v>0</v>
      </c>
      <c r="P1270" t="n">
        <v>0</v>
      </c>
      <c r="Q1270" t="n">
        <v>0</v>
      </c>
      <c r="R1270" s="2" t="inlineStr"/>
    </row>
    <row r="1271" ht="15" customHeight="1">
      <c r="A1271" t="inlineStr">
        <is>
          <t>A 57043-2019</t>
        </is>
      </c>
      <c r="B1271" s="1" t="n">
        <v>43766</v>
      </c>
      <c r="C1271" s="1" t="n">
        <v>45587</v>
      </c>
      <c r="D1271" t="inlineStr">
        <is>
          <t>GÄVLEBORGS LÄN</t>
        </is>
      </c>
      <c r="E1271" t="inlineStr">
        <is>
          <t>OCKELBO</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57061-2019</t>
        </is>
      </c>
      <c r="B1272" s="1" t="n">
        <v>43766</v>
      </c>
      <c r="C1272" s="1" t="n">
        <v>45587</v>
      </c>
      <c r="D1272" t="inlineStr">
        <is>
          <t>GÄVLEBORGS LÄN</t>
        </is>
      </c>
      <c r="E1272" t="inlineStr">
        <is>
          <t>OCKELBO</t>
        </is>
      </c>
      <c r="G1272" t="n">
        <v>0.1</v>
      </c>
      <c r="H1272" t="n">
        <v>0</v>
      </c>
      <c r="I1272" t="n">
        <v>0</v>
      </c>
      <c r="J1272" t="n">
        <v>0</v>
      </c>
      <c r="K1272" t="n">
        <v>0</v>
      </c>
      <c r="L1272" t="n">
        <v>0</v>
      </c>
      <c r="M1272" t="n">
        <v>0</v>
      </c>
      <c r="N1272" t="n">
        <v>0</v>
      </c>
      <c r="O1272" t="n">
        <v>0</v>
      </c>
      <c r="P1272" t="n">
        <v>0</v>
      </c>
      <c r="Q1272" t="n">
        <v>0</v>
      </c>
      <c r="R1272" s="2" t="inlineStr"/>
    </row>
    <row r="1273" ht="15" customHeight="1">
      <c r="A1273" t="inlineStr">
        <is>
          <t>A 56974-2019</t>
        </is>
      </c>
      <c r="B1273" s="1" t="n">
        <v>43766</v>
      </c>
      <c r="C1273" s="1" t="n">
        <v>45587</v>
      </c>
      <c r="D1273" t="inlineStr">
        <is>
          <t>GÄVLEBORGS LÄN</t>
        </is>
      </c>
      <c r="E1273" t="inlineStr">
        <is>
          <t>SÖDERHAMN</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57002-2019</t>
        </is>
      </c>
      <c r="B1274" s="1" t="n">
        <v>43766</v>
      </c>
      <c r="C1274" s="1" t="n">
        <v>45587</v>
      </c>
      <c r="D1274" t="inlineStr">
        <is>
          <t>GÄVLEBORGS LÄN</t>
        </is>
      </c>
      <c r="E1274" t="inlineStr">
        <is>
          <t>OCKELBO</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57135-2019</t>
        </is>
      </c>
      <c r="B1275" s="1" t="n">
        <v>43766</v>
      </c>
      <c r="C1275" s="1" t="n">
        <v>45587</v>
      </c>
      <c r="D1275" t="inlineStr">
        <is>
          <t>GÄVLEBORGS LÄN</t>
        </is>
      </c>
      <c r="E1275" t="inlineStr">
        <is>
          <t>OVANÅKER</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57348-2019</t>
        </is>
      </c>
      <c r="B1276" s="1" t="n">
        <v>43767</v>
      </c>
      <c r="C1276" s="1" t="n">
        <v>45587</v>
      </c>
      <c r="D1276" t="inlineStr">
        <is>
          <t>GÄVLEBORGS LÄN</t>
        </is>
      </c>
      <c r="E1276" t="inlineStr">
        <is>
          <t>NORDANSTIG</t>
        </is>
      </c>
      <c r="G1276" t="n">
        <v>17.1</v>
      </c>
      <c r="H1276" t="n">
        <v>0</v>
      </c>
      <c r="I1276" t="n">
        <v>0</v>
      </c>
      <c r="J1276" t="n">
        <v>0</v>
      </c>
      <c r="K1276" t="n">
        <v>0</v>
      </c>
      <c r="L1276" t="n">
        <v>0</v>
      </c>
      <c r="M1276" t="n">
        <v>0</v>
      </c>
      <c r="N1276" t="n">
        <v>0</v>
      </c>
      <c r="O1276" t="n">
        <v>0</v>
      </c>
      <c r="P1276" t="n">
        <v>0</v>
      </c>
      <c r="Q1276" t="n">
        <v>0</v>
      </c>
      <c r="R1276" s="2" t="inlineStr"/>
    </row>
    <row r="1277" ht="15" customHeight="1">
      <c r="A1277" t="inlineStr">
        <is>
          <t>A 57410-2019</t>
        </is>
      </c>
      <c r="B1277" s="1" t="n">
        <v>43767</v>
      </c>
      <c r="C1277" s="1" t="n">
        <v>45587</v>
      </c>
      <c r="D1277" t="inlineStr">
        <is>
          <t>GÄVLEBORGS LÄN</t>
        </is>
      </c>
      <c r="E1277" t="inlineStr">
        <is>
          <t>LJUSDAL</t>
        </is>
      </c>
      <c r="F1277" t="inlineStr">
        <is>
          <t>Holmen skog AB</t>
        </is>
      </c>
      <c r="G1277" t="n">
        <v>9.199999999999999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57522-2019</t>
        </is>
      </c>
      <c r="B1278" s="1" t="n">
        <v>43767</v>
      </c>
      <c r="C1278" s="1" t="n">
        <v>45587</v>
      </c>
      <c r="D1278" t="inlineStr">
        <is>
          <t>GÄVLEBORGS LÄN</t>
        </is>
      </c>
      <c r="E1278" t="inlineStr">
        <is>
          <t>HUDIKSVALL</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57427-2019</t>
        </is>
      </c>
      <c r="B1279" s="1" t="n">
        <v>43767</v>
      </c>
      <c r="C1279" s="1" t="n">
        <v>45587</v>
      </c>
      <c r="D1279" t="inlineStr">
        <is>
          <t>GÄVLEBORGS LÄN</t>
        </is>
      </c>
      <c r="E1279" t="inlineStr">
        <is>
          <t>HUDIKSVALL</t>
        </is>
      </c>
      <c r="F1279" t="inlineStr">
        <is>
          <t>Holmen skog AB</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57520-2019</t>
        </is>
      </c>
      <c r="B1280" s="1" t="n">
        <v>43767</v>
      </c>
      <c r="C1280" s="1" t="n">
        <v>45587</v>
      </c>
      <c r="D1280" t="inlineStr">
        <is>
          <t>GÄVLEBORGS LÄN</t>
        </is>
      </c>
      <c r="E1280" t="inlineStr">
        <is>
          <t>HUDIKSVALL</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57453-2019</t>
        </is>
      </c>
      <c r="B1281" s="1" t="n">
        <v>43767</v>
      </c>
      <c r="C1281" s="1" t="n">
        <v>45587</v>
      </c>
      <c r="D1281" t="inlineStr">
        <is>
          <t>GÄVLEBORGS LÄN</t>
        </is>
      </c>
      <c r="E1281" t="inlineStr">
        <is>
          <t>GÄVLE</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57226-2019</t>
        </is>
      </c>
      <c r="B1282" s="1" t="n">
        <v>43767</v>
      </c>
      <c r="C1282" s="1" t="n">
        <v>45587</v>
      </c>
      <c r="D1282" t="inlineStr">
        <is>
          <t>GÄVLEBORGS LÄN</t>
        </is>
      </c>
      <c r="E1282" t="inlineStr">
        <is>
          <t>SANDVIKEN</t>
        </is>
      </c>
      <c r="F1282" t="inlineStr">
        <is>
          <t>Kyrkan</t>
        </is>
      </c>
      <c r="G1282" t="n">
        <v>11.2</v>
      </c>
      <c r="H1282" t="n">
        <v>0</v>
      </c>
      <c r="I1282" t="n">
        <v>0</v>
      </c>
      <c r="J1282" t="n">
        <v>0</v>
      </c>
      <c r="K1282" t="n">
        <v>0</v>
      </c>
      <c r="L1282" t="n">
        <v>0</v>
      </c>
      <c r="M1282" t="n">
        <v>0</v>
      </c>
      <c r="N1282" t="n">
        <v>0</v>
      </c>
      <c r="O1282" t="n">
        <v>0</v>
      </c>
      <c r="P1282" t="n">
        <v>0</v>
      </c>
      <c r="Q1282" t="n">
        <v>0</v>
      </c>
      <c r="R1282" s="2" t="inlineStr"/>
    </row>
    <row r="1283" ht="15" customHeight="1">
      <c r="A1283" t="inlineStr">
        <is>
          <t>A 57626-2019</t>
        </is>
      </c>
      <c r="B1283" s="1" t="n">
        <v>43768</v>
      </c>
      <c r="C1283" s="1" t="n">
        <v>45587</v>
      </c>
      <c r="D1283" t="inlineStr">
        <is>
          <t>GÄVLEBORGS LÄN</t>
        </is>
      </c>
      <c r="E1283" t="inlineStr">
        <is>
          <t>SANDVIKEN</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57966-2019</t>
        </is>
      </c>
      <c r="B1284" s="1" t="n">
        <v>43769</v>
      </c>
      <c r="C1284" s="1" t="n">
        <v>45587</v>
      </c>
      <c r="D1284" t="inlineStr">
        <is>
          <t>GÄVLEBORGS LÄN</t>
        </is>
      </c>
      <c r="E1284" t="inlineStr">
        <is>
          <t>HUDIKSVALL</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58148-2019</t>
        </is>
      </c>
      <c r="B1285" s="1" t="n">
        <v>43769</v>
      </c>
      <c r="C1285" s="1" t="n">
        <v>45587</v>
      </c>
      <c r="D1285" t="inlineStr">
        <is>
          <t>GÄVLEBORGS LÄN</t>
        </is>
      </c>
      <c r="E1285" t="inlineStr">
        <is>
          <t>SANDVIKEN</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58041-2019</t>
        </is>
      </c>
      <c r="B1286" s="1" t="n">
        <v>43769</v>
      </c>
      <c r="C1286" s="1" t="n">
        <v>45587</v>
      </c>
      <c r="D1286" t="inlineStr">
        <is>
          <t>GÄVLEBORGS LÄN</t>
        </is>
      </c>
      <c r="E1286" t="inlineStr">
        <is>
          <t>BOLLNÄS</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58183-2019</t>
        </is>
      </c>
      <c r="B1287" s="1" t="n">
        <v>43770</v>
      </c>
      <c r="C1287" s="1" t="n">
        <v>45587</v>
      </c>
      <c r="D1287" t="inlineStr">
        <is>
          <t>GÄVLEBORGS LÄN</t>
        </is>
      </c>
      <c r="E1287" t="inlineStr">
        <is>
          <t>HUDIKSVALL</t>
        </is>
      </c>
      <c r="F1287" t="inlineStr">
        <is>
          <t>Holmen skog AB</t>
        </is>
      </c>
      <c r="G1287" t="n">
        <v>46.6</v>
      </c>
      <c r="H1287" t="n">
        <v>0</v>
      </c>
      <c r="I1287" t="n">
        <v>0</v>
      </c>
      <c r="J1287" t="n">
        <v>0</v>
      </c>
      <c r="K1287" t="n">
        <v>0</v>
      </c>
      <c r="L1287" t="n">
        <v>0</v>
      </c>
      <c r="M1287" t="n">
        <v>0</v>
      </c>
      <c r="N1287" t="n">
        <v>0</v>
      </c>
      <c r="O1287" t="n">
        <v>0</v>
      </c>
      <c r="P1287" t="n">
        <v>0</v>
      </c>
      <c r="Q1287" t="n">
        <v>0</v>
      </c>
      <c r="R1287" s="2" t="inlineStr"/>
    </row>
    <row r="1288" ht="15" customHeight="1">
      <c r="A1288" t="inlineStr">
        <is>
          <t>A 58287-2019</t>
        </is>
      </c>
      <c r="B1288" s="1" t="n">
        <v>43770</v>
      </c>
      <c r="C1288" s="1" t="n">
        <v>45587</v>
      </c>
      <c r="D1288" t="inlineStr">
        <is>
          <t>GÄVLEBORGS LÄN</t>
        </is>
      </c>
      <c r="E1288" t="inlineStr">
        <is>
          <t>GÄVLE</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59269-2019</t>
        </is>
      </c>
      <c r="B1289" s="1" t="n">
        <v>43770</v>
      </c>
      <c r="C1289" s="1" t="n">
        <v>45587</v>
      </c>
      <c r="D1289" t="inlineStr">
        <is>
          <t>GÄVLEBORGS LÄN</t>
        </is>
      </c>
      <c r="E1289" t="inlineStr">
        <is>
          <t>SANDVIKEN</t>
        </is>
      </c>
      <c r="F1289" t="inlineStr">
        <is>
          <t>Bergvik skog väst AB</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58204-2019</t>
        </is>
      </c>
      <c r="B1290" s="1" t="n">
        <v>43770</v>
      </c>
      <c r="C1290" s="1" t="n">
        <v>45587</v>
      </c>
      <c r="D1290" t="inlineStr">
        <is>
          <t>GÄVLEBORGS LÄN</t>
        </is>
      </c>
      <c r="E1290" t="inlineStr">
        <is>
          <t>HUDIKSVALL</t>
        </is>
      </c>
      <c r="F1290" t="inlineStr">
        <is>
          <t>Kommuner</t>
        </is>
      </c>
      <c r="G1290" t="n">
        <v>10</v>
      </c>
      <c r="H1290" t="n">
        <v>0</v>
      </c>
      <c r="I1290" t="n">
        <v>0</v>
      </c>
      <c r="J1290" t="n">
        <v>0</v>
      </c>
      <c r="K1290" t="n">
        <v>0</v>
      </c>
      <c r="L1290" t="n">
        <v>0</v>
      </c>
      <c r="M1290" t="n">
        <v>0</v>
      </c>
      <c r="N1290" t="n">
        <v>0</v>
      </c>
      <c r="O1290" t="n">
        <v>0</v>
      </c>
      <c r="P1290" t="n">
        <v>0</v>
      </c>
      <c r="Q1290" t="n">
        <v>0</v>
      </c>
      <c r="R1290" s="2" t="inlineStr"/>
    </row>
    <row r="1291" ht="15" customHeight="1">
      <c r="A1291" t="inlineStr">
        <is>
          <t>A 58296-2019</t>
        </is>
      </c>
      <c r="B1291" s="1" t="n">
        <v>43770</v>
      </c>
      <c r="C1291" s="1" t="n">
        <v>45587</v>
      </c>
      <c r="D1291" t="inlineStr">
        <is>
          <t>GÄVLEBORGS LÄN</t>
        </is>
      </c>
      <c r="E1291" t="inlineStr">
        <is>
          <t>GÄVLE</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58424-2019</t>
        </is>
      </c>
      <c r="B1292" s="1" t="n">
        <v>43773</v>
      </c>
      <c r="C1292" s="1" t="n">
        <v>45587</v>
      </c>
      <c r="D1292" t="inlineStr">
        <is>
          <t>GÄVLEBORGS LÄN</t>
        </is>
      </c>
      <c r="E1292" t="inlineStr">
        <is>
          <t>NORDANSTIG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58714-2019</t>
        </is>
      </c>
      <c r="B1293" s="1" t="n">
        <v>43773</v>
      </c>
      <c r="C1293" s="1" t="n">
        <v>45587</v>
      </c>
      <c r="D1293" t="inlineStr">
        <is>
          <t>GÄVLEBORGS LÄN</t>
        </is>
      </c>
      <c r="E1293" t="inlineStr">
        <is>
          <t>SANDVIKEN</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58641-2019</t>
        </is>
      </c>
      <c r="B1294" s="1" t="n">
        <v>43773</v>
      </c>
      <c r="C1294" s="1" t="n">
        <v>45587</v>
      </c>
      <c r="D1294" t="inlineStr">
        <is>
          <t>GÄVLEBORGS LÄN</t>
        </is>
      </c>
      <c r="E1294" t="inlineStr">
        <is>
          <t>BOLLNÄS</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58587-2019</t>
        </is>
      </c>
      <c r="B1295" s="1" t="n">
        <v>43773</v>
      </c>
      <c r="C1295" s="1" t="n">
        <v>45587</v>
      </c>
      <c r="D1295" t="inlineStr">
        <is>
          <t>GÄVLEBORGS LÄN</t>
        </is>
      </c>
      <c r="E1295" t="inlineStr">
        <is>
          <t>LJUSDAL</t>
        </is>
      </c>
      <c r="F1295" t="inlineStr">
        <is>
          <t>Allmännings- och besparingsskogar</t>
        </is>
      </c>
      <c r="G1295" t="n">
        <v>21.1</v>
      </c>
      <c r="H1295" t="n">
        <v>0</v>
      </c>
      <c r="I1295" t="n">
        <v>0</v>
      </c>
      <c r="J1295" t="n">
        <v>0</v>
      </c>
      <c r="K1295" t="n">
        <v>0</v>
      </c>
      <c r="L1295" t="n">
        <v>0</v>
      </c>
      <c r="M1295" t="n">
        <v>0</v>
      </c>
      <c r="N1295" t="n">
        <v>0</v>
      </c>
      <c r="O1295" t="n">
        <v>0</v>
      </c>
      <c r="P1295" t="n">
        <v>0</v>
      </c>
      <c r="Q1295" t="n">
        <v>0</v>
      </c>
      <c r="R1295" s="2" t="inlineStr"/>
    </row>
    <row r="1296" ht="15" customHeight="1">
      <c r="A1296" t="inlineStr">
        <is>
          <t>A 58897-2019</t>
        </is>
      </c>
      <c r="B1296" s="1" t="n">
        <v>43774</v>
      </c>
      <c r="C1296" s="1" t="n">
        <v>45587</v>
      </c>
      <c r="D1296" t="inlineStr">
        <is>
          <t>GÄVLEBORGS LÄN</t>
        </is>
      </c>
      <c r="E1296" t="inlineStr">
        <is>
          <t>LJUSDAL</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58808-2019</t>
        </is>
      </c>
      <c r="B1297" s="1" t="n">
        <v>43774</v>
      </c>
      <c r="C1297" s="1" t="n">
        <v>45587</v>
      </c>
      <c r="D1297" t="inlineStr">
        <is>
          <t>GÄVLEBORGS LÄN</t>
        </is>
      </c>
      <c r="E1297" t="inlineStr">
        <is>
          <t>OVANÅKER</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58886-2019</t>
        </is>
      </c>
      <c r="B1298" s="1" t="n">
        <v>43774</v>
      </c>
      <c r="C1298" s="1" t="n">
        <v>45587</v>
      </c>
      <c r="D1298" t="inlineStr">
        <is>
          <t>GÄVLEBORGS LÄN</t>
        </is>
      </c>
      <c r="E1298" t="inlineStr">
        <is>
          <t>LJUSDAL</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59090-2019</t>
        </is>
      </c>
      <c r="B1299" s="1" t="n">
        <v>43774</v>
      </c>
      <c r="C1299" s="1" t="n">
        <v>45587</v>
      </c>
      <c r="D1299" t="inlineStr">
        <is>
          <t>GÄVLEBORGS LÄN</t>
        </is>
      </c>
      <c r="E1299" t="inlineStr">
        <is>
          <t>NORDANSTIG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59111-2019</t>
        </is>
      </c>
      <c r="B1300" s="1" t="n">
        <v>43775</v>
      </c>
      <c r="C1300" s="1" t="n">
        <v>45587</v>
      </c>
      <c r="D1300" t="inlineStr">
        <is>
          <t>GÄVLEBORGS LÄN</t>
        </is>
      </c>
      <c r="E1300" t="inlineStr">
        <is>
          <t>HUDIKSVALL</t>
        </is>
      </c>
      <c r="F1300" t="inlineStr">
        <is>
          <t>Sveaskog</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59116-2019</t>
        </is>
      </c>
      <c r="B1301" s="1" t="n">
        <v>43775</v>
      </c>
      <c r="C1301" s="1" t="n">
        <v>45587</v>
      </c>
      <c r="D1301" t="inlineStr">
        <is>
          <t>GÄVLEBORGS LÄN</t>
        </is>
      </c>
      <c r="E1301" t="inlineStr">
        <is>
          <t>HOFORS</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59115-2019</t>
        </is>
      </c>
      <c r="B1302" s="1" t="n">
        <v>43775</v>
      </c>
      <c r="C1302" s="1" t="n">
        <v>45587</v>
      </c>
      <c r="D1302" t="inlineStr">
        <is>
          <t>GÄVLEBORGS LÄN</t>
        </is>
      </c>
      <c r="E1302" t="inlineStr">
        <is>
          <t>HOFORS</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59990-2019</t>
        </is>
      </c>
      <c r="B1303" s="1" t="n">
        <v>43775</v>
      </c>
      <c r="C1303" s="1" t="n">
        <v>45587</v>
      </c>
      <c r="D1303" t="inlineStr">
        <is>
          <t>GÄVLEBORGS LÄN</t>
        </is>
      </c>
      <c r="E1303" t="inlineStr">
        <is>
          <t>LJUSDAL</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59153-2019</t>
        </is>
      </c>
      <c r="B1304" s="1" t="n">
        <v>43775</v>
      </c>
      <c r="C1304" s="1" t="n">
        <v>45587</v>
      </c>
      <c r="D1304" t="inlineStr">
        <is>
          <t>GÄVLEBORGS LÄN</t>
        </is>
      </c>
      <c r="E1304" t="inlineStr">
        <is>
          <t>LJUSDAL</t>
        </is>
      </c>
      <c r="G1304" t="n">
        <v>10.5</v>
      </c>
      <c r="H1304" t="n">
        <v>0</v>
      </c>
      <c r="I1304" t="n">
        <v>0</v>
      </c>
      <c r="J1304" t="n">
        <v>0</v>
      </c>
      <c r="K1304" t="n">
        <v>0</v>
      </c>
      <c r="L1304" t="n">
        <v>0</v>
      </c>
      <c r="M1304" t="n">
        <v>0</v>
      </c>
      <c r="N1304" t="n">
        <v>0</v>
      </c>
      <c r="O1304" t="n">
        <v>0</v>
      </c>
      <c r="P1304" t="n">
        <v>0</v>
      </c>
      <c r="Q1304" t="n">
        <v>0</v>
      </c>
      <c r="R1304" s="2" t="inlineStr"/>
    </row>
    <row r="1305" ht="15" customHeight="1">
      <c r="A1305" t="inlineStr">
        <is>
          <t>A 59808-2019</t>
        </is>
      </c>
      <c r="B1305" s="1" t="n">
        <v>43775</v>
      </c>
      <c r="C1305" s="1" t="n">
        <v>45587</v>
      </c>
      <c r="D1305" t="inlineStr">
        <is>
          <t>GÄVLEBORGS LÄN</t>
        </is>
      </c>
      <c r="E1305" t="inlineStr">
        <is>
          <t>NORDANSTIG</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59558-2019</t>
        </is>
      </c>
      <c r="B1306" s="1" t="n">
        <v>43776</v>
      </c>
      <c r="C1306" s="1" t="n">
        <v>45587</v>
      </c>
      <c r="D1306" t="inlineStr">
        <is>
          <t>GÄVLEBORGS LÄN</t>
        </is>
      </c>
      <c r="E1306" t="inlineStr">
        <is>
          <t>HUDIKSVALL</t>
        </is>
      </c>
      <c r="F1306" t="inlineStr">
        <is>
          <t>Holmen skog AB</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59458-2019</t>
        </is>
      </c>
      <c r="B1307" s="1" t="n">
        <v>43776</v>
      </c>
      <c r="C1307" s="1" t="n">
        <v>45587</v>
      </c>
      <c r="D1307" t="inlineStr">
        <is>
          <t>GÄVLEBORGS LÄN</t>
        </is>
      </c>
      <c r="E1307" t="inlineStr">
        <is>
          <t>LJUSDAL</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59734-2019</t>
        </is>
      </c>
      <c r="B1308" s="1" t="n">
        <v>43776</v>
      </c>
      <c r="C1308" s="1" t="n">
        <v>45587</v>
      </c>
      <c r="D1308" t="inlineStr">
        <is>
          <t>GÄVLEBORGS LÄN</t>
        </is>
      </c>
      <c r="E1308" t="inlineStr">
        <is>
          <t>GÄVLE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60423-2019</t>
        </is>
      </c>
      <c r="B1309" s="1" t="n">
        <v>43776</v>
      </c>
      <c r="C1309" s="1" t="n">
        <v>45587</v>
      </c>
      <c r="D1309" t="inlineStr">
        <is>
          <t>GÄVLEBORGS LÄN</t>
        </is>
      </c>
      <c r="E1309" t="inlineStr">
        <is>
          <t>HUDIKSVALL</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60418-2019</t>
        </is>
      </c>
      <c r="B1310" s="1" t="n">
        <v>43776</v>
      </c>
      <c r="C1310" s="1" t="n">
        <v>45587</v>
      </c>
      <c r="D1310" t="inlineStr">
        <is>
          <t>GÄVLEBORGS LÄN</t>
        </is>
      </c>
      <c r="E1310" t="inlineStr">
        <is>
          <t>LJUSDAL</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59699-2019</t>
        </is>
      </c>
      <c r="B1311" s="1" t="n">
        <v>43776</v>
      </c>
      <c r="C1311" s="1" t="n">
        <v>45587</v>
      </c>
      <c r="D1311" t="inlineStr">
        <is>
          <t>GÄVLEBORGS LÄN</t>
        </is>
      </c>
      <c r="E1311" t="inlineStr">
        <is>
          <t>BOLLNÄS</t>
        </is>
      </c>
      <c r="G1311" t="n">
        <v>0</v>
      </c>
      <c r="H1311" t="n">
        <v>0</v>
      </c>
      <c r="I1311" t="n">
        <v>0</v>
      </c>
      <c r="J1311" t="n">
        <v>0</v>
      </c>
      <c r="K1311" t="n">
        <v>0</v>
      </c>
      <c r="L1311" t="n">
        <v>0</v>
      </c>
      <c r="M1311" t="n">
        <v>0</v>
      </c>
      <c r="N1311" t="n">
        <v>0</v>
      </c>
      <c r="O1311" t="n">
        <v>0</v>
      </c>
      <c r="P1311" t="n">
        <v>0</v>
      </c>
      <c r="Q1311" t="n">
        <v>0</v>
      </c>
      <c r="R1311" s="2" t="inlineStr"/>
    </row>
    <row r="1312" ht="15" customHeight="1">
      <c r="A1312" t="inlineStr">
        <is>
          <t>A 59926-2019</t>
        </is>
      </c>
      <c r="B1312" s="1" t="n">
        <v>43777</v>
      </c>
      <c r="C1312" s="1" t="n">
        <v>45587</v>
      </c>
      <c r="D1312" t="inlineStr">
        <is>
          <t>GÄVLEBORGS LÄN</t>
        </is>
      </c>
      <c r="E1312" t="inlineStr">
        <is>
          <t>GÄVLE</t>
        </is>
      </c>
      <c r="F1312" t="inlineStr">
        <is>
          <t>Bergvik skog öst AB</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59956-2019</t>
        </is>
      </c>
      <c r="B1313" s="1" t="n">
        <v>43777</v>
      </c>
      <c r="C1313" s="1" t="n">
        <v>45587</v>
      </c>
      <c r="D1313" t="inlineStr">
        <is>
          <t>GÄVLEBORGS LÄN</t>
        </is>
      </c>
      <c r="E1313" t="inlineStr">
        <is>
          <t>SANDVIKEN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60049-2019</t>
        </is>
      </c>
      <c r="B1314" s="1" t="n">
        <v>43777</v>
      </c>
      <c r="C1314" s="1" t="n">
        <v>45587</v>
      </c>
      <c r="D1314" t="inlineStr">
        <is>
          <t>GÄVLEBORGS LÄN</t>
        </is>
      </c>
      <c r="E1314" t="inlineStr">
        <is>
          <t>HOFORS</t>
        </is>
      </c>
      <c r="F1314" t="inlineStr">
        <is>
          <t>Sveaskog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59838-2019</t>
        </is>
      </c>
      <c r="B1315" s="1" t="n">
        <v>43777</v>
      </c>
      <c r="C1315" s="1" t="n">
        <v>45587</v>
      </c>
      <c r="D1315" t="inlineStr">
        <is>
          <t>GÄVLEBORGS LÄN</t>
        </is>
      </c>
      <c r="E1315" t="inlineStr">
        <is>
          <t>SANDVIKEN</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59980-2019</t>
        </is>
      </c>
      <c r="B1316" s="1" t="n">
        <v>43777</v>
      </c>
      <c r="C1316" s="1" t="n">
        <v>45587</v>
      </c>
      <c r="D1316" t="inlineStr">
        <is>
          <t>GÄVLEBORGS LÄN</t>
        </is>
      </c>
      <c r="E1316" t="inlineStr">
        <is>
          <t>BOLLNÄS</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60034-2019</t>
        </is>
      </c>
      <c r="B1317" s="1" t="n">
        <v>43777</v>
      </c>
      <c r="C1317" s="1" t="n">
        <v>45587</v>
      </c>
      <c r="D1317" t="inlineStr">
        <is>
          <t>GÄVLEBORGS LÄN</t>
        </is>
      </c>
      <c r="E1317" t="inlineStr">
        <is>
          <t>LJUSDAL</t>
        </is>
      </c>
      <c r="F1317" t="inlineStr">
        <is>
          <t>Sveaskog</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59907-2019</t>
        </is>
      </c>
      <c r="B1318" s="1" t="n">
        <v>43777</v>
      </c>
      <c r="C1318" s="1" t="n">
        <v>45587</v>
      </c>
      <c r="D1318" t="inlineStr">
        <is>
          <t>GÄVLEBORGS LÄN</t>
        </is>
      </c>
      <c r="E1318" t="inlineStr">
        <is>
          <t>GÄVLE</t>
        </is>
      </c>
      <c r="F1318" t="inlineStr">
        <is>
          <t>Bergvik skog öst AB</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59922-2019</t>
        </is>
      </c>
      <c r="B1319" s="1" t="n">
        <v>43777</v>
      </c>
      <c r="C1319" s="1" t="n">
        <v>45587</v>
      </c>
      <c r="D1319" t="inlineStr">
        <is>
          <t>GÄVLEBORGS LÄN</t>
        </is>
      </c>
      <c r="E1319" t="inlineStr">
        <is>
          <t>LJUSDAL</t>
        </is>
      </c>
      <c r="F1319" t="inlineStr">
        <is>
          <t>Allmännings- och besparingsskogar</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60262-2019</t>
        </is>
      </c>
      <c r="B1320" s="1" t="n">
        <v>43780</v>
      </c>
      <c r="C1320" s="1" t="n">
        <v>45587</v>
      </c>
      <c r="D1320" t="inlineStr">
        <is>
          <t>GÄVLEBORGS LÄN</t>
        </is>
      </c>
      <c r="E1320" t="inlineStr">
        <is>
          <t>HOFORS</t>
        </is>
      </c>
      <c r="F1320" t="inlineStr">
        <is>
          <t>Sveaskog</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60336-2019</t>
        </is>
      </c>
      <c r="B1321" s="1" t="n">
        <v>43780</v>
      </c>
      <c r="C1321" s="1" t="n">
        <v>45587</v>
      </c>
      <c r="D1321" t="inlineStr">
        <is>
          <t>GÄVLEBORGS LÄN</t>
        </is>
      </c>
      <c r="E1321" t="inlineStr">
        <is>
          <t>OVANÅKER</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60344-2019</t>
        </is>
      </c>
      <c r="B1322" s="1" t="n">
        <v>43780</v>
      </c>
      <c r="C1322" s="1" t="n">
        <v>45587</v>
      </c>
      <c r="D1322" t="inlineStr">
        <is>
          <t>GÄVLEBORGS LÄN</t>
        </is>
      </c>
      <c r="E1322" t="inlineStr">
        <is>
          <t>OVANÅKER</t>
        </is>
      </c>
      <c r="G1322" t="n">
        <v>12.2</v>
      </c>
      <c r="H1322" t="n">
        <v>0</v>
      </c>
      <c r="I1322" t="n">
        <v>0</v>
      </c>
      <c r="J1322" t="n">
        <v>0</v>
      </c>
      <c r="K1322" t="n">
        <v>0</v>
      </c>
      <c r="L1322" t="n">
        <v>0</v>
      </c>
      <c r="M1322" t="n">
        <v>0</v>
      </c>
      <c r="N1322" t="n">
        <v>0</v>
      </c>
      <c r="O1322" t="n">
        <v>0</v>
      </c>
      <c r="P1322" t="n">
        <v>0</v>
      </c>
      <c r="Q1322" t="n">
        <v>0</v>
      </c>
      <c r="R1322" s="2" t="inlineStr"/>
    </row>
    <row r="1323" ht="15" customHeight="1">
      <c r="A1323" t="inlineStr">
        <is>
          <t>A 60188-2019</t>
        </is>
      </c>
      <c r="B1323" s="1" t="n">
        <v>43780</v>
      </c>
      <c r="C1323" s="1" t="n">
        <v>45587</v>
      </c>
      <c r="D1323" t="inlineStr">
        <is>
          <t>GÄVLEBORGS LÄN</t>
        </is>
      </c>
      <c r="E1323" t="inlineStr">
        <is>
          <t>HUDIKSVALL</t>
        </is>
      </c>
      <c r="F1323" t="inlineStr">
        <is>
          <t>Holmen skog AB</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60405-2019</t>
        </is>
      </c>
      <c r="B1324" s="1" t="n">
        <v>43780</v>
      </c>
      <c r="C1324" s="1" t="n">
        <v>45587</v>
      </c>
      <c r="D1324" t="inlineStr">
        <is>
          <t>GÄVLEBORGS LÄN</t>
        </is>
      </c>
      <c r="E1324" t="inlineStr">
        <is>
          <t>HUDIKSVALL</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60499-2019</t>
        </is>
      </c>
      <c r="B1325" s="1" t="n">
        <v>43780</v>
      </c>
      <c r="C1325" s="1" t="n">
        <v>45587</v>
      </c>
      <c r="D1325" t="inlineStr">
        <is>
          <t>GÄVLEBORGS LÄN</t>
        </is>
      </c>
      <c r="E1325" t="inlineStr">
        <is>
          <t>NORDANSTIG</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60539-2019</t>
        </is>
      </c>
      <c r="B1326" s="1" t="n">
        <v>43781</v>
      </c>
      <c r="C1326" s="1" t="n">
        <v>45587</v>
      </c>
      <c r="D1326" t="inlineStr">
        <is>
          <t>GÄVLEBORGS LÄN</t>
        </is>
      </c>
      <c r="E1326" t="inlineStr">
        <is>
          <t>BOLLNÄS</t>
        </is>
      </c>
      <c r="F1326" t="inlineStr">
        <is>
          <t>Sveaskog</t>
        </is>
      </c>
      <c r="G1326" t="n">
        <v>8.4</v>
      </c>
      <c r="H1326" t="n">
        <v>0</v>
      </c>
      <c r="I1326" t="n">
        <v>0</v>
      </c>
      <c r="J1326" t="n">
        <v>0</v>
      </c>
      <c r="K1326" t="n">
        <v>0</v>
      </c>
      <c r="L1326" t="n">
        <v>0</v>
      </c>
      <c r="M1326" t="n">
        <v>0</v>
      </c>
      <c r="N1326" t="n">
        <v>0</v>
      </c>
      <c r="O1326" t="n">
        <v>0</v>
      </c>
      <c r="P1326" t="n">
        <v>0</v>
      </c>
      <c r="Q1326" t="n">
        <v>0</v>
      </c>
      <c r="R1326" s="2" t="inlineStr"/>
    </row>
    <row r="1327" ht="15" customHeight="1">
      <c r="A1327" t="inlineStr">
        <is>
          <t>A 60574-2019</t>
        </is>
      </c>
      <c r="B1327" s="1" t="n">
        <v>43781</v>
      </c>
      <c r="C1327" s="1" t="n">
        <v>45587</v>
      </c>
      <c r="D1327" t="inlineStr">
        <is>
          <t>GÄVLEBORGS LÄN</t>
        </is>
      </c>
      <c r="E1327" t="inlineStr">
        <is>
          <t>LJUSDAL</t>
        </is>
      </c>
      <c r="F1327" t="inlineStr">
        <is>
          <t>Bergvik skog väst AB</t>
        </is>
      </c>
      <c r="G1327" t="n">
        <v>20.4</v>
      </c>
      <c r="H1327" t="n">
        <v>0</v>
      </c>
      <c r="I1327" t="n">
        <v>0</v>
      </c>
      <c r="J1327" t="n">
        <v>0</v>
      </c>
      <c r="K1327" t="n">
        <v>0</v>
      </c>
      <c r="L1327" t="n">
        <v>0</v>
      </c>
      <c r="M1327" t="n">
        <v>0</v>
      </c>
      <c r="N1327" t="n">
        <v>0</v>
      </c>
      <c r="O1327" t="n">
        <v>0</v>
      </c>
      <c r="P1327" t="n">
        <v>0</v>
      </c>
      <c r="Q1327" t="n">
        <v>0</v>
      </c>
      <c r="R1327" s="2" t="inlineStr"/>
    </row>
    <row r="1328" ht="15" customHeight="1">
      <c r="A1328" t="inlineStr">
        <is>
          <t>A 60651-2019</t>
        </is>
      </c>
      <c r="B1328" s="1" t="n">
        <v>43781</v>
      </c>
      <c r="C1328" s="1" t="n">
        <v>45587</v>
      </c>
      <c r="D1328" t="inlineStr">
        <is>
          <t>GÄVLEBORGS LÄN</t>
        </is>
      </c>
      <c r="E1328" t="inlineStr">
        <is>
          <t>LJUSDAL</t>
        </is>
      </c>
      <c r="F1328" t="inlineStr">
        <is>
          <t>Sveaskog</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60552-2019</t>
        </is>
      </c>
      <c r="B1329" s="1" t="n">
        <v>43781</v>
      </c>
      <c r="C1329" s="1" t="n">
        <v>45587</v>
      </c>
      <c r="D1329" t="inlineStr">
        <is>
          <t>GÄVLEBORGS LÄN</t>
        </is>
      </c>
      <c r="E1329" t="inlineStr">
        <is>
          <t>HOFORS</t>
        </is>
      </c>
      <c r="F1329" t="inlineStr">
        <is>
          <t>Sveaskog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60612-2019</t>
        </is>
      </c>
      <c r="B1330" s="1" t="n">
        <v>43781</v>
      </c>
      <c r="C1330" s="1" t="n">
        <v>45587</v>
      </c>
      <c r="D1330" t="inlineStr">
        <is>
          <t>GÄVLEBORGS LÄN</t>
        </is>
      </c>
      <c r="E1330" t="inlineStr">
        <is>
          <t>BOLLNÄS</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60720-2019</t>
        </is>
      </c>
      <c r="B1331" s="1" t="n">
        <v>43781</v>
      </c>
      <c r="C1331" s="1" t="n">
        <v>45587</v>
      </c>
      <c r="D1331" t="inlineStr">
        <is>
          <t>GÄVLEBORGS LÄN</t>
        </is>
      </c>
      <c r="E1331" t="inlineStr">
        <is>
          <t>LJUSDAL</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61030-2019</t>
        </is>
      </c>
      <c r="B1332" s="1" t="n">
        <v>43782</v>
      </c>
      <c r="C1332" s="1" t="n">
        <v>45587</v>
      </c>
      <c r="D1332" t="inlineStr">
        <is>
          <t>GÄVLEBORGS LÄN</t>
        </is>
      </c>
      <c r="E1332" t="inlineStr">
        <is>
          <t>OCKELBO</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61192-2019</t>
        </is>
      </c>
      <c r="B1333" s="1" t="n">
        <v>43782</v>
      </c>
      <c r="C1333" s="1" t="n">
        <v>45587</v>
      </c>
      <c r="D1333" t="inlineStr">
        <is>
          <t>GÄVLEBORGS LÄN</t>
        </is>
      </c>
      <c r="E1333" t="inlineStr">
        <is>
          <t>LJUSDAL</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60966-2019</t>
        </is>
      </c>
      <c r="B1334" s="1" t="n">
        <v>43782</v>
      </c>
      <c r="C1334" s="1" t="n">
        <v>45587</v>
      </c>
      <c r="D1334" t="inlineStr">
        <is>
          <t>GÄVLEBORGS LÄN</t>
        </is>
      </c>
      <c r="E1334" t="inlineStr">
        <is>
          <t>SÖDERHAMN</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60988-2019</t>
        </is>
      </c>
      <c r="B1335" s="1" t="n">
        <v>43782</v>
      </c>
      <c r="C1335" s="1" t="n">
        <v>45587</v>
      </c>
      <c r="D1335" t="inlineStr">
        <is>
          <t>GÄVLEBORGS LÄN</t>
        </is>
      </c>
      <c r="E1335" t="inlineStr">
        <is>
          <t>HUDIKSVALL</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61070-2019</t>
        </is>
      </c>
      <c r="B1336" s="1" t="n">
        <v>43782</v>
      </c>
      <c r="C1336" s="1" t="n">
        <v>45587</v>
      </c>
      <c r="D1336" t="inlineStr">
        <is>
          <t>GÄVLEBORGS LÄN</t>
        </is>
      </c>
      <c r="E1336" t="inlineStr">
        <is>
          <t>OVANÅKER</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61195-2019</t>
        </is>
      </c>
      <c r="B1337" s="1" t="n">
        <v>43782</v>
      </c>
      <c r="C1337" s="1" t="n">
        <v>45587</v>
      </c>
      <c r="D1337" t="inlineStr">
        <is>
          <t>GÄVLEBORGS LÄN</t>
        </is>
      </c>
      <c r="E1337" t="inlineStr">
        <is>
          <t>LJUSDAL</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62091-2019</t>
        </is>
      </c>
      <c r="B1338" s="1" t="n">
        <v>43782</v>
      </c>
      <c r="C1338" s="1" t="n">
        <v>45587</v>
      </c>
      <c r="D1338" t="inlineStr">
        <is>
          <t>GÄVLEBORGS LÄN</t>
        </is>
      </c>
      <c r="E1338" t="inlineStr">
        <is>
          <t>HOFORS</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61194-2019</t>
        </is>
      </c>
      <c r="B1339" s="1" t="n">
        <v>43782</v>
      </c>
      <c r="C1339" s="1" t="n">
        <v>45587</v>
      </c>
      <c r="D1339" t="inlineStr">
        <is>
          <t>GÄVLEBORGS LÄN</t>
        </is>
      </c>
      <c r="E1339" t="inlineStr">
        <is>
          <t>LJUSDAL</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60993-2019</t>
        </is>
      </c>
      <c r="B1340" s="1" t="n">
        <v>43782</v>
      </c>
      <c r="C1340" s="1" t="n">
        <v>45587</v>
      </c>
      <c r="D1340" t="inlineStr">
        <is>
          <t>GÄVLEBORGS LÄN</t>
        </is>
      </c>
      <c r="E1340" t="inlineStr">
        <is>
          <t>OCKELBO</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62085-2019</t>
        </is>
      </c>
      <c r="B1341" s="1" t="n">
        <v>43782</v>
      </c>
      <c r="C1341" s="1" t="n">
        <v>45587</v>
      </c>
      <c r="D1341" t="inlineStr">
        <is>
          <t>GÄVLEBORGS LÄN</t>
        </is>
      </c>
      <c r="E1341" t="inlineStr">
        <is>
          <t>SANDVIKEN</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62088-2019</t>
        </is>
      </c>
      <c r="B1342" s="1" t="n">
        <v>43782</v>
      </c>
      <c r="C1342" s="1" t="n">
        <v>45587</v>
      </c>
      <c r="D1342" t="inlineStr">
        <is>
          <t>GÄVLEBORGS LÄN</t>
        </is>
      </c>
      <c r="E1342" t="inlineStr">
        <is>
          <t>SANDVIKEN</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61168-2019</t>
        </is>
      </c>
      <c r="B1343" s="1" t="n">
        <v>43782</v>
      </c>
      <c r="C1343" s="1" t="n">
        <v>45587</v>
      </c>
      <c r="D1343" t="inlineStr">
        <is>
          <t>GÄVLEBORGS LÄN</t>
        </is>
      </c>
      <c r="E1343" t="inlineStr">
        <is>
          <t>HOFORS</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61364-2019</t>
        </is>
      </c>
      <c r="B1344" s="1" t="n">
        <v>43783</v>
      </c>
      <c r="C1344" s="1" t="n">
        <v>45587</v>
      </c>
      <c r="D1344" t="inlineStr">
        <is>
          <t>GÄVLEBORGS LÄN</t>
        </is>
      </c>
      <c r="E1344" t="inlineStr">
        <is>
          <t>OCKELBO</t>
        </is>
      </c>
      <c r="F1344" t="inlineStr">
        <is>
          <t>Bergvik skog väst AB</t>
        </is>
      </c>
      <c r="G1344" t="n">
        <v>8.6</v>
      </c>
      <c r="H1344" t="n">
        <v>0</v>
      </c>
      <c r="I1344" t="n">
        <v>0</v>
      </c>
      <c r="J1344" t="n">
        <v>0</v>
      </c>
      <c r="K1344" t="n">
        <v>0</v>
      </c>
      <c r="L1344" t="n">
        <v>0</v>
      </c>
      <c r="M1344" t="n">
        <v>0</v>
      </c>
      <c r="N1344" t="n">
        <v>0</v>
      </c>
      <c r="O1344" t="n">
        <v>0</v>
      </c>
      <c r="P1344" t="n">
        <v>0</v>
      </c>
      <c r="Q1344" t="n">
        <v>0</v>
      </c>
      <c r="R1344" s="2" t="inlineStr"/>
    </row>
    <row r="1345" ht="15" customHeight="1">
      <c r="A1345" t="inlineStr">
        <is>
          <t>A 61374-2019</t>
        </is>
      </c>
      <c r="B1345" s="1" t="n">
        <v>43783</v>
      </c>
      <c r="C1345" s="1" t="n">
        <v>45587</v>
      </c>
      <c r="D1345" t="inlineStr">
        <is>
          <t>GÄVLEBORGS LÄN</t>
        </is>
      </c>
      <c r="E1345" t="inlineStr">
        <is>
          <t>BOLLNÄS</t>
        </is>
      </c>
      <c r="F1345" t="inlineStr">
        <is>
          <t>Sveaskog</t>
        </is>
      </c>
      <c r="G1345" t="n">
        <v>2.8</v>
      </c>
      <c r="H1345" t="n">
        <v>0</v>
      </c>
      <c r="I1345" t="n">
        <v>0</v>
      </c>
      <c r="J1345" t="n">
        <v>0</v>
      </c>
      <c r="K1345" t="n">
        <v>0</v>
      </c>
      <c r="L1345" t="n">
        <v>0</v>
      </c>
      <c r="M1345" t="n">
        <v>0</v>
      </c>
      <c r="N1345" t="n">
        <v>0</v>
      </c>
      <c r="O1345" t="n">
        <v>0</v>
      </c>
      <c r="P1345" t="n">
        <v>0</v>
      </c>
      <c r="Q1345" t="n">
        <v>0</v>
      </c>
      <c r="R1345" s="2" t="inlineStr"/>
      <c r="U1345">
        <f>HYPERLINK("https://klasma.github.io/Logging_2183/knärot/A 61374-2019 karta knärot.png", "A 61374-2019")</f>
        <v/>
      </c>
      <c r="V1345">
        <f>HYPERLINK("https://klasma.github.io/Logging_2183/klagomål/A 61374-2019 FSC-klagomål.docx", "A 61374-2019")</f>
        <v/>
      </c>
      <c r="W1345">
        <f>HYPERLINK("https://klasma.github.io/Logging_2183/klagomålsmail/A 61374-2019 FSC-klagomål mail.docx", "A 61374-2019")</f>
        <v/>
      </c>
      <c r="X1345">
        <f>HYPERLINK("https://klasma.github.io/Logging_2183/tillsyn/A 61374-2019 tillsynsbegäran.docx", "A 61374-2019")</f>
        <v/>
      </c>
      <c r="Y1345">
        <f>HYPERLINK("https://klasma.github.io/Logging_2183/tillsynsmail/A 61374-2019 tillsynsbegäran mail.docx", "A 61374-2019")</f>
        <v/>
      </c>
    </row>
    <row r="1346" ht="15" customHeight="1">
      <c r="A1346" t="inlineStr">
        <is>
          <t>A 61246-2019</t>
        </is>
      </c>
      <c r="B1346" s="1" t="n">
        <v>43783</v>
      </c>
      <c r="C1346" s="1" t="n">
        <v>45587</v>
      </c>
      <c r="D1346" t="inlineStr">
        <is>
          <t>GÄVLEBORGS LÄN</t>
        </is>
      </c>
      <c r="E1346" t="inlineStr">
        <is>
          <t>BOLLNÄS</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61392-2019</t>
        </is>
      </c>
      <c r="B1347" s="1" t="n">
        <v>43783</v>
      </c>
      <c r="C1347" s="1" t="n">
        <v>45587</v>
      </c>
      <c r="D1347" t="inlineStr">
        <is>
          <t>GÄVLEBORGS LÄN</t>
        </is>
      </c>
      <c r="E1347" t="inlineStr">
        <is>
          <t>GÄVLE</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61481-2019</t>
        </is>
      </c>
      <c r="B1348" s="1" t="n">
        <v>43783</v>
      </c>
      <c r="C1348" s="1" t="n">
        <v>45587</v>
      </c>
      <c r="D1348" t="inlineStr">
        <is>
          <t>GÄVLEBORGS LÄN</t>
        </is>
      </c>
      <c r="E1348" t="inlineStr">
        <is>
          <t>SANDVIKEN</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62938-2019</t>
        </is>
      </c>
      <c r="B1349" s="1" t="n">
        <v>43783</v>
      </c>
      <c r="C1349" s="1" t="n">
        <v>45587</v>
      </c>
      <c r="D1349" t="inlineStr">
        <is>
          <t>GÄVLEBORGS LÄN</t>
        </is>
      </c>
      <c r="E1349" t="inlineStr">
        <is>
          <t>BOLLNÄS</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62448-2019</t>
        </is>
      </c>
      <c r="B1350" s="1" t="n">
        <v>43783</v>
      </c>
      <c r="C1350" s="1" t="n">
        <v>45587</v>
      </c>
      <c r="D1350" t="inlineStr">
        <is>
          <t>GÄVLEBORGS LÄN</t>
        </is>
      </c>
      <c r="E1350" t="inlineStr">
        <is>
          <t>SÖDERHAMN</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61274-2019</t>
        </is>
      </c>
      <c r="B1351" s="1" t="n">
        <v>43783</v>
      </c>
      <c r="C1351" s="1" t="n">
        <v>45587</v>
      </c>
      <c r="D1351" t="inlineStr">
        <is>
          <t>GÄVLEBORGS LÄN</t>
        </is>
      </c>
      <c r="E1351" t="inlineStr">
        <is>
          <t>SÖDERHAMN</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61501-2019</t>
        </is>
      </c>
      <c r="B1352" s="1" t="n">
        <v>43783</v>
      </c>
      <c r="C1352" s="1" t="n">
        <v>45587</v>
      </c>
      <c r="D1352" t="inlineStr">
        <is>
          <t>GÄVLEBORGS LÄN</t>
        </is>
      </c>
      <c r="E1352" t="inlineStr">
        <is>
          <t>HUDIKSVALL</t>
        </is>
      </c>
      <c r="F1352" t="inlineStr">
        <is>
          <t>Holmen skog AB</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61563-2019</t>
        </is>
      </c>
      <c r="B1353" s="1" t="n">
        <v>43784</v>
      </c>
      <c r="C1353" s="1" t="n">
        <v>45587</v>
      </c>
      <c r="D1353" t="inlineStr">
        <is>
          <t>GÄVLEBORGS LÄN</t>
        </is>
      </c>
      <c r="E1353" t="inlineStr">
        <is>
          <t>HUDIKSVALL</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61729-2019</t>
        </is>
      </c>
      <c r="B1354" s="1" t="n">
        <v>43784</v>
      </c>
      <c r="C1354" s="1" t="n">
        <v>45587</v>
      </c>
      <c r="D1354" t="inlineStr">
        <is>
          <t>GÄVLEBORGS LÄN</t>
        </is>
      </c>
      <c r="E1354" t="inlineStr">
        <is>
          <t>LJUSDAL</t>
        </is>
      </c>
      <c r="F1354" t="inlineStr">
        <is>
          <t>Allmännings- och besparingsskogar</t>
        </is>
      </c>
      <c r="G1354" t="n">
        <v>7.5</v>
      </c>
      <c r="H1354" t="n">
        <v>0</v>
      </c>
      <c r="I1354" t="n">
        <v>0</v>
      </c>
      <c r="J1354" t="n">
        <v>0</v>
      </c>
      <c r="K1354" t="n">
        <v>0</v>
      </c>
      <c r="L1354" t="n">
        <v>0</v>
      </c>
      <c r="M1354" t="n">
        <v>0</v>
      </c>
      <c r="N1354" t="n">
        <v>0</v>
      </c>
      <c r="O1354" t="n">
        <v>0</v>
      </c>
      <c r="P1354" t="n">
        <v>0</v>
      </c>
      <c r="Q1354" t="n">
        <v>0</v>
      </c>
      <c r="R1354" s="2" t="inlineStr"/>
    </row>
    <row r="1355" ht="15" customHeight="1">
      <c r="A1355" t="inlineStr">
        <is>
          <t>A 61675-2019</t>
        </is>
      </c>
      <c r="B1355" s="1" t="n">
        <v>43784</v>
      </c>
      <c r="C1355" s="1" t="n">
        <v>45587</v>
      </c>
      <c r="D1355" t="inlineStr">
        <is>
          <t>GÄVLEBORGS LÄN</t>
        </is>
      </c>
      <c r="E1355" t="inlineStr">
        <is>
          <t>SANDVIKEN</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63115-2019</t>
        </is>
      </c>
      <c r="B1356" s="1" t="n">
        <v>43786</v>
      </c>
      <c r="C1356" s="1" t="n">
        <v>45587</v>
      </c>
      <c r="D1356" t="inlineStr">
        <is>
          <t>GÄVLEBORGS LÄN</t>
        </is>
      </c>
      <c r="E1356" t="inlineStr">
        <is>
          <t>HUDIKSVALL</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62044-2019</t>
        </is>
      </c>
      <c r="B1357" s="1" t="n">
        <v>43787</v>
      </c>
      <c r="C1357" s="1" t="n">
        <v>45587</v>
      </c>
      <c r="D1357" t="inlineStr">
        <is>
          <t>GÄVLEBORGS LÄN</t>
        </is>
      </c>
      <c r="E1357" t="inlineStr">
        <is>
          <t>OVANÅKER</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61870-2019</t>
        </is>
      </c>
      <c r="B1358" s="1" t="n">
        <v>43787</v>
      </c>
      <c r="C1358" s="1" t="n">
        <v>45587</v>
      </c>
      <c r="D1358" t="inlineStr">
        <is>
          <t>GÄVLEBORGS LÄN</t>
        </is>
      </c>
      <c r="E1358" t="inlineStr">
        <is>
          <t>LJUSDAL</t>
        </is>
      </c>
      <c r="F1358" t="inlineStr">
        <is>
          <t>Allmännings- och besparingsskogar</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62119-2019</t>
        </is>
      </c>
      <c r="B1359" s="1" t="n">
        <v>43787</v>
      </c>
      <c r="C1359" s="1" t="n">
        <v>45587</v>
      </c>
      <c r="D1359" t="inlineStr">
        <is>
          <t>GÄVLEBORGS LÄN</t>
        </is>
      </c>
      <c r="E1359" t="inlineStr">
        <is>
          <t>BOLLNÄS</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61988-2019</t>
        </is>
      </c>
      <c r="B1360" s="1" t="n">
        <v>43787</v>
      </c>
      <c r="C1360" s="1" t="n">
        <v>45587</v>
      </c>
      <c r="D1360" t="inlineStr">
        <is>
          <t>GÄVLEBORGS LÄN</t>
        </is>
      </c>
      <c r="E1360" t="inlineStr">
        <is>
          <t>LJUSDAL</t>
        </is>
      </c>
      <c r="F1360" t="inlineStr">
        <is>
          <t>Allmännings- och besparingsskogar</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62211-2019</t>
        </is>
      </c>
      <c r="B1361" s="1" t="n">
        <v>43788</v>
      </c>
      <c r="C1361" s="1" t="n">
        <v>45587</v>
      </c>
      <c r="D1361" t="inlineStr">
        <is>
          <t>GÄVLEBORGS LÄN</t>
        </is>
      </c>
      <c r="E1361" t="inlineStr">
        <is>
          <t>OVANÅKER</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62387-2019</t>
        </is>
      </c>
      <c r="B1362" s="1" t="n">
        <v>43788</v>
      </c>
      <c r="C1362" s="1" t="n">
        <v>45587</v>
      </c>
      <c r="D1362" t="inlineStr">
        <is>
          <t>GÄVLEBORGS LÄN</t>
        </is>
      </c>
      <c r="E1362" t="inlineStr">
        <is>
          <t>HUDIKSVALL</t>
        </is>
      </c>
      <c r="F1362" t="inlineStr">
        <is>
          <t>Holmen skog AB</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62250-2019</t>
        </is>
      </c>
      <c r="B1363" s="1" t="n">
        <v>43788</v>
      </c>
      <c r="C1363" s="1" t="n">
        <v>45587</v>
      </c>
      <c r="D1363" t="inlineStr">
        <is>
          <t>GÄVLEBORGS LÄN</t>
        </is>
      </c>
      <c r="E1363" t="inlineStr">
        <is>
          <t>GÄVLE</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62348-2019</t>
        </is>
      </c>
      <c r="B1364" s="1" t="n">
        <v>43788</v>
      </c>
      <c r="C1364" s="1" t="n">
        <v>45587</v>
      </c>
      <c r="D1364" t="inlineStr">
        <is>
          <t>GÄVLEBORGS LÄN</t>
        </is>
      </c>
      <c r="E1364" t="inlineStr">
        <is>
          <t>OVANÅKER</t>
        </is>
      </c>
      <c r="G1364" t="n">
        <v>12.1</v>
      </c>
      <c r="H1364" t="n">
        <v>0</v>
      </c>
      <c r="I1364" t="n">
        <v>0</v>
      </c>
      <c r="J1364" t="n">
        <v>0</v>
      </c>
      <c r="K1364" t="n">
        <v>0</v>
      </c>
      <c r="L1364" t="n">
        <v>0</v>
      </c>
      <c r="M1364" t="n">
        <v>0</v>
      </c>
      <c r="N1364" t="n">
        <v>0</v>
      </c>
      <c r="O1364" t="n">
        <v>0</v>
      </c>
      <c r="P1364" t="n">
        <v>0</v>
      </c>
      <c r="Q1364" t="n">
        <v>0</v>
      </c>
      <c r="R1364" s="2" t="inlineStr"/>
    </row>
    <row r="1365" ht="15" customHeight="1">
      <c r="A1365" t="inlineStr">
        <is>
          <t>A 62291-2019</t>
        </is>
      </c>
      <c r="B1365" s="1" t="n">
        <v>43788</v>
      </c>
      <c r="C1365" s="1" t="n">
        <v>45587</v>
      </c>
      <c r="D1365" t="inlineStr">
        <is>
          <t>GÄVLEBORGS LÄN</t>
        </is>
      </c>
      <c r="E1365" t="inlineStr">
        <is>
          <t>HUDIKSVALL</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62388-2019</t>
        </is>
      </c>
      <c r="B1366" s="1" t="n">
        <v>43788</v>
      </c>
      <c r="C1366" s="1" t="n">
        <v>45587</v>
      </c>
      <c r="D1366" t="inlineStr">
        <is>
          <t>GÄVLEBORGS LÄN</t>
        </is>
      </c>
      <c r="E1366" t="inlineStr">
        <is>
          <t>NORDANSTIG</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62439-2019</t>
        </is>
      </c>
      <c r="B1367" s="1" t="n">
        <v>43788</v>
      </c>
      <c r="C1367" s="1" t="n">
        <v>45587</v>
      </c>
      <c r="D1367" t="inlineStr">
        <is>
          <t>GÄVLEBORGS LÄN</t>
        </is>
      </c>
      <c r="E1367" t="inlineStr">
        <is>
          <t>SANDVIKEN</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62615-2019</t>
        </is>
      </c>
      <c r="B1368" s="1" t="n">
        <v>43789</v>
      </c>
      <c r="C1368" s="1" t="n">
        <v>45587</v>
      </c>
      <c r="D1368" t="inlineStr">
        <is>
          <t>GÄVLEBORGS LÄN</t>
        </is>
      </c>
      <c r="E1368" t="inlineStr">
        <is>
          <t>SANDVIKEN</t>
        </is>
      </c>
      <c r="F1368" t="inlineStr">
        <is>
          <t>Naturvårdsverket</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62569-2019</t>
        </is>
      </c>
      <c r="B1369" s="1" t="n">
        <v>43789</v>
      </c>
      <c r="C1369" s="1" t="n">
        <v>45587</v>
      </c>
      <c r="D1369" t="inlineStr">
        <is>
          <t>GÄVLEBORGS LÄN</t>
        </is>
      </c>
      <c r="E1369" t="inlineStr">
        <is>
          <t>HUDIKSVALL</t>
        </is>
      </c>
      <c r="F1369" t="inlineStr">
        <is>
          <t>Holmen skog AB</t>
        </is>
      </c>
      <c r="G1369" t="n">
        <v>5.8</v>
      </c>
      <c r="H1369" t="n">
        <v>0</v>
      </c>
      <c r="I1369" t="n">
        <v>0</v>
      </c>
      <c r="J1369" t="n">
        <v>0</v>
      </c>
      <c r="K1369" t="n">
        <v>0</v>
      </c>
      <c r="L1369" t="n">
        <v>0</v>
      </c>
      <c r="M1369" t="n">
        <v>0</v>
      </c>
      <c r="N1369" t="n">
        <v>0</v>
      </c>
      <c r="O1369" t="n">
        <v>0</v>
      </c>
      <c r="P1369" t="n">
        <v>0</v>
      </c>
      <c r="Q1369" t="n">
        <v>0</v>
      </c>
      <c r="R1369" s="2" t="inlineStr"/>
    </row>
    <row r="1370" ht="15" customHeight="1">
      <c r="A1370" t="inlineStr">
        <is>
          <t>A 62632-2019</t>
        </is>
      </c>
      <c r="B1370" s="1" t="n">
        <v>43789</v>
      </c>
      <c r="C1370" s="1" t="n">
        <v>45587</v>
      </c>
      <c r="D1370" t="inlineStr">
        <is>
          <t>GÄVLEBORGS LÄN</t>
        </is>
      </c>
      <c r="E1370" t="inlineStr">
        <is>
          <t>BOLLNÄS</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62567-2019</t>
        </is>
      </c>
      <c r="B1371" s="1" t="n">
        <v>43789</v>
      </c>
      <c r="C1371" s="1" t="n">
        <v>45587</v>
      </c>
      <c r="D1371" t="inlineStr">
        <is>
          <t>GÄVLEBORGS LÄN</t>
        </is>
      </c>
      <c r="E1371" t="inlineStr">
        <is>
          <t>LJUSDAL</t>
        </is>
      </c>
      <c r="F1371" t="inlineStr">
        <is>
          <t>Allmännings- och besparingsskogar</t>
        </is>
      </c>
      <c r="G1371" t="n">
        <v>7.2</v>
      </c>
      <c r="H1371" t="n">
        <v>0</v>
      </c>
      <c r="I1371" t="n">
        <v>0</v>
      </c>
      <c r="J1371" t="n">
        <v>0</v>
      </c>
      <c r="K1371" t="n">
        <v>0</v>
      </c>
      <c r="L1371" t="n">
        <v>0</v>
      </c>
      <c r="M1371" t="n">
        <v>0</v>
      </c>
      <c r="N1371" t="n">
        <v>0</v>
      </c>
      <c r="O1371" t="n">
        <v>0</v>
      </c>
      <c r="P1371" t="n">
        <v>0</v>
      </c>
      <c r="Q1371" t="n">
        <v>0</v>
      </c>
      <c r="R1371" s="2" t="inlineStr"/>
    </row>
    <row r="1372" ht="15" customHeight="1">
      <c r="A1372" t="inlineStr">
        <is>
          <t>A 62633-2019</t>
        </is>
      </c>
      <c r="B1372" s="1" t="n">
        <v>43789</v>
      </c>
      <c r="C1372" s="1" t="n">
        <v>45587</v>
      </c>
      <c r="D1372" t="inlineStr">
        <is>
          <t>GÄVLEBORGS LÄN</t>
        </is>
      </c>
      <c r="E1372" t="inlineStr">
        <is>
          <t>BOLLNÄS</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62586-2019</t>
        </is>
      </c>
      <c r="B1373" s="1" t="n">
        <v>43789</v>
      </c>
      <c r="C1373" s="1" t="n">
        <v>45587</v>
      </c>
      <c r="D1373" t="inlineStr">
        <is>
          <t>GÄVLEBORGS LÄN</t>
        </is>
      </c>
      <c r="E1373" t="inlineStr">
        <is>
          <t>LJUSDAL</t>
        </is>
      </c>
      <c r="F1373" t="inlineStr">
        <is>
          <t>Allmännings- och besparingsskogar</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62772-2019</t>
        </is>
      </c>
      <c r="B1374" s="1" t="n">
        <v>43790</v>
      </c>
      <c r="C1374" s="1" t="n">
        <v>45587</v>
      </c>
      <c r="D1374" t="inlineStr">
        <is>
          <t>GÄVLEBORGS LÄN</t>
        </is>
      </c>
      <c r="E1374" t="inlineStr">
        <is>
          <t>OVANÅKER</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62759-2019</t>
        </is>
      </c>
      <c r="B1375" s="1" t="n">
        <v>43790</v>
      </c>
      <c r="C1375" s="1" t="n">
        <v>45587</v>
      </c>
      <c r="D1375" t="inlineStr">
        <is>
          <t>GÄVLEBORGS LÄN</t>
        </is>
      </c>
      <c r="E1375" t="inlineStr">
        <is>
          <t>OVANÅKER</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62767-2019</t>
        </is>
      </c>
      <c r="B1376" s="1" t="n">
        <v>43790</v>
      </c>
      <c r="C1376" s="1" t="n">
        <v>45587</v>
      </c>
      <c r="D1376" t="inlineStr">
        <is>
          <t>GÄVLEBORGS LÄN</t>
        </is>
      </c>
      <c r="E1376" t="inlineStr">
        <is>
          <t>OVANÅKER</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62775-2019</t>
        </is>
      </c>
      <c r="B1377" s="1" t="n">
        <v>43790</v>
      </c>
      <c r="C1377" s="1" t="n">
        <v>45587</v>
      </c>
      <c r="D1377" t="inlineStr">
        <is>
          <t>GÄVLEBORGS LÄN</t>
        </is>
      </c>
      <c r="E1377" t="inlineStr">
        <is>
          <t>BOLLNÄS</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62841-2019</t>
        </is>
      </c>
      <c r="B1378" s="1" t="n">
        <v>43790</v>
      </c>
      <c r="C1378" s="1" t="n">
        <v>45587</v>
      </c>
      <c r="D1378" t="inlineStr">
        <is>
          <t>GÄVLEBORGS LÄN</t>
        </is>
      </c>
      <c r="E1378" t="inlineStr">
        <is>
          <t>GÄVLE</t>
        </is>
      </c>
      <c r="F1378" t="inlineStr">
        <is>
          <t>Bergvik skog väst AB</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62760-2019</t>
        </is>
      </c>
      <c r="B1379" s="1" t="n">
        <v>43790</v>
      </c>
      <c r="C1379" s="1" t="n">
        <v>45587</v>
      </c>
      <c r="D1379" t="inlineStr">
        <is>
          <t>GÄVLEBORGS LÄN</t>
        </is>
      </c>
      <c r="E1379" t="inlineStr">
        <is>
          <t>OVANÅKER</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62753-2019</t>
        </is>
      </c>
      <c r="B1380" s="1" t="n">
        <v>43790</v>
      </c>
      <c r="C1380" s="1" t="n">
        <v>45587</v>
      </c>
      <c r="D1380" t="inlineStr">
        <is>
          <t>GÄVLEBORGS LÄN</t>
        </is>
      </c>
      <c r="E1380" t="inlineStr">
        <is>
          <t>OVANÅKER</t>
        </is>
      </c>
      <c r="G1380" t="n">
        <v>5.1</v>
      </c>
      <c r="H1380" t="n">
        <v>0</v>
      </c>
      <c r="I1380" t="n">
        <v>0</v>
      </c>
      <c r="J1380" t="n">
        <v>0</v>
      </c>
      <c r="K1380" t="n">
        <v>0</v>
      </c>
      <c r="L1380" t="n">
        <v>0</v>
      </c>
      <c r="M1380" t="n">
        <v>0</v>
      </c>
      <c r="N1380" t="n">
        <v>0</v>
      </c>
      <c r="O1380" t="n">
        <v>0</v>
      </c>
      <c r="P1380" t="n">
        <v>0</v>
      </c>
      <c r="Q1380" t="n">
        <v>0</v>
      </c>
      <c r="R1380" s="2" t="inlineStr"/>
    </row>
    <row r="1381" ht="15" customHeight="1">
      <c r="A1381" t="inlineStr">
        <is>
          <t>A 62934-2019</t>
        </is>
      </c>
      <c r="B1381" s="1" t="n">
        <v>43790</v>
      </c>
      <c r="C1381" s="1" t="n">
        <v>45587</v>
      </c>
      <c r="D1381" t="inlineStr">
        <is>
          <t>GÄVLEBORGS LÄN</t>
        </is>
      </c>
      <c r="E1381" t="inlineStr">
        <is>
          <t>NORDANSTIG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63009-2019</t>
        </is>
      </c>
      <c r="B1382" s="1" t="n">
        <v>43790</v>
      </c>
      <c r="C1382" s="1" t="n">
        <v>45587</v>
      </c>
      <c r="D1382" t="inlineStr">
        <is>
          <t>GÄVLEBORGS LÄN</t>
        </is>
      </c>
      <c r="E1382" t="inlineStr">
        <is>
          <t>NORDANSTIG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62758-2019</t>
        </is>
      </c>
      <c r="B1383" s="1" t="n">
        <v>43790</v>
      </c>
      <c r="C1383" s="1" t="n">
        <v>45587</v>
      </c>
      <c r="D1383" t="inlineStr">
        <is>
          <t>GÄVLEBORGS LÄN</t>
        </is>
      </c>
      <c r="E1383" t="inlineStr">
        <is>
          <t>HUDIKSVALL</t>
        </is>
      </c>
      <c r="G1383" t="n">
        <v>11.8</v>
      </c>
      <c r="H1383" t="n">
        <v>0</v>
      </c>
      <c r="I1383" t="n">
        <v>0</v>
      </c>
      <c r="J1383" t="n">
        <v>0</v>
      </c>
      <c r="K1383" t="n">
        <v>0</v>
      </c>
      <c r="L1383" t="n">
        <v>0</v>
      </c>
      <c r="M1383" t="n">
        <v>0</v>
      </c>
      <c r="N1383" t="n">
        <v>0</v>
      </c>
      <c r="O1383" t="n">
        <v>0</v>
      </c>
      <c r="P1383" t="n">
        <v>0</v>
      </c>
      <c r="Q1383" t="n">
        <v>0</v>
      </c>
      <c r="R1383" s="2" t="inlineStr"/>
    </row>
    <row r="1384" ht="15" customHeight="1">
      <c r="A1384" t="inlineStr">
        <is>
          <t>A 63037-2019</t>
        </is>
      </c>
      <c r="B1384" s="1" t="n">
        <v>43791</v>
      </c>
      <c r="C1384" s="1" t="n">
        <v>45587</v>
      </c>
      <c r="D1384" t="inlineStr">
        <is>
          <t>GÄVLEBORGS LÄN</t>
        </is>
      </c>
      <c r="E1384" t="inlineStr">
        <is>
          <t>LJUSDAL</t>
        </is>
      </c>
      <c r="F1384" t="inlineStr">
        <is>
          <t>Sveaskog</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63068-2019</t>
        </is>
      </c>
      <c r="B1385" s="1" t="n">
        <v>43791</v>
      </c>
      <c r="C1385" s="1" t="n">
        <v>45587</v>
      </c>
      <c r="D1385" t="inlineStr">
        <is>
          <t>GÄVLEBORGS LÄN</t>
        </is>
      </c>
      <c r="E1385" t="inlineStr">
        <is>
          <t>OCKELBO</t>
        </is>
      </c>
      <c r="F1385" t="inlineStr">
        <is>
          <t>Bergvik skog väst AB</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63078-2019</t>
        </is>
      </c>
      <c r="B1386" s="1" t="n">
        <v>43791</v>
      </c>
      <c r="C1386" s="1" t="n">
        <v>45587</v>
      </c>
      <c r="D1386" t="inlineStr">
        <is>
          <t>GÄVLEBORGS LÄN</t>
        </is>
      </c>
      <c r="E1386" t="inlineStr">
        <is>
          <t>LJUSDAL</t>
        </is>
      </c>
      <c r="F1386" t="inlineStr">
        <is>
          <t>Allmännings- och besparingsskogar</t>
        </is>
      </c>
      <c r="G1386" t="n">
        <v>7.5</v>
      </c>
      <c r="H1386" t="n">
        <v>0</v>
      </c>
      <c r="I1386" t="n">
        <v>0</v>
      </c>
      <c r="J1386" t="n">
        <v>0</v>
      </c>
      <c r="K1386" t="n">
        <v>0</v>
      </c>
      <c r="L1386" t="n">
        <v>0</v>
      </c>
      <c r="M1386" t="n">
        <v>0</v>
      </c>
      <c r="N1386" t="n">
        <v>0</v>
      </c>
      <c r="O1386" t="n">
        <v>0</v>
      </c>
      <c r="P1386" t="n">
        <v>0</v>
      </c>
      <c r="Q1386" t="n">
        <v>0</v>
      </c>
      <c r="R1386" s="2" t="inlineStr"/>
    </row>
    <row r="1387" ht="15" customHeight="1">
      <c r="A1387" t="inlineStr">
        <is>
          <t>A 63013-2019</t>
        </is>
      </c>
      <c r="B1387" s="1" t="n">
        <v>43791</v>
      </c>
      <c r="C1387" s="1" t="n">
        <v>45587</v>
      </c>
      <c r="D1387" t="inlineStr">
        <is>
          <t>GÄVLEBORGS LÄN</t>
        </is>
      </c>
      <c r="E1387" t="inlineStr">
        <is>
          <t>HUDIKSVALL</t>
        </is>
      </c>
      <c r="F1387" t="inlineStr">
        <is>
          <t>Holmen skog AB</t>
        </is>
      </c>
      <c r="G1387" t="n">
        <v>33.3</v>
      </c>
      <c r="H1387" t="n">
        <v>0</v>
      </c>
      <c r="I1387" t="n">
        <v>0</v>
      </c>
      <c r="J1387" t="n">
        <v>0</v>
      </c>
      <c r="K1387" t="n">
        <v>0</v>
      </c>
      <c r="L1387" t="n">
        <v>0</v>
      </c>
      <c r="M1387" t="n">
        <v>0</v>
      </c>
      <c r="N1387" t="n">
        <v>0</v>
      </c>
      <c r="O1387" t="n">
        <v>0</v>
      </c>
      <c r="P1387" t="n">
        <v>0</v>
      </c>
      <c r="Q1387" t="n">
        <v>0</v>
      </c>
      <c r="R1387" s="2" t="inlineStr"/>
    </row>
    <row r="1388" ht="15" customHeight="1">
      <c r="A1388" t="inlineStr">
        <is>
          <t>A 63108-2019</t>
        </is>
      </c>
      <c r="B1388" s="1" t="n">
        <v>43791</v>
      </c>
      <c r="C1388" s="1" t="n">
        <v>45587</v>
      </c>
      <c r="D1388" t="inlineStr">
        <is>
          <t>GÄVLEBORGS LÄN</t>
        </is>
      </c>
      <c r="E1388" t="inlineStr">
        <is>
          <t>LJUSDAL</t>
        </is>
      </c>
      <c r="F1388" t="inlineStr">
        <is>
          <t>Allmännings- och besparingsskogar</t>
        </is>
      </c>
      <c r="G1388" t="n">
        <v>6.9</v>
      </c>
      <c r="H1388" t="n">
        <v>0</v>
      </c>
      <c r="I1388" t="n">
        <v>0</v>
      </c>
      <c r="J1388" t="n">
        <v>0</v>
      </c>
      <c r="K1388" t="n">
        <v>0</v>
      </c>
      <c r="L1388" t="n">
        <v>0</v>
      </c>
      <c r="M1388" t="n">
        <v>0</v>
      </c>
      <c r="N1388" t="n">
        <v>0</v>
      </c>
      <c r="O1388" t="n">
        <v>0</v>
      </c>
      <c r="P1388" t="n">
        <v>0</v>
      </c>
      <c r="Q1388" t="n">
        <v>0</v>
      </c>
      <c r="R1388" s="2" t="inlineStr"/>
    </row>
    <row r="1389" ht="15" customHeight="1">
      <c r="A1389" t="inlineStr">
        <is>
          <t>A 63269-2019</t>
        </is>
      </c>
      <c r="B1389" s="1" t="n">
        <v>43793</v>
      </c>
      <c r="C1389" s="1" t="n">
        <v>45587</v>
      </c>
      <c r="D1389" t="inlineStr">
        <is>
          <t>GÄVLEBORGS LÄN</t>
        </is>
      </c>
      <c r="E1389" t="inlineStr">
        <is>
          <t>NORDANSTIG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63409-2019</t>
        </is>
      </c>
      <c r="B1390" s="1" t="n">
        <v>43794</v>
      </c>
      <c r="C1390" s="1" t="n">
        <v>45587</v>
      </c>
      <c r="D1390" t="inlineStr">
        <is>
          <t>GÄVLEBORGS LÄN</t>
        </is>
      </c>
      <c r="E1390" t="inlineStr">
        <is>
          <t>HUDIKSVALL</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63469-2019</t>
        </is>
      </c>
      <c r="B1391" s="1" t="n">
        <v>43794</v>
      </c>
      <c r="C1391" s="1" t="n">
        <v>45587</v>
      </c>
      <c r="D1391" t="inlineStr">
        <is>
          <t>GÄVLEBORGS LÄN</t>
        </is>
      </c>
      <c r="E1391" t="inlineStr">
        <is>
          <t>GÄVLE</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63540-2019</t>
        </is>
      </c>
      <c r="B1392" s="1" t="n">
        <v>43794</v>
      </c>
      <c r="C1392" s="1" t="n">
        <v>45587</v>
      </c>
      <c r="D1392" t="inlineStr">
        <is>
          <t>GÄVLEBORGS LÄN</t>
        </is>
      </c>
      <c r="E1392" t="inlineStr">
        <is>
          <t>BOLLNÄS</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64390-2019</t>
        </is>
      </c>
      <c r="B1393" s="1" t="n">
        <v>43794</v>
      </c>
      <c r="C1393" s="1" t="n">
        <v>45587</v>
      </c>
      <c r="D1393" t="inlineStr">
        <is>
          <t>GÄVLEBORGS LÄN</t>
        </is>
      </c>
      <c r="E1393" t="inlineStr">
        <is>
          <t>LJUSDAL</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64373-2019</t>
        </is>
      </c>
      <c r="B1394" s="1" t="n">
        <v>43794</v>
      </c>
      <c r="C1394" s="1" t="n">
        <v>45587</v>
      </c>
      <c r="D1394" t="inlineStr">
        <is>
          <t>GÄVLEBORGS LÄN</t>
        </is>
      </c>
      <c r="E1394" t="inlineStr">
        <is>
          <t>LJUSDAL</t>
        </is>
      </c>
      <c r="G1394" t="n">
        <v>25.3</v>
      </c>
      <c r="H1394" t="n">
        <v>0</v>
      </c>
      <c r="I1394" t="n">
        <v>0</v>
      </c>
      <c r="J1394" t="n">
        <v>0</v>
      </c>
      <c r="K1394" t="n">
        <v>0</v>
      </c>
      <c r="L1394" t="n">
        <v>0</v>
      </c>
      <c r="M1394" t="n">
        <v>0</v>
      </c>
      <c r="N1394" t="n">
        <v>0</v>
      </c>
      <c r="O1394" t="n">
        <v>0</v>
      </c>
      <c r="P1394" t="n">
        <v>0</v>
      </c>
      <c r="Q1394" t="n">
        <v>0</v>
      </c>
      <c r="R1394" s="2" t="inlineStr"/>
    </row>
    <row r="1395" ht="15" customHeight="1">
      <c r="A1395" t="inlineStr">
        <is>
          <t>A 63588-2019</t>
        </is>
      </c>
      <c r="B1395" s="1" t="n">
        <v>43795</v>
      </c>
      <c r="C1395" s="1" t="n">
        <v>45587</v>
      </c>
      <c r="D1395" t="inlineStr">
        <is>
          <t>GÄVLEBORGS LÄN</t>
        </is>
      </c>
      <c r="E1395" t="inlineStr">
        <is>
          <t>HOFORS</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63614-2019</t>
        </is>
      </c>
      <c r="B1396" s="1" t="n">
        <v>43795</v>
      </c>
      <c r="C1396" s="1" t="n">
        <v>45587</v>
      </c>
      <c r="D1396" t="inlineStr">
        <is>
          <t>GÄVLEBORGS LÄN</t>
        </is>
      </c>
      <c r="E1396" t="inlineStr">
        <is>
          <t>BOLLNÄS</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63568-2019</t>
        </is>
      </c>
      <c r="B1397" s="1" t="n">
        <v>43795</v>
      </c>
      <c r="C1397" s="1" t="n">
        <v>45587</v>
      </c>
      <c r="D1397" t="inlineStr">
        <is>
          <t>GÄVLEBORGS LÄN</t>
        </is>
      </c>
      <c r="E1397" t="inlineStr">
        <is>
          <t>HUDIKSVALL</t>
        </is>
      </c>
      <c r="F1397" t="inlineStr">
        <is>
          <t>Holmen skog AB</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63585-2019</t>
        </is>
      </c>
      <c r="B1398" s="1" t="n">
        <v>43795</v>
      </c>
      <c r="C1398" s="1" t="n">
        <v>45587</v>
      </c>
      <c r="D1398" t="inlineStr">
        <is>
          <t>GÄVLEBORGS LÄN</t>
        </is>
      </c>
      <c r="E1398" t="inlineStr">
        <is>
          <t>HOFORS</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63894-2019</t>
        </is>
      </c>
      <c r="B1399" s="1" t="n">
        <v>43796</v>
      </c>
      <c r="C1399" s="1" t="n">
        <v>45587</v>
      </c>
      <c r="D1399" t="inlineStr">
        <is>
          <t>GÄVLEBORGS LÄN</t>
        </is>
      </c>
      <c r="E1399" t="inlineStr">
        <is>
          <t>OCKELBO</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63948-2019</t>
        </is>
      </c>
      <c r="B1400" s="1" t="n">
        <v>43796</v>
      </c>
      <c r="C1400" s="1" t="n">
        <v>45587</v>
      </c>
      <c r="D1400" t="inlineStr">
        <is>
          <t>GÄVLEBORGS LÄN</t>
        </is>
      </c>
      <c r="E1400" t="inlineStr">
        <is>
          <t>OCKELBO</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63917-2019</t>
        </is>
      </c>
      <c r="B1401" s="1" t="n">
        <v>43796</v>
      </c>
      <c r="C1401" s="1" t="n">
        <v>45587</v>
      </c>
      <c r="D1401" t="inlineStr">
        <is>
          <t>GÄVLEBORGS LÄN</t>
        </is>
      </c>
      <c r="E1401" t="inlineStr">
        <is>
          <t>OVANÅKER</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64035-2019</t>
        </is>
      </c>
      <c r="B1402" s="1" t="n">
        <v>43796</v>
      </c>
      <c r="C1402" s="1" t="n">
        <v>45587</v>
      </c>
      <c r="D1402" t="inlineStr">
        <is>
          <t>GÄVLEBORGS LÄN</t>
        </is>
      </c>
      <c r="E1402" t="inlineStr">
        <is>
          <t>OCKELBO</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63996-2019</t>
        </is>
      </c>
      <c r="B1403" s="1" t="n">
        <v>43796</v>
      </c>
      <c r="C1403" s="1" t="n">
        <v>45587</v>
      </c>
      <c r="D1403" t="inlineStr">
        <is>
          <t>GÄVLEBORGS LÄN</t>
        </is>
      </c>
      <c r="E1403" t="inlineStr">
        <is>
          <t>OCKELBO</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64000-2019</t>
        </is>
      </c>
      <c r="B1404" s="1" t="n">
        <v>43796</v>
      </c>
      <c r="C1404" s="1" t="n">
        <v>45587</v>
      </c>
      <c r="D1404" t="inlineStr">
        <is>
          <t>GÄVLEBORGS LÄN</t>
        </is>
      </c>
      <c r="E1404" t="inlineStr">
        <is>
          <t>OCKELBO</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64023-2019</t>
        </is>
      </c>
      <c r="B1405" s="1" t="n">
        <v>43796</v>
      </c>
      <c r="C1405" s="1" t="n">
        <v>45587</v>
      </c>
      <c r="D1405" t="inlineStr">
        <is>
          <t>GÄVLEBORGS LÄN</t>
        </is>
      </c>
      <c r="E1405" t="inlineStr">
        <is>
          <t>HUDIKSVALL</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64176-2019</t>
        </is>
      </c>
      <c r="B1406" s="1" t="n">
        <v>43797</v>
      </c>
      <c r="C1406" s="1" t="n">
        <v>45587</v>
      </c>
      <c r="D1406" t="inlineStr">
        <is>
          <t>GÄVLEBORGS LÄN</t>
        </is>
      </c>
      <c r="E1406" t="inlineStr">
        <is>
          <t>OVANÅKER</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64179-2019</t>
        </is>
      </c>
      <c r="B1407" s="1" t="n">
        <v>43797</v>
      </c>
      <c r="C1407" s="1" t="n">
        <v>45587</v>
      </c>
      <c r="D1407" t="inlineStr">
        <is>
          <t>GÄVLEBORGS LÄN</t>
        </is>
      </c>
      <c r="E1407" t="inlineStr">
        <is>
          <t>OCKELBO</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64264-2019</t>
        </is>
      </c>
      <c r="B1408" s="1" t="n">
        <v>43797</v>
      </c>
      <c r="C1408" s="1" t="n">
        <v>45587</v>
      </c>
      <c r="D1408" t="inlineStr">
        <is>
          <t>GÄVLEBORGS LÄN</t>
        </is>
      </c>
      <c r="E1408" t="inlineStr">
        <is>
          <t>SANDVIKEN</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64362-2019</t>
        </is>
      </c>
      <c r="B1409" s="1" t="n">
        <v>43797</v>
      </c>
      <c r="C1409" s="1" t="n">
        <v>45587</v>
      </c>
      <c r="D1409" t="inlineStr">
        <is>
          <t>GÄVLEBORGS LÄN</t>
        </is>
      </c>
      <c r="E1409" t="inlineStr">
        <is>
          <t>HUDIKSVALL</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64192-2019</t>
        </is>
      </c>
      <c r="B1410" s="1" t="n">
        <v>43797</v>
      </c>
      <c r="C1410" s="1" t="n">
        <v>45587</v>
      </c>
      <c r="D1410" t="inlineStr">
        <is>
          <t>GÄVLEBORGS LÄN</t>
        </is>
      </c>
      <c r="E1410" t="inlineStr">
        <is>
          <t>LJUSDAL</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64200-2019</t>
        </is>
      </c>
      <c r="B1411" s="1" t="n">
        <v>43797</v>
      </c>
      <c r="C1411" s="1" t="n">
        <v>45587</v>
      </c>
      <c r="D1411" t="inlineStr">
        <is>
          <t>GÄVLEBORGS LÄN</t>
        </is>
      </c>
      <c r="E1411" t="inlineStr">
        <is>
          <t>LJUSDAL</t>
        </is>
      </c>
      <c r="F1411" t="inlineStr">
        <is>
          <t>Bergvik skog väst AB</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64673-2019</t>
        </is>
      </c>
      <c r="B1412" s="1" t="n">
        <v>43798</v>
      </c>
      <c r="C1412" s="1" t="n">
        <v>45587</v>
      </c>
      <c r="D1412" t="inlineStr">
        <is>
          <t>GÄVLEBORGS LÄN</t>
        </is>
      </c>
      <c r="E1412" t="inlineStr">
        <is>
          <t>BOLLNÄS</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65428-2019</t>
        </is>
      </c>
      <c r="B1413" s="1" t="n">
        <v>43798</v>
      </c>
      <c r="C1413" s="1" t="n">
        <v>45587</v>
      </c>
      <c r="D1413" t="inlineStr">
        <is>
          <t>GÄVLEBORGS LÄN</t>
        </is>
      </c>
      <c r="E1413" t="inlineStr">
        <is>
          <t>NORDANSTIG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64747-2019</t>
        </is>
      </c>
      <c r="B1414" s="1" t="n">
        <v>43800</v>
      </c>
      <c r="C1414" s="1" t="n">
        <v>45587</v>
      </c>
      <c r="D1414" t="inlineStr">
        <is>
          <t>GÄVLEBORGS LÄN</t>
        </is>
      </c>
      <c r="E1414" t="inlineStr">
        <is>
          <t>BOLLNÄS</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64750-2019</t>
        </is>
      </c>
      <c r="B1415" s="1" t="n">
        <v>43801</v>
      </c>
      <c r="C1415" s="1" t="n">
        <v>45587</v>
      </c>
      <c r="D1415" t="inlineStr">
        <is>
          <t>GÄVLEBORGS LÄN</t>
        </is>
      </c>
      <c r="E1415" t="inlineStr">
        <is>
          <t>SÖDERHAMN</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64822-2019</t>
        </is>
      </c>
      <c r="B1416" s="1" t="n">
        <v>43801</v>
      </c>
      <c r="C1416" s="1" t="n">
        <v>45587</v>
      </c>
      <c r="D1416" t="inlineStr">
        <is>
          <t>GÄVLEBORGS LÄN</t>
        </is>
      </c>
      <c r="E1416" t="inlineStr">
        <is>
          <t>NORDANSTIG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64944-2019</t>
        </is>
      </c>
      <c r="B1417" s="1" t="n">
        <v>43801</v>
      </c>
      <c r="C1417" s="1" t="n">
        <v>45587</v>
      </c>
      <c r="D1417" t="inlineStr">
        <is>
          <t>GÄVLEBORGS LÄN</t>
        </is>
      </c>
      <c r="E1417" t="inlineStr">
        <is>
          <t>LJUSDAL</t>
        </is>
      </c>
      <c r="F1417" t="inlineStr">
        <is>
          <t>Holmen skog AB</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65177-2019</t>
        </is>
      </c>
      <c r="B1418" s="1" t="n">
        <v>43802</v>
      </c>
      <c r="C1418" s="1" t="n">
        <v>45587</v>
      </c>
      <c r="D1418" t="inlineStr">
        <is>
          <t>GÄVLEBORGS LÄN</t>
        </is>
      </c>
      <c r="E1418" t="inlineStr">
        <is>
          <t>BOLLNÄS</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65192-2019</t>
        </is>
      </c>
      <c r="B1419" s="1" t="n">
        <v>43802</v>
      </c>
      <c r="C1419" s="1" t="n">
        <v>45587</v>
      </c>
      <c r="D1419" t="inlineStr">
        <is>
          <t>GÄVLEBORGS LÄN</t>
        </is>
      </c>
      <c r="E1419" t="inlineStr">
        <is>
          <t>SÖDERHAMN</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65262-2019</t>
        </is>
      </c>
      <c r="B1420" s="1" t="n">
        <v>43802</v>
      </c>
      <c r="C1420" s="1" t="n">
        <v>45587</v>
      </c>
      <c r="D1420" t="inlineStr">
        <is>
          <t>GÄVLEBORGS LÄN</t>
        </is>
      </c>
      <c r="E1420" t="inlineStr">
        <is>
          <t>LJUSDAL</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65166-2019</t>
        </is>
      </c>
      <c r="B1421" s="1" t="n">
        <v>43802</v>
      </c>
      <c r="C1421" s="1" t="n">
        <v>45587</v>
      </c>
      <c r="D1421" t="inlineStr">
        <is>
          <t>GÄVLEBORGS LÄN</t>
        </is>
      </c>
      <c r="E1421" t="inlineStr">
        <is>
          <t>OVANÅKER</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65320-2019</t>
        </is>
      </c>
      <c r="B1422" s="1" t="n">
        <v>43802</v>
      </c>
      <c r="C1422" s="1" t="n">
        <v>45587</v>
      </c>
      <c r="D1422" t="inlineStr">
        <is>
          <t>GÄVLEBORGS LÄN</t>
        </is>
      </c>
      <c r="E1422" t="inlineStr">
        <is>
          <t>HUDIKSVALL</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65291-2019</t>
        </is>
      </c>
      <c r="B1423" s="1" t="n">
        <v>43802</v>
      </c>
      <c r="C1423" s="1" t="n">
        <v>45587</v>
      </c>
      <c r="D1423" t="inlineStr">
        <is>
          <t>GÄVLEBORGS LÄN</t>
        </is>
      </c>
      <c r="E1423" t="inlineStr">
        <is>
          <t>LJUSDAL</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65462-2019</t>
        </is>
      </c>
      <c r="B1424" s="1" t="n">
        <v>43803</v>
      </c>
      <c r="C1424" s="1" t="n">
        <v>45587</v>
      </c>
      <c r="D1424" t="inlineStr">
        <is>
          <t>GÄVLEBORGS LÄN</t>
        </is>
      </c>
      <c r="E1424" t="inlineStr">
        <is>
          <t>HUDIKSVALL</t>
        </is>
      </c>
      <c r="F1424" t="inlineStr">
        <is>
          <t>Holmen skog AB</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65614-2019</t>
        </is>
      </c>
      <c r="B1425" s="1" t="n">
        <v>43804</v>
      </c>
      <c r="C1425" s="1" t="n">
        <v>45587</v>
      </c>
      <c r="D1425" t="inlineStr">
        <is>
          <t>GÄVLEBORGS LÄN</t>
        </is>
      </c>
      <c r="E1425" t="inlineStr">
        <is>
          <t>SÖDERHAMN</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65648-2019</t>
        </is>
      </c>
      <c r="B1426" s="1" t="n">
        <v>43804</v>
      </c>
      <c r="C1426" s="1" t="n">
        <v>45587</v>
      </c>
      <c r="D1426" t="inlineStr">
        <is>
          <t>GÄVLEBORGS LÄN</t>
        </is>
      </c>
      <c r="E1426" t="inlineStr">
        <is>
          <t>OCKELBO</t>
        </is>
      </c>
      <c r="G1426" t="n">
        <v>7.1</v>
      </c>
      <c r="H1426" t="n">
        <v>0</v>
      </c>
      <c r="I1426" t="n">
        <v>0</v>
      </c>
      <c r="J1426" t="n">
        <v>0</v>
      </c>
      <c r="K1426" t="n">
        <v>0</v>
      </c>
      <c r="L1426" t="n">
        <v>0</v>
      </c>
      <c r="M1426" t="n">
        <v>0</v>
      </c>
      <c r="N1426" t="n">
        <v>0</v>
      </c>
      <c r="O1426" t="n">
        <v>0</v>
      </c>
      <c r="P1426" t="n">
        <v>0</v>
      </c>
      <c r="Q1426" t="n">
        <v>0</v>
      </c>
      <c r="R1426" s="2" t="inlineStr"/>
    </row>
    <row r="1427" ht="15" customHeight="1">
      <c r="A1427" t="inlineStr">
        <is>
          <t>A 65714-2019</t>
        </is>
      </c>
      <c r="B1427" s="1" t="n">
        <v>43804</v>
      </c>
      <c r="C1427" s="1" t="n">
        <v>45587</v>
      </c>
      <c r="D1427" t="inlineStr">
        <is>
          <t>GÄVLEBORGS LÄN</t>
        </is>
      </c>
      <c r="E1427" t="inlineStr">
        <is>
          <t>SÖDERHAMN</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66096-2019</t>
        </is>
      </c>
      <c r="B1428" s="1" t="n">
        <v>43807</v>
      </c>
      <c r="C1428" s="1" t="n">
        <v>45587</v>
      </c>
      <c r="D1428" t="inlineStr">
        <is>
          <t>GÄVLEBORGS LÄN</t>
        </is>
      </c>
      <c r="E1428" t="inlineStr">
        <is>
          <t>HUDIKSVALL</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66196-2019</t>
        </is>
      </c>
      <c r="B1429" s="1" t="n">
        <v>43808</v>
      </c>
      <c r="C1429" s="1" t="n">
        <v>45587</v>
      </c>
      <c r="D1429" t="inlineStr">
        <is>
          <t>GÄVLEBORGS LÄN</t>
        </is>
      </c>
      <c r="E1429" t="inlineStr">
        <is>
          <t>BOLLNÄS</t>
        </is>
      </c>
      <c r="F1429" t="inlineStr">
        <is>
          <t>Bergvik skog väst AB</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66265-2019</t>
        </is>
      </c>
      <c r="B1430" s="1" t="n">
        <v>43808</v>
      </c>
      <c r="C1430" s="1" t="n">
        <v>45587</v>
      </c>
      <c r="D1430" t="inlineStr">
        <is>
          <t>GÄVLEBORGS LÄN</t>
        </is>
      </c>
      <c r="E1430" t="inlineStr">
        <is>
          <t>OCKELBO</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66206-2019</t>
        </is>
      </c>
      <c r="B1431" s="1" t="n">
        <v>43808</v>
      </c>
      <c r="C1431" s="1" t="n">
        <v>45587</v>
      </c>
      <c r="D1431" t="inlineStr">
        <is>
          <t>GÄVLEBORGS LÄN</t>
        </is>
      </c>
      <c r="E1431" t="inlineStr">
        <is>
          <t>GÄVLE</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66212-2019</t>
        </is>
      </c>
      <c r="B1432" s="1" t="n">
        <v>43808</v>
      </c>
      <c r="C1432" s="1" t="n">
        <v>45587</v>
      </c>
      <c r="D1432" t="inlineStr">
        <is>
          <t>GÄVLEBORGS LÄN</t>
        </is>
      </c>
      <c r="E1432" t="inlineStr">
        <is>
          <t>LJUSDAL</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66211-2019</t>
        </is>
      </c>
      <c r="B1433" s="1" t="n">
        <v>43808</v>
      </c>
      <c r="C1433" s="1" t="n">
        <v>45587</v>
      </c>
      <c r="D1433" t="inlineStr">
        <is>
          <t>GÄVLEBORGS LÄN</t>
        </is>
      </c>
      <c r="E1433" t="inlineStr">
        <is>
          <t>OCKELBO</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66399-2019</t>
        </is>
      </c>
      <c r="B1434" s="1" t="n">
        <v>43809</v>
      </c>
      <c r="C1434" s="1" t="n">
        <v>45587</v>
      </c>
      <c r="D1434" t="inlineStr">
        <is>
          <t>GÄVLEBORGS LÄN</t>
        </is>
      </c>
      <c r="E1434" t="inlineStr">
        <is>
          <t>BOLLNÄS</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66479-2019</t>
        </is>
      </c>
      <c r="B1435" s="1" t="n">
        <v>43809</v>
      </c>
      <c r="C1435" s="1" t="n">
        <v>45587</v>
      </c>
      <c r="D1435" t="inlineStr">
        <is>
          <t>GÄVLEBORGS LÄN</t>
        </is>
      </c>
      <c r="E1435" t="inlineStr">
        <is>
          <t>BOLLNÄS</t>
        </is>
      </c>
      <c r="F1435" t="inlineStr">
        <is>
          <t>Bergvik skog väst AB</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66590-2019</t>
        </is>
      </c>
      <c r="B1436" s="1" t="n">
        <v>43809</v>
      </c>
      <c r="C1436" s="1" t="n">
        <v>45587</v>
      </c>
      <c r="D1436" t="inlineStr">
        <is>
          <t>GÄVLEBORGS LÄN</t>
        </is>
      </c>
      <c r="E1436" t="inlineStr">
        <is>
          <t>OVANÅKER</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66477-2019</t>
        </is>
      </c>
      <c r="B1437" s="1" t="n">
        <v>43809</v>
      </c>
      <c r="C1437" s="1" t="n">
        <v>45587</v>
      </c>
      <c r="D1437" t="inlineStr">
        <is>
          <t>GÄVLEBORGS LÄN</t>
        </is>
      </c>
      <c r="E1437" t="inlineStr">
        <is>
          <t>BOLLNÄS</t>
        </is>
      </c>
      <c r="F1437" t="inlineStr">
        <is>
          <t>Bergvik skog väst AB</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66410-2019</t>
        </is>
      </c>
      <c r="B1438" s="1" t="n">
        <v>43809</v>
      </c>
      <c r="C1438" s="1" t="n">
        <v>45587</v>
      </c>
      <c r="D1438" t="inlineStr">
        <is>
          <t>GÄVLEBORGS LÄN</t>
        </is>
      </c>
      <c r="E1438" t="inlineStr">
        <is>
          <t>GÄVLE</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66784-2019</t>
        </is>
      </c>
      <c r="B1439" s="1" t="n">
        <v>43810</v>
      </c>
      <c r="C1439" s="1" t="n">
        <v>45587</v>
      </c>
      <c r="D1439" t="inlineStr">
        <is>
          <t>GÄVLEBORGS LÄN</t>
        </is>
      </c>
      <c r="E1439" t="inlineStr">
        <is>
          <t>LJUSDAL</t>
        </is>
      </c>
      <c r="F1439" t="inlineStr">
        <is>
          <t>Bergvik skog väst AB</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66756-2019</t>
        </is>
      </c>
      <c r="B1440" s="1" t="n">
        <v>43810</v>
      </c>
      <c r="C1440" s="1" t="n">
        <v>45587</v>
      </c>
      <c r="D1440" t="inlineStr">
        <is>
          <t>GÄVLEBORGS LÄN</t>
        </is>
      </c>
      <c r="E1440" t="inlineStr">
        <is>
          <t>LJUSDAL</t>
        </is>
      </c>
      <c r="F1440" t="inlineStr">
        <is>
          <t>Bergvik skog väst AB</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66920-2019</t>
        </is>
      </c>
      <c r="B1441" s="1" t="n">
        <v>43810</v>
      </c>
      <c r="C1441" s="1" t="n">
        <v>45587</v>
      </c>
      <c r="D1441" t="inlineStr">
        <is>
          <t>GÄVLEBORGS LÄN</t>
        </is>
      </c>
      <c r="E1441" t="inlineStr">
        <is>
          <t>LJUSDAL</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66938-2019</t>
        </is>
      </c>
      <c r="B1442" s="1" t="n">
        <v>43810</v>
      </c>
      <c r="C1442" s="1" t="n">
        <v>45587</v>
      </c>
      <c r="D1442" t="inlineStr">
        <is>
          <t>GÄVLEBORGS LÄN</t>
        </is>
      </c>
      <c r="E1442" t="inlineStr">
        <is>
          <t>LJUSDAL</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67039-2019</t>
        </is>
      </c>
      <c r="B1443" s="1" t="n">
        <v>43811</v>
      </c>
      <c r="C1443" s="1" t="n">
        <v>45587</v>
      </c>
      <c r="D1443" t="inlineStr">
        <is>
          <t>GÄVLEBORGS LÄN</t>
        </is>
      </c>
      <c r="E1443" t="inlineStr">
        <is>
          <t>HUDIKSVALL</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67138-2019</t>
        </is>
      </c>
      <c r="B1444" s="1" t="n">
        <v>43811</v>
      </c>
      <c r="C1444" s="1" t="n">
        <v>45587</v>
      </c>
      <c r="D1444" t="inlineStr">
        <is>
          <t>GÄVLEBORGS LÄN</t>
        </is>
      </c>
      <c r="E1444" t="inlineStr">
        <is>
          <t>GÄVLE</t>
        </is>
      </c>
      <c r="G1444" t="n">
        <v>10.5</v>
      </c>
      <c r="H1444" t="n">
        <v>0</v>
      </c>
      <c r="I1444" t="n">
        <v>0</v>
      </c>
      <c r="J1444" t="n">
        <v>0</v>
      </c>
      <c r="K1444" t="n">
        <v>0</v>
      </c>
      <c r="L1444" t="n">
        <v>0</v>
      </c>
      <c r="M1444" t="n">
        <v>0</v>
      </c>
      <c r="N1444" t="n">
        <v>0</v>
      </c>
      <c r="O1444" t="n">
        <v>0</v>
      </c>
      <c r="P1444" t="n">
        <v>0</v>
      </c>
      <c r="Q1444" t="n">
        <v>0</v>
      </c>
      <c r="R1444" s="2" t="inlineStr"/>
    </row>
    <row r="1445" ht="15" customHeight="1">
      <c r="A1445" t="inlineStr">
        <is>
          <t>A 67304-2019</t>
        </is>
      </c>
      <c r="B1445" s="1" t="n">
        <v>43812</v>
      </c>
      <c r="C1445" s="1" t="n">
        <v>45587</v>
      </c>
      <c r="D1445" t="inlineStr">
        <is>
          <t>GÄVLEBORGS LÄN</t>
        </is>
      </c>
      <c r="E1445" t="inlineStr">
        <is>
          <t>OVANÅKER</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67440-2019</t>
        </is>
      </c>
      <c r="B1446" s="1" t="n">
        <v>43812</v>
      </c>
      <c r="C1446" s="1" t="n">
        <v>45587</v>
      </c>
      <c r="D1446" t="inlineStr">
        <is>
          <t>GÄVLEBORGS LÄN</t>
        </is>
      </c>
      <c r="E1446" t="inlineStr">
        <is>
          <t>HUDIKSVALL</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67302-2019</t>
        </is>
      </c>
      <c r="B1447" s="1" t="n">
        <v>43812</v>
      </c>
      <c r="C1447" s="1" t="n">
        <v>45587</v>
      </c>
      <c r="D1447" t="inlineStr">
        <is>
          <t>GÄVLEBORGS LÄN</t>
        </is>
      </c>
      <c r="E1447" t="inlineStr">
        <is>
          <t>NORDANSTIG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67417-2019</t>
        </is>
      </c>
      <c r="B1448" s="1" t="n">
        <v>43812</v>
      </c>
      <c r="C1448" s="1" t="n">
        <v>45587</v>
      </c>
      <c r="D1448" t="inlineStr">
        <is>
          <t>GÄVLEBORGS LÄN</t>
        </is>
      </c>
      <c r="E1448" t="inlineStr">
        <is>
          <t>GÄVLE</t>
        </is>
      </c>
      <c r="F1448" t="inlineStr">
        <is>
          <t>Kommuner</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68532-2019</t>
        </is>
      </c>
      <c r="B1449" s="1" t="n">
        <v>43812</v>
      </c>
      <c r="C1449" s="1" t="n">
        <v>45587</v>
      </c>
      <c r="D1449" t="inlineStr">
        <is>
          <t>GÄVLEBORGS LÄN</t>
        </is>
      </c>
      <c r="E1449" t="inlineStr">
        <is>
          <t>BOLLNÄS</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67438-2019</t>
        </is>
      </c>
      <c r="B1450" s="1" t="n">
        <v>43812</v>
      </c>
      <c r="C1450" s="1" t="n">
        <v>45587</v>
      </c>
      <c r="D1450" t="inlineStr">
        <is>
          <t>GÄVLEBORGS LÄN</t>
        </is>
      </c>
      <c r="E1450" t="inlineStr">
        <is>
          <t>HUDIKSVALL</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67415-2019</t>
        </is>
      </c>
      <c r="B1451" s="1" t="n">
        <v>43812</v>
      </c>
      <c r="C1451" s="1" t="n">
        <v>45587</v>
      </c>
      <c r="D1451" t="inlineStr">
        <is>
          <t>GÄVLEBORGS LÄN</t>
        </is>
      </c>
      <c r="E1451" t="inlineStr">
        <is>
          <t>HUDIKSVALL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67651-2019</t>
        </is>
      </c>
      <c r="B1452" s="1" t="n">
        <v>43815</v>
      </c>
      <c r="C1452" s="1" t="n">
        <v>45587</v>
      </c>
      <c r="D1452" t="inlineStr">
        <is>
          <t>GÄVLEBORGS LÄN</t>
        </is>
      </c>
      <c r="E1452" t="inlineStr">
        <is>
          <t>LJUSDAL</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67776-2019</t>
        </is>
      </c>
      <c r="B1453" s="1" t="n">
        <v>43815</v>
      </c>
      <c r="C1453" s="1" t="n">
        <v>45587</v>
      </c>
      <c r="D1453" t="inlineStr">
        <is>
          <t>GÄVLEBORGS LÄN</t>
        </is>
      </c>
      <c r="E1453" t="inlineStr">
        <is>
          <t>SÖDERHAMN</t>
        </is>
      </c>
      <c r="F1453" t="inlineStr">
        <is>
          <t>Kommuner</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67596-2019</t>
        </is>
      </c>
      <c r="B1454" s="1" t="n">
        <v>43815</v>
      </c>
      <c r="C1454" s="1" t="n">
        <v>45587</v>
      </c>
      <c r="D1454" t="inlineStr">
        <is>
          <t>GÄVLEBORGS LÄN</t>
        </is>
      </c>
      <c r="E1454" t="inlineStr">
        <is>
          <t>BOLLNÄS</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67730-2019</t>
        </is>
      </c>
      <c r="B1455" s="1" t="n">
        <v>43815</v>
      </c>
      <c r="C1455" s="1" t="n">
        <v>45587</v>
      </c>
      <c r="D1455" t="inlineStr">
        <is>
          <t>GÄVLEBORGS LÄN</t>
        </is>
      </c>
      <c r="E1455" t="inlineStr">
        <is>
          <t>LJUSDAL</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67812-2019</t>
        </is>
      </c>
      <c r="B1456" s="1" t="n">
        <v>43815</v>
      </c>
      <c r="C1456" s="1" t="n">
        <v>45587</v>
      </c>
      <c r="D1456" t="inlineStr">
        <is>
          <t>GÄVLEBORGS LÄN</t>
        </is>
      </c>
      <c r="E1456" t="inlineStr">
        <is>
          <t>SÖDERHAMN</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67816-2019</t>
        </is>
      </c>
      <c r="B1457" s="1" t="n">
        <v>43815</v>
      </c>
      <c r="C1457" s="1" t="n">
        <v>45587</v>
      </c>
      <c r="D1457" t="inlineStr">
        <is>
          <t>GÄVLEBORGS LÄN</t>
        </is>
      </c>
      <c r="E1457" t="inlineStr">
        <is>
          <t>NORDANSTIG</t>
        </is>
      </c>
      <c r="F1457" t="inlineStr">
        <is>
          <t>SCA</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67775-2019</t>
        </is>
      </c>
      <c r="B1458" s="1" t="n">
        <v>43815</v>
      </c>
      <c r="C1458" s="1" t="n">
        <v>45587</v>
      </c>
      <c r="D1458" t="inlineStr">
        <is>
          <t>GÄVLEBORGS LÄN</t>
        </is>
      </c>
      <c r="E1458" t="inlineStr">
        <is>
          <t>SÖDERHAMN</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67725-2019</t>
        </is>
      </c>
      <c r="B1459" s="1" t="n">
        <v>43815</v>
      </c>
      <c r="C1459" s="1" t="n">
        <v>45587</v>
      </c>
      <c r="D1459" t="inlineStr">
        <is>
          <t>GÄVLEBORGS LÄN</t>
        </is>
      </c>
      <c r="E1459" t="inlineStr">
        <is>
          <t>HUDIKSVALL</t>
        </is>
      </c>
      <c r="F1459" t="inlineStr">
        <is>
          <t>Holmen skog AB</t>
        </is>
      </c>
      <c r="G1459" t="n">
        <v>15.6</v>
      </c>
      <c r="H1459" t="n">
        <v>0</v>
      </c>
      <c r="I1459" t="n">
        <v>0</v>
      </c>
      <c r="J1459" t="n">
        <v>0</v>
      </c>
      <c r="K1459" t="n">
        <v>0</v>
      </c>
      <c r="L1459" t="n">
        <v>0</v>
      </c>
      <c r="M1459" t="n">
        <v>0</v>
      </c>
      <c r="N1459" t="n">
        <v>0</v>
      </c>
      <c r="O1459" t="n">
        <v>0</v>
      </c>
      <c r="P1459" t="n">
        <v>0</v>
      </c>
      <c r="Q1459" t="n">
        <v>0</v>
      </c>
      <c r="R1459" s="2" t="inlineStr"/>
    </row>
    <row r="1460" ht="15" customHeight="1">
      <c r="A1460" t="inlineStr">
        <is>
          <t>A 68010-2019</t>
        </is>
      </c>
      <c r="B1460" s="1" t="n">
        <v>43816</v>
      </c>
      <c r="C1460" s="1" t="n">
        <v>45587</v>
      </c>
      <c r="D1460" t="inlineStr">
        <is>
          <t>GÄVLEBORGS LÄN</t>
        </is>
      </c>
      <c r="E1460" t="inlineStr">
        <is>
          <t>SANDVIKEN</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67866-2019</t>
        </is>
      </c>
      <c r="B1461" s="1" t="n">
        <v>43816</v>
      </c>
      <c r="C1461" s="1" t="n">
        <v>45587</v>
      </c>
      <c r="D1461" t="inlineStr">
        <is>
          <t>GÄVLEBORGS LÄN</t>
        </is>
      </c>
      <c r="E1461" t="inlineStr">
        <is>
          <t>LJUSDAL</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67916-2019</t>
        </is>
      </c>
      <c r="B1462" s="1" t="n">
        <v>43816</v>
      </c>
      <c r="C1462" s="1" t="n">
        <v>45587</v>
      </c>
      <c r="D1462" t="inlineStr">
        <is>
          <t>GÄVLEBORGS LÄN</t>
        </is>
      </c>
      <c r="E1462" t="inlineStr">
        <is>
          <t>NORDANSTIG</t>
        </is>
      </c>
      <c r="F1462" t="inlineStr">
        <is>
          <t>Holmen skog AB</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67871-2019</t>
        </is>
      </c>
      <c r="B1463" s="1" t="n">
        <v>43816</v>
      </c>
      <c r="C1463" s="1" t="n">
        <v>45587</v>
      </c>
      <c r="D1463" t="inlineStr">
        <is>
          <t>GÄVLEBORGS LÄN</t>
        </is>
      </c>
      <c r="E1463" t="inlineStr">
        <is>
          <t>NORDANSTIG</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67941-2019</t>
        </is>
      </c>
      <c r="B1464" s="1" t="n">
        <v>43816</v>
      </c>
      <c r="C1464" s="1" t="n">
        <v>45587</v>
      </c>
      <c r="D1464" t="inlineStr">
        <is>
          <t>GÄVLEBORGS LÄN</t>
        </is>
      </c>
      <c r="E1464" t="inlineStr">
        <is>
          <t>HUDIKSVALL</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408-2020</t>
        </is>
      </c>
      <c r="B1465" s="1" t="n">
        <v>43816</v>
      </c>
      <c r="C1465" s="1" t="n">
        <v>45587</v>
      </c>
      <c r="D1465" t="inlineStr">
        <is>
          <t>GÄVLEBORGS LÄN</t>
        </is>
      </c>
      <c r="E1465" t="inlineStr">
        <is>
          <t>LJUSDAL</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68015-2019</t>
        </is>
      </c>
      <c r="B1466" s="1" t="n">
        <v>43816</v>
      </c>
      <c r="C1466" s="1" t="n">
        <v>45587</v>
      </c>
      <c r="D1466" t="inlineStr">
        <is>
          <t>GÄVLEBORGS LÄN</t>
        </is>
      </c>
      <c r="E1466" t="inlineStr">
        <is>
          <t>SANDVIKEN</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68116-2019</t>
        </is>
      </c>
      <c r="B1467" s="1" t="n">
        <v>43817</v>
      </c>
      <c r="C1467" s="1" t="n">
        <v>45587</v>
      </c>
      <c r="D1467" t="inlineStr">
        <is>
          <t>GÄVLEBORGS LÄN</t>
        </is>
      </c>
      <c r="E1467" t="inlineStr">
        <is>
          <t>OVANÅKER</t>
        </is>
      </c>
      <c r="G1467" t="n">
        <v>8</v>
      </c>
      <c r="H1467" t="n">
        <v>0</v>
      </c>
      <c r="I1467" t="n">
        <v>0</v>
      </c>
      <c r="J1467" t="n">
        <v>0</v>
      </c>
      <c r="K1467" t="n">
        <v>0</v>
      </c>
      <c r="L1467" t="n">
        <v>0</v>
      </c>
      <c r="M1467" t="n">
        <v>0</v>
      </c>
      <c r="N1467" t="n">
        <v>0</v>
      </c>
      <c r="O1467" t="n">
        <v>0</v>
      </c>
      <c r="P1467" t="n">
        <v>0</v>
      </c>
      <c r="Q1467" t="n">
        <v>0</v>
      </c>
      <c r="R1467" s="2" t="inlineStr"/>
    </row>
    <row r="1468" ht="15" customHeight="1">
      <c r="A1468" t="inlineStr">
        <is>
          <t>A 68252-2019</t>
        </is>
      </c>
      <c r="B1468" s="1" t="n">
        <v>43817</v>
      </c>
      <c r="C1468" s="1" t="n">
        <v>45587</v>
      </c>
      <c r="D1468" t="inlineStr">
        <is>
          <t>GÄVLEBORGS LÄN</t>
        </is>
      </c>
      <c r="E1468" t="inlineStr">
        <is>
          <t>HUDIKSVALL</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68348-2019</t>
        </is>
      </c>
      <c r="B1469" s="1" t="n">
        <v>43818</v>
      </c>
      <c r="C1469" s="1" t="n">
        <v>45587</v>
      </c>
      <c r="D1469" t="inlineStr">
        <is>
          <t>GÄVLEBORGS LÄN</t>
        </is>
      </c>
      <c r="E1469" t="inlineStr">
        <is>
          <t>SÖDERHAMN</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68436-2019</t>
        </is>
      </c>
      <c r="B1470" s="1" t="n">
        <v>43818</v>
      </c>
      <c r="C1470" s="1" t="n">
        <v>45587</v>
      </c>
      <c r="D1470" t="inlineStr">
        <is>
          <t>GÄVLEBORGS LÄN</t>
        </is>
      </c>
      <c r="E1470" t="inlineStr">
        <is>
          <t>GÄVLE</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68455-2019</t>
        </is>
      </c>
      <c r="B1471" s="1" t="n">
        <v>43818</v>
      </c>
      <c r="C1471" s="1" t="n">
        <v>45587</v>
      </c>
      <c r="D1471" t="inlineStr">
        <is>
          <t>GÄVLEBORGS LÄN</t>
        </is>
      </c>
      <c r="E1471" t="inlineStr">
        <is>
          <t>OVANÅKER</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68555-2019</t>
        </is>
      </c>
      <c r="B1472" s="1" t="n">
        <v>43818</v>
      </c>
      <c r="C1472" s="1" t="n">
        <v>45587</v>
      </c>
      <c r="D1472" t="inlineStr">
        <is>
          <t>GÄVLEBORGS LÄN</t>
        </is>
      </c>
      <c r="E1472" t="inlineStr">
        <is>
          <t>GÄVLE</t>
        </is>
      </c>
      <c r="F1472" t="inlineStr">
        <is>
          <t>Övriga statliga verk och myndigheter</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68633-2019</t>
        </is>
      </c>
      <c r="B1473" s="1" t="n">
        <v>43819</v>
      </c>
      <c r="C1473" s="1" t="n">
        <v>45587</v>
      </c>
      <c r="D1473" t="inlineStr">
        <is>
          <t>GÄVLEBORGS LÄN</t>
        </is>
      </c>
      <c r="E1473" t="inlineStr">
        <is>
          <t>BOLLNÄS</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68800-2019</t>
        </is>
      </c>
      <c r="B1474" s="1" t="n">
        <v>43819</v>
      </c>
      <c r="C1474" s="1" t="n">
        <v>45587</v>
      </c>
      <c r="D1474" t="inlineStr">
        <is>
          <t>GÄVLEBORGS LÄN</t>
        </is>
      </c>
      <c r="E1474" t="inlineStr">
        <is>
          <t>BOLLNÄS</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68961-2019</t>
        </is>
      </c>
      <c r="B1475" s="1" t="n">
        <v>43822</v>
      </c>
      <c r="C1475" s="1" t="n">
        <v>45587</v>
      </c>
      <c r="D1475" t="inlineStr">
        <is>
          <t>GÄVLEBORGS LÄN</t>
        </is>
      </c>
      <c r="E1475" t="inlineStr">
        <is>
          <t>SANDVIKEN</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69096-2019</t>
        </is>
      </c>
      <c r="B1476" s="1" t="n">
        <v>43829</v>
      </c>
      <c r="C1476" s="1" t="n">
        <v>45587</v>
      </c>
      <c r="D1476" t="inlineStr">
        <is>
          <t>GÄVLEBORGS LÄN</t>
        </is>
      </c>
      <c r="E1476" t="inlineStr">
        <is>
          <t>SANDVIKEN</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121-2020</t>
        </is>
      </c>
      <c r="B1477" s="1" t="n">
        <v>43832</v>
      </c>
      <c r="C1477" s="1" t="n">
        <v>45587</v>
      </c>
      <c r="D1477" t="inlineStr">
        <is>
          <t>GÄVLEBORGS LÄN</t>
        </is>
      </c>
      <c r="E1477" t="inlineStr">
        <is>
          <t>HUDIKSVALL</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115-2020</t>
        </is>
      </c>
      <c r="B1478" s="1" t="n">
        <v>43832</v>
      </c>
      <c r="C1478" s="1" t="n">
        <v>45587</v>
      </c>
      <c r="D1478" t="inlineStr">
        <is>
          <t>GÄVLEBORGS LÄN</t>
        </is>
      </c>
      <c r="E1478" t="inlineStr">
        <is>
          <t>HUDIKSVALL</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223-2020</t>
        </is>
      </c>
      <c r="B1479" s="1" t="n">
        <v>43833</v>
      </c>
      <c r="C1479" s="1" t="n">
        <v>45587</v>
      </c>
      <c r="D1479" t="inlineStr">
        <is>
          <t>GÄVLEBORGS LÄN</t>
        </is>
      </c>
      <c r="E1479" t="inlineStr">
        <is>
          <t>NORDANSTIG</t>
        </is>
      </c>
      <c r="F1479" t="inlineStr">
        <is>
          <t>Naturvårdsverket</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329-2020</t>
        </is>
      </c>
      <c r="B1480" s="1" t="n">
        <v>43837</v>
      </c>
      <c r="C1480" s="1" t="n">
        <v>45587</v>
      </c>
      <c r="D1480" t="inlineStr">
        <is>
          <t>GÄVLEBORGS LÄN</t>
        </is>
      </c>
      <c r="E1480" t="inlineStr">
        <is>
          <t>LJUSDAL</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305-2020</t>
        </is>
      </c>
      <c r="B1481" s="1" t="n">
        <v>43837</v>
      </c>
      <c r="C1481" s="1" t="n">
        <v>45587</v>
      </c>
      <c r="D1481" t="inlineStr">
        <is>
          <t>GÄVLEBORGS LÄN</t>
        </is>
      </c>
      <c r="E1481" t="inlineStr">
        <is>
          <t>BOLLNÄS</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360-2020</t>
        </is>
      </c>
      <c r="B1482" s="1" t="n">
        <v>43837</v>
      </c>
      <c r="C1482" s="1" t="n">
        <v>45587</v>
      </c>
      <c r="D1482" t="inlineStr">
        <is>
          <t>GÄVLEBORGS LÄN</t>
        </is>
      </c>
      <c r="E1482" t="inlineStr">
        <is>
          <t>OCKELBO</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498-2020</t>
        </is>
      </c>
      <c r="B1483" s="1" t="n">
        <v>43837</v>
      </c>
      <c r="C1483" s="1" t="n">
        <v>45587</v>
      </c>
      <c r="D1483" t="inlineStr">
        <is>
          <t>GÄVLEBORGS LÄN</t>
        </is>
      </c>
      <c r="E1483" t="inlineStr">
        <is>
          <t>HUDIKSVALL</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412-2020</t>
        </is>
      </c>
      <c r="B1484" s="1" t="n">
        <v>43837</v>
      </c>
      <c r="C1484" s="1" t="n">
        <v>45587</v>
      </c>
      <c r="D1484" t="inlineStr">
        <is>
          <t>GÄVLEBORGS LÄN</t>
        </is>
      </c>
      <c r="E1484" t="inlineStr">
        <is>
          <t>BOLLNÄS</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528-2020</t>
        </is>
      </c>
      <c r="B1485" s="1" t="n">
        <v>43837</v>
      </c>
      <c r="C1485" s="1" t="n">
        <v>45587</v>
      </c>
      <c r="D1485" t="inlineStr">
        <is>
          <t>GÄVLEBORGS LÄN</t>
        </is>
      </c>
      <c r="E1485" t="inlineStr">
        <is>
          <t>HUDIKSVALL</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533-2020</t>
        </is>
      </c>
      <c r="B1486" s="1" t="n">
        <v>43837</v>
      </c>
      <c r="C1486" s="1" t="n">
        <v>45587</v>
      </c>
      <c r="D1486" t="inlineStr">
        <is>
          <t>GÄVLEBORGS LÄN</t>
        </is>
      </c>
      <c r="E1486" t="inlineStr">
        <is>
          <t>NORDANSTIG</t>
        </is>
      </c>
      <c r="F1486" t="inlineStr">
        <is>
          <t>Naturvårdsverket</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302-2020</t>
        </is>
      </c>
      <c r="B1487" s="1" t="n">
        <v>43837</v>
      </c>
      <c r="C1487" s="1" t="n">
        <v>45587</v>
      </c>
      <c r="D1487" t="inlineStr">
        <is>
          <t>GÄVLEBORGS LÄN</t>
        </is>
      </c>
      <c r="E1487" t="inlineStr">
        <is>
          <t>BOLLNÄS</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548-2020</t>
        </is>
      </c>
      <c r="B1488" s="1" t="n">
        <v>43837</v>
      </c>
      <c r="C1488" s="1" t="n">
        <v>45587</v>
      </c>
      <c r="D1488" t="inlineStr">
        <is>
          <t>GÄVLEBORGS LÄN</t>
        </is>
      </c>
      <c r="E1488" t="inlineStr">
        <is>
          <t>HUDIKSVALL</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562-2020</t>
        </is>
      </c>
      <c r="B1489" s="1" t="n">
        <v>43838</v>
      </c>
      <c r="C1489" s="1" t="n">
        <v>45587</v>
      </c>
      <c r="D1489" t="inlineStr">
        <is>
          <t>GÄVLEBORGS LÄN</t>
        </is>
      </c>
      <c r="E1489" t="inlineStr">
        <is>
          <t>LJUSDAL</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743-2020</t>
        </is>
      </c>
      <c r="B1490" s="1" t="n">
        <v>43838</v>
      </c>
      <c r="C1490" s="1" t="n">
        <v>45587</v>
      </c>
      <c r="D1490" t="inlineStr">
        <is>
          <t>GÄVLEBORGS LÄN</t>
        </is>
      </c>
      <c r="E1490" t="inlineStr">
        <is>
          <t>GÄVLE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977-2020</t>
        </is>
      </c>
      <c r="B1491" s="1" t="n">
        <v>43839</v>
      </c>
      <c r="C1491" s="1" t="n">
        <v>45587</v>
      </c>
      <c r="D1491" t="inlineStr">
        <is>
          <t>GÄVLEBORGS LÄN</t>
        </is>
      </c>
      <c r="E1491" t="inlineStr">
        <is>
          <t>SANDVIKEN</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1008-2020</t>
        </is>
      </c>
      <c r="B1492" s="1" t="n">
        <v>43839</v>
      </c>
      <c r="C1492" s="1" t="n">
        <v>45587</v>
      </c>
      <c r="D1492" t="inlineStr">
        <is>
          <t>GÄVLEBORGS LÄN</t>
        </is>
      </c>
      <c r="E1492" t="inlineStr">
        <is>
          <t>OVANÅKER</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1122-2020</t>
        </is>
      </c>
      <c r="B1493" s="1" t="n">
        <v>43840</v>
      </c>
      <c r="C1493" s="1" t="n">
        <v>45587</v>
      </c>
      <c r="D1493" t="inlineStr">
        <is>
          <t>GÄVLEBORGS LÄN</t>
        </is>
      </c>
      <c r="E1493" t="inlineStr">
        <is>
          <t>NORDANSTIG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1118-2020</t>
        </is>
      </c>
      <c r="B1494" s="1" t="n">
        <v>43840</v>
      </c>
      <c r="C1494" s="1" t="n">
        <v>45587</v>
      </c>
      <c r="D1494" t="inlineStr">
        <is>
          <t>GÄVLEBORGS LÄN</t>
        </is>
      </c>
      <c r="E1494" t="inlineStr">
        <is>
          <t>OCKELBO</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1231-2020</t>
        </is>
      </c>
      <c r="B1495" s="1" t="n">
        <v>43840</v>
      </c>
      <c r="C1495" s="1" t="n">
        <v>45587</v>
      </c>
      <c r="D1495" t="inlineStr">
        <is>
          <t>GÄVLEBORGS LÄN</t>
        </is>
      </c>
      <c r="E1495" t="inlineStr">
        <is>
          <t>LJUSDAL</t>
        </is>
      </c>
      <c r="F1495" t="inlineStr">
        <is>
          <t>Kommuner</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1265-2020</t>
        </is>
      </c>
      <c r="B1496" s="1" t="n">
        <v>43840</v>
      </c>
      <c r="C1496" s="1" t="n">
        <v>45587</v>
      </c>
      <c r="D1496" t="inlineStr">
        <is>
          <t>GÄVLEBORGS LÄN</t>
        </is>
      </c>
      <c r="E1496" t="inlineStr">
        <is>
          <t>HUDIKSVALL</t>
        </is>
      </c>
      <c r="G1496" t="n">
        <v>9.300000000000001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2398-2020</t>
        </is>
      </c>
      <c r="B1497" s="1" t="n">
        <v>43840</v>
      </c>
      <c r="C1497" s="1" t="n">
        <v>45587</v>
      </c>
      <c r="D1497" t="inlineStr">
        <is>
          <t>GÄVLEBORGS LÄN</t>
        </is>
      </c>
      <c r="E1497" t="inlineStr">
        <is>
          <t>BOLLNÄS</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1163-2020</t>
        </is>
      </c>
      <c r="B1498" s="1" t="n">
        <v>43840</v>
      </c>
      <c r="C1498" s="1" t="n">
        <v>45587</v>
      </c>
      <c r="D1498" t="inlineStr">
        <is>
          <t>GÄVLEBORGS LÄN</t>
        </is>
      </c>
      <c r="E1498" t="inlineStr">
        <is>
          <t>OCKELBO</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2395-2020</t>
        </is>
      </c>
      <c r="B1499" s="1" t="n">
        <v>43840</v>
      </c>
      <c r="C1499" s="1" t="n">
        <v>45587</v>
      </c>
      <c r="D1499" t="inlineStr">
        <is>
          <t>GÄVLEBORGS LÄN</t>
        </is>
      </c>
      <c r="E1499" t="inlineStr">
        <is>
          <t>BOLLNÄS</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1451-2020</t>
        </is>
      </c>
      <c r="B1500" s="1" t="n">
        <v>43843</v>
      </c>
      <c r="C1500" s="1" t="n">
        <v>45587</v>
      </c>
      <c r="D1500" t="inlineStr">
        <is>
          <t>GÄVLEBORGS LÄN</t>
        </is>
      </c>
      <c r="E1500" t="inlineStr">
        <is>
          <t>OCKELBO</t>
        </is>
      </c>
      <c r="F1500" t="inlineStr">
        <is>
          <t>Bergvik skog väst AB</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1477-2020</t>
        </is>
      </c>
      <c r="B1501" s="1" t="n">
        <v>43843</v>
      </c>
      <c r="C1501" s="1" t="n">
        <v>45587</v>
      </c>
      <c r="D1501" t="inlineStr">
        <is>
          <t>GÄVLEBORGS LÄN</t>
        </is>
      </c>
      <c r="E1501" t="inlineStr">
        <is>
          <t>BOLLNÄS</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4864-2020</t>
        </is>
      </c>
      <c r="B1502" s="1" t="n">
        <v>43843</v>
      </c>
      <c r="C1502" s="1" t="n">
        <v>45587</v>
      </c>
      <c r="D1502" t="inlineStr">
        <is>
          <t>GÄVLEBORGS LÄN</t>
        </is>
      </c>
      <c r="E1502" t="inlineStr">
        <is>
          <t>HUDIKSVALL</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1916-2020</t>
        </is>
      </c>
      <c r="B1503" s="1" t="n">
        <v>43845</v>
      </c>
      <c r="C1503" s="1" t="n">
        <v>45587</v>
      </c>
      <c r="D1503" t="inlineStr">
        <is>
          <t>GÄVLEBORGS LÄN</t>
        </is>
      </c>
      <c r="E1503" t="inlineStr">
        <is>
          <t>SANDVIKEN</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1926-2020</t>
        </is>
      </c>
      <c r="B1504" s="1" t="n">
        <v>43845</v>
      </c>
      <c r="C1504" s="1" t="n">
        <v>45587</v>
      </c>
      <c r="D1504" t="inlineStr">
        <is>
          <t>GÄVLEBORGS LÄN</t>
        </is>
      </c>
      <c r="E1504" t="inlineStr">
        <is>
          <t>SÖDERHAMN</t>
        </is>
      </c>
      <c r="F1504" t="inlineStr">
        <is>
          <t>Bergvik skog väst AB</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2033-2020</t>
        </is>
      </c>
      <c r="B1505" s="1" t="n">
        <v>43845</v>
      </c>
      <c r="C1505" s="1" t="n">
        <v>45587</v>
      </c>
      <c r="D1505" t="inlineStr">
        <is>
          <t>GÄVLEBORGS LÄN</t>
        </is>
      </c>
      <c r="E1505" t="inlineStr">
        <is>
          <t>HUDIKSVALL</t>
        </is>
      </c>
      <c r="F1505" t="inlineStr">
        <is>
          <t>Naturvårdsverket</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2282-2020</t>
        </is>
      </c>
      <c r="B1506" s="1" t="n">
        <v>43846</v>
      </c>
      <c r="C1506" s="1" t="n">
        <v>45587</v>
      </c>
      <c r="D1506" t="inlineStr">
        <is>
          <t>GÄVLEBORGS LÄN</t>
        </is>
      </c>
      <c r="E1506" t="inlineStr">
        <is>
          <t>OVANÅKER</t>
        </is>
      </c>
      <c r="F1506" t="inlineStr">
        <is>
          <t>Bergvik skog väst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2270-2020</t>
        </is>
      </c>
      <c r="B1507" s="1" t="n">
        <v>43846</v>
      </c>
      <c r="C1507" s="1" t="n">
        <v>45587</v>
      </c>
      <c r="D1507" t="inlineStr">
        <is>
          <t>GÄVLEBORGS LÄN</t>
        </is>
      </c>
      <c r="E1507" t="inlineStr">
        <is>
          <t>OVANÅKER</t>
        </is>
      </c>
      <c r="F1507" t="inlineStr">
        <is>
          <t>Bergvik skog väst AB</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2281-2020</t>
        </is>
      </c>
      <c r="B1508" s="1" t="n">
        <v>43846</v>
      </c>
      <c r="C1508" s="1" t="n">
        <v>45587</v>
      </c>
      <c r="D1508" t="inlineStr">
        <is>
          <t>GÄVLEBORGS LÄN</t>
        </is>
      </c>
      <c r="E1508" t="inlineStr">
        <is>
          <t>BOLLNÄS</t>
        </is>
      </c>
      <c r="G1508" t="n">
        <v>6.9</v>
      </c>
      <c r="H1508" t="n">
        <v>0</v>
      </c>
      <c r="I1508" t="n">
        <v>0</v>
      </c>
      <c r="J1508" t="n">
        <v>0</v>
      </c>
      <c r="K1508" t="n">
        <v>0</v>
      </c>
      <c r="L1508" t="n">
        <v>0</v>
      </c>
      <c r="M1508" t="n">
        <v>0</v>
      </c>
      <c r="N1508" t="n">
        <v>0</v>
      </c>
      <c r="O1508" t="n">
        <v>0</v>
      </c>
      <c r="P1508" t="n">
        <v>0</v>
      </c>
      <c r="Q1508" t="n">
        <v>0</v>
      </c>
      <c r="R1508" s="2" t="inlineStr"/>
    </row>
    <row r="1509" ht="15" customHeight="1">
      <c r="A1509" t="inlineStr">
        <is>
          <t>A 2286-2020</t>
        </is>
      </c>
      <c r="B1509" s="1" t="n">
        <v>43846</v>
      </c>
      <c r="C1509" s="1" t="n">
        <v>45587</v>
      </c>
      <c r="D1509" t="inlineStr">
        <is>
          <t>GÄVLEBORGS LÄN</t>
        </is>
      </c>
      <c r="E1509" t="inlineStr">
        <is>
          <t>OVANÅKER</t>
        </is>
      </c>
      <c r="F1509" t="inlineStr">
        <is>
          <t>Bergvik skog väst AB</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2274-2020</t>
        </is>
      </c>
      <c r="B1510" s="1" t="n">
        <v>43846</v>
      </c>
      <c r="C1510" s="1" t="n">
        <v>45587</v>
      </c>
      <c r="D1510" t="inlineStr">
        <is>
          <t>GÄVLEBORGS LÄN</t>
        </is>
      </c>
      <c r="E1510" t="inlineStr">
        <is>
          <t>OVANÅKER</t>
        </is>
      </c>
      <c r="F1510" t="inlineStr">
        <is>
          <t>Bergvik skog väst AB</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2273-2020</t>
        </is>
      </c>
      <c r="B1511" s="1" t="n">
        <v>43846</v>
      </c>
      <c r="C1511" s="1" t="n">
        <v>45587</v>
      </c>
      <c r="D1511" t="inlineStr">
        <is>
          <t>GÄVLEBORGS LÄN</t>
        </is>
      </c>
      <c r="E1511" t="inlineStr">
        <is>
          <t>OVANÅKER</t>
        </is>
      </c>
      <c r="F1511" t="inlineStr">
        <is>
          <t>Bergvik skog väst AB</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2607-2020</t>
        </is>
      </c>
      <c r="B1512" s="1" t="n">
        <v>43847</v>
      </c>
      <c r="C1512" s="1" t="n">
        <v>45587</v>
      </c>
      <c r="D1512" t="inlineStr">
        <is>
          <t>GÄVLEBORGS LÄN</t>
        </is>
      </c>
      <c r="E1512" t="inlineStr">
        <is>
          <t>OVANÅKER</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2540-2020</t>
        </is>
      </c>
      <c r="B1513" s="1" t="n">
        <v>43847</v>
      </c>
      <c r="C1513" s="1" t="n">
        <v>45587</v>
      </c>
      <c r="D1513" t="inlineStr">
        <is>
          <t>GÄVLEBORGS LÄN</t>
        </is>
      </c>
      <c r="E1513" t="inlineStr">
        <is>
          <t>HUDIKSVALL</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2567-2020</t>
        </is>
      </c>
      <c r="B1514" s="1" t="n">
        <v>43847</v>
      </c>
      <c r="C1514" s="1" t="n">
        <v>45587</v>
      </c>
      <c r="D1514" t="inlineStr">
        <is>
          <t>GÄVLEBORGS LÄN</t>
        </is>
      </c>
      <c r="E1514" t="inlineStr">
        <is>
          <t>HUDIKSVALL</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2645-2020</t>
        </is>
      </c>
      <c r="B1515" s="1" t="n">
        <v>43847</v>
      </c>
      <c r="C1515" s="1" t="n">
        <v>45587</v>
      </c>
      <c r="D1515" t="inlineStr">
        <is>
          <t>GÄVLEBORGS LÄN</t>
        </is>
      </c>
      <c r="E1515" t="inlineStr">
        <is>
          <t>NORDANSTIG</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2615-2020</t>
        </is>
      </c>
      <c r="B1516" s="1" t="n">
        <v>43847</v>
      </c>
      <c r="C1516" s="1" t="n">
        <v>45587</v>
      </c>
      <c r="D1516" t="inlineStr">
        <is>
          <t>GÄVLEBORGS LÄN</t>
        </is>
      </c>
      <c r="E1516" t="inlineStr">
        <is>
          <t>NORDANSTIG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2689-2020</t>
        </is>
      </c>
      <c r="B1517" s="1" t="n">
        <v>43850</v>
      </c>
      <c r="C1517" s="1" t="n">
        <v>45587</v>
      </c>
      <c r="D1517" t="inlineStr">
        <is>
          <t>GÄVLEBORGS LÄN</t>
        </is>
      </c>
      <c r="E1517" t="inlineStr">
        <is>
          <t>NORDANSTIG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2870-2020</t>
        </is>
      </c>
      <c r="B1518" s="1" t="n">
        <v>43850</v>
      </c>
      <c r="C1518" s="1" t="n">
        <v>45587</v>
      </c>
      <c r="D1518" t="inlineStr">
        <is>
          <t>GÄVLEBORGS LÄN</t>
        </is>
      </c>
      <c r="E1518" t="inlineStr">
        <is>
          <t>OVANÅKER</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2973-2020</t>
        </is>
      </c>
      <c r="B1519" s="1" t="n">
        <v>43850</v>
      </c>
      <c r="C1519" s="1" t="n">
        <v>45587</v>
      </c>
      <c r="D1519" t="inlineStr">
        <is>
          <t>GÄVLEBORGS LÄN</t>
        </is>
      </c>
      <c r="E1519" t="inlineStr">
        <is>
          <t>LJUSDAL</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2786-2020</t>
        </is>
      </c>
      <c r="B1520" s="1" t="n">
        <v>43850</v>
      </c>
      <c r="C1520" s="1" t="n">
        <v>45587</v>
      </c>
      <c r="D1520" t="inlineStr">
        <is>
          <t>GÄVLEBORGS LÄN</t>
        </is>
      </c>
      <c r="E1520" t="inlineStr">
        <is>
          <t>GÄVLE</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2775-2020</t>
        </is>
      </c>
      <c r="B1521" s="1" t="n">
        <v>43850</v>
      </c>
      <c r="C1521" s="1" t="n">
        <v>45587</v>
      </c>
      <c r="D1521" t="inlineStr">
        <is>
          <t>GÄVLEBORGS LÄN</t>
        </is>
      </c>
      <c r="E1521" t="inlineStr">
        <is>
          <t>LJUSDAL</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2972-2020</t>
        </is>
      </c>
      <c r="B1522" s="1" t="n">
        <v>43850</v>
      </c>
      <c r="C1522" s="1" t="n">
        <v>45587</v>
      </c>
      <c r="D1522" t="inlineStr">
        <is>
          <t>GÄVLEBORGS LÄN</t>
        </is>
      </c>
      <c r="E1522" t="inlineStr">
        <is>
          <t>LJUSDAL</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2979-2020</t>
        </is>
      </c>
      <c r="B1523" s="1" t="n">
        <v>43850</v>
      </c>
      <c r="C1523" s="1" t="n">
        <v>45587</v>
      </c>
      <c r="D1523" t="inlineStr">
        <is>
          <t>GÄVLEBORGS LÄN</t>
        </is>
      </c>
      <c r="E1523" t="inlineStr">
        <is>
          <t>SÖDERHAMN</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2680-2020</t>
        </is>
      </c>
      <c r="B1524" s="1" t="n">
        <v>43850</v>
      </c>
      <c r="C1524" s="1" t="n">
        <v>45587</v>
      </c>
      <c r="D1524" t="inlineStr">
        <is>
          <t>GÄVLEBORGS LÄN</t>
        </is>
      </c>
      <c r="E1524" t="inlineStr">
        <is>
          <t>BOLLNÄS</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2953-2020</t>
        </is>
      </c>
      <c r="B1525" s="1" t="n">
        <v>43850</v>
      </c>
      <c r="C1525" s="1" t="n">
        <v>45587</v>
      </c>
      <c r="D1525" t="inlineStr">
        <is>
          <t>GÄVLEBORGS LÄN</t>
        </is>
      </c>
      <c r="E1525" t="inlineStr">
        <is>
          <t>LJUSDAL</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3110-2020</t>
        </is>
      </c>
      <c r="B1526" s="1" t="n">
        <v>43851</v>
      </c>
      <c r="C1526" s="1" t="n">
        <v>45587</v>
      </c>
      <c r="D1526" t="inlineStr">
        <is>
          <t>GÄVLEBORGS LÄN</t>
        </is>
      </c>
      <c r="E1526" t="inlineStr">
        <is>
          <t>LJUSDAL</t>
        </is>
      </c>
      <c r="G1526" t="n">
        <v>0.1</v>
      </c>
      <c r="H1526" t="n">
        <v>0</v>
      </c>
      <c r="I1526" t="n">
        <v>0</v>
      </c>
      <c r="J1526" t="n">
        <v>0</v>
      </c>
      <c r="K1526" t="n">
        <v>0</v>
      </c>
      <c r="L1526" t="n">
        <v>0</v>
      </c>
      <c r="M1526" t="n">
        <v>0</v>
      </c>
      <c r="N1526" t="n">
        <v>0</v>
      </c>
      <c r="O1526" t="n">
        <v>0</v>
      </c>
      <c r="P1526" t="n">
        <v>0</v>
      </c>
      <c r="Q1526" t="n">
        <v>0</v>
      </c>
      <c r="R1526" s="2" t="inlineStr"/>
    </row>
    <row r="1527" ht="15" customHeight="1">
      <c r="A1527" t="inlineStr">
        <is>
          <t>A 3136-2020</t>
        </is>
      </c>
      <c r="B1527" s="1" t="n">
        <v>43851</v>
      </c>
      <c r="C1527" s="1" t="n">
        <v>45587</v>
      </c>
      <c r="D1527" t="inlineStr">
        <is>
          <t>GÄVLEBORGS LÄN</t>
        </is>
      </c>
      <c r="E1527" t="inlineStr">
        <is>
          <t>LJUSDAL</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3210-2020</t>
        </is>
      </c>
      <c r="B1528" s="1" t="n">
        <v>43851</v>
      </c>
      <c r="C1528" s="1" t="n">
        <v>45587</v>
      </c>
      <c r="D1528" t="inlineStr">
        <is>
          <t>GÄVLEBORGS LÄN</t>
        </is>
      </c>
      <c r="E1528" t="inlineStr">
        <is>
          <t>SANDVIKEN</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3319-2020</t>
        </is>
      </c>
      <c r="B1529" s="1" t="n">
        <v>43852</v>
      </c>
      <c r="C1529" s="1" t="n">
        <v>45587</v>
      </c>
      <c r="D1529" t="inlineStr">
        <is>
          <t>GÄVLEBORGS LÄN</t>
        </is>
      </c>
      <c r="E1529" t="inlineStr">
        <is>
          <t>OVANÅKER</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3282-2020</t>
        </is>
      </c>
      <c r="B1530" s="1" t="n">
        <v>43852</v>
      </c>
      <c r="C1530" s="1" t="n">
        <v>45587</v>
      </c>
      <c r="D1530" t="inlineStr">
        <is>
          <t>GÄVLEBORGS LÄN</t>
        </is>
      </c>
      <c r="E1530" t="inlineStr">
        <is>
          <t>HUDIKSVALL</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3289-2020</t>
        </is>
      </c>
      <c r="B1531" s="1" t="n">
        <v>43852</v>
      </c>
      <c r="C1531" s="1" t="n">
        <v>45587</v>
      </c>
      <c r="D1531" t="inlineStr">
        <is>
          <t>GÄVLEBORGS LÄN</t>
        </is>
      </c>
      <c r="E1531" t="inlineStr">
        <is>
          <t>BOLLNÄS</t>
        </is>
      </c>
      <c r="F1531" t="inlineStr">
        <is>
          <t>Sveaskog</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3383-2020</t>
        </is>
      </c>
      <c r="B1532" s="1" t="n">
        <v>43852</v>
      </c>
      <c r="C1532" s="1" t="n">
        <v>45587</v>
      </c>
      <c r="D1532" t="inlineStr">
        <is>
          <t>GÄVLEBORGS LÄN</t>
        </is>
      </c>
      <c r="E1532" t="inlineStr">
        <is>
          <t>GÄVLE</t>
        </is>
      </c>
      <c r="G1532" t="n">
        <v>6.6</v>
      </c>
      <c r="H1532" t="n">
        <v>0</v>
      </c>
      <c r="I1532" t="n">
        <v>0</v>
      </c>
      <c r="J1532" t="n">
        <v>0</v>
      </c>
      <c r="K1532" t="n">
        <v>0</v>
      </c>
      <c r="L1532" t="n">
        <v>0</v>
      </c>
      <c r="M1532" t="n">
        <v>0</v>
      </c>
      <c r="N1532" t="n">
        <v>0</v>
      </c>
      <c r="O1532" t="n">
        <v>0</v>
      </c>
      <c r="P1532" t="n">
        <v>0</v>
      </c>
      <c r="Q1532" t="n">
        <v>0</v>
      </c>
      <c r="R1532" s="2" t="inlineStr"/>
    </row>
    <row r="1533" ht="15" customHeight="1">
      <c r="A1533" t="inlineStr">
        <is>
          <t>A 3445-2020</t>
        </is>
      </c>
      <c r="B1533" s="1" t="n">
        <v>43852</v>
      </c>
      <c r="C1533" s="1" t="n">
        <v>45587</v>
      </c>
      <c r="D1533" t="inlineStr">
        <is>
          <t>GÄVLEBORGS LÄN</t>
        </is>
      </c>
      <c r="E1533" t="inlineStr">
        <is>
          <t>HUDIKSVALL</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3395-2020</t>
        </is>
      </c>
      <c r="B1534" s="1" t="n">
        <v>43852</v>
      </c>
      <c r="C1534" s="1" t="n">
        <v>45587</v>
      </c>
      <c r="D1534" t="inlineStr">
        <is>
          <t>GÄVLEBORGS LÄN</t>
        </is>
      </c>
      <c r="E1534" t="inlineStr">
        <is>
          <t>OVANÅKER</t>
        </is>
      </c>
      <c r="F1534" t="inlineStr">
        <is>
          <t>Bergvik skog väst AB</t>
        </is>
      </c>
      <c r="G1534" t="n">
        <v>11.4</v>
      </c>
      <c r="H1534" t="n">
        <v>0</v>
      </c>
      <c r="I1534" t="n">
        <v>0</v>
      </c>
      <c r="J1534" t="n">
        <v>0</v>
      </c>
      <c r="K1534" t="n">
        <v>0</v>
      </c>
      <c r="L1534" t="n">
        <v>0</v>
      </c>
      <c r="M1534" t="n">
        <v>0</v>
      </c>
      <c r="N1534" t="n">
        <v>0</v>
      </c>
      <c r="O1534" t="n">
        <v>0</v>
      </c>
      <c r="P1534" t="n">
        <v>0</v>
      </c>
      <c r="Q1534" t="n">
        <v>0</v>
      </c>
      <c r="R1534" s="2" t="inlineStr"/>
    </row>
    <row r="1535" ht="15" customHeight="1">
      <c r="A1535" t="inlineStr">
        <is>
          <t>A 3854-2020</t>
        </is>
      </c>
      <c r="B1535" s="1" t="n">
        <v>43854</v>
      </c>
      <c r="C1535" s="1" t="n">
        <v>45587</v>
      </c>
      <c r="D1535" t="inlineStr">
        <is>
          <t>GÄVLEBORGS LÄN</t>
        </is>
      </c>
      <c r="E1535" t="inlineStr">
        <is>
          <t>GÄVLE</t>
        </is>
      </c>
      <c r="G1535" t="n">
        <v>9.1</v>
      </c>
      <c r="H1535" t="n">
        <v>0</v>
      </c>
      <c r="I1535" t="n">
        <v>0</v>
      </c>
      <c r="J1535" t="n">
        <v>0</v>
      </c>
      <c r="K1535" t="n">
        <v>0</v>
      </c>
      <c r="L1535" t="n">
        <v>0</v>
      </c>
      <c r="M1535" t="n">
        <v>0</v>
      </c>
      <c r="N1535" t="n">
        <v>0</v>
      </c>
      <c r="O1535" t="n">
        <v>0</v>
      </c>
      <c r="P1535" t="n">
        <v>0</v>
      </c>
      <c r="Q1535" t="n">
        <v>0</v>
      </c>
      <c r="R1535" s="2" t="inlineStr"/>
    </row>
    <row r="1536" ht="15" customHeight="1">
      <c r="A1536" t="inlineStr">
        <is>
          <t>A 3893-2020</t>
        </is>
      </c>
      <c r="B1536" s="1" t="n">
        <v>43854</v>
      </c>
      <c r="C1536" s="1" t="n">
        <v>45587</v>
      </c>
      <c r="D1536" t="inlineStr">
        <is>
          <t>GÄVLEBORGS LÄN</t>
        </is>
      </c>
      <c r="E1536" t="inlineStr">
        <is>
          <t>OVANÅKER</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3818-2020</t>
        </is>
      </c>
      <c r="B1537" s="1" t="n">
        <v>43854</v>
      </c>
      <c r="C1537" s="1" t="n">
        <v>45587</v>
      </c>
      <c r="D1537" t="inlineStr">
        <is>
          <t>GÄVLEBORGS LÄN</t>
        </is>
      </c>
      <c r="E1537" t="inlineStr">
        <is>
          <t>OVANÅKER</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3975-2020</t>
        </is>
      </c>
      <c r="B1538" s="1" t="n">
        <v>43854</v>
      </c>
      <c r="C1538" s="1" t="n">
        <v>45587</v>
      </c>
      <c r="D1538" t="inlineStr">
        <is>
          <t>GÄVLEBORGS LÄN</t>
        </is>
      </c>
      <c r="E1538" t="inlineStr">
        <is>
          <t>GÄVLE</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5346-2020</t>
        </is>
      </c>
      <c r="B1539" s="1" t="n">
        <v>43854</v>
      </c>
      <c r="C1539" s="1" t="n">
        <v>45587</v>
      </c>
      <c r="D1539" t="inlineStr">
        <is>
          <t>GÄVLEBORGS LÄN</t>
        </is>
      </c>
      <c r="E1539" t="inlineStr">
        <is>
          <t>OVANÅKER</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5344-2020</t>
        </is>
      </c>
      <c r="B1540" s="1" t="n">
        <v>43854</v>
      </c>
      <c r="C1540" s="1" t="n">
        <v>45587</v>
      </c>
      <c r="D1540" t="inlineStr">
        <is>
          <t>GÄVLEBORGS LÄN</t>
        </is>
      </c>
      <c r="E1540" t="inlineStr">
        <is>
          <t>OVANÅKER</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3974-2020</t>
        </is>
      </c>
      <c r="B1541" s="1" t="n">
        <v>43854</v>
      </c>
      <c r="C1541" s="1" t="n">
        <v>45587</v>
      </c>
      <c r="D1541" t="inlineStr">
        <is>
          <t>GÄVLEBORGS LÄN</t>
        </is>
      </c>
      <c r="E1541" t="inlineStr">
        <is>
          <t>GÄVLE</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5340-2020</t>
        </is>
      </c>
      <c r="B1542" s="1" t="n">
        <v>43854</v>
      </c>
      <c r="C1542" s="1" t="n">
        <v>45587</v>
      </c>
      <c r="D1542" t="inlineStr">
        <is>
          <t>GÄVLEBORGS LÄN</t>
        </is>
      </c>
      <c r="E1542" t="inlineStr">
        <is>
          <t>OVANÅKER</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5351-2020</t>
        </is>
      </c>
      <c r="B1543" s="1" t="n">
        <v>43854</v>
      </c>
      <c r="C1543" s="1" t="n">
        <v>45587</v>
      </c>
      <c r="D1543" t="inlineStr">
        <is>
          <t>GÄVLEBORGS LÄN</t>
        </is>
      </c>
      <c r="E1543" t="inlineStr">
        <is>
          <t>OVANÅKER</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3976-2020</t>
        </is>
      </c>
      <c r="B1544" s="1" t="n">
        <v>43855</v>
      </c>
      <c r="C1544" s="1" t="n">
        <v>45587</v>
      </c>
      <c r="D1544" t="inlineStr">
        <is>
          <t>GÄVLEBORGS LÄN</t>
        </is>
      </c>
      <c r="E1544" t="inlineStr">
        <is>
          <t>GÄVLE</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4220-2020</t>
        </is>
      </c>
      <c r="B1545" s="1" t="n">
        <v>43857</v>
      </c>
      <c r="C1545" s="1" t="n">
        <v>45587</v>
      </c>
      <c r="D1545" t="inlineStr">
        <is>
          <t>GÄVLEBORGS LÄN</t>
        </is>
      </c>
      <c r="E1545" t="inlineStr">
        <is>
          <t>OCKELBO</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4225-2020</t>
        </is>
      </c>
      <c r="B1546" s="1" t="n">
        <v>43857</v>
      </c>
      <c r="C1546" s="1" t="n">
        <v>45587</v>
      </c>
      <c r="D1546" t="inlineStr">
        <is>
          <t>GÄVLEBORGS LÄN</t>
        </is>
      </c>
      <c r="E1546" t="inlineStr">
        <is>
          <t>NORDANSTIG</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4185-2020</t>
        </is>
      </c>
      <c r="B1547" s="1" t="n">
        <v>43857</v>
      </c>
      <c r="C1547" s="1" t="n">
        <v>45587</v>
      </c>
      <c r="D1547" t="inlineStr">
        <is>
          <t>GÄVLEBORGS LÄN</t>
        </is>
      </c>
      <c r="E1547" t="inlineStr">
        <is>
          <t>SÖDERHAMN</t>
        </is>
      </c>
      <c r="F1547" t="inlineStr">
        <is>
          <t>Bergvik skog väst AB</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4451-2020</t>
        </is>
      </c>
      <c r="B1548" s="1" t="n">
        <v>43858</v>
      </c>
      <c r="C1548" s="1" t="n">
        <v>45587</v>
      </c>
      <c r="D1548" t="inlineStr">
        <is>
          <t>GÄVLEBORGS LÄN</t>
        </is>
      </c>
      <c r="E1548" t="inlineStr">
        <is>
          <t>LJUSDAL</t>
        </is>
      </c>
      <c r="G1548" t="n">
        <v>6.4</v>
      </c>
      <c r="H1548" t="n">
        <v>0</v>
      </c>
      <c r="I1548" t="n">
        <v>0</v>
      </c>
      <c r="J1548" t="n">
        <v>0</v>
      </c>
      <c r="K1548" t="n">
        <v>0</v>
      </c>
      <c r="L1548" t="n">
        <v>0</v>
      </c>
      <c r="M1548" t="n">
        <v>0</v>
      </c>
      <c r="N1548" t="n">
        <v>0</v>
      </c>
      <c r="O1548" t="n">
        <v>0</v>
      </c>
      <c r="P1548" t="n">
        <v>0</v>
      </c>
      <c r="Q1548" t="n">
        <v>0</v>
      </c>
      <c r="R1548" s="2" t="inlineStr"/>
    </row>
    <row r="1549" ht="15" customHeight="1">
      <c r="A1549" t="inlineStr">
        <is>
          <t>A 4625-2020</t>
        </is>
      </c>
      <c r="B1549" s="1" t="n">
        <v>43858</v>
      </c>
      <c r="C1549" s="1" t="n">
        <v>45587</v>
      </c>
      <c r="D1549" t="inlineStr">
        <is>
          <t>GÄVLEBORGS LÄN</t>
        </is>
      </c>
      <c r="E1549" t="inlineStr">
        <is>
          <t>OCKELBO</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4554-2020</t>
        </is>
      </c>
      <c r="B1550" s="1" t="n">
        <v>43858</v>
      </c>
      <c r="C1550" s="1" t="n">
        <v>45587</v>
      </c>
      <c r="D1550" t="inlineStr">
        <is>
          <t>GÄVLEBORGS LÄN</t>
        </is>
      </c>
      <c r="E1550" t="inlineStr">
        <is>
          <t>HUDIKSVALL</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4697-2020</t>
        </is>
      </c>
      <c r="B1551" s="1" t="n">
        <v>43858</v>
      </c>
      <c r="C1551" s="1" t="n">
        <v>45587</v>
      </c>
      <c r="D1551" t="inlineStr">
        <is>
          <t>GÄVLEBORGS LÄN</t>
        </is>
      </c>
      <c r="E1551" t="inlineStr">
        <is>
          <t>SANDVIKEN</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4696-2020</t>
        </is>
      </c>
      <c r="B1552" s="1" t="n">
        <v>43858</v>
      </c>
      <c r="C1552" s="1" t="n">
        <v>45587</v>
      </c>
      <c r="D1552" t="inlineStr">
        <is>
          <t>GÄVLEBORGS LÄN</t>
        </is>
      </c>
      <c r="E1552" t="inlineStr">
        <is>
          <t>SANDVIKEN</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4374-2020</t>
        </is>
      </c>
      <c r="B1553" s="1" t="n">
        <v>43858</v>
      </c>
      <c r="C1553" s="1" t="n">
        <v>45587</v>
      </c>
      <c r="D1553" t="inlineStr">
        <is>
          <t>GÄVLEBORGS LÄN</t>
        </is>
      </c>
      <c r="E1553" t="inlineStr">
        <is>
          <t>BOLLNÄS</t>
        </is>
      </c>
      <c r="F1553" t="inlineStr">
        <is>
          <t>Bergvik skog väst AB</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4816-2020</t>
        </is>
      </c>
      <c r="B1554" s="1" t="n">
        <v>43859</v>
      </c>
      <c r="C1554" s="1" t="n">
        <v>45587</v>
      </c>
      <c r="D1554" t="inlineStr">
        <is>
          <t>GÄVLEBORGS LÄN</t>
        </is>
      </c>
      <c r="E1554" t="inlineStr">
        <is>
          <t>OVANÅKER</t>
        </is>
      </c>
      <c r="F1554" t="inlineStr">
        <is>
          <t>Sveaskog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4972-2020</t>
        </is>
      </c>
      <c r="B1555" s="1" t="n">
        <v>43859</v>
      </c>
      <c r="C1555" s="1" t="n">
        <v>45587</v>
      </c>
      <c r="D1555" t="inlineStr">
        <is>
          <t>GÄVLEBORGS LÄN</t>
        </is>
      </c>
      <c r="E1555" t="inlineStr">
        <is>
          <t>HUDIKSVALL</t>
        </is>
      </c>
      <c r="G1555" t="n">
        <v>26.2</v>
      </c>
      <c r="H1555" t="n">
        <v>0</v>
      </c>
      <c r="I1555" t="n">
        <v>0</v>
      </c>
      <c r="J1555" t="n">
        <v>0</v>
      </c>
      <c r="K1555" t="n">
        <v>0</v>
      </c>
      <c r="L1555" t="n">
        <v>0</v>
      </c>
      <c r="M1555" t="n">
        <v>0</v>
      </c>
      <c r="N1555" t="n">
        <v>0</v>
      </c>
      <c r="O1555" t="n">
        <v>0</v>
      </c>
      <c r="P1555" t="n">
        <v>0</v>
      </c>
      <c r="Q1555" t="n">
        <v>0</v>
      </c>
      <c r="R1555" s="2" t="inlineStr"/>
    </row>
    <row r="1556" ht="15" customHeight="1">
      <c r="A1556" t="inlineStr">
        <is>
          <t>A 5289-2020</t>
        </is>
      </c>
      <c r="B1556" s="1" t="n">
        <v>43860</v>
      </c>
      <c r="C1556" s="1" t="n">
        <v>45587</v>
      </c>
      <c r="D1556" t="inlineStr">
        <is>
          <t>GÄVLEBORGS LÄN</t>
        </is>
      </c>
      <c r="E1556" t="inlineStr">
        <is>
          <t>SÖDERHAMN</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5183-2020</t>
        </is>
      </c>
      <c r="B1557" s="1" t="n">
        <v>43860</v>
      </c>
      <c r="C1557" s="1" t="n">
        <v>45587</v>
      </c>
      <c r="D1557" t="inlineStr">
        <is>
          <t>GÄVLEBORGS LÄN</t>
        </is>
      </c>
      <c r="E1557" t="inlineStr">
        <is>
          <t>LJUSDAL</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5379-2020</t>
        </is>
      </c>
      <c r="B1558" s="1" t="n">
        <v>43860</v>
      </c>
      <c r="C1558" s="1" t="n">
        <v>45587</v>
      </c>
      <c r="D1558" t="inlineStr">
        <is>
          <t>GÄVLEBORGS LÄN</t>
        </is>
      </c>
      <c r="E1558" t="inlineStr">
        <is>
          <t>HUDIKSVALL</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5562-2020</t>
        </is>
      </c>
      <c r="B1559" s="1" t="n">
        <v>43861</v>
      </c>
      <c r="C1559" s="1" t="n">
        <v>45587</v>
      </c>
      <c r="D1559" t="inlineStr">
        <is>
          <t>GÄVLEBORGS LÄN</t>
        </is>
      </c>
      <c r="E1559" t="inlineStr">
        <is>
          <t>LJUSDAL</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5809-2020</t>
        </is>
      </c>
      <c r="B1560" s="1" t="n">
        <v>43864</v>
      </c>
      <c r="C1560" s="1" t="n">
        <v>45587</v>
      </c>
      <c r="D1560" t="inlineStr">
        <is>
          <t>GÄVLEBORGS LÄN</t>
        </is>
      </c>
      <c r="E1560" t="inlineStr">
        <is>
          <t>SANDVIKEN</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6117-2020</t>
        </is>
      </c>
      <c r="B1561" s="1" t="n">
        <v>43865</v>
      </c>
      <c r="C1561" s="1" t="n">
        <v>45587</v>
      </c>
      <c r="D1561" t="inlineStr">
        <is>
          <t>GÄVLEBORGS LÄN</t>
        </is>
      </c>
      <c r="E1561" t="inlineStr">
        <is>
          <t>LJUSDAL</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6190-2020</t>
        </is>
      </c>
      <c r="B1562" s="1" t="n">
        <v>43865</v>
      </c>
      <c r="C1562" s="1" t="n">
        <v>45587</v>
      </c>
      <c r="D1562" t="inlineStr">
        <is>
          <t>GÄVLEBORGS LÄN</t>
        </is>
      </c>
      <c r="E1562" t="inlineStr">
        <is>
          <t>SANDVIKEN</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6041-2020</t>
        </is>
      </c>
      <c r="B1563" s="1" t="n">
        <v>43865</v>
      </c>
      <c r="C1563" s="1" t="n">
        <v>45587</v>
      </c>
      <c r="D1563" t="inlineStr">
        <is>
          <t>GÄVLEBORGS LÄN</t>
        </is>
      </c>
      <c r="E1563" t="inlineStr">
        <is>
          <t>BOLLNÄS</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6046-2020</t>
        </is>
      </c>
      <c r="B1564" s="1" t="n">
        <v>43865</v>
      </c>
      <c r="C1564" s="1" t="n">
        <v>45587</v>
      </c>
      <c r="D1564" t="inlineStr">
        <is>
          <t>GÄVLEBORGS LÄN</t>
        </is>
      </c>
      <c r="E1564" t="inlineStr">
        <is>
          <t>GÄVLE</t>
        </is>
      </c>
      <c r="F1564" t="inlineStr">
        <is>
          <t>Bergvik skog väst AB</t>
        </is>
      </c>
      <c r="G1564" t="n">
        <v>8.199999999999999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6389-2020</t>
        </is>
      </c>
      <c r="B1565" s="1" t="n">
        <v>43866</v>
      </c>
      <c r="C1565" s="1" t="n">
        <v>45587</v>
      </c>
      <c r="D1565" t="inlineStr">
        <is>
          <t>GÄVLEBORGS LÄN</t>
        </is>
      </c>
      <c r="E1565" t="inlineStr">
        <is>
          <t>LJUSDAL</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6638-2020</t>
        </is>
      </c>
      <c r="B1566" s="1" t="n">
        <v>43867</v>
      </c>
      <c r="C1566" s="1" t="n">
        <v>45587</v>
      </c>
      <c r="D1566" t="inlineStr">
        <is>
          <t>GÄVLEBORGS LÄN</t>
        </is>
      </c>
      <c r="E1566" t="inlineStr">
        <is>
          <t>BOLLNÄS</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6603-2020</t>
        </is>
      </c>
      <c r="B1567" s="1" t="n">
        <v>43867</v>
      </c>
      <c r="C1567" s="1" t="n">
        <v>45587</v>
      </c>
      <c r="D1567" t="inlineStr">
        <is>
          <t>GÄVLEBORGS LÄN</t>
        </is>
      </c>
      <c r="E1567" t="inlineStr">
        <is>
          <t>HUDIKSVALL</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6626-2020</t>
        </is>
      </c>
      <c r="B1568" s="1" t="n">
        <v>43867</v>
      </c>
      <c r="C1568" s="1" t="n">
        <v>45587</v>
      </c>
      <c r="D1568" t="inlineStr">
        <is>
          <t>GÄVLEBORGS LÄN</t>
        </is>
      </c>
      <c r="E1568" t="inlineStr">
        <is>
          <t>SANDVIKEN</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6645-2020</t>
        </is>
      </c>
      <c r="B1569" s="1" t="n">
        <v>43867</v>
      </c>
      <c r="C1569" s="1" t="n">
        <v>45587</v>
      </c>
      <c r="D1569" t="inlineStr">
        <is>
          <t>GÄVLEBORGS LÄN</t>
        </is>
      </c>
      <c r="E1569" t="inlineStr">
        <is>
          <t>HOFORS</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6678-2020</t>
        </is>
      </c>
      <c r="B1570" s="1" t="n">
        <v>43867</v>
      </c>
      <c r="C1570" s="1" t="n">
        <v>45587</v>
      </c>
      <c r="D1570" t="inlineStr">
        <is>
          <t>GÄVLEBORGS LÄN</t>
        </is>
      </c>
      <c r="E1570" t="inlineStr">
        <is>
          <t>HOFORS</t>
        </is>
      </c>
      <c r="F1570" t="inlineStr">
        <is>
          <t>Sveaskog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7101-2020</t>
        </is>
      </c>
      <c r="B1571" s="1" t="n">
        <v>43868</v>
      </c>
      <c r="C1571" s="1" t="n">
        <v>45587</v>
      </c>
      <c r="D1571" t="inlineStr">
        <is>
          <t>GÄVLEBORGS LÄN</t>
        </is>
      </c>
      <c r="E1571" t="inlineStr">
        <is>
          <t>HUDIKSVALL</t>
        </is>
      </c>
      <c r="F1571" t="inlineStr">
        <is>
          <t>Holmen skog AB</t>
        </is>
      </c>
      <c r="G1571" t="n">
        <v>8.6</v>
      </c>
      <c r="H1571" t="n">
        <v>0</v>
      </c>
      <c r="I1571" t="n">
        <v>0</v>
      </c>
      <c r="J1571" t="n">
        <v>0</v>
      </c>
      <c r="K1571" t="n">
        <v>0</v>
      </c>
      <c r="L1571" t="n">
        <v>0</v>
      </c>
      <c r="M1571" t="n">
        <v>0</v>
      </c>
      <c r="N1571" t="n">
        <v>0</v>
      </c>
      <c r="O1571" t="n">
        <v>0</v>
      </c>
      <c r="P1571" t="n">
        <v>0</v>
      </c>
      <c r="Q1571" t="n">
        <v>0</v>
      </c>
      <c r="R1571" s="2" t="inlineStr"/>
    </row>
    <row r="1572" ht="15" customHeight="1">
      <c r="A1572" t="inlineStr">
        <is>
          <t>A 6995-2020</t>
        </is>
      </c>
      <c r="B1572" s="1" t="n">
        <v>43868</v>
      </c>
      <c r="C1572" s="1" t="n">
        <v>45587</v>
      </c>
      <c r="D1572" t="inlineStr">
        <is>
          <t>GÄVLEBORGS LÄN</t>
        </is>
      </c>
      <c r="E1572" t="inlineStr">
        <is>
          <t>HUDIKSVALL</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7240-2020</t>
        </is>
      </c>
      <c r="B1573" s="1" t="n">
        <v>43871</v>
      </c>
      <c r="C1573" s="1" t="n">
        <v>45587</v>
      </c>
      <c r="D1573" t="inlineStr">
        <is>
          <t>GÄVLEBORGS LÄN</t>
        </is>
      </c>
      <c r="E1573" t="inlineStr">
        <is>
          <t>GÄVLE</t>
        </is>
      </c>
      <c r="F1573" t="inlineStr">
        <is>
          <t>Bergvik skog väst AB</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7205-2020</t>
        </is>
      </c>
      <c r="B1574" s="1" t="n">
        <v>43871</v>
      </c>
      <c r="C1574" s="1" t="n">
        <v>45587</v>
      </c>
      <c r="D1574" t="inlineStr">
        <is>
          <t>GÄVLEBORGS LÄN</t>
        </is>
      </c>
      <c r="E1574" t="inlineStr">
        <is>
          <t>SANDVIKEN</t>
        </is>
      </c>
      <c r="F1574" t="inlineStr">
        <is>
          <t>Sveaskog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7237-2020</t>
        </is>
      </c>
      <c r="B1575" s="1" t="n">
        <v>43871</v>
      </c>
      <c r="C1575" s="1" t="n">
        <v>45587</v>
      </c>
      <c r="D1575" t="inlineStr">
        <is>
          <t>GÄVLEBORGS LÄN</t>
        </is>
      </c>
      <c r="E1575" t="inlineStr">
        <is>
          <t>BOLLNÄS</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7348-2020</t>
        </is>
      </c>
      <c r="B1576" s="1" t="n">
        <v>43871</v>
      </c>
      <c r="C1576" s="1" t="n">
        <v>45587</v>
      </c>
      <c r="D1576" t="inlineStr">
        <is>
          <t>GÄVLEBORGS LÄN</t>
        </is>
      </c>
      <c r="E1576" t="inlineStr">
        <is>
          <t>SANDVIKEN</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7208-2020</t>
        </is>
      </c>
      <c r="B1577" s="1" t="n">
        <v>43871</v>
      </c>
      <c r="C1577" s="1" t="n">
        <v>45587</v>
      </c>
      <c r="D1577" t="inlineStr">
        <is>
          <t>GÄVLEBORGS LÄN</t>
        </is>
      </c>
      <c r="E1577" t="inlineStr">
        <is>
          <t>SANDVIKEN</t>
        </is>
      </c>
      <c r="F1577" t="inlineStr">
        <is>
          <t>Sveaskog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7387-2020</t>
        </is>
      </c>
      <c r="B1578" s="1" t="n">
        <v>43871</v>
      </c>
      <c r="C1578" s="1" t="n">
        <v>45587</v>
      </c>
      <c r="D1578" t="inlineStr">
        <is>
          <t>GÄVLEBORGS LÄN</t>
        </is>
      </c>
      <c r="E1578" t="inlineStr">
        <is>
          <t>SÖDERHAMN</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7282-2020</t>
        </is>
      </c>
      <c r="B1579" s="1" t="n">
        <v>43871</v>
      </c>
      <c r="C1579" s="1" t="n">
        <v>45587</v>
      </c>
      <c r="D1579" t="inlineStr">
        <is>
          <t>GÄVLEBORGS LÄN</t>
        </is>
      </c>
      <c r="E1579" t="inlineStr">
        <is>
          <t>BOLLNÄS</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7483-2020</t>
        </is>
      </c>
      <c r="B1580" s="1" t="n">
        <v>43871</v>
      </c>
      <c r="C1580" s="1" t="n">
        <v>45587</v>
      </c>
      <c r="D1580" t="inlineStr">
        <is>
          <t>GÄVLEBORGS LÄN</t>
        </is>
      </c>
      <c r="E1580" t="inlineStr">
        <is>
          <t>BOLLNÄS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7389-2020</t>
        </is>
      </c>
      <c r="B1581" s="1" t="n">
        <v>43871</v>
      </c>
      <c r="C1581" s="1" t="n">
        <v>45587</v>
      </c>
      <c r="D1581" t="inlineStr">
        <is>
          <t>GÄVLEBORGS LÄN</t>
        </is>
      </c>
      <c r="E1581" t="inlineStr">
        <is>
          <t>SÖDERHAMN</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7202-2020</t>
        </is>
      </c>
      <c r="B1582" s="1" t="n">
        <v>43871</v>
      </c>
      <c r="C1582" s="1" t="n">
        <v>45587</v>
      </c>
      <c r="D1582" t="inlineStr">
        <is>
          <t>GÄVLEBORGS LÄN</t>
        </is>
      </c>
      <c r="E1582" t="inlineStr">
        <is>
          <t>SANDVIKEN</t>
        </is>
      </c>
      <c r="F1582" t="inlineStr">
        <is>
          <t>Sveaskog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7521-2020</t>
        </is>
      </c>
      <c r="B1583" s="1" t="n">
        <v>43872</v>
      </c>
      <c r="C1583" s="1" t="n">
        <v>45587</v>
      </c>
      <c r="D1583" t="inlineStr">
        <is>
          <t>GÄVLEBORGS LÄN</t>
        </is>
      </c>
      <c r="E1583" t="inlineStr">
        <is>
          <t>HUDIKSVALL</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7636-2020</t>
        </is>
      </c>
      <c r="B1584" s="1" t="n">
        <v>43872</v>
      </c>
      <c r="C1584" s="1" t="n">
        <v>45587</v>
      </c>
      <c r="D1584" t="inlineStr">
        <is>
          <t>GÄVLEBORGS LÄN</t>
        </is>
      </c>
      <c r="E1584" t="inlineStr">
        <is>
          <t>SÖDERHAMN</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7725-2020</t>
        </is>
      </c>
      <c r="B1585" s="1" t="n">
        <v>43872</v>
      </c>
      <c r="C1585" s="1" t="n">
        <v>45587</v>
      </c>
      <c r="D1585" t="inlineStr">
        <is>
          <t>GÄVLEBORGS LÄN</t>
        </is>
      </c>
      <c r="E1585" t="inlineStr">
        <is>
          <t>GÄVLE</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7871-2020</t>
        </is>
      </c>
      <c r="B1586" s="1" t="n">
        <v>43873</v>
      </c>
      <c r="C1586" s="1" t="n">
        <v>45587</v>
      </c>
      <c r="D1586" t="inlineStr">
        <is>
          <t>GÄVLEBORGS LÄN</t>
        </is>
      </c>
      <c r="E1586" t="inlineStr">
        <is>
          <t>HUDIKSVALL</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7942-2020</t>
        </is>
      </c>
      <c r="B1587" s="1" t="n">
        <v>43873</v>
      </c>
      <c r="C1587" s="1" t="n">
        <v>45587</v>
      </c>
      <c r="D1587" t="inlineStr">
        <is>
          <t>GÄVLEBORGS LÄN</t>
        </is>
      </c>
      <c r="E1587" t="inlineStr">
        <is>
          <t>HUDIKSVALL</t>
        </is>
      </c>
      <c r="F1587" t="inlineStr">
        <is>
          <t>Holmen skog AB</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7982-2020</t>
        </is>
      </c>
      <c r="B1588" s="1" t="n">
        <v>43873</v>
      </c>
      <c r="C1588" s="1" t="n">
        <v>45587</v>
      </c>
      <c r="D1588" t="inlineStr">
        <is>
          <t>GÄVLEBORGS LÄN</t>
        </is>
      </c>
      <c r="E1588" t="inlineStr">
        <is>
          <t>GÄVLE</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7989-2020</t>
        </is>
      </c>
      <c r="B1589" s="1" t="n">
        <v>43873</v>
      </c>
      <c r="C1589" s="1" t="n">
        <v>45587</v>
      </c>
      <c r="D1589" t="inlineStr">
        <is>
          <t>GÄVLEBORGS LÄN</t>
        </is>
      </c>
      <c r="E1589" t="inlineStr">
        <is>
          <t>GÄVLE</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7973-2020</t>
        </is>
      </c>
      <c r="B1590" s="1" t="n">
        <v>43873</v>
      </c>
      <c r="C1590" s="1" t="n">
        <v>45587</v>
      </c>
      <c r="D1590" t="inlineStr">
        <is>
          <t>GÄVLEBORGS LÄN</t>
        </is>
      </c>
      <c r="E1590" t="inlineStr">
        <is>
          <t>HUDIKSVALL</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7841-2020</t>
        </is>
      </c>
      <c r="B1591" s="1" t="n">
        <v>43873</v>
      </c>
      <c r="C1591" s="1" t="n">
        <v>45587</v>
      </c>
      <c r="D1591" t="inlineStr">
        <is>
          <t>GÄVLEBORGS LÄN</t>
        </is>
      </c>
      <c r="E1591" t="inlineStr">
        <is>
          <t>GÄVLE</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8170-2020</t>
        </is>
      </c>
      <c r="B1592" s="1" t="n">
        <v>43874</v>
      </c>
      <c r="C1592" s="1" t="n">
        <v>45587</v>
      </c>
      <c r="D1592" t="inlineStr">
        <is>
          <t>GÄVLEBORGS LÄN</t>
        </is>
      </c>
      <c r="E1592" t="inlineStr">
        <is>
          <t>OVANÅKER</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8183-2020</t>
        </is>
      </c>
      <c r="B1593" s="1" t="n">
        <v>43874</v>
      </c>
      <c r="C1593" s="1" t="n">
        <v>45587</v>
      </c>
      <c r="D1593" t="inlineStr">
        <is>
          <t>GÄVLEBORGS LÄN</t>
        </is>
      </c>
      <c r="E1593" t="inlineStr">
        <is>
          <t>BOLLNÄS</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8273-2020</t>
        </is>
      </c>
      <c r="B1594" s="1" t="n">
        <v>43874</v>
      </c>
      <c r="C1594" s="1" t="n">
        <v>45587</v>
      </c>
      <c r="D1594" t="inlineStr">
        <is>
          <t>GÄVLEBORGS LÄN</t>
        </is>
      </c>
      <c r="E1594" t="inlineStr">
        <is>
          <t>OVANÅKER</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8173-2020</t>
        </is>
      </c>
      <c r="B1595" s="1" t="n">
        <v>43874</v>
      </c>
      <c r="C1595" s="1" t="n">
        <v>45587</v>
      </c>
      <c r="D1595" t="inlineStr">
        <is>
          <t>GÄVLEBORGS LÄN</t>
        </is>
      </c>
      <c r="E1595" t="inlineStr">
        <is>
          <t>OVANÅKER</t>
        </is>
      </c>
      <c r="G1595" t="n">
        <v>10.9</v>
      </c>
      <c r="H1595" t="n">
        <v>0</v>
      </c>
      <c r="I1595" t="n">
        <v>0</v>
      </c>
      <c r="J1595" t="n">
        <v>0</v>
      </c>
      <c r="K1595" t="n">
        <v>0</v>
      </c>
      <c r="L1595" t="n">
        <v>0</v>
      </c>
      <c r="M1595" t="n">
        <v>0</v>
      </c>
      <c r="N1595" t="n">
        <v>0</v>
      </c>
      <c r="O1595" t="n">
        <v>0</v>
      </c>
      <c r="P1595" t="n">
        <v>0</v>
      </c>
      <c r="Q1595" t="n">
        <v>0</v>
      </c>
      <c r="R1595" s="2" t="inlineStr"/>
    </row>
    <row r="1596" ht="15" customHeight="1">
      <c r="A1596" t="inlineStr">
        <is>
          <t>A 8237-2020</t>
        </is>
      </c>
      <c r="B1596" s="1" t="n">
        <v>43874</v>
      </c>
      <c r="C1596" s="1" t="n">
        <v>45587</v>
      </c>
      <c r="D1596" t="inlineStr">
        <is>
          <t>GÄVLEBORGS LÄN</t>
        </is>
      </c>
      <c r="E1596" t="inlineStr">
        <is>
          <t>SANDVIKEN</t>
        </is>
      </c>
      <c r="F1596" t="inlineStr">
        <is>
          <t>Sveaskog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8143-2020</t>
        </is>
      </c>
      <c r="B1597" s="1" t="n">
        <v>43874</v>
      </c>
      <c r="C1597" s="1" t="n">
        <v>45587</v>
      </c>
      <c r="D1597" t="inlineStr">
        <is>
          <t>GÄVLEBORGS LÄN</t>
        </is>
      </c>
      <c r="E1597" t="inlineStr">
        <is>
          <t>SANDVIKEN</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8357-2020</t>
        </is>
      </c>
      <c r="B1598" s="1" t="n">
        <v>43875</v>
      </c>
      <c r="C1598" s="1" t="n">
        <v>45587</v>
      </c>
      <c r="D1598" t="inlineStr">
        <is>
          <t>GÄVLEBORGS LÄN</t>
        </is>
      </c>
      <c r="E1598" t="inlineStr">
        <is>
          <t>HUDIKSVALL</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8381-2020</t>
        </is>
      </c>
      <c r="B1599" s="1" t="n">
        <v>43875</v>
      </c>
      <c r="C1599" s="1" t="n">
        <v>45587</v>
      </c>
      <c r="D1599" t="inlineStr">
        <is>
          <t>GÄVLEBORGS LÄN</t>
        </is>
      </c>
      <c r="E1599" t="inlineStr">
        <is>
          <t>HUDIKSVALL</t>
        </is>
      </c>
      <c r="F1599" t="inlineStr">
        <is>
          <t>Holmen skog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8450-2020</t>
        </is>
      </c>
      <c r="B1600" s="1" t="n">
        <v>43875</v>
      </c>
      <c r="C1600" s="1" t="n">
        <v>45587</v>
      </c>
      <c r="D1600" t="inlineStr">
        <is>
          <t>GÄVLEBORGS LÄN</t>
        </is>
      </c>
      <c r="E1600" t="inlineStr">
        <is>
          <t>HUDIKSVALL</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8449-2020</t>
        </is>
      </c>
      <c r="B1601" s="1" t="n">
        <v>43875</v>
      </c>
      <c r="C1601" s="1" t="n">
        <v>45587</v>
      </c>
      <c r="D1601" t="inlineStr">
        <is>
          <t>GÄVLEBORGS LÄN</t>
        </is>
      </c>
      <c r="E1601" t="inlineStr">
        <is>
          <t>OVANÅKER</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8659-2020</t>
        </is>
      </c>
      <c r="B1602" s="1" t="n">
        <v>43878</v>
      </c>
      <c r="C1602" s="1" t="n">
        <v>45587</v>
      </c>
      <c r="D1602" t="inlineStr">
        <is>
          <t>GÄVLEBORGS LÄN</t>
        </is>
      </c>
      <c r="E1602" t="inlineStr">
        <is>
          <t>BOLLNÄS</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8581-2020</t>
        </is>
      </c>
      <c r="B1603" s="1" t="n">
        <v>43878</v>
      </c>
      <c r="C1603" s="1" t="n">
        <v>45587</v>
      </c>
      <c r="D1603" t="inlineStr">
        <is>
          <t>GÄVLEBORGS LÄN</t>
        </is>
      </c>
      <c r="E1603" t="inlineStr">
        <is>
          <t>OCKELBO</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8633-2020</t>
        </is>
      </c>
      <c r="B1604" s="1" t="n">
        <v>43878</v>
      </c>
      <c r="C1604" s="1" t="n">
        <v>45587</v>
      </c>
      <c r="D1604" t="inlineStr">
        <is>
          <t>GÄVLEBORGS LÄN</t>
        </is>
      </c>
      <c r="E1604" t="inlineStr">
        <is>
          <t>BOLLNÄS</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8623-2020</t>
        </is>
      </c>
      <c r="B1605" s="1" t="n">
        <v>43878</v>
      </c>
      <c r="C1605" s="1" t="n">
        <v>45587</v>
      </c>
      <c r="D1605" t="inlineStr">
        <is>
          <t>GÄVLEBORGS LÄN</t>
        </is>
      </c>
      <c r="E1605" t="inlineStr">
        <is>
          <t>OCKELBO</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9003-2020</t>
        </is>
      </c>
      <c r="B1606" s="1" t="n">
        <v>43879</v>
      </c>
      <c r="C1606" s="1" t="n">
        <v>45587</v>
      </c>
      <c r="D1606" t="inlineStr">
        <is>
          <t>GÄVLEBORGS LÄN</t>
        </is>
      </c>
      <c r="E1606" t="inlineStr">
        <is>
          <t>HUDIKSVALL</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9095-2020</t>
        </is>
      </c>
      <c r="B1607" s="1" t="n">
        <v>43879</v>
      </c>
      <c r="C1607" s="1" t="n">
        <v>45587</v>
      </c>
      <c r="D1607" t="inlineStr">
        <is>
          <t>GÄVLEBORGS LÄN</t>
        </is>
      </c>
      <c r="E1607" t="inlineStr">
        <is>
          <t>SANDVIKEN</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9081-2020</t>
        </is>
      </c>
      <c r="B1608" s="1" t="n">
        <v>43879</v>
      </c>
      <c r="C1608" s="1" t="n">
        <v>45587</v>
      </c>
      <c r="D1608" t="inlineStr">
        <is>
          <t>GÄVLEBORGS LÄN</t>
        </is>
      </c>
      <c r="E1608" t="inlineStr">
        <is>
          <t>NORDANSTIG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9098-2020</t>
        </is>
      </c>
      <c r="B1609" s="1" t="n">
        <v>43879</v>
      </c>
      <c r="C1609" s="1" t="n">
        <v>45587</v>
      </c>
      <c r="D1609" t="inlineStr">
        <is>
          <t>GÄVLEBORGS LÄN</t>
        </is>
      </c>
      <c r="E1609" t="inlineStr">
        <is>
          <t>SANDVIKEN</t>
        </is>
      </c>
      <c r="G1609" t="n">
        <v>7.8</v>
      </c>
      <c r="H1609" t="n">
        <v>0</v>
      </c>
      <c r="I1609" t="n">
        <v>0</v>
      </c>
      <c r="J1609" t="n">
        <v>0</v>
      </c>
      <c r="K1609" t="n">
        <v>0</v>
      </c>
      <c r="L1609" t="n">
        <v>0</v>
      </c>
      <c r="M1609" t="n">
        <v>0</v>
      </c>
      <c r="N1609" t="n">
        <v>0</v>
      </c>
      <c r="O1609" t="n">
        <v>0</v>
      </c>
      <c r="P1609" t="n">
        <v>0</v>
      </c>
      <c r="Q1609" t="n">
        <v>0</v>
      </c>
      <c r="R1609" s="2" t="inlineStr"/>
    </row>
    <row r="1610" ht="15" customHeight="1">
      <c r="A1610" t="inlineStr">
        <is>
          <t>A 9206-2020</t>
        </is>
      </c>
      <c r="B1610" s="1" t="n">
        <v>43879</v>
      </c>
      <c r="C1610" s="1" t="n">
        <v>45587</v>
      </c>
      <c r="D1610" t="inlineStr">
        <is>
          <t>GÄVLEBORGS LÄN</t>
        </is>
      </c>
      <c r="E1610" t="inlineStr">
        <is>
          <t>LJUSDAL</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9218-2020</t>
        </is>
      </c>
      <c r="B1611" s="1" t="n">
        <v>43879</v>
      </c>
      <c r="C1611" s="1" t="n">
        <v>45587</v>
      </c>
      <c r="D1611" t="inlineStr">
        <is>
          <t>GÄVLEBORGS LÄN</t>
        </is>
      </c>
      <c r="E1611" t="inlineStr">
        <is>
          <t>GÄVLE</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9138-2020</t>
        </is>
      </c>
      <c r="B1612" s="1" t="n">
        <v>43879</v>
      </c>
      <c r="C1612" s="1" t="n">
        <v>45587</v>
      </c>
      <c r="D1612" t="inlineStr">
        <is>
          <t>GÄVLEBORGS LÄN</t>
        </is>
      </c>
      <c r="E1612" t="inlineStr">
        <is>
          <t>GÄVLE</t>
        </is>
      </c>
      <c r="F1612" t="inlineStr">
        <is>
          <t>Bergvik skog väst AB</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9293-2020</t>
        </is>
      </c>
      <c r="B1613" s="1" t="n">
        <v>43880</v>
      </c>
      <c r="C1613" s="1" t="n">
        <v>45587</v>
      </c>
      <c r="D1613" t="inlineStr">
        <is>
          <t>GÄVLEBORGS LÄN</t>
        </is>
      </c>
      <c r="E1613" t="inlineStr">
        <is>
          <t>OCKELBO</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9531-2020</t>
        </is>
      </c>
      <c r="B1614" s="1" t="n">
        <v>43881</v>
      </c>
      <c r="C1614" s="1" t="n">
        <v>45587</v>
      </c>
      <c r="D1614" t="inlineStr">
        <is>
          <t>GÄVLEBORGS LÄN</t>
        </is>
      </c>
      <c r="E1614" t="inlineStr">
        <is>
          <t>HUDIKSVALL</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9588-2020</t>
        </is>
      </c>
      <c r="B1615" s="1" t="n">
        <v>43881</v>
      </c>
      <c r="C1615" s="1" t="n">
        <v>45587</v>
      </c>
      <c r="D1615" t="inlineStr">
        <is>
          <t>GÄVLEBORGS LÄN</t>
        </is>
      </c>
      <c r="E1615" t="inlineStr">
        <is>
          <t>HUDIKSVALL</t>
        </is>
      </c>
      <c r="F1615" t="inlineStr">
        <is>
          <t>Holmen skog AB</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9590-2020</t>
        </is>
      </c>
      <c r="B1616" s="1" t="n">
        <v>43881</v>
      </c>
      <c r="C1616" s="1" t="n">
        <v>45587</v>
      </c>
      <c r="D1616" t="inlineStr">
        <is>
          <t>GÄVLEBORGS LÄN</t>
        </is>
      </c>
      <c r="E1616" t="inlineStr">
        <is>
          <t>OVANÅKER</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9593-2020</t>
        </is>
      </c>
      <c r="B1617" s="1" t="n">
        <v>43881</v>
      </c>
      <c r="C1617" s="1" t="n">
        <v>45587</v>
      </c>
      <c r="D1617" t="inlineStr">
        <is>
          <t>GÄVLEBORGS LÄN</t>
        </is>
      </c>
      <c r="E1617" t="inlineStr">
        <is>
          <t>BOLLNÄS</t>
        </is>
      </c>
      <c r="F1617" t="inlineStr">
        <is>
          <t>Bergvik skog väst AB</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9872-2020</t>
        </is>
      </c>
      <c r="B1618" s="1" t="n">
        <v>43882</v>
      </c>
      <c r="C1618" s="1" t="n">
        <v>45587</v>
      </c>
      <c r="D1618" t="inlineStr">
        <is>
          <t>GÄVLEBORGS LÄN</t>
        </is>
      </c>
      <c r="E1618" t="inlineStr">
        <is>
          <t>LJUSDAL</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10050-2020</t>
        </is>
      </c>
      <c r="B1619" s="1" t="n">
        <v>43882</v>
      </c>
      <c r="C1619" s="1" t="n">
        <v>45587</v>
      </c>
      <c r="D1619" t="inlineStr">
        <is>
          <t>GÄVLEBORGS LÄN</t>
        </is>
      </c>
      <c r="E1619" t="inlineStr">
        <is>
          <t>BOLLNÄS</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10052-2020</t>
        </is>
      </c>
      <c r="B1620" s="1" t="n">
        <v>43882</v>
      </c>
      <c r="C1620" s="1" t="n">
        <v>45587</v>
      </c>
      <c r="D1620" t="inlineStr">
        <is>
          <t>GÄVLEBORGS LÄN</t>
        </is>
      </c>
      <c r="E1620" t="inlineStr">
        <is>
          <t>SANDVIKEN</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10295-2020</t>
        </is>
      </c>
      <c r="B1621" s="1" t="n">
        <v>43885</v>
      </c>
      <c r="C1621" s="1" t="n">
        <v>45587</v>
      </c>
      <c r="D1621" t="inlineStr">
        <is>
          <t>GÄVLEBORGS LÄN</t>
        </is>
      </c>
      <c r="E1621" t="inlineStr">
        <is>
          <t>LJUSDAL</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10952-2020</t>
        </is>
      </c>
      <c r="B1622" s="1" t="n">
        <v>43885</v>
      </c>
      <c r="C1622" s="1" t="n">
        <v>45587</v>
      </c>
      <c r="D1622" t="inlineStr">
        <is>
          <t>GÄVLEBORGS LÄN</t>
        </is>
      </c>
      <c r="E1622" t="inlineStr">
        <is>
          <t>SÖDERHAMN</t>
        </is>
      </c>
      <c r="G1622" t="n">
        <v>8</v>
      </c>
      <c r="H1622" t="n">
        <v>0</v>
      </c>
      <c r="I1622" t="n">
        <v>0</v>
      </c>
      <c r="J1622" t="n">
        <v>0</v>
      </c>
      <c r="K1622" t="n">
        <v>0</v>
      </c>
      <c r="L1622" t="n">
        <v>0</v>
      </c>
      <c r="M1622" t="n">
        <v>0</v>
      </c>
      <c r="N1622" t="n">
        <v>0</v>
      </c>
      <c r="O1622" t="n">
        <v>0</v>
      </c>
      <c r="P1622" t="n">
        <v>0</v>
      </c>
      <c r="Q1622" t="n">
        <v>0</v>
      </c>
      <c r="R1622" s="2" t="inlineStr"/>
    </row>
    <row r="1623" ht="15" customHeight="1">
      <c r="A1623" t="inlineStr">
        <is>
          <t>A 10509-2020</t>
        </is>
      </c>
      <c r="B1623" s="1" t="n">
        <v>43886</v>
      </c>
      <c r="C1623" s="1" t="n">
        <v>45587</v>
      </c>
      <c r="D1623" t="inlineStr">
        <is>
          <t>GÄVLEBORGS LÄN</t>
        </is>
      </c>
      <c r="E1623" t="inlineStr">
        <is>
          <t>BOLLNÄS</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10440-2020</t>
        </is>
      </c>
      <c r="B1624" s="1" t="n">
        <v>43886</v>
      </c>
      <c r="C1624" s="1" t="n">
        <v>45587</v>
      </c>
      <c r="D1624" t="inlineStr">
        <is>
          <t>GÄVLEBORGS LÄN</t>
        </is>
      </c>
      <c r="E1624" t="inlineStr">
        <is>
          <t>SANDVIKEN</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10536-2020</t>
        </is>
      </c>
      <c r="B1625" s="1" t="n">
        <v>43886</v>
      </c>
      <c r="C1625" s="1" t="n">
        <v>45587</v>
      </c>
      <c r="D1625" t="inlineStr">
        <is>
          <t>GÄVLEBORGS LÄN</t>
        </is>
      </c>
      <c r="E1625" t="inlineStr">
        <is>
          <t>LJUSDAL</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10426-2020</t>
        </is>
      </c>
      <c r="B1626" s="1" t="n">
        <v>43886</v>
      </c>
      <c r="C1626" s="1" t="n">
        <v>45587</v>
      </c>
      <c r="D1626" t="inlineStr">
        <is>
          <t>GÄVLEBORGS LÄN</t>
        </is>
      </c>
      <c r="E1626" t="inlineStr">
        <is>
          <t>BOLLNÄS</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10521-2020</t>
        </is>
      </c>
      <c r="B1627" s="1" t="n">
        <v>43886</v>
      </c>
      <c r="C1627" s="1" t="n">
        <v>45587</v>
      </c>
      <c r="D1627" t="inlineStr">
        <is>
          <t>GÄVLEBORGS LÄN</t>
        </is>
      </c>
      <c r="E1627" t="inlineStr">
        <is>
          <t>LJUSDAL</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10534-2020</t>
        </is>
      </c>
      <c r="B1628" s="1" t="n">
        <v>43886</v>
      </c>
      <c r="C1628" s="1" t="n">
        <v>45587</v>
      </c>
      <c r="D1628" t="inlineStr">
        <is>
          <t>GÄVLEBORGS LÄN</t>
        </is>
      </c>
      <c r="E1628" t="inlineStr">
        <is>
          <t>HUDIKSVALL</t>
        </is>
      </c>
      <c r="F1628" t="inlineStr">
        <is>
          <t>Holmen skog AB</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10502-2020</t>
        </is>
      </c>
      <c r="B1629" s="1" t="n">
        <v>43886</v>
      </c>
      <c r="C1629" s="1" t="n">
        <v>45587</v>
      </c>
      <c r="D1629" t="inlineStr">
        <is>
          <t>GÄVLEBORGS LÄN</t>
        </is>
      </c>
      <c r="E1629" t="inlineStr">
        <is>
          <t>OVANÅKER</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10604-2020</t>
        </is>
      </c>
      <c r="B1630" s="1" t="n">
        <v>43887</v>
      </c>
      <c r="C1630" s="1" t="n">
        <v>45587</v>
      </c>
      <c r="D1630" t="inlineStr">
        <is>
          <t>GÄVLEBORGS LÄN</t>
        </is>
      </c>
      <c r="E1630" t="inlineStr">
        <is>
          <t>NORDANSTIG</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10334-2020</t>
        </is>
      </c>
      <c r="B1631" s="1" t="n">
        <v>43887</v>
      </c>
      <c r="C1631" s="1" t="n">
        <v>45587</v>
      </c>
      <c r="D1631" t="inlineStr">
        <is>
          <t>GÄVLEBORGS LÄN</t>
        </is>
      </c>
      <c r="E1631" t="inlineStr">
        <is>
          <t>BOLLNÄS</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10607-2020</t>
        </is>
      </c>
      <c r="B1632" s="1" t="n">
        <v>43887</v>
      </c>
      <c r="C1632" s="1" t="n">
        <v>45587</v>
      </c>
      <c r="D1632" t="inlineStr">
        <is>
          <t>GÄVLEBORGS LÄN</t>
        </is>
      </c>
      <c r="E1632" t="inlineStr">
        <is>
          <t>HUDIKSVALL</t>
        </is>
      </c>
      <c r="F1632" t="inlineStr">
        <is>
          <t>Holmen skog AB</t>
        </is>
      </c>
      <c r="G1632" t="n">
        <v>24.9</v>
      </c>
      <c r="H1632" t="n">
        <v>0</v>
      </c>
      <c r="I1632" t="n">
        <v>0</v>
      </c>
      <c r="J1632" t="n">
        <v>0</v>
      </c>
      <c r="K1632" t="n">
        <v>0</v>
      </c>
      <c r="L1632" t="n">
        <v>0</v>
      </c>
      <c r="M1632" t="n">
        <v>0</v>
      </c>
      <c r="N1632" t="n">
        <v>0</v>
      </c>
      <c r="O1632" t="n">
        <v>0</v>
      </c>
      <c r="P1632" t="n">
        <v>0</v>
      </c>
      <c r="Q1632" t="n">
        <v>0</v>
      </c>
      <c r="R1632" s="2" t="inlineStr"/>
    </row>
    <row r="1633" ht="15" customHeight="1">
      <c r="A1633" t="inlineStr">
        <is>
          <t>A 10755-2020</t>
        </is>
      </c>
      <c r="B1633" s="1" t="n">
        <v>43888</v>
      </c>
      <c r="C1633" s="1" t="n">
        <v>45587</v>
      </c>
      <c r="D1633" t="inlineStr">
        <is>
          <t>GÄVLEBORGS LÄN</t>
        </is>
      </c>
      <c r="E1633" t="inlineStr">
        <is>
          <t>OVANÅKER</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10665-2020</t>
        </is>
      </c>
      <c r="B1634" s="1" t="n">
        <v>43888</v>
      </c>
      <c r="C1634" s="1" t="n">
        <v>45587</v>
      </c>
      <c r="D1634" t="inlineStr">
        <is>
          <t>GÄVLEBORGS LÄN</t>
        </is>
      </c>
      <c r="E1634" t="inlineStr">
        <is>
          <t>BOLLNÄS</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10833-2020</t>
        </is>
      </c>
      <c r="B1635" s="1" t="n">
        <v>43888</v>
      </c>
      <c r="C1635" s="1" t="n">
        <v>45587</v>
      </c>
      <c r="D1635" t="inlineStr">
        <is>
          <t>GÄVLEBORGS LÄN</t>
        </is>
      </c>
      <c r="E1635" t="inlineStr">
        <is>
          <t>GÄVLE</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11126-2020</t>
        </is>
      </c>
      <c r="B1636" s="1" t="n">
        <v>43889</v>
      </c>
      <c r="C1636" s="1" t="n">
        <v>45587</v>
      </c>
      <c r="D1636" t="inlineStr">
        <is>
          <t>GÄVLEBORGS LÄN</t>
        </is>
      </c>
      <c r="E1636" t="inlineStr">
        <is>
          <t>HUDIKSVALL</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11121-2020</t>
        </is>
      </c>
      <c r="B1637" s="1" t="n">
        <v>43889</v>
      </c>
      <c r="C1637" s="1" t="n">
        <v>45587</v>
      </c>
      <c r="D1637" t="inlineStr">
        <is>
          <t>GÄVLEBORGS LÄN</t>
        </is>
      </c>
      <c r="E1637" t="inlineStr">
        <is>
          <t>GÄVLE</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11036-2020</t>
        </is>
      </c>
      <c r="B1638" s="1" t="n">
        <v>43889</v>
      </c>
      <c r="C1638" s="1" t="n">
        <v>45587</v>
      </c>
      <c r="D1638" t="inlineStr">
        <is>
          <t>GÄVLEBORGS LÄN</t>
        </is>
      </c>
      <c r="E1638" t="inlineStr">
        <is>
          <t>SÖDERHAMN</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11130-2020</t>
        </is>
      </c>
      <c r="B1639" s="1" t="n">
        <v>43889</v>
      </c>
      <c r="C1639" s="1" t="n">
        <v>45587</v>
      </c>
      <c r="D1639" t="inlineStr">
        <is>
          <t>GÄVLEBORGS LÄN</t>
        </is>
      </c>
      <c r="E1639" t="inlineStr">
        <is>
          <t>HOFORS</t>
        </is>
      </c>
      <c r="F1639" t="inlineStr">
        <is>
          <t>Sveaskog</t>
        </is>
      </c>
      <c r="G1639" t="n">
        <v>0.1</v>
      </c>
      <c r="H1639" t="n">
        <v>0</v>
      </c>
      <c r="I1639" t="n">
        <v>0</v>
      </c>
      <c r="J1639" t="n">
        <v>0</v>
      </c>
      <c r="K1639" t="n">
        <v>0</v>
      </c>
      <c r="L1639" t="n">
        <v>0</v>
      </c>
      <c r="M1639" t="n">
        <v>0</v>
      </c>
      <c r="N1639" t="n">
        <v>0</v>
      </c>
      <c r="O1639" t="n">
        <v>0</v>
      </c>
      <c r="P1639" t="n">
        <v>0</v>
      </c>
      <c r="Q1639" t="n">
        <v>0</v>
      </c>
      <c r="R1639" s="2" t="inlineStr"/>
    </row>
    <row r="1640" ht="15" customHeight="1">
      <c r="A1640" t="inlineStr">
        <is>
          <t>A 11131-2020</t>
        </is>
      </c>
      <c r="B1640" s="1" t="n">
        <v>43889</v>
      </c>
      <c r="C1640" s="1" t="n">
        <v>45587</v>
      </c>
      <c r="D1640" t="inlineStr">
        <is>
          <t>GÄVLEBORGS LÄN</t>
        </is>
      </c>
      <c r="E1640" t="inlineStr">
        <is>
          <t>HOFORS</t>
        </is>
      </c>
      <c r="F1640" t="inlineStr">
        <is>
          <t>Sveaskog</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11133-2020</t>
        </is>
      </c>
      <c r="B1641" s="1" t="n">
        <v>43889</v>
      </c>
      <c r="C1641" s="1" t="n">
        <v>45587</v>
      </c>
      <c r="D1641" t="inlineStr">
        <is>
          <t>GÄVLEBORGS LÄN</t>
        </is>
      </c>
      <c r="E1641" t="inlineStr">
        <is>
          <t>HOFORS</t>
        </is>
      </c>
      <c r="F1641" t="inlineStr">
        <is>
          <t>Sveaskog</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11240-2020</t>
        </is>
      </c>
      <c r="B1642" s="1" t="n">
        <v>43892</v>
      </c>
      <c r="C1642" s="1" t="n">
        <v>45587</v>
      </c>
      <c r="D1642" t="inlineStr">
        <is>
          <t>GÄVLEBORGS LÄN</t>
        </is>
      </c>
      <c r="E1642" t="inlineStr">
        <is>
          <t>BOLLNÄS</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11342-2020</t>
        </is>
      </c>
      <c r="B1643" s="1" t="n">
        <v>43892</v>
      </c>
      <c r="C1643" s="1" t="n">
        <v>45587</v>
      </c>
      <c r="D1643" t="inlineStr">
        <is>
          <t>GÄVLEBORGS LÄN</t>
        </is>
      </c>
      <c r="E1643" t="inlineStr">
        <is>
          <t>LJUSDAL</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11386-2020</t>
        </is>
      </c>
      <c r="B1644" s="1" t="n">
        <v>43892</v>
      </c>
      <c r="C1644" s="1" t="n">
        <v>45587</v>
      </c>
      <c r="D1644" t="inlineStr">
        <is>
          <t>GÄVLEBORGS LÄN</t>
        </is>
      </c>
      <c r="E1644" t="inlineStr">
        <is>
          <t>OVANÅKER</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11346-2020</t>
        </is>
      </c>
      <c r="B1645" s="1" t="n">
        <v>43892</v>
      </c>
      <c r="C1645" s="1" t="n">
        <v>45587</v>
      </c>
      <c r="D1645" t="inlineStr">
        <is>
          <t>GÄVLEBORGS LÄN</t>
        </is>
      </c>
      <c r="E1645" t="inlineStr">
        <is>
          <t>LJUSDAL</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11338-2020</t>
        </is>
      </c>
      <c r="B1646" s="1" t="n">
        <v>43892</v>
      </c>
      <c r="C1646" s="1" t="n">
        <v>45587</v>
      </c>
      <c r="D1646" t="inlineStr">
        <is>
          <t>GÄVLEBORGS LÄN</t>
        </is>
      </c>
      <c r="E1646" t="inlineStr">
        <is>
          <t>SANDVIKEN</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11494-2020</t>
        </is>
      </c>
      <c r="B1647" s="1" t="n">
        <v>43893</v>
      </c>
      <c r="C1647" s="1" t="n">
        <v>45587</v>
      </c>
      <c r="D1647" t="inlineStr">
        <is>
          <t>GÄVLEBORGS LÄN</t>
        </is>
      </c>
      <c r="E1647" t="inlineStr">
        <is>
          <t>HUDIKSVALL</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11501-2020</t>
        </is>
      </c>
      <c r="B1648" s="1" t="n">
        <v>43893</v>
      </c>
      <c r="C1648" s="1" t="n">
        <v>45587</v>
      </c>
      <c r="D1648" t="inlineStr">
        <is>
          <t>GÄVLEBORGS LÄN</t>
        </is>
      </c>
      <c r="E1648" t="inlineStr">
        <is>
          <t>OVANÅKER</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12664-2020</t>
        </is>
      </c>
      <c r="B1649" s="1" t="n">
        <v>43893</v>
      </c>
      <c r="C1649" s="1" t="n">
        <v>45587</v>
      </c>
      <c r="D1649" t="inlineStr">
        <is>
          <t>GÄVLEBORGS LÄN</t>
        </is>
      </c>
      <c r="E1649" t="inlineStr">
        <is>
          <t>HUDIKSVALL</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11508-2020</t>
        </is>
      </c>
      <c r="B1650" s="1" t="n">
        <v>43893</v>
      </c>
      <c r="C1650" s="1" t="n">
        <v>45587</v>
      </c>
      <c r="D1650" t="inlineStr">
        <is>
          <t>GÄVLEBORGS LÄN</t>
        </is>
      </c>
      <c r="E1650" t="inlineStr">
        <is>
          <t>HUDIKSVALL</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11751-2020</t>
        </is>
      </c>
      <c r="B1651" s="1" t="n">
        <v>43894</v>
      </c>
      <c r="C1651" s="1" t="n">
        <v>45587</v>
      </c>
      <c r="D1651" t="inlineStr">
        <is>
          <t>GÄVLEBORGS LÄN</t>
        </is>
      </c>
      <c r="E1651" t="inlineStr">
        <is>
          <t>HUDIKSVALL</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11749-2020</t>
        </is>
      </c>
      <c r="B1652" s="1" t="n">
        <v>43894</v>
      </c>
      <c r="C1652" s="1" t="n">
        <v>45587</v>
      </c>
      <c r="D1652" t="inlineStr">
        <is>
          <t>GÄVLEBORGS LÄN</t>
        </is>
      </c>
      <c r="E1652" t="inlineStr">
        <is>
          <t>BOLLNÄS</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11838-2020</t>
        </is>
      </c>
      <c r="B1653" s="1" t="n">
        <v>43894</v>
      </c>
      <c r="C1653" s="1" t="n">
        <v>45587</v>
      </c>
      <c r="D1653" t="inlineStr">
        <is>
          <t>GÄVLEBORGS LÄN</t>
        </is>
      </c>
      <c r="E1653" t="inlineStr">
        <is>
          <t>BOLLNÄS</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11898-2020</t>
        </is>
      </c>
      <c r="B1654" s="1" t="n">
        <v>43894</v>
      </c>
      <c r="C1654" s="1" t="n">
        <v>45587</v>
      </c>
      <c r="D1654" t="inlineStr">
        <is>
          <t>GÄVLEBORGS LÄN</t>
        </is>
      </c>
      <c r="E1654" t="inlineStr">
        <is>
          <t>LJUSDAL</t>
        </is>
      </c>
      <c r="F1654" t="inlineStr">
        <is>
          <t>Bergvik skog väst AB</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11841-2020</t>
        </is>
      </c>
      <c r="B1655" s="1" t="n">
        <v>43894</v>
      </c>
      <c r="C1655" s="1" t="n">
        <v>45587</v>
      </c>
      <c r="D1655" t="inlineStr">
        <is>
          <t>GÄVLEBORGS LÄN</t>
        </is>
      </c>
      <c r="E1655" t="inlineStr">
        <is>
          <t>BOLLNÄS</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11763-2020</t>
        </is>
      </c>
      <c r="B1656" s="1" t="n">
        <v>43894</v>
      </c>
      <c r="C1656" s="1" t="n">
        <v>45587</v>
      </c>
      <c r="D1656" t="inlineStr">
        <is>
          <t>GÄVLEBORGS LÄN</t>
        </is>
      </c>
      <c r="E1656" t="inlineStr">
        <is>
          <t>SANDVIKEN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13422-2020</t>
        </is>
      </c>
      <c r="B1657" s="1" t="n">
        <v>43894</v>
      </c>
      <c r="C1657" s="1" t="n">
        <v>45587</v>
      </c>
      <c r="D1657" t="inlineStr">
        <is>
          <t>GÄVLEBORGS LÄN</t>
        </is>
      </c>
      <c r="E1657" t="inlineStr">
        <is>
          <t>SÖDERHAMN</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12217-2020</t>
        </is>
      </c>
      <c r="B1658" s="1" t="n">
        <v>43895</v>
      </c>
      <c r="C1658" s="1" t="n">
        <v>45587</v>
      </c>
      <c r="D1658" t="inlineStr">
        <is>
          <t>GÄVLEBORGS LÄN</t>
        </is>
      </c>
      <c r="E1658" t="inlineStr">
        <is>
          <t>SÖDERHAMN</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12224-2020</t>
        </is>
      </c>
      <c r="B1659" s="1" t="n">
        <v>43895</v>
      </c>
      <c r="C1659" s="1" t="n">
        <v>45587</v>
      </c>
      <c r="D1659" t="inlineStr">
        <is>
          <t>GÄVLEBORGS LÄN</t>
        </is>
      </c>
      <c r="E1659" t="inlineStr">
        <is>
          <t>SÖDERHAMN</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12268-2020</t>
        </is>
      </c>
      <c r="B1660" s="1" t="n">
        <v>43895</v>
      </c>
      <c r="C1660" s="1" t="n">
        <v>45587</v>
      </c>
      <c r="D1660" t="inlineStr">
        <is>
          <t>GÄVLEBORGS LÄN</t>
        </is>
      </c>
      <c r="E1660" t="inlineStr">
        <is>
          <t>GÄVLE</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12406-2020</t>
        </is>
      </c>
      <c r="B1661" s="1" t="n">
        <v>43896</v>
      </c>
      <c r="C1661" s="1" t="n">
        <v>45587</v>
      </c>
      <c r="D1661" t="inlineStr">
        <is>
          <t>GÄVLEBORGS LÄN</t>
        </is>
      </c>
      <c r="E1661" t="inlineStr">
        <is>
          <t>HOFORS</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12513-2020</t>
        </is>
      </c>
      <c r="B1662" s="1" t="n">
        <v>43896</v>
      </c>
      <c r="C1662" s="1" t="n">
        <v>45587</v>
      </c>
      <c r="D1662" t="inlineStr">
        <is>
          <t>GÄVLEBORGS LÄN</t>
        </is>
      </c>
      <c r="E1662" t="inlineStr">
        <is>
          <t>GÄVLE</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12793-2020</t>
        </is>
      </c>
      <c r="B1663" s="1" t="n">
        <v>43899</v>
      </c>
      <c r="C1663" s="1" t="n">
        <v>45587</v>
      </c>
      <c r="D1663" t="inlineStr">
        <is>
          <t>GÄVLEBORGS LÄN</t>
        </is>
      </c>
      <c r="E1663" t="inlineStr">
        <is>
          <t>NORDANSTIG</t>
        </is>
      </c>
      <c r="F1663" t="inlineStr">
        <is>
          <t>Holmen skog AB</t>
        </is>
      </c>
      <c r="G1663" t="n">
        <v>19.4</v>
      </c>
      <c r="H1663" t="n">
        <v>0</v>
      </c>
      <c r="I1663" t="n">
        <v>0</v>
      </c>
      <c r="J1663" t="n">
        <v>0</v>
      </c>
      <c r="K1663" t="n">
        <v>0</v>
      </c>
      <c r="L1663" t="n">
        <v>0</v>
      </c>
      <c r="M1663" t="n">
        <v>0</v>
      </c>
      <c r="N1663" t="n">
        <v>0</v>
      </c>
      <c r="O1663" t="n">
        <v>0</v>
      </c>
      <c r="P1663" t="n">
        <v>0</v>
      </c>
      <c r="Q1663" t="n">
        <v>0</v>
      </c>
      <c r="R1663" s="2" t="inlineStr"/>
    </row>
    <row r="1664" ht="15" customHeight="1">
      <c r="A1664" t="inlineStr">
        <is>
          <t>A 13034-2020</t>
        </is>
      </c>
      <c r="B1664" s="1" t="n">
        <v>43900</v>
      </c>
      <c r="C1664" s="1" t="n">
        <v>45587</v>
      </c>
      <c r="D1664" t="inlineStr">
        <is>
          <t>GÄVLEBORGS LÄN</t>
        </is>
      </c>
      <c r="E1664" t="inlineStr">
        <is>
          <t>SÖDERHAMN</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13032-2020</t>
        </is>
      </c>
      <c r="B1665" s="1" t="n">
        <v>43900</v>
      </c>
      <c r="C1665" s="1" t="n">
        <v>45587</v>
      </c>
      <c r="D1665" t="inlineStr">
        <is>
          <t>GÄVLEBORGS LÄN</t>
        </is>
      </c>
      <c r="E1665" t="inlineStr">
        <is>
          <t>SÖDERHAMN</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13062-2020</t>
        </is>
      </c>
      <c r="B1666" s="1" t="n">
        <v>43900</v>
      </c>
      <c r="C1666" s="1" t="n">
        <v>45587</v>
      </c>
      <c r="D1666" t="inlineStr">
        <is>
          <t>GÄVLEBORGS LÄN</t>
        </is>
      </c>
      <c r="E1666" t="inlineStr">
        <is>
          <t>SANDVIKEN</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12996-2020</t>
        </is>
      </c>
      <c r="B1667" s="1" t="n">
        <v>43900</v>
      </c>
      <c r="C1667" s="1" t="n">
        <v>45587</v>
      </c>
      <c r="D1667" t="inlineStr">
        <is>
          <t>GÄVLEBORGS LÄN</t>
        </is>
      </c>
      <c r="E1667" t="inlineStr">
        <is>
          <t>OVANÅKER</t>
        </is>
      </c>
      <c r="F1667" t="inlineStr">
        <is>
          <t>Bergvik skog väst AB</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13216-2020</t>
        </is>
      </c>
      <c r="B1668" s="1" t="n">
        <v>43901</v>
      </c>
      <c r="C1668" s="1" t="n">
        <v>45587</v>
      </c>
      <c r="D1668" t="inlineStr">
        <is>
          <t>GÄVLEBORGS LÄN</t>
        </is>
      </c>
      <c r="E1668" t="inlineStr">
        <is>
          <t>HUDIKSVALL</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13190-2020</t>
        </is>
      </c>
      <c r="B1669" s="1" t="n">
        <v>43901</v>
      </c>
      <c r="C1669" s="1" t="n">
        <v>45587</v>
      </c>
      <c r="D1669" t="inlineStr">
        <is>
          <t>GÄVLEBORGS LÄN</t>
        </is>
      </c>
      <c r="E1669" t="inlineStr">
        <is>
          <t>HUDIKSVALL</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14242-2020</t>
        </is>
      </c>
      <c r="B1670" s="1" t="n">
        <v>43901</v>
      </c>
      <c r="C1670" s="1" t="n">
        <v>45587</v>
      </c>
      <c r="D1670" t="inlineStr">
        <is>
          <t>GÄVLEBORGS LÄN</t>
        </is>
      </c>
      <c r="E1670" t="inlineStr">
        <is>
          <t>GÄVLE</t>
        </is>
      </c>
      <c r="F1670" t="inlineStr">
        <is>
          <t>Bergvik skog väst AB</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13200-2020</t>
        </is>
      </c>
      <c r="B1671" s="1" t="n">
        <v>43901</v>
      </c>
      <c r="C1671" s="1" t="n">
        <v>45587</v>
      </c>
      <c r="D1671" t="inlineStr">
        <is>
          <t>GÄVLEBORGS LÄN</t>
        </is>
      </c>
      <c r="E1671" t="inlineStr">
        <is>
          <t>BOLLNÄS</t>
        </is>
      </c>
      <c r="F1671" t="inlineStr">
        <is>
          <t>Bergvik skog väst AB</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13208-2020</t>
        </is>
      </c>
      <c r="B1672" s="1" t="n">
        <v>43901</v>
      </c>
      <c r="C1672" s="1" t="n">
        <v>45587</v>
      </c>
      <c r="D1672" t="inlineStr">
        <is>
          <t>GÄVLEBORGS LÄN</t>
        </is>
      </c>
      <c r="E1672" t="inlineStr">
        <is>
          <t>HUDIKSVALL</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13329-2020</t>
        </is>
      </c>
      <c r="B1673" s="1" t="n">
        <v>43902</v>
      </c>
      <c r="C1673" s="1" t="n">
        <v>45587</v>
      </c>
      <c r="D1673" t="inlineStr">
        <is>
          <t>GÄVLEBORGS LÄN</t>
        </is>
      </c>
      <c r="E1673" t="inlineStr">
        <is>
          <t>LJUSDAL</t>
        </is>
      </c>
      <c r="F1673" t="inlineStr">
        <is>
          <t>Bergvik skog väst AB</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13507-2020</t>
        </is>
      </c>
      <c r="B1674" s="1" t="n">
        <v>43902</v>
      </c>
      <c r="C1674" s="1" t="n">
        <v>45587</v>
      </c>
      <c r="D1674" t="inlineStr">
        <is>
          <t>GÄVLEBORGS LÄN</t>
        </is>
      </c>
      <c r="E1674" t="inlineStr">
        <is>
          <t>HUDIKSVALL</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13489-2020</t>
        </is>
      </c>
      <c r="B1675" s="1" t="n">
        <v>43902</v>
      </c>
      <c r="C1675" s="1" t="n">
        <v>45587</v>
      </c>
      <c r="D1675" t="inlineStr">
        <is>
          <t>GÄVLEBORGS LÄN</t>
        </is>
      </c>
      <c r="E1675" t="inlineStr">
        <is>
          <t>BOLLNÄS</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13617-2020</t>
        </is>
      </c>
      <c r="B1676" s="1" t="n">
        <v>43903</v>
      </c>
      <c r="C1676" s="1" t="n">
        <v>45587</v>
      </c>
      <c r="D1676" t="inlineStr">
        <is>
          <t>GÄVLEBORGS LÄN</t>
        </is>
      </c>
      <c r="E1676" t="inlineStr">
        <is>
          <t>LJUSDAL</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13715-2020</t>
        </is>
      </c>
      <c r="B1677" s="1" t="n">
        <v>43903</v>
      </c>
      <c r="C1677" s="1" t="n">
        <v>45587</v>
      </c>
      <c r="D1677" t="inlineStr">
        <is>
          <t>GÄVLEBORGS LÄN</t>
        </is>
      </c>
      <c r="E1677" t="inlineStr">
        <is>
          <t>OVANÅKER</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13836-2020</t>
        </is>
      </c>
      <c r="B1678" s="1" t="n">
        <v>43906</v>
      </c>
      <c r="C1678" s="1" t="n">
        <v>45587</v>
      </c>
      <c r="D1678" t="inlineStr">
        <is>
          <t>GÄVLEBORGS LÄN</t>
        </is>
      </c>
      <c r="E1678" t="inlineStr">
        <is>
          <t>OCKELBO</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13978-2020</t>
        </is>
      </c>
      <c r="B1679" s="1" t="n">
        <v>43906</v>
      </c>
      <c r="C1679" s="1" t="n">
        <v>45587</v>
      </c>
      <c r="D1679" t="inlineStr">
        <is>
          <t>GÄVLEBORGS LÄN</t>
        </is>
      </c>
      <c r="E1679" t="inlineStr">
        <is>
          <t>GÄVLE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14884-2020</t>
        </is>
      </c>
      <c r="B1680" s="1" t="n">
        <v>43906</v>
      </c>
      <c r="C1680" s="1" t="n">
        <v>45587</v>
      </c>
      <c r="D1680" t="inlineStr">
        <is>
          <t>GÄVLEBORGS LÄN</t>
        </is>
      </c>
      <c r="E1680" t="inlineStr">
        <is>
          <t>OVANÅKER</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14035-2020</t>
        </is>
      </c>
      <c r="B1681" s="1" t="n">
        <v>43906</v>
      </c>
      <c r="C1681" s="1" t="n">
        <v>45587</v>
      </c>
      <c r="D1681" t="inlineStr">
        <is>
          <t>GÄVLEBORGS LÄN</t>
        </is>
      </c>
      <c r="E1681" t="inlineStr">
        <is>
          <t>HUDIKSVALL</t>
        </is>
      </c>
      <c r="F1681" t="inlineStr">
        <is>
          <t>Holmen skog AB</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14169-2020</t>
        </is>
      </c>
      <c r="B1682" s="1" t="n">
        <v>43907</v>
      </c>
      <c r="C1682" s="1" t="n">
        <v>45587</v>
      </c>
      <c r="D1682" t="inlineStr">
        <is>
          <t>GÄVLEBORGS LÄN</t>
        </is>
      </c>
      <c r="E1682" t="inlineStr">
        <is>
          <t>OVANÅKER</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14096-2020</t>
        </is>
      </c>
      <c r="B1683" s="1" t="n">
        <v>43907</v>
      </c>
      <c r="C1683" s="1" t="n">
        <v>45587</v>
      </c>
      <c r="D1683" t="inlineStr">
        <is>
          <t>GÄVLEBORGS LÄN</t>
        </is>
      </c>
      <c r="E1683" t="inlineStr">
        <is>
          <t>OCKELBO</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14321-2020</t>
        </is>
      </c>
      <c r="B1684" s="1" t="n">
        <v>43907</v>
      </c>
      <c r="C1684" s="1" t="n">
        <v>45587</v>
      </c>
      <c r="D1684" t="inlineStr">
        <is>
          <t>GÄVLEBORGS LÄN</t>
        </is>
      </c>
      <c r="E1684" t="inlineStr">
        <is>
          <t>SÖDERHAMN</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14449-2020</t>
        </is>
      </c>
      <c r="B1685" s="1" t="n">
        <v>43908</v>
      </c>
      <c r="C1685" s="1" t="n">
        <v>45587</v>
      </c>
      <c r="D1685" t="inlineStr">
        <is>
          <t>GÄVLEBORGS LÄN</t>
        </is>
      </c>
      <c r="E1685" t="inlineStr">
        <is>
          <t>SÖDERHAMN</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14444-2020</t>
        </is>
      </c>
      <c r="B1686" s="1" t="n">
        <v>43908</v>
      </c>
      <c r="C1686" s="1" t="n">
        <v>45587</v>
      </c>
      <c r="D1686" t="inlineStr">
        <is>
          <t>GÄVLEBORGS LÄN</t>
        </is>
      </c>
      <c r="E1686" t="inlineStr">
        <is>
          <t>LJUSDAL</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14612-2020</t>
        </is>
      </c>
      <c r="B1687" s="1" t="n">
        <v>43909</v>
      </c>
      <c r="C1687" s="1" t="n">
        <v>45587</v>
      </c>
      <c r="D1687" t="inlineStr">
        <is>
          <t>GÄVLEBORGS LÄN</t>
        </is>
      </c>
      <c r="E1687" t="inlineStr">
        <is>
          <t>OVANÅKER</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14688-2020</t>
        </is>
      </c>
      <c r="B1688" s="1" t="n">
        <v>43909</v>
      </c>
      <c r="C1688" s="1" t="n">
        <v>45587</v>
      </c>
      <c r="D1688" t="inlineStr">
        <is>
          <t>GÄVLEBORGS LÄN</t>
        </is>
      </c>
      <c r="E1688" t="inlineStr">
        <is>
          <t>HUDIKSVALL</t>
        </is>
      </c>
      <c r="F1688" t="inlineStr">
        <is>
          <t>Holmen skog AB</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14974-2020</t>
        </is>
      </c>
      <c r="B1689" s="1" t="n">
        <v>43910</v>
      </c>
      <c r="C1689" s="1" t="n">
        <v>45587</v>
      </c>
      <c r="D1689" t="inlineStr">
        <is>
          <t>GÄVLEBORGS LÄN</t>
        </is>
      </c>
      <c r="E1689" t="inlineStr">
        <is>
          <t>OVANÅKER</t>
        </is>
      </c>
      <c r="F1689" t="inlineStr">
        <is>
          <t>Bergvik skog väst AB</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14992-2020</t>
        </is>
      </c>
      <c r="B1690" s="1" t="n">
        <v>43910</v>
      </c>
      <c r="C1690" s="1" t="n">
        <v>45587</v>
      </c>
      <c r="D1690" t="inlineStr">
        <is>
          <t>GÄVLEBORGS LÄN</t>
        </is>
      </c>
      <c r="E1690" t="inlineStr">
        <is>
          <t>SÖDERHAMN</t>
        </is>
      </c>
      <c r="F1690" t="inlineStr">
        <is>
          <t>Bergvik skog väst AB</t>
        </is>
      </c>
      <c r="G1690" t="n">
        <v>11.5</v>
      </c>
      <c r="H1690" t="n">
        <v>0</v>
      </c>
      <c r="I1690" t="n">
        <v>0</v>
      </c>
      <c r="J1690" t="n">
        <v>0</v>
      </c>
      <c r="K1690" t="n">
        <v>0</v>
      </c>
      <c r="L1690" t="n">
        <v>0</v>
      </c>
      <c r="M1690" t="n">
        <v>0</v>
      </c>
      <c r="N1690" t="n">
        <v>0</v>
      </c>
      <c r="O1690" t="n">
        <v>0</v>
      </c>
      <c r="P1690" t="n">
        <v>0</v>
      </c>
      <c r="Q1690" t="n">
        <v>0</v>
      </c>
      <c r="R1690" s="2" t="inlineStr"/>
    </row>
    <row r="1691" ht="15" customHeight="1">
      <c r="A1691" t="inlineStr">
        <is>
          <t>A 15070-2020</t>
        </is>
      </c>
      <c r="B1691" s="1" t="n">
        <v>43910</v>
      </c>
      <c r="C1691" s="1" t="n">
        <v>45587</v>
      </c>
      <c r="D1691" t="inlineStr">
        <is>
          <t>GÄVLEBORGS LÄN</t>
        </is>
      </c>
      <c r="E1691" t="inlineStr">
        <is>
          <t>HUDIKSVALL</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15074-2020</t>
        </is>
      </c>
      <c r="B1692" s="1" t="n">
        <v>43910</v>
      </c>
      <c r="C1692" s="1" t="n">
        <v>45587</v>
      </c>
      <c r="D1692" t="inlineStr">
        <is>
          <t>GÄVLEBORGS LÄN</t>
        </is>
      </c>
      <c r="E1692" t="inlineStr">
        <is>
          <t>HUDIKSVALL</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15016-2020</t>
        </is>
      </c>
      <c r="B1693" s="1" t="n">
        <v>43910</v>
      </c>
      <c r="C1693" s="1" t="n">
        <v>45587</v>
      </c>
      <c r="D1693" t="inlineStr">
        <is>
          <t>GÄVLEBORGS LÄN</t>
        </is>
      </c>
      <c r="E1693" t="inlineStr">
        <is>
          <t>HUDIKSVALL</t>
        </is>
      </c>
      <c r="F1693" t="inlineStr">
        <is>
          <t>Holmen skog AB</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15159-2020</t>
        </is>
      </c>
      <c r="B1694" s="1" t="n">
        <v>43912</v>
      </c>
      <c r="C1694" s="1" t="n">
        <v>45587</v>
      </c>
      <c r="D1694" t="inlineStr">
        <is>
          <t>GÄVLEBORGS LÄN</t>
        </is>
      </c>
      <c r="E1694" t="inlineStr">
        <is>
          <t>OCKELBO</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15198-2020</t>
        </is>
      </c>
      <c r="B1695" s="1" t="n">
        <v>43913</v>
      </c>
      <c r="C1695" s="1" t="n">
        <v>45587</v>
      </c>
      <c r="D1695" t="inlineStr">
        <is>
          <t>GÄVLEBORGS LÄN</t>
        </is>
      </c>
      <c r="E1695" t="inlineStr">
        <is>
          <t>LJUSDAL</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15211-2020</t>
        </is>
      </c>
      <c r="B1696" s="1" t="n">
        <v>43913</v>
      </c>
      <c r="C1696" s="1" t="n">
        <v>45587</v>
      </c>
      <c r="D1696" t="inlineStr">
        <is>
          <t>GÄVLEBORGS LÄN</t>
        </is>
      </c>
      <c r="E1696" t="inlineStr">
        <is>
          <t>BOLLNÄS</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15317-2020</t>
        </is>
      </c>
      <c r="B1697" s="1" t="n">
        <v>43913</v>
      </c>
      <c r="C1697" s="1" t="n">
        <v>45587</v>
      </c>
      <c r="D1697" t="inlineStr">
        <is>
          <t>GÄVLEBORGS LÄN</t>
        </is>
      </c>
      <c r="E1697" t="inlineStr">
        <is>
          <t>BOLLNÄS</t>
        </is>
      </c>
      <c r="F1697" t="inlineStr">
        <is>
          <t>Holmen skog AB</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15183-2020</t>
        </is>
      </c>
      <c r="B1698" s="1" t="n">
        <v>43913</v>
      </c>
      <c r="C1698" s="1" t="n">
        <v>45587</v>
      </c>
      <c r="D1698" t="inlineStr">
        <is>
          <t>GÄVLEBORGS LÄN</t>
        </is>
      </c>
      <c r="E1698" t="inlineStr">
        <is>
          <t>BOLLNÄS</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15343-2020</t>
        </is>
      </c>
      <c r="B1699" s="1" t="n">
        <v>43913</v>
      </c>
      <c r="C1699" s="1" t="n">
        <v>45587</v>
      </c>
      <c r="D1699" t="inlineStr">
        <is>
          <t>GÄVLEBORGS LÄN</t>
        </is>
      </c>
      <c r="E1699" t="inlineStr">
        <is>
          <t>LJUSDAL</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15543-2020</t>
        </is>
      </c>
      <c r="B1700" s="1" t="n">
        <v>43914</v>
      </c>
      <c r="C1700" s="1" t="n">
        <v>45587</v>
      </c>
      <c r="D1700" t="inlineStr">
        <is>
          <t>GÄVLEBORGS LÄN</t>
        </is>
      </c>
      <c r="E1700" t="inlineStr">
        <is>
          <t>OVANÅKER</t>
        </is>
      </c>
      <c r="F1700" t="inlineStr">
        <is>
          <t>Bergvik skog väst AB</t>
        </is>
      </c>
      <c r="G1700" t="n">
        <v>12.9</v>
      </c>
      <c r="H1700" t="n">
        <v>0</v>
      </c>
      <c r="I1700" t="n">
        <v>0</v>
      </c>
      <c r="J1700" t="n">
        <v>0</v>
      </c>
      <c r="K1700" t="n">
        <v>0</v>
      </c>
      <c r="L1700" t="n">
        <v>0</v>
      </c>
      <c r="M1700" t="n">
        <v>0</v>
      </c>
      <c r="N1700" t="n">
        <v>0</v>
      </c>
      <c r="O1700" t="n">
        <v>0</v>
      </c>
      <c r="P1700" t="n">
        <v>0</v>
      </c>
      <c r="Q1700" t="n">
        <v>0</v>
      </c>
      <c r="R1700" s="2" t="inlineStr"/>
    </row>
    <row r="1701" ht="15" customHeight="1">
      <c r="A1701" t="inlineStr">
        <is>
          <t>A 15438-2020</t>
        </is>
      </c>
      <c r="B1701" s="1" t="n">
        <v>43914</v>
      </c>
      <c r="C1701" s="1" t="n">
        <v>45587</v>
      </c>
      <c r="D1701" t="inlineStr">
        <is>
          <t>GÄVLEBORGS LÄN</t>
        </is>
      </c>
      <c r="E1701" t="inlineStr">
        <is>
          <t>SANDVIKEN</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15531-2020</t>
        </is>
      </c>
      <c r="B1702" s="1" t="n">
        <v>43914</v>
      </c>
      <c r="C1702" s="1" t="n">
        <v>45587</v>
      </c>
      <c r="D1702" t="inlineStr">
        <is>
          <t>GÄVLEBORGS LÄN</t>
        </is>
      </c>
      <c r="E1702" t="inlineStr">
        <is>
          <t>OVANÅKER</t>
        </is>
      </c>
      <c r="F1702" t="inlineStr">
        <is>
          <t>Bergvik skog väst AB</t>
        </is>
      </c>
      <c r="G1702" t="n">
        <v>12.9</v>
      </c>
      <c r="H1702" t="n">
        <v>0</v>
      </c>
      <c r="I1702" t="n">
        <v>0</v>
      </c>
      <c r="J1702" t="n">
        <v>0</v>
      </c>
      <c r="K1702" t="n">
        <v>0</v>
      </c>
      <c r="L1702" t="n">
        <v>0</v>
      </c>
      <c r="M1702" t="n">
        <v>0</v>
      </c>
      <c r="N1702" t="n">
        <v>0</v>
      </c>
      <c r="O1702" t="n">
        <v>0</v>
      </c>
      <c r="P1702" t="n">
        <v>0</v>
      </c>
      <c r="Q1702" t="n">
        <v>0</v>
      </c>
      <c r="R1702" s="2" t="inlineStr"/>
    </row>
    <row r="1703" ht="15" customHeight="1">
      <c r="A1703" t="inlineStr">
        <is>
          <t>A 15416-2020</t>
        </is>
      </c>
      <c r="B1703" s="1" t="n">
        <v>43914</v>
      </c>
      <c r="C1703" s="1" t="n">
        <v>45587</v>
      </c>
      <c r="D1703" t="inlineStr">
        <is>
          <t>GÄVLEBORGS LÄN</t>
        </is>
      </c>
      <c r="E1703" t="inlineStr">
        <is>
          <t>HUDIKSVALL</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15656-2020</t>
        </is>
      </c>
      <c r="B1704" s="1" t="n">
        <v>43915</v>
      </c>
      <c r="C1704" s="1" t="n">
        <v>45587</v>
      </c>
      <c r="D1704" t="inlineStr">
        <is>
          <t>GÄVLEBORGS LÄN</t>
        </is>
      </c>
      <c r="E1704" t="inlineStr">
        <is>
          <t>OCKELBO</t>
        </is>
      </c>
      <c r="F1704" t="inlineStr">
        <is>
          <t>Kyrkan</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15820-2020</t>
        </is>
      </c>
      <c r="B1705" s="1" t="n">
        <v>43915</v>
      </c>
      <c r="C1705" s="1" t="n">
        <v>45587</v>
      </c>
      <c r="D1705" t="inlineStr">
        <is>
          <t>GÄVLEBORGS LÄN</t>
        </is>
      </c>
      <c r="E1705" t="inlineStr">
        <is>
          <t>OVANÅKER</t>
        </is>
      </c>
      <c r="F1705" t="inlineStr">
        <is>
          <t>Bergvik skog väst AB</t>
        </is>
      </c>
      <c r="G1705" t="n">
        <v>27.8</v>
      </c>
      <c r="H1705" t="n">
        <v>0</v>
      </c>
      <c r="I1705" t="n">
        <v>0</v>
      </c>
      <c r="J1705" t="n">
        <v>0</v>
      </c>
      <c r="K1705" t="n">
        <v>0</v>
      </c>
      <c r="L1705" t="n">
        <v>0</v>
      </c>
      <c r="M1705" t="n">
        <v>0</v>
      </c>
      <c r="N1705" t="n">
        <v>0</v>
      </c>
      <c r="O1705" t="n">
        <v>0</v>
      </c>
      <c r="P1705" t="n">
        <v>0</v>
      </c>
      <c r="Q1705" t="n">
        <v>0</v>
      </c>
      <c r="R1705" s="2" t="inlineStr"/>
    </row>
    <row r="1706" ht="15" customHeight="1">
      <c r="A1706" t="inlineStr">
        <is>
          <t>A 15691-2020</t>
        </is>
      </c>
      <c r="B1706" s="1" t="n">
        <v>43915</v>
      </c>
      <c r="C1706" s="1" t="n">
        <v>45587</v>
      </c>
      <c r="D1706" t="inlineStr">
        <is>
          <t>GÄVLEBORGS LÄN</t>
        </is>
      </c>
      <c r="E1706" t="inlineStr">
        <is>
          <t>OVANÅKER</t>
        </is>
      </c>
      <c r="F1706" t="inlineStr">
        <is>
          <t>Bergvik skog väst AB</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15930-2020</t>
        </is>
      </c>
      <c r="B1707" s="1" t="n">
        <v>43916</v>
      </c>
      <c r="C1707" s="1" t="n">
        <v>45587</v>
      </c>
      <c r="D1707" t="inlineStr">
        <is>
          <t>GÄVLEBORGS LÄN</t>
        </is>
      </c>
      <c r="E1707" t="inlineStr">
        <is>
          <t>BOLLNÄS</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16107-2020</t>
        </is>
      </c>
      <c r="B1708" s="1" t="n">
        <v>43916</v>
      </c>
      <c r="C1708" s="1" t="n">
        <v>45587</v>
      </c>
      <c r="D1708" t="inlineStr">
        <is>
          <t>GÄVLEBORGS LÄN</t>
        </is>
      </c>
      <c r="E1708" t="inlineStr">
        <is>
          <t>OVANÅKER</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16113-2020</t>
        </is>
      </c>
      <c r="B1709" s="1" t="n">
        <v>43916</v>
      </c>
      <c r="C1709" s="1" t="n">
        <v>45587</v>
      </c>
      <c r="D1709" t="inlineStr">
        <is>
          <t>GÄVLEBORGS LÄN</t>
        </is>
      </c>
      <c r="E1709" t="inlineStr">
        <is>
          <t>OVANÅKER</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15948-2020</t>
        </is>
      </c>
      <c r="B1710" s="1" t="n">
        <v>43916</v>
      </c>
      <c r="C1710" s="1" t="n">
        <v>45587</v>
      </c>
      <c r="D1710" t="inlineStr">
        <is>
          <t>GÄVLEBORGS LÄN</t>
        </is>
      </c>
      <c r="E1710" t="inlineStr">
        <is>
          <t>OVANÅKER</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16108-2020</t>
        </is>
      </c>
      <c r="B1711" s="1" t="n">
        <v>43916</v>
      </c>
      <c r="C1711" s="1" t="n">
        <v>45587</v>
      </c>
      <c r="D1711" t="inlineStr">
        <is>
          <t>GÄVLEBORGS LÄN</t>
        </is>
      </c>
      <c r="E1711" t="inlineStr">
        <is>
          <t>SANDVIKEN</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16088-2020</t>
        </is>
      </c>
      <c r="B1712" s="1" t="n">
        <v>43916</v>
      </c>
      <c r="C1712" s="1" t="n">
        <v>45587</v>
      </c>
      <c r="D1712" t="inlineStr">
        <is>
          <t>GÄVLEBORGS LÄN</t>
        </is>
      </c>
      <c r="E1712" t="inlineStr">
        <is>
          <t>BOLLNÄS</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16176-2020</t>
        </is>
      </c>
      <c r="B1713" s="1" t="n">
        <v>43917</v>
      </c>
      <c r="C1713" s="1" t="n">
        <v>45587</v>
      </c>
      <c r="D1713" t="inlineStr">
        <is>
          <t>GÄVLEBORGS LÄN</t>
        </is>
      </c>
      <c r="E1713" t="inlineStr">
        <is>
          <t>OVANÅKER</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16259-2020</t>
        </is>
      </c>
      <c r="B1714" s="1" t="n">
        <v>43917</v>
      </c>
      <c r="C1714" s="1" t="n">
        <v>45587</v>
      </c>
      <c r="D1714" t="inlineStr">
        <is>
          <t>GÄVLEBORGS LÄN</t>
        </is>
      </c>
      <c r="E1714" t="inlineStr">
        <is>
          <t>OVANÅKER</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16225-2020</t>
        </is>
      </c>
      <c r="B1715" s="1" t="n">
        <v>43917</v>
      </c>
      <c r="C1715" s="1" t="n">
        <v>45587</v>
      </c>
      <c r="D1715" t="inlineStr">
        <is>
          <t>GÄVLEBORGS LÄN</t>
        </is>
      </c>
      <c r="E1715" t="inlineStr">
        <is>
          <t>OVANÅKER</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16251-2020</t>
        </is>
      </c>
      <c r="B1716" s="1" t="n">
        <v>43917</v>
      </c>
      <c r="C1716" s="1" t="n">
        <v>45587</v>
      </c>
      <c r="D1716" t="inlineStr">
        <is>
          <t>GÄVLEBORGS LÄN</t>
        </is>
      </c>
      <c r="E1716" t="inlineStr">
        <is>
          <t>OVANÅKER</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16292-2020</t>
        </is>
      </c>
      <c r="B1717" s="1" t="n">
        <v>43917</v>
      </c>
      <c r="C1717" s="1" t="n">
        <v>45587</v>
      </c>
      <c r="D1717" t="inlineStr">
        <is>
          <t>GÄVLEBORGS LÄN</t>
        </is>
      </c>
      <c r="E1717" t="inlineStr">
        <is>
          <t>OVANÅKER</t>
        </is>
      </c>
      <c r="F1717" t="inlineStr">
        <is>
          <t>Sveaskog</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16274-2020</t>
        </is>
      </c>
      <c r="B1718" s="1" t="n">
        <v>43917</v>
      </c>
      <c r="C1718" s="1" t="n">
        <v>45587</v>
      </c>
      <c r="D1718" t="inlineStr">
        <is>
          <t>GÄVLEBORGS LÄN</t>
        </is>
      </c>
      <c r="E1718" t="inlineStr">
        <is>
          <t>SANDVIKEN</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16372-2020</t>
        </is>
      </c>
      <c r="B1719" s="1" t="n">
        <v>43917</v>
      </c>
      <c r="C1719" s="1" t="n">
        <v>45587</v>
      </c>
      <c r="D1719" t="inlineStr">
        <is>
          <t>GÄVLEBORGS LÄN</t>
        </is>
      </c>
      <c r="E1719" t="inlineStr">
        <is>
          <t>SÖDERHAMN</t>
        </is>
      </c>
      <c r="G1719" t="n">
        <v>6</v>
      </c>
      <c r="H1719" t="n">
        <v>0</v>
      </c>
      <c r="I1719" t="n">
        <v>0</v>
      </c>
      <c r="J1719" t="n">
        <v>0</v>
      </c>
      <c r="K1719" t="n">
        <v>0</v>
      </c>
      <c r="L1719" t="n">
        <v>0</v>
      </c>
      <c r="M1719" t="n">
        <v>0</v>
      </c>
      <c r="N1719" t="n">
        <v>0</v>
      </c>
      <c r="O1719" t="n">
        <v>0</v>
      </c>
      <c r="P1719" t="n">
        <v>0</v>
      </c>
      <c r="Q1719" t="n">
        <v>0</v>
      </c>
      <c r="R1719" s="2" t="inlineStr"/>
    </row>
    <row r="1720" ht="15" customHeight="1">
      <c r="A1720" t="inlineStr">
        <is>
          <t>A 16611-2020</t>
        </is>
      </c>
      <c r="B1720" s="1" t="n">
        <v>43920</v>
      </c>
      <c r="C1720" s="1" t="n">
        <v>45587</v>
      </c>
      <c r="D1720" t="inlineStr">
        <is>
          <t>GÄVLEBORGS LÄN</t>
        </is>
      </c>
      <c r="E1720" t="inlineStr">
        <is>
          <t>SANDVIKEN</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16559-2020</t>
        </is>
      </c>
      <c r="B1721" s="1" t="n">
        <v>43920</v>
      </c>
      <c r="C1721" s="1" t="n">
        <v>45587</v>
      </c>
      <c r="D1721" t="inlineStr">
        <is>
          <t>GÄVLEBORGS LÄN</t>
        </is>
      </c>
      <c r="E1721" t="inlineStr">
        <is>
          <t>SANDVIKEN</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17004-2020</t>
        </is>
      </c>
      <c r="B1722" s="1" t="n">
        <v>43921</v>
      </c>
      <c r="C1722" s="1" t="n">
        <v>45587</v>
      </c>
      <c r="D1722" t="inlineStr">
        <is>
          <t>GÄVLEBORGS LÄN</t>
        </is>
      </c>
      <c r="E1722" t="inlineStr">
        <is>
          <t>OVANÅKER</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16975-2020</t>
        </is>
      </c>
      <c r="B1723" s="1" t="n">
        <v>43921</v>
      </c>
      <c r="C1723" s="1" t="n">
        <v>45587</v>
      </c>
      <c r="D1723" t="inlineStr">
        <is>
          <t>GÄVLEBORGS LÄN</t>
        </is>
      </c>
      <c r="E1723" t="inlineStr">
        <is>
          <t>HUDIKSVALL</t>
        </is>
      </c>
      <c r="F1723" t="inlineStr">
        <is>
          <t>Holmen skog AB</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16863-2020</t>
        </is>
      </c>
      <c r="B1724" s="1" t="n">
        <v>43921</v>
      </c>
      <c r="C1724" s="1" t="n">
        <v>45587</v>
      </c>
      <c r="D1724" t="inlineStr">
        <is>
          <t>GÄVLEBORGS LÄN</t>
        </is>
      </c>
      <c r="E1724" t="inlineStr">
        <is>
          <t>OCKELBO</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16996-2020</t>
        </is>
      </c>
      <c r="B1725" s="1" t="n">
        <v>43921</v>
      </c>
      <c r="C1725" s="1" t="n">
        <v>45587</v>
      </c>
      <c r="D1725" t="inlineStr">
        <is>
          <t>GÄVLEBORGS LÄN</t>
        </is>
      </c>
      <c r="E1725" t="inlineStr">
        <is>
          <t>OVANÅKER</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17128-2020</t>
        </is>
      </c>
      <c r="B1726" s="1" t="n">
        <v>43922</v>
      </c>
      <c r="C1726" s="1" t="n">
        <v>45587</v>
      </c>
      <c r="D1726" t="inlineStr">
        <is>
          <t>GÄVLEBORGS LÄN</t>
        </is>
      </c>
      <c r="E1726" t="inlineStr">
        <is>
          <t>NORDANSTIG</t>
        </is>
      </c>
      <c r="F1726" t="inlineStr">
        <is>
          <t>Holmen skog AB</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17319-2020</t>
        </is>
      </c>
      <c r="B1727" s="1" t="n">
        <v>43922</v>
      </c>
      <c r="C1727" s="1" t="n">
        <v>45587</v>
      </c>
      <c r="D1727" t="inlineStr">
        <is>
          <t>GÄVLEBORGS LÄN</t>
        </is>
      </c>
      <c r="E1727" t="inlineStr">
        <is>
          <t>NORDANSTIG</t>
        </is>
      </c>
      <c r="G1727" t="n">
        <v>11.4</v>
      </c>
      <c r="H1727" t="n">
        <v>0</v>
      </c>
      <c r="I1727" t="n">
        <v>0</v>
      </c>
      <c r="J1727" t="n">
        <v>0</v>
      </c>
      <c r="K1727" t="n">
        <v>0</v>
      </c>
      <c r="L1727" t="n">
        <v>0</v>
      </c>
      <c r="M1727" t="n">
        <v>0</v>
      </c>
      <c r="N1727" t="n">
        <v>0</v>
      </c>
      <c r="O1727" t="n">
        <v>0</v>
      </c>
      <c r="P1727" t="n">
        <v>0</v>
      </c>
      <c r="Q1727" t="n">
        <v>0</v>
      </c>
      <c r="R1727" s="2" t="inlineStr"/>
    </row>
    <row r="1728" ht="15" customHeight="1">
      <c r="A1728" t="inlineStr">
        <is>
          <t>A 17326-2020</t>
        </is>
      </c>
      <c r="B1728" s="1" t="n">
        <v>43922</v>
      </c>
      <c r="C1728" s="1" t="n">
        <v>45587</v>
      </c>
      <c r="D1728" t="inlineStr">
        <is>
          <t>GÄVLEBORGS LÄN</t>
        </is>
      </c>
      <c r="E1728" t="inlineStr">
        <is>
          <t>LJUSDAL</t>
        </is>
      </c>
      <c r="F1728" t="inlineStr">
        <is>
          <t>Sveaskog</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17198-2020</t>
        </is>
      </c>
      <c r="B1729" s="1" t="n">
        <v>43922</v>
      </c>
      <c r="C1729" s="1" t="n">
        <v>45587</v>
      </c>
      <c r="D1729" t="inlineStr">
        <is>
          <t>GÄVLEBORGS LÄN</t>
        </is>
      </c>
      <c r="E1729" t="inlineStr">
        <is>
          <t>OVANÅKER</t>
        </is>
      </c>
      <c r="F1729" t="inlineStr">
        <is>
          <t>Sveaskog</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17312-2020</t>
        </is>
      </c>
      <c r="B1730" s="1" t="n">
        <v>43922</v>
      </c>
      <c r="C1730" s="1" t="n">
        <v>45587</v>
      </c>
      <c r="D1730" t="inlineStr">
        <is>
          <t>GÄVLEBORGS LÄN</t>
        </is>
      </c>
      <c r="E1730" t="inlineStr">
        <is>
          <t>HUDIKSVALL</t>
        </is>
      </c>
      <c r="F1730" t="inlineStr">
        <is>
          <t>Holmen skog AB</t>
        </is>
      </c>
      <c r="G1730" t="n">
        <v>14.8</v>
      </c>
      <c r="H1730" t="n">
        <v>0</v>
      </c>
      <c r="I1730" t="n">
        <v>0</v>
      </c>
      <c r="J1730" t="n">
        <v>0</v>
      </c>
      <c r="K1730" t="n">
        <v>0</v>
      </c>
      <c r="L1730" t="n">
        <v>0</v>
      </c>
      <c r="M1730" t="n">
        <v>0</v>
      </c>
      <c r="N1730" t="n">
        <v>0</v>
      </c>
      <c r="O1730" t="n">
        <v>0</v>
      </c>
      <c r="P1730" t="n">
        <v>0</v>
      </c>
      <c r="Q1730" t="n">
        <v>0</v>
      </c>
      <c r="R1730" s="2" t="inlineStr"/>
    </row>
    <row r="1731" ht="15" customHeight="1">
      <c r="A1731" t="inlineStr">
        <is>
          <t>A 17505-2020</t>
        </is>
      </c>
      <c r="B1731" s="1" t="n">
        <v>43923</v>
      </c>
      <c r="C1731" s="1" t="n">
        <v>45587</v>
      </c>
      <c r="D1731" t="inlineStr">
        <is>
          <t>GÄVLEBORGS LÄN</t>
        </is>
      </c>
      <c r="E1731" t="inlineStr">
        <is>
          <t>HUDIKSVALL</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17423-2020</t>
        </is>
      </c>
      <c r="B1732" s="1" t="n">
        <v>43923</v>
      </c>
      <c r="C1732" s="1" t="n">
        <v>45587</v>
      </c>
      <c r="D1732" t="inlineStr">
        <is>
          <t>GÄVLEBORGS LÄN</t>
        </is>
      </c>
      <c r="E1732" t="inlineStr">
        <is>
          <t>OCKELBO</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17642-2020</t>
        </is>
      </c>
      <c r="B1733" s="1" t="n">
        <v>43923</v>
      </c>
      <c r="C1733" s="1" t="n">
        <v>45587</v>
      </c>
      <c r="D1733" t="inlineStr">
        <is>
          <t>GÄVLEBORGS LÄN</t>
        </is>
      </c>
      <c r="E1733" t="inlineStr">
        <is>
          <t>SANDVIKEN</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17648-2020</t>
        </is>
      </c>
      <c r="B1734" s="1" t="n">
        <v>43923</v>
      </c>
      <c r="C1734" s="1" t="n">
        <v>45587</v>
      </c>
      <c r="D1734" t="inlineStr">
        <is>
          <t>GÄVLEBORGS LÄN</t>
        </is>
      </c>
      <c r="E1734" t="inlineStr">
        <is>
          <t>SANDVIKEN</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17650-2020</t>
        </is>
      </c>
      <c r="B1735" s="1" t="n">
        <v>43923</v>
      </c>
      <c r="C1735" s="1" t="n">
        <v>45587</v>
      </c>
      <c r="D1735" t="inlineStr">
        <is>
          <t>GÄVLEBORGS LÄN</t>
        </is>
      </c>
      <c r="E1735" t="inlineStr">
        <is>
          <t>SANDVIKEN</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17645-2020</t>
        </is>
      </c>
      <c r="B1736" s="1" t="n">
        <v>43923</v>
      </c>
      <c r="C1736" s="1" t="n">
        <v>45587</v>
      </c>
      <c r="D1736" t="inlineStr">
        <is>
          <t>GÄVLEBORGS LÄN</t>
        </is>
      </c>
      <c r="E1736" t="inlineStr">
        <is>
          <t>SANDVIKEN</t>
        </is>
      </c>
      <c r="G1736" t="n">
        <v>10</v>
      </c>
      <c r="H1736" t="n">
        <v>0</v>
      </c>
      <c r="I1736" t="n">
        <v>0</v>
      </c>
      <c r="J1736" t="n">
        <v>0</v>
      </c>
      <c r="K1736" t="n">
        <v>0</v>
      </c>
      <c r="L1736" t="n">
        <v>0</v>
      </c>
      <c r="M1736" t="n">
        <v>0</v>
      </c>
      <c r="N1736" t="n">
        <v>0</v>
      </c>
      <c r="O1736" t="n">
        <v>0</v>
      </c>
      <c r="P1736" t="n">
        <v>0</v>
      </c>
      <c r="Q1736" t="n">
        <v>0</v>
      </c>
      <c r="R1736" s="2" t="inlineStr"/>
    </row>
    <row r="1737" ht="15" customHeight="1">
      <c r="A1737" t="inlineStr">
        <is>
          <t>A 17643-2020</t>
        </is>
      </c>
      <c r="B1737" s="1" t="n">
        <v>43923</v>
      </c>
      <c r="C1737" s="1" t="n">
        <v>45587</v>
      </c>
      <c r="D1737" t="inlineStr">
        <is>
          <t>GÄVLEBORGS LÄN</t>
        </is>
      </c>
      <c r="E1737" t="inlineStr">
        <is>
          <t>SANDVIKEN</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17745-2020</t>
        </is>
      </c>
      <c r="B1738" s="1" t="n">
        <v>43924</v>
      </c>
      <c r="C1738" s="1" t="n">
        <v>45587</v>
      </c>
      <c r="D1738" t="inlineStr">
        <is>
          <t>GÄVLEBORGS LÄN</t>
        </is>
      </c>
      <c r="E1738" t="inlineStr">
        <is>
          <t>LJUSDAL</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17880-2020</t>
        </is>
      </c>
      <c r="B1739" s="1" t="n">
        <v>43924</v>
      </c>
      <c r="C1739" s="1" t="n">
        <v>45587</v>
      </c>
      <c r="D1739" t="inlineStr">
        <is>
          <t>GÄVLEBORGS LÄN</t>
        </is>
      </c>
      <c r="E1739" t="inlineStr">
        <is>
          <t>BOLLNÄS</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17707-2020</t>
        </is>
      </c>
      <c r="B1740" s="1" t="n">
        <v>43924</v>
      </c>
      <c r="C1740" s="1" t="n">
        <v>45587</v>
      </c>
      <c r="D1740" t="inlineStr">
        <is>
          <t>GÄVLEBORGS LÄN</t>
        </is>
      </c>
      <c r="E1740" t="inlineStr">
        <is>
          <t>LJUSDAL</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17899-2020</t>
        </is>
      </c>
      <c r="B1741" s="1" t="n">
        <v>43924</v>
      </c>
      <c r="C1741" s="1" t="n">
        <v>45587</v>
      </c>
      <c r="D1741" t="inlineStr">
        <is>
          <t>GÄVLEBORGS LÄN</t>
        </is>
      </c>
      <c r="E1741" t="inlineStr">
        <is>
          <t>OVANÅKER</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17905-2020</t>
        </is>
      </c>
      <c r="B1742" s="1" t="n">
        <v>43924</v>
      </c>
      <c r="C1742" s="1" t="n">
        <v>45587</v>
      </c>
      <c r="D1742" t="inlineStr">
        <is>
          <t>GÄVLEBORGS LÄN</t>
        </is>
      </c>
      <c r="E1742" t="inlineStr">
        <is>
          <t>OVANÅKER</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17996-2020</t>
        </is>
      </c>
      <c r="B1743" s="1" t="n">
        <v>43926</v>
      </c>
      <c r="C1743" s="1" t="n">
        <v>45587</v>
      </c>
      <c r="D1743" t="inlineStr">
        <is>
          <t>GÄVLEBORGS LÄN</t>
        </is>
      </c>
      <c r="E1743" t="inlineStr">
        <is>
          <t>NORDANSTIG</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17994-2020</t>
        </is>
      </c>
      <c r="B1744" s="1" t="n">
        <v>43926</v>
      </c>
      <c r="C1744" s="1" t="n">
        <v>45587</v>
      </c>
      <c r="D1744" t="inlineStr">
        <is>
          <t>GÄVLEBORGS LÄN</t>
        </is>
      </c>
      <c r="E1744" t="inlineStr">
        <is>
          <t>NORDANSTIG</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17993-2020</t>
        </is>
      </c>
      <c r="B1745" s="1" t="n">
        <v>43926</v>
      </c>
      <c r="C1745" s="1" t="n">
        <v>45587</v>
      </c>
      <c r="D1745" t="inlineStr">
        <is>
          <t>GÄVLEBORGS LÄN</t>
        </is>
      </c>
      <c r="E1745" t="inlineStr">
        <is>
          <t>NORDANSTIG</t>
        </is>
      </c>
      <c r="G1745" t="n">
        <v>6.3</v>
      </c>
      <c r="H1745" t="n">
        <v>0</v>
      </c>
      <c r="I1745" t="n">
        <v>0</v>
      </c>
      <c r="J1745" t="n">
        <v>0</v>
      </c>
      <c r="K1745" t="n">
        <v>0</v>
      </c>
      <c r="L1745" t="n">
        <v>0</v>
      </c>
      <c r="M1745" t="n">
        <v>0</v>
      </c>
      <c r="N1745" t="n">
        <v>0</v>
      </c>
      <c r="O1745" t="n">
        <v>0</v>
      </c>
      <c r="P1745" t="n">
        <v>0</v>
      </c>
      <c r="Q1745" t="n">
        <v>0</v>
      </c>
      <c r="R1745" s="2" t="inlineStr"/>
    </row>
    <row r="1746" ht="15" customHeight="1">
      <c r="A1746" t="inlineStr">
        <is>
          <t>A 17995-2020</t>
        </is>
      </c>
      <c r="B1746" s="1" t="n">
        <v>43926</v>
      </c>
      <c r="C1746" s="1" t="n">
        <v>45587</v>
      </c>
      <c r="D1746" t="inlineStr">
        <is>
          <t>GÄVLEBORGS LÄN</t>
        </is>
      </c>
      <c r="E1746" t="inlineStr">
        <is>
          <t>NORDANSTIG</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18117-2020</t>
        </is>
      </c>
      <c r="B1747" s="1" t="n">
        <v>43927</v>
      </c>
      <c r="C1747" s="1" t="n">
        <v>45587</v>
      </c>
      <c r="D1747" t="inlineStr">
        <is>
          <t>GÄVLEBORGS LÄN</t>
        </is>
      </c>
      <c r="E1747" t="inlineStr">
        <is>
          <t>NORDANSTIG</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18020-2020</t>
        </is>
      </c>
      <c r="B1748" s="1" t="n">
        <v>43927</v>
      </c>
      <c r="C1748" s="1" t="n">
        <v>45587</v>
      </c>
      <c r="D1748" t="inlineStr">
        <is>
          <t>GÄVLEBORGS LÄN</t>
        </is>
      </c>
      <c r="E1748" t="inlineStr">
        <is>
          <t>BOLLNÄS</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18035-2020</t>
        </is>
      </c>
      <c r="B1749" s="1" t="n">
        <v>43927</v>
      </c>
      <c r="C1749" s="1" t="n">
        <v>45587</v>
      </c>
      <c r="D1749" t="inlineStr">
        <is>
          <t>GÄVLEBORGS LÄN</t>
        </is>
      </c>
      <c r="E1749" t="inlineStr">
        <is>
          <t>GÄVLE</t>
        </is>
      </c>
      <c r="F1749" t="inlineStr">
        <is>
          <t>Bergvik skog öst AB</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18301-2020</t>
        </is>
      </c>
      <c r="B1750" s="1" t="n">
        <v>43928</v>
      </c>
      <c r="C1750" s="1" t="n">
        <v>45587</v>
      </c>
      <c r="D1750" t="inlineStr">
        <is>
          <t>GÄVLEBORGS LÄN</t>
        </is>
      </c>
      <c r="E1750" t="inlineStr">
        <is>
          <t>NORDANSTIG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18491-2020</t>
        </is>
      </c>
      <c r="B1751" s="1" t="n">
        <v>43929</v>
      </c>
      <c r="C1751" s="1" t="n">
        <v>45587</v>
      </c>
      <c r="D1751" t="inlineStr">
        <is>
          <t>GÄVLEBORGS LÄN</t>
        </is>
      </c>
      <c r="E1751" t="inlineStr">
        <is>
          <t>HUDIKSVALL</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18535-2020</t>
        </is>
      </c>
      <c r="B1752" s="1" t="n">
        <v>43929</v>
      </c>
      <c r="C1752" s="1" t="n">
        <v>45587</v>
      </c>
      <c r="D1752" t="inlineStr">
        <is>
          <t>GÄVLEBORGS LÄN</t>
        </is>
      </c>
      <c r="E1752" t="inlineStr">
        <is>
          <t>SANDVIKEN</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18699-2020</t>
        </is>
      </c>
      <c r="B1753" s="1" t="n">
        <v>43930</v>
      </c>
      <c r="C1753" s="1" t="n">
        <v>45587</v>
      </c>
      <c r="D1753" t="inlineStr">
        <is>
          <t>GÄVLEBORGS LÄN</t>
        </is>
      </c>
      <c r="E1753" t="inlineStr">
        <is>
          <t>LJUSDAL</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18637-2020</t>
        </is>
      </c>
      <c r="B1754" s="1" t="n">
        <v>43930</v>
      </c>
      <c r="C1754" s="1" t="n">
        <v>45587</v>
      </c>
      <c r="D1754" t="inlineStr">
        <is>
          <t>GÄVLEBORGS LÄN</t>
        </is>
      </c>
      <c r="E1754" t="inlineStr">
        <is>
          <t>BOLLNÄS</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18762-2020</t>
        </is>
      </c>
      <c r="B1755" s="1" t="n">
        <v>43930</v>
      </c>
      <c r="C1755" s="1" t="n">
        <v>45587</v>
      </c>
      <c r="D1755" t="inlineStr">
        <is>
          <t>GÄVLEBORGS LÄN</t>
        </is>
      </c>
      <c r="E1755" t="inlineStr">
        <is>
          <t>NORDANSTIG</t>
        </is>
      </c>
      <c r="F1755" t="inlineStr">
        <is>
          <t>Holmen skog AB</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18712-2020</t>
        </is>
      </c>
      <c r="B1756" s="1" t="n">
        <v>43930</v>
      </c>
      <c r="C1756" s="1" t="n">
        <v>45587</v>
      </c>
      <c r="D1756" t="inlineStr">
        <is>
          <t>GÄVLEBORGS LÄN</t>
        </is>
      </c>
      <c r="E1756" t="inlineStr">
        <is>
          <t>NORDANSTIG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18766-2020</t>
        </is>
      </c>
      <c r="B1757" s="1" t="n">
        <v>43930</v>
      </c>
      <c r="C1757" s="1" t="n">
        <v>45587</v>
      </c>
      <c r="D1757" t="inlineStr">
        <is>
          <t>GÄVLEBORGS LÄN</t>
        </is>
      </c>
      <c r="E1757" t="inlineStr">
        <is>
          <t>NORDANSTIG</t>
        </is>
      </c>
      <c r="F1757" t="inlineStr">
        <is>
          <t>Holmen skog AB</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18913-2020</t>
        </is>
      </c>
      <c r="B1758" s="1" t="n">
        <v>43935</v>
      </c>
      <c r="C1758" s="1" t="n">
        <v>45587</v>
      </c>
      <c r="D1758" t="inlineStr">
        <is>
          <t>GÄVLEBORGS LÄN</t>
        </is>
      </c>
      <c r="E1758" t="inlineStr">
        <is>
          <t>LJUSDAL</t>
        </is>
      </c>
      <c r="F1758" t="inlineStr">
        <is>
          <t>Sveaskog</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18935-2020</t>
        </is>
      </c>
      <c r="B1759" s="1" t="n">
        <v>43935</v>
      </c>
      <c r="C1759" s="1" t="n">
        <v>45587</v>
      </c>
      <c r="D1759" t="inlineStr">
        <is>
          <t>GÄVLEBORGS LÄN</t>
        </is>
      </c>
      <c r="E1759" t="inlineStr">
        <is>
          <t>OVANÅKER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18914-2020</t>
        </is>
      </c>
      <c r="B1760" s="1" t="n">
        <v>43935</v>
      </c>
      <c r="C1760" s="1" t="n">
        <v>45587</v>
      </c>
      <c r="D1760" t="inlineStr">
        <is>
          <t>GÄVLEBORGS LÄN</t>
        </is>
      </c>
      <c r="E1760" t="inlineStr">
        <is>
          <t>SÖDERHAMN</t>
        </is>
      </c>
      <c r="G1760" t="n">
        <v>5.6</v>
      </c>
      <c r="H1760" t="n">
        <v>0</v>
      </c>
      <c r="I1760" t="n">
        <v>0</v>
      </c>
      <c r="J1760" t="n">
        <v>0</v>
      </c>
      <c r="K1760" t="n">
        <v>0</v>
      </c>
      <c r="L1760" t="n">
        <v>0</v>
      </c>
      <c r="M1760" t="n">
        <v>0</v>
      </c>
      <c r="N1760" t="n">
        <v>0</v>
      </c>
      <c r="O1760" t="n">
        <v>0</v>
      </c>
      <c r="P1760" t="n">
        <v>0</v>
      </c>
      <c r="Q1760" t="n">
        <v>0</v>
      </c>
      <c r="R1760" s="2" t="inlineStr"/>
    </row>
    <row r="1761" ht="15" customHeight="1">
      <c r="A1761" t="inlineStr">
        <is>
          <t>A 18924-2020</t>
        </is>
      </c>
      <c r="B1761" s="1" t="n">
        <v>43935</v>
      </c>
      <c r="C1761" s="1" t="n">
        <v>45587</v>
      </c>
      <c r="D1761" t="inlineStr">
        <is>
          <t>GÄVLEBORGS LÄN</t>
        </is>
      </c>
      <c r="E1761" t="inlineStr">
        <is>
          <t>HUDIKSVALL</t>
        </is>
      </c>
      <c r="G1761" t="n">
        <v>8.4</v>
      </c>
      <c r="H1761" t="n">
        <v>0</v>
      </c>
      <c r="I1761" t="n">
        <v>0</v>
      </c>
      <c r="J1761" t="n">
        <v>0</v>
      </c>
      <c r="K1761" t="n">
        <v>0</v>
      </c>
      <c r="L1761" t="n">
        <v>0</v>
      </c>
      <c r="M1761" t="n">
        <v>0</v>
      </c>
      <c r="N1761" t="n">
        <v>0</v>
      </c>
      <c r="O1761" t="n">
        <v>0</v>
      </c>
      <c r="P1761" t="n">
        <v>0</v>
      </c>
      <c r="Q1761" t="n">
        <v>0</v>
      </c>
      <c r="R1761" s="2" t="inlineStr"/>
    </row>
    <row r="1762" ht="15" customHeight="1">
      <c r="A1762" t="inlineStr">
        <is>
          <t>A 18929-2020</t>
        </is>
      </c>
      <c r="B1762" s="1" t="n">
        <v>43935</v>
      </c>
      <c r="C1762" s="1" t="n">
        <v>45587</v>
      </c>
      <c r="D1762" t="inlineStr">
        <is>
          <t>GÄVLEBORGS LÄN</t>
        </is>
      </c>
      <c r="E1762" t="inlineStr">
        <is>
          <t>OVANÅKER</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19131-2020</t>
        </is>
      </c>
      <c r="B1763" s="1" t="n">
        <v>43936</v>
      </c>
      <c r="C1763" s="1" t="n">
        <v>45587</v>
      </c>
      <c r="D1763" t="inlineStr">
        <is>
          <t>GÄVLEBORGS LÄN</t>
        </is>
      </c>
      <c r="E1763" t="inlineStr">
        <is>
          <t>OVANÅKER</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19054-2020</t>
        </is>
      </c>
      <c r="B1764" s="1" t="n">
        <v>43936</v>
      </c>
      <c r="C1764" s="1" t="n">
        <v>45587</v>
      </c>
      <c r="D1764" t="inlineStr">
        <is>
          <t>GÄVLEBORGS LÄN</t>
        </is>
      </c>
      <c r="E1764" t="inlineStr">
        <is>
          <t>GÄVLE</t>
        </is>
      </c>
      <c r="G1764" t="n">
        <v>13.1</v>
      </c>
      <c r="H1764" t="n">
        <v>0</v>
      </c>
      <c r="I1764" t="n">
        <v>0</v>
      </c>
      <c r="J1764" t="n">
        <v>0</v>
      </c>
      <c r="K1764" t="n">
        <v>0</v>
      </c>
      <c r="L1764" t="n">
        <v>0</v>
      </c>
      <c r="M1764" t="n">
        <v>0</v>
      </c>
      <c r="N1764" t="n">
        <v>0</v>
      </c>
      <c r="O1764" t="n">
        <v>0</v>
      </c>
      <c r="P1764" t="n">
        <v>0</v>
      </c>
      <c r="Q1764" t="n">
        <v>0</v>
      </c>
      <c r="R1764" s="2" t="inlineStr"/>
    </row>
    <row r="1765" ht="15" customHeight="1">
      <c r="A1765" t="inlineStr">
        <is>
          <t>A 19170-2020</t>
        </is>
      </c>
      <c r="B1765" s="1" t="n">
        <v>43937</v>
      </c>
      <c r="C1765" s="1" t="n">
        <v>45587</v>
      </c>
      <c r="D1765" t="inlineStr">
        <is>
          <t>GÄVLEBORGS LÄN</t>
        </is>
      </c>
      <c r="E1765" t="inlineStr">
        <is>
          <t>HUDIKSVALL</t>
        </is>
      </c>
      <c r="F1765" t="inlineStr">
        <is>
          <t>Holmen skog AB</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19262-2020</t>
        </is>
      </c>
      <c r="B1766" s="1" t="n">
        <v>43937</v>
      </c>
      <c r="C1766" s="1" t="n">
        <v>45587</v>
      </c>
      <c r="D1766" t="inlineStr">
        <is>
          <t>GÄVLEBORGS LÄN</t>
        </is>
      </c>
      <c r="E1766" t="inlineStr">
        <is>
          <t>OVANÅKER</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19293-2020</t>
        </is>
      </c>
      <c r="B1767" s="1" t="n">
        <v>43937</v>
      </c>
      <c r="C1767" s="1" t="n">
        <v>45587</v>
      </c>
      <c r="D1767" t="inlineStr">
        <is>
          <t>GÄVLEBORGS LÄN</t>
        </is>
      </c>
      <c r="E1767" t="inlineStr">
        <is>
          <t>SANDVIKEN</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19269-2020</t>
        </is>
      </c>
      <c r="B1768" s="1" t="n">
        <v>43937</v>
      </c>
      <c r="C1768" s="1" t="n">
        <v>45587</v>
      </c>
      <c r="D1768" t="inlineStr">
        <is>
          <t>GÄVLEBORGS LÄN</t>
        </is>
      </c>
      <c r="E1768" t="inlineStr">
        <is>
          <t>OVANÅKER</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19417-2020</t>
        </is>
      </c>
      <c r="B1769" s="1" t="n">
        <v>43938</v>
      </c>
      <c r="C1769" s="1" t="n">
        <v>45587</v>
      </c>
      <c r="D1769" t="inlineStr">
        <is>
          <t>GÄVLEBORGS LÄN</t>
        </is>
      </c>
      <c r="E1769" t="inlineStr">
        <is>
          <t>SÖDERHAMN</t>
        </is>
      </c>
      <c r="F1769" t="inlineStr">
        <is>
          <t>Bergvik skog väst AB</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19403-2020</t>
        </is>
      </c>
      <c r="B1770" s="1" t="n">
        <v>43938</v>
      </c>
      <c r="C1770" s="1" t="n">
        <v>45587</v>
      </c>
      <c r="D1770" t="inlineStr">
        <is>
          <t>GÄVLEBORGS LÄN</t>
        </is>
      </c>
      <c r="E1770" t="inlineStr">
        <is>
          <t>SÖDERHAMN</t>
        </is>
      </c>
      <c r="F1770" t="inlineStr">
        <is>
          <t>Bergvik skog väst AB</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19788-2020</t>
        </is>
      </c>
      <c r="B1771" s="1" t="n">
        <v>43942</v>
      </c>
      <c r="C1771" s="1" t="n">
        <v>45587</v>
      </c>
      <c r="D1771" t="inlineStr">
        <is>
          <t>GÄVLEBORGS LÄN</t>
        </is>
      </c>
      <c r="E1771" t="inlineStr">
        <is>
          <t>OVANÅKER</t>
        </is>
      </c>
      <c r="F1771" t="inlineStr">
        <is>
          <t>Bergvik skog väst AB</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19847-2020</t>
        </is>
      </c>
      <c r="B1772" s="1" t="n">
        <v>43942</v>
      </c>
      <c r="C1772" s="1" t="n">
        <v>45587</v>
      </c>
      <c r="D1772" t="inlineStr">
        <is>
          <t>GÄVLEBORGS LÄN</t>
        </is>
      </c>
      <c r="E1772" t="inlineStr">
        <is>
          <t>NORDANSTIG</t>
        </is>
      </c>
      <c r="F1772" t="inlineStr">
        <is>
          <t>Holmen skog AB</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19813-2020</t>
        </is>
      </c>
      <c r="B1773" s="1" t="n">
        <v>43942</v>
      </c>
      <c r="C1773" s="1" t="n">
        <v>45587</v>
      </c>
      <c r="D1773" t="inlineStr">
        <is>
          <t>GÄVLEBORGS LÄN</t>
        </is>
      </c>
      <c r="E1773" t="inlineStr">
        <is>
          <t>HUDIKSVALL</t>
        </is>
      </c>
      <c r="F1773" t="inlineStr">
        <is>
          <t>Holmen skog AB</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19873-2020</t>
        </is>
      </c>
      <c r="B1774" s="1" t="n">
        <v>43942</v>
      </c>
      <c r="C1774" s="1" t="n">
        <v>45587</v>
      </c>
      <c r="D1774" t="inlineStr">
        <is>
          <t>GÄVLEBORGS LÄN</t>
        </is>
      </c>
      <c r="E1774" t="inlineStr">
        <is>
          <t>GÄVLE</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19797-2020</t>
        </is>
      </c>
      <c r="B1775" s="1" t="n">
        <v>43942</v>
      </c>
      <c r="C1775" s="1" t="n">
        <v>45587</v>
      </c>
      <c r="D1775" t="inlineStr">
        <is>
          <t>GÄVLEBORGS LÄN</t>
        </is>
      </c>
      <c r="E1775" t="inlineStr">
        <is>
          <t>OVANÅKER</t>
        </is>
      </c>
      <c r="F1775" t="inlineStr">
        <is>
          <t>Bergvik skog väst AB</t>
        </is>
      </c>
      <c r="G1775" t="n">
        <v>10.9</v>
      </c>
      <c r="H1775" t="n">
        <v>0</v>
      </c>
      <c r="I1775" t="n">
        <v>0</v>
      </c>
      <c r="J1775" t="n">
        <v>0</v>
      </c>
      <c r="K1775" t="n">
        <v>0</v>
      </c>
      <c r="L1775" t="n">
        <v>0</v>
      </c>
      <c r="M1775" t="n">
        <v>0</v>
      </c>
      <c r="N1775" t="n">
        <v>0</v>
      </c>
      <c r="O1775" t="n">
        <v>0</v>
      </c>
      <c r="P1775" t="n">
        <v>0</v>
      </c>
      <c r="Q1775" t="n">
        <v>0</v>
      </c>
      <c r="R1775" s="2" t="inlineStr"/>
    </row>
    <row r="1776" ht="15" customHeight="1">
      <c r="A1776" t="inlineStr">
        <is>
          <t>A 20043-2020</t>
        </is>
      </c>
      <c r="B1776" s="1" t="n">
        <v>43943</v>
      </c>
      <c r="C1776" s="1" t="n">
        <v>45587</v>
      </c>
      <c r="D1776" t="inlineStr">
        <is>
          <t>GÄVLEBORGS LÄN</t>
        </is>
      </c>
      <c r="E1776" t="inlineStr">
        <is>
          <t>NORDANSTIG</t>
        </is>
      </c>
      <c r="F1776" t="inlineStr">
        <is>
          <t>Holmen skog AB</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20065-2020</t>
        </is>
      </c>
      <c r="B1777" s="1" t="n">
        <v>43943</v>
      </c>
      <c r="C1777" s="1" t="n">
        <v>45587</v>
      </c>
      <c r="D1777" t="inlineStr">
        <is>
          <t>GÄVLEBORGS LÄN</t>
        </is>
      </c>
      <c r="E1777" t="inlineStr">
        <is>
          <t>NORDANSTIG</t>
        </is>
      </c>
      <c r="F1777" t="inlineStr">
        <is>
          <t>Holmen skog AB</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19919-2020</t>
        </is>
      </c>
      <c r="B1778" s="1" t="n">
        <v>43943</v>
      </c>
      <c r="C1778" s="1" t="n">
        <v>45587</v>
      </c>
      <c r="D1778" t="inlineStr">
        <is>
          <t>GÄVLEBORGS LÄN</t>
        </is>
      </c>
      <c r="E1778" t="inlineStr">
        <is>
          <t>HUDIKSVALL</t>
        </is>
      </c>
      <c r="F1778" t="inlineStr">
        <is>
          <t>Holmen skog AB</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20048-2020</t>
        </is>
      </c>
      <c r="B1779" s="1" t="n">
        <v>43943</v>
      </c>
      <c r="C1779" s="1" t="n">
        <v>45587</v>
      </c>
      <c r="D1779" t="inlineStr">
        <is>
          <t>GÄVLEBORGS LÄN</t>
        </is>
      </c>
      <c r="E1779" t="inlineStr">
        <is>
          <t>HUDIKSVALL</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20055-2020</t>
        </is>
      </c>
      <c r="B1780" s="1" t="n">
        <v>43943</v>
      </c>
      <c r="C1780" s="1" t="n">
        <v>45587</v>
      </c>
      <c r="D1780" t="inlineStr">
        <is>
          <t>GÄVLEBORGS LÄN</t>
        </is>
      </c>
      <c r="E1780" t="inlineStr">
        <is>
          <t>HUDIKSVALL</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20078-2020</t>
        </is>
      </c>
      <c r="B1781" s="1" t="n">
        <v>43943</v>
      </c>
      <c r="C1781" s="1" t="n">
        <v>45587</v>
      </c>
      <c r="D1781" t="inlineStr">
        <is>
          <t>GÄVLEBORGS LÄN</t>
        </is>
      </c>
      <c r="E1781" t="inlineStr">
        <is>
          <t>LJUSDAL</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20093-2020</t>
        </is>
      </c>
      <c r="B1782" s="1" t="n">
        <v>43943</v>
      </c>
      <c r="C1782" s="1" t="n">
        <v>45587</v>
      </c>
      <c r="D1782" t="inlineStr">
        <is>
          <t>GÄVLEBORGS LÄN</t>
        </is>
      </c>
      <c r="E1782" t="inlineStr">
        <is>
          <t>LJUSDAL</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19920-2020</t>
        </is>
      </c>
      <c r="B1783" s="1" t="n">
        <v>43943</v>
      </c>
      <c r="C1783" s="1" t="n">
        <v>45587</v>
      </c>
      <c r="D1783" t="inlineStr">
        <is>
          <t>GÄVLEBORGS LÄN</t>
        </is>
      </c>
      <c r="E1783" t="inlineStr">
        <is>
          <t>SÖDERHAMN</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20076-2020</t>
        </is>
      </c>
      <c r="B1784" s="1" t="n">
        <v>43943</v>
      </c>
      <c r="C1784" s="1" t="n">
        <v>45587</v>
      </c>
      <c r="D1784" t="inlineStr">
        <is>
          <t>GÄVLEBORGS LÄN</t>
        </is>
      </c>
      <c r="E1784" t="inlineStr">
        <is>
          <t>LJUSDAL</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20132-2020</t>
        </is>
      </c>
      <c r="B1785" s="1" t="n">
        <v>43944</v>
      </c>
      <c r="C1785" s="1" t="n">
        <v>45587</v>
      </c>
      <c r="D1785" t="inlineStr">
        <is>
          <t>GÄVLEBORGS LÄN</t>
        </is>
      </c>
      <c r="E1785" t="inlineStr">
        <is>
          <t>HUDIKSVALL</t>
        </is>
      </c>
      <c r="F1785" t="inlineStr">
        <is>
          <t>Holmen skog AB</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20215-2020</t>
        </is>
      </c>
      <c r="B1786" s="1" t="n">
        <v>43944</v>
      </c>
      <c r="C1786" s="1" t="n">
        <v>45587</v>
      </c>
      <c r="D1786" t="inlineStr">
        <is>
          <t>GÄVLEBORGS LÄN</t>
        </is>
      </c>
      <c r="E1786" t="inlineStr">
        <is>
          <t>LJUSDAL</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20224-2020</t>
        </is>
      </c>
      <c r="B1787" s="1" t="n">
        <v>43944</v>
      </c>
      <c r="C1787" s="1" t="n">
        <v>45587</v>
      </c>
      <c r="D1787" t="inlineStr">
        <is>
          <t>GÄVLEBORGS LÄN</t>
        </is>
      </c>
      <c r="E1787" t="inlineStr">
        <is>
          <t>LJUSDAL</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20104-2020</t>
        </is>
      </c>
      <c r="B1788" s="1" t="n">
        <v>43944</v>
      </c>
      <c r="C1788" s="1" t="n">
        <v>45587</v>
      </c>
      <c r="D1788" t="inlineStr">
        <is>
          <t>GÄVLEBORGS LÄN</t>
        </is>
      </c>
      <c r="E1788" t="inlineStr">
        <is>
          <t>HUDIKSVALL</t>
        </is>
      </c>
      <c r="F1788" t="inlineStr">
        <is>
          <t>Holmen skog AB</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20308-2020</t>
        </is>
      </c>
      <c r="B1789" s="1" t="n">
        <v>43945</v>
      </c>
      <c r="C1789" s="1" t="n">
        <v>45587</v>
      </c>
      <c r="D1789" t="inlineStr">
        <is>
          <t>GÄVLEBORGS LÄN</t>
        </is>
      </c>
      <c r="E1789" t="inlineStr">
        <is>
          <t>BOLLNÄS</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20315-2020</t>
        </is>
      </c>
      <c r="B1790" s="1" t="n">
        <v>43945</v>
      </c>
      <c r="C1790" s="1" t="n">
        <v>45587</v>
      </c>
      <c r="D1790" t="inlineStr">
        <is>
          <t>GÄVLEBORGS LÄN</t>
        </is>
      </c>
      <c r="E1790" t="inlineStr">
        <is>
          <t>OVANÅKER</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20346-2020</t>
        </is>
      </c>
      <c r="B1791" s="1" t="n">
        <v>43945</v>
      </c>
      <c r="C1791" s="1" t="n">
        <v>45587</v>
      </c>
      <c r="D1791" t="inlineStr">
        <is>
          <t>GÄVLEBORGS LÄN</t>
        </is>
      </c>
      <c r="E1791" t="inlineStr">
        <is>
          <t>HUDIKSVALL</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20365-2020</t>
        </is>
      </c>
      <c r="B1792" s="1" t="n">
        <v>43945</v>
      </c>
      <c r="C1792" s="1" t="n">
        <v>45587</v>
      </c>
      <c r="D1792" t="inlineStr">
        <is>
          <t>GÄVLEBORGS LÄN</t>
        </is>
      </c>
      <c r="E1792" t="inlineStr">
        <is>
          <t>LJUSDAL</t>
        </is>
      </c>
      <c r="F1792" t="inlineStr">
        <is>
          <t>Allmännings- och besparingsskogar</t>
        </is>
      </c>
      <c r="G1792" t="n">
        <v>17.5</v>
      </c>
      <c r="H1792" t="n">
        <v>0</v>
      </c>
      <c r="I1792" t="n">
        <v>0</v>
      </c>
      <c r="J1792" t="n">
        <v>0</v>
      </c>
      <c r="K1792" t="n">
        <v>0</v>
      </c>
      <c r="L1792" t="n">
        <v>0</v>
      </c>
      <c r="M1792" t="n">
        <v>0</v>
      </c>
      <c r="N1792" t="n">
        <v>0</v>
      </c>
      <c r="O1792" t="n">
        <v>0</v>
      </c>
      <c r="P1792" t="n">
        <v>0</v>
      </c>
      <c r="Q1792" t="n">
        <v>0</v>
      </c>
      <c r="R1792" s="2" t="inlineStr"/>
    </row>
    <row r="1793" ht="15" customHeight="1">
      <c r="A1793" t="inlineStr">
        <is>
          <t>A 20347-2020</t>
        </is>
      </c>
      <c r="B1793" s="1" t="n">
        <v>43945</v>
      </c>
      <c r="C1793" s="1" t="n">
        <v>45587</v>
      </c>
      <c r="D1793" t="inlineStr">
        <is>
          <t>GÄVLEBORGS LÄN</t>
        </is>
      </c>
      <c r="E1793" t="inlineStr">
        <is>
          <t>LJUSDAL</t>
        </is>
      </c>
      <c r="F1793" t="inlineStr">
        <is>
          <t>Sveaskog</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20409-2020</t>
        </is>
      </c>
      <c r="B1794" s="1" t="n">
        <v>43945</v>
      </c>
      <c r="C1794" s="1" t="n">
        <v>45587</v>
      </c>
      <c r="D1794" t="inlineStr">
        <is>
          <t>GÄVLEBORGS LÄN</t>
        </is>
      </c>
      <c r="E1794" t="inlineStr">
        <is>
          <t>SANDVIKEN</t>
        </is>
      </c>
      <c r="G1794" t="n">
        <v>9.699999999999999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20244-2020</t>
        </is>
      </c>
      <c r="B1795" s="1" t="n">
        <v>43945</v>
      </c>
      <c r="C1795" s="1" t="n">
        <v>45587</v>
      </c>
      <c r="D1795" t="inlineStr">
        <is>
          <t>GÄVLEBORGS LÄN</t>
        </is>
      </c>
      <c r="E1795" t="inlineStr">
        <is>
          <t>HUDIKSVALL</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20364-2020</t>
        </is>
      </c>
      <c r="B1796" s="1" t="n">
        <v>43945</v>
      </c>
      <c r="C1796" s="1" t="n">
        <v>45587</v>
      </c>
      <c r="D1796" t="inlineStr">
        <is>
          <t>GÄVLEBORGS LÄN</t>
        </is>
      </c>
      <c r="E1796" t="inlineStr">
        <is>
          <t>NORDANSTIG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20385-2020</t>
        </is>
      </c>
      <c r="B1797" s="1" t="n">
        <v>43945</v>
      </c>
      <c r="C1797" s="1" t="n">
        <v>45587</v>
      </c>
      <c r="D1797" t="inlineStr">
        <is>
          <t>GÄVLEBORGS LÄN</t>
        </is>
      </c>
      <c r="E1797" t="inlineStr">
        <is>
          <t>NORDANSTIG</t>
        </is>
      </c>
      <c r="F1797" t="inlineStr">
        <is>
          <t>Holmen skog AB</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20256-2020</t>
        </is>
      </c>
      <c r="B1798" s="1" t="n">
        <v>43945</v>
      </c>
      <c r="C1798" s="1" t="n">
        <v>45587</v>
      </c>
      <c r="D1798" t="inlineStr">
        <is>
          <t>GÄVLEBORGS LÄN</t>
        </is>
      </c>
      <c r="E1798" t="inlineStr">
        <is>
          <t>LJUSDAL</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20259-2020</t>
        </is>
      </c>
      <c r="B1799" s="1" t="n">
        <v>43945</v>
      </c>
      <c r="C1799" s="1" t="n">
        <v>45587</v>
      </c>
      <c r="D1799" t="inlineStr">
        <is>
          <t>GÄVLEBORGS LÄN</t>
        </is>
      </c>
      <c r="E1799" t="inlineStr">
        <is>
          <t>LJUSDAL</t>
        </is>
      </c>
      <c r="G1799" t="n">
        <v>14.3</v>
      </c>
      <c r="H1799" t="n">
        <v>0</v>
      </c>
      <c r="I1799" t="n">
        <v>0</v>
      </c>
      <c r="J1799" t="n">
        <v>0</v>
      </c>
      <c r="K1799" t="n">
        <v>0</v>
      </c>
      <c r="L1799" t="n">
        <v>0</v>
      </c>
      <c r="M1799" t="n">
        <v>0</v>
      </c>
      <c r="N1799" t="n">
        <v>0</v>
      </c>
      <c r="O1799" t="n">
        <v>0</v>
      </c>
      <c r="P1799" t="n">
        <v>0</v>
      </c>
      <c r="Q1799" t="n">
        <v>0</v>
      </c>
      <c r="R1799" s="2" t="inlineStr"/>
    </row>
    <row r="1800" ht="15" customHeight="1">
      <c r="A1800" t="inlineStr">
        <is>
          <t>A 20499-2020</t>
        </is>
      </c>
      <c r="B1800" s="1" t="n">
        <v>43948</v>
      </c>
      <c r="C1800" s="1" t="n">
        <v>45587</v>
      </c>
      <c r="D1800" t="inlineStr">
        <is>
          <t>GÄVLEBORGS LÄN</t>
        </is>
      </c>
      <c r="E1800" t="inlineStr">
        <is>
          <t>OVANÅKER</t>
        </is>
      </c>
      <c r="F1800" t="inlineStr">
        <is>
          <t>Bergvik skog väst AB</t>
        </is>
      </c>
      <c r="G1800" t="n">
        <v>43.9</v>
      </c>
      <c r="H1800" t="n">
        <v>0</v>
      </c>
      <c r="I1800" t="n">
        <v>0</v>
      </c>
      <c r="J1800" t="n">
        <v>0</v>
      </c>
      <c r="K1800" t="n">
        <v>0</v>
      </c>
      <c r="L1800" t="n">
        <v>0</v>
      </c>
      <c r="M1800" t="n">
        <v>0</v>
      </c>
      <c r="N1800" t="n">
        <v>0</v>
      </c>
      <c r="O1800" t="n">
        <v>0</v>
      </c>
      <c r="P1800" t="n">
        <v>0</v>
      </c>
      <c r="Q1800" t="n">
        <v>0</v>
      </c>
      <c r="R1800" s="2" t="inlineStr"/>
    </row>
    <row r="1801" ht="15" customHeight="1">
      <c r="A1801" t="inlineStr">
        <is>
          <t>A 20475-2020</t>
        </is>
      </c>
      <c r="B1801" s="1" t="n">
        <v>43948</v>
      </c>
      <c r="C1801" s="1" t="n">
        <v>45587</v>
      </c>
      <c r="D1801" t="inlineStr">
        <is>
          <t>GÄVLEBORGS LÄN</t>
        </is>
      </c>
      <c r="E1801" t="inlineStr">
        <is>
          <t>OCKELBO</t>
        </is>
      </c>
      <c r="F1801" t="inlineStr">
        <is>
          <t>Bergvik skog väst AB</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20570-2020</t>
        </is>
      </c>
      <c r="B1802" s="1" t="n">
        <v>43948</v>
      </c>
      <c r="C1802" s="1" t="n">
        <v>45587</v>
      </c>
      <c r="D1802" t="inlineStr">
        <is>
          <t>GÄVLEBORGS LÄN</t>
        </is>
      </c>
      <c r="E1802" t="inlineStr">
        <is>
          <t>HUDIKSVALL</t>
        </is>
      </c>
      <c r="F1802" t="inlineStr">
        <is>
          <t>Holmen skog AB</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20785-2020</t>
        </is>
      </c>
      <c r="B1803" s="1" t="n">
        <v>43949</v>
      </c>
      <c r="C1803" s="1" t="n">
        <v>45587</v>
      </c>
      <c r="D1803" t="inlineStr">
        <is>
          <t>GÄVLEBORGS LÄN</t>
        </is>
      </c>
      <c r="E1803" t="inlineStr">
        <is>
          <t>LJUSDAL</t>
        </is>
      </c>
      <c r="F1803" t="inlineStr">
        <is>
          <t>Sveaskog</t>
        </is>
      </c>
      <c r="G1803" t="n">
        <v>12.5</v>
      </c>
      <c r="H1803" t="n">
        <v>0</v>
      </c>
      <c r="I1803" t="n">
        <v>0</v>
      </c>
      <c r="J1803" t="n">
        <v>0</v>
      </c>
      <c r="K1803" t="n">
        <v>0</v>
      </c>
      <c r="L1803" t="n">
        <v>0</v>
      </c>
      <c r="M1803" t="n">
        <v>0</v>
      </c>
      <c r="N1803" t="n">
        <v>0</v>
      </c>
      <c r="O1803" t="n">
        <v>0</v>
      </c>
      <c r="P1803" t="n">
        <v>0</v>
      </c>
      <c r="Q1803" t="n">
        <v>0</v>
      </c>
      <c r="R1803" s="2" t="inlineStr"/>
    </row>
    <row r="1804" ht="15" customHeight="1">
      <c r="A1804" t="inlineStr">
        <is>
          <t>A 20697-2020</t>
        </is>
      </c>
      <c r="B1804" s="1" t="n">
        <v>43949</v>
      </c>
      <c r="C1804" s="1" t="n">
        <v>45587</v>
      </c>
      <c r="D1804" t="inlineStr">
        <is>
          <t>GÄVLEBORGS LÄN</t>
        </is>
      </c>
      <c r="E1804" t="inlineStr">
        <is>
          <t>BOLLNÄS</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20692-2020</t>
        </is>
      </c>
      <c r="B1805" s="1" t="n">
        <v>43949</v>
      </c>
      <c r="C1805" s="1" t="n">
        <v>45587</v>
      </c>
      <c r="D1805" t="inlineStr">
        <is>
          <t>GÄVLEBORGS LÄN</t>
        </is>
      </c>
      <c r="E1805" t="inlineStr">
        <is>
          <t>BOLLNÄS</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20737-2020</t>
        </is>
      </c>
      <c r="B1806" s="1" t="n">
        <v>43949</v>
      </c>
      <c r="C1806" s="1" t="n">
        <v>45587</v>
      </c>
      <c r="D1806" t="inlineStr">
        <is>
          <t>GÄVLEBORGS LÄN</t>
        </is>
      </c>
      <c r="E1806" t="inlineStr">
        <is>
          <t>HUDIKSVALL</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20631-2020</t>
        </is>
      </c>
      <c r="B1807" s="1" t="n">
        <v>43949</v>
      </c>
      <c r="C1807" s="1" t="n">
        <v>45587</v>
      </c>
      <c r="D1807" t="inlineStr">
        <is>
          <t>GÄVLEBORGS LÄN</t>
        </is>
      </c>
      <c r="E1807" t="inlineStr">
        <is>
          <t>OVANÅKER</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20850-2020</t>
        </is>
      </c>
      <c r="B1808" s="1" t="n">
        <v>43950</v>
      </c>
      <c r="C1808" s="1" t="n">
        <v>45587</v>
      </c>
      <c r="D1808" t="inlineStr">
        <is>
          <t>GÄVLEBORGS LÄN</t>
        </is>
      </c>
      <c r="E1808" t="inlineStr">
        <is>
          <t>OVANÅKER</t>
        </is>
      </c>
      <c r="G1808" t="n">
        <v>9</v>
      </c>
      <c r="H1808" t="n">
        <v>0</v>
      </c>
      <c r="I1808" t="n">
        <v>0</v>
      </c>
      <c r="J1808" t="n">
        <v>0</v>
      </c>
      <c r="K1808" t="n">
        <v>0</v>
      </c>
      <c r="L1808" t="n">
        <v>0</v>
      </c>
      <c r="M1808" t="n">
        <v>0</v>
      </c>
      <c r="N1808" t="n">
        <v>0</v>
      </c>
      <c r="O1808" t="n">
        <v>0</v>
      </c>
      <c r="P1808" t="n">
        <v>0</v>
      </c>
      <c r="Q1808" t="n">
        <v>0</v>
      </c>
      <c r="R1808" s="2" t="inlineStr"/>
    </row>
    <row r="1809" ht="15" customHeight="1">
      <c r="A1809" t="inlineStr">
        <is>
          <t>A 20941-2020</t>
        </is>
      </c>
      <c r="B1809" s="1" t="n">
        <v>43950</v>
      </c>
      <c r="C1809" s="1" t="n">
        <v>45587</v>
      </c>
      <c r="D1809" t="inlineStr">
        <is>
          <t>GÄVLEBORGS LÄN</t>
        </is>
      </c>
      <c r="E1809" t="inlineStr">
        <is>
          <t>HUDIKSVALL</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21039-2020</t>
        </is>
      </c>
      <c r="B1810" s="1" t="n">
        <v>43951</v>
      </c>
      <c r="C1810" s="1" t="n">
        <v>45587</v>
      </c>
      <c r="D1810" t="inlineStr">
        <is>
          <t>GÄVLEBORGS LÄN</t>
        </is>
      </c>
      <c r="E1810" t="inlineStr">
        <is>
          <t>HUDIKSVALL</t>
        </is>
      </c>
      <c r="F1810" t="inlineStr">
        <is>
          <t>Holmen skog AB</t>
        </is>
      </c>
      <c r="G1810" t="n">
        <v>11.4</v>
      </c>
      <c r="H1810" t="n">
        <v>0</v>
      </c>
      <c r="I1810" t="n">
        <v>0</v>
      </c>
      <c r="J1810" t="n">
        <v>0</v>
      </c>
      <c r="K1810" t="n">
        <v>0</v>
      </c>
      <c r="L1810" t="n">
        <v>0</v>
      </c>
      <c r="M1810" t="n">
        <v>0</v>
      </c>
      <c r="N1810" t="n">
        <v>0</v>
      </c>
      <c r="O1810" t="n">
        <v>0</v>
      </c>
      <c r="P1810" t="n">
        <v>0</v>
      </c>
      <c r="Q1810" t="n">
        <v>0</v>
      </c>
      <c r="R1810" s="2" t="inlineStr"/>
    </row>
    <row r="1811" ht="15" customHeight="1">
      <c r="A1811" t="inlineStr">
        <is>
          <t>A 21132-2020</t>
        </is>
      </c>
      <c r="B1811" s="1" t="n">
        <v>43951</v>
      </c>
      <c r="C1811" s="1" t="n">
        <v>45587</v>
      </c>
      <c r="D1811" t="inlineStr">
        <is>
          <t>GÄVLEBORGS LÄN</t>
        </is>
      </c>
      <c r="E1811" t="inlineStr">
        <is>
          <t>LJUSDAL</t>
        </is>
      </c>
      <c r="F1811" t="inlineStr">
        <is>
          <t>Bergvik skog väst AB</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21198-2020</t>
        </is>
      </c>
      <c r="B1812" s="1" t="n">
        <v>43951</v>
      </c>
      <c r="C1812" s="1" t="n">
        <v>45587</v>
      </c>
      <c r="D1812" t="inlineStr">
        <is>
          <t>GÄVLEBORGS LÄN</t>
        </is>
      </c>
      <c r="E1812" t="inlineStr">
        <is>
          <t>LJUSDAL</t>
        </is>
      </c>
      <c r="F1812" t="inlineStr">
        <is>
          <t>Sveaskog</t>
        </is>
      </c>
      <c r="G1812" t="n">
        <v>38.7</v>
      </c>
      <c r="H1812" t="n">
        <v>0</v>
      </c>
      <c r="I1812" t="n">
        <v>0</v>
      </c>
      <c r="J1812" t="n">
        <v>0</v>
      </c>
      <c r="K1812" t="n">
        <v>0</v>
      </c>
      <c r="L1812" t="n">
        <v>0</v>
      </c>
      <c r="M1812" t="n">
        <v>0</v>
      </c>
      <c r="N1812" t="n">
        <v>0</v>
      </c>
      <c r="O1812" t="n">
        <v>0</v>
      </c>
      <c r="P1812" t="n">
        <v>0</v>
      </c>
      <c r="Q1812" t="n">
        <v>0</v>
      </c>
      <c r="R1812" s="2" t="inlineStr"/>
    </row>
    <row r="1813" ht="15" customHeight="1">
      <c r="A1813" t="inlineStr">
        <is>
          <t>A 21080-2020</t>
        </is>
      </c>
      <c r="B1813" s="1" t="n">
        <v>43951</v>
      </c>
      <c r="C1813" s="1" t="n">
        <v>45587</v>
      </c>
      <c r="D1813" t="inlineStr">
        <is>
          <t>GÄVLEBORGS LÄN</t>
        </is>
      </c>
      <c r="E1813" t="inlineStr">
        <is>
          <t>GÄVLE</t>
        </is>
      </c>
      <c r="F1813" t="inlineStr">
        <is>
          <t>Kommuner</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21145-2020</t>
        </is>
      </c>
      <c r="B1814" s="1" t="n">
        <v>43951</v>
      </c>
      <c r="C1814" s="1" t="n">
        <v>45587</v>
      </c>
      <c r="D1814" t="inlineStr">
        <is>
          <t>GÄVLEBORGS LÄN</t>
        </is>
      </c>
      <c r="E1814" t="inlineStr">
        <is>
          <t>LJUSDAL</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21129-2020</t>
        </is>
      </c>
      <c r="B1815" s="1" t="n">
        <v>43951</v>
      </c>
      <c r="C1815" s="1" t="n">
        <v>45587</v>
      </c>
      <c r="D1815" t="inlineStr">
        <is>
          <t>GÄVLEBORGS LÄN</t>
        </is>
      </c>
      <c r="E1815" t="inlineStr">
        <is>
          <t>HUDIKSVALL</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21193-2020</t>
        </is>
      </c>
      <c r="B1816" s="1" t="n">
        <v>43951</v>
      </c>
      <c r="C1816" s="1" t="n">
        <v>45587</v>
      </c>
      <c r="D1816" t="inlineStr">
        <is>
          <t>GÄVLEBORGS LÄN</t>
        </is>
      </c>
      <c r="E1816" t="inlineStr">
        <is>
          <t>HUDIKSVALL</t>
        </is>
      </c>
      <c r="G1816" t="n">
        <v>20.5</v>
      </c>
      <c r="H1816" t="n">
        <v>0</v>
      </c>
      <c r="I1816" t="n">
        <v>0</v>
      </c>
      <c r="J1816" t="n">
        <v>0</v>
      </c>
      <c r="K1816" t="n">
        <v>0</v>
      </c>
      <c r="L1816" t="n">
        <v>0</v>
      </c>
      <c r="M1816" t="n">
        <v>0</v>
      </c>
      <c r="N1816" t="n">
        <v>0</v>
      </c>
      <c r="O1816" t="n">
        <v>0</v>
      </c>
      <c r="P1816" t="n">
        <v>0</v>
      </c>
      <c r="Q1816" t="n">
        <v>0</v>
      </c>
      <c r="R1816" s="2" t="inlineStr"/>
    </row>
    <row r="1817" ht="15" customHeight="1">
      <c r="A1817" t="inlineStr">
        <is>
          <t>A 21060-2020</t>
        </is>
      </c>
      <c r="B1817" s="1" t="n">
        <v>43951</v>
      </c>
      <c r="C1817" s="1" t="n">
        <v>45587</v>
      </c>
      <c r="D1817" t="inlineStr">
        <is>
          <t>GÄVLEBORGS LÄN</t>
        </is>
      </c>
      <c r="E1817" t="inlineStr">
        <is>
          <t>LJUSDAL</t>
        </is>
      </c>
      <c r="F1817" t="inlineStr">
        <is>
          <t>Holmen skog AB</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21078-2020</t>
        </is>
      </c>
      <c r="B1818" s="1" t="n">
        <v>43951</v>
      </c>
      <c r="C1818" s="1" t="n">
        <v>45587</v>
      </c>
      <c r="D1818" t="inlineStr">
        <is>
          <t>GÄVLEBORGS LÄN</t>
        </is>
      </c>
      <c r="E1818" t="inlineStr">
        <is>
          <t>LJUSDAL</t>
        </is>
      </c>
      <c r="F1818" t="inlineStr">
        <is>
          <t>Sveaskog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21188-2020</t>
        </is>
      </c>
      <c r="B1819" s="1" t="n">
        <v>43951</v>
      </c>
      <c r="C1819" s="1" t="n">
        <v>45587</v>
      </c>
      <c r="D1819" t="inlineStr">
        <is>
          <t>GÄVLEBORGS LÄN</t>
        </is>
      </c>
      <c r="E1819" t="inlineStr">
        <is>
          <t>NORDANSTIG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21182-2020</t>
        </is>
      </c>
      <c r="B1820" s="1" t="n">
        <v>43951</v>
      </c>
      <c r="C1820" s="1" t="n">
        <v>45587</v>
      </c>
      <c r="D1820" t="inlineStr">
        <is>
          <t>GÄVLEBORGS LÄN</t>
        </is>
      </c>
      <c r="E1820" t="inlineStr">
        <is>
          <t>OVANÅKER</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21137-2020</t>
        </is>
      </c>
      <c r="B1821" s="1" t="n">
        <v>43951</v>
      </c>
      <c r="C1821" s="1" t="n">
        <v>45587</v>
      </c>
      <c r="D1821" t="inlineStr">
        <is>
          <t>GÄVLEBORGS LÄN</t>
        </is>
      </c>
      <c r="E1821" t="inlineStr">
        <is>
          <t>NORDANSTIG</t>
        </is>
      </c>
      <c r="F1821" t="inlineStr">
        <is>
          <t>Holmen skog AB</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21255-2020</t>
        </is>
      </c>
      <c r="B1822" s="1" t="n">
        <v>43955</v>
      </c>
      <c r="C1822" s="1" t="n">
        <v>45587</v>
      </c>
      <c r="D1822" t="inlineStr">
        <is>
          <t>GÄVLEBORGS LÄN</t>
        </is>
      </c>
      <c r="E1822" t="inlineStr">
        <is>
          <t>OCKELBO</t>
        </is>
      </c>
      <c r="F1822" t="inlineStr">
        <is>
          <t>Bergvik skog väst AB</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21349-2020</t>
        </is>
      </c>
      <c r="B1823" s="1" t="n">
        <v>43955</v>
      </c>
      <c r="C1823" s="1" t="n">
        <v>45587</v>
      </c>
      <c r="D1823" t="inlineStr">
        <is>
          <t>GÄVLEBORGS LÄN</t>
        </is>
      </c>
      <c r="E1823" t="inlineStr">
        <is>
          <t>SÖDERHAMN</t>
        </is>
      </c>
      <c r="F1823" t="inlineStr">
        <is>
          <t>Kommuner</t>
        </is>
      </c>
      <c r="G1823" t="n">
        <v>16.2</v>
      </c>
      <c r="H1823" t="n">
        <v>0</v>
      </c>
      <c r="I1823" t="n">
        <v>0</v>
      </c>
      <c r="J1823" t="n">
        <v>0</v>
      </c>
      <c r="K1823" t="n">
        <v>0</v>
      </c>
      <c r="L1823" t="n">
        <v>0</v>
      </c>
      <c r="M1823" t="n">
        <v>0</v>
      </c>
      <c r="N1823" t="n">
        <v>0</v>
      </c>
      <c r="O1823" t="n">
        <v>0</v>
      </c>
      <c r="P1823" t="n">
        <v>0</v>
      </c>
      <c r="Q1823" t="n">
        <v>0</v>
      </c>
      <c r="R1823" s="2" t="inlineStr"/>
    </row>
    <row r="1824" ht="15" customHeight="1">
      <c r="A1824" t="inlineStr">
        <is>
          <t>A 21316-2020</t>
        </is>
      </c>
      <c r="B1824" s="1" t="n">
        <v>43955</v>
      </c>
      <c r="C1824" s="1" t="n">
        <v>45587</v>
      </c>
      <c r="D1824" t="inlineStr">
        <is>
          <t>GÄVLEBORGS LÄN</t>
        </is>
      </c>
      <c r="E1824" t="inlineStr">
        <is>
          <t>HUDIKSVALL</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21313-2020</t>
        </is>
      </c>
      <c r="B1825" s="1" t="n">
        <v>43955</v>
      </c>
      <c r="C1825" s="1" t="n">
        <v>45587</v>
      </c>
      <c r="D1825" t="inlineStr">
        <is>
          <t>GÄVLEBORGS LÄN</t>
        </is>
      </c>
      <c r="E1825" t="inlineStr">
        <is>
          <t>HUDIKSVALL</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21424-2020</t>
        </is>
      </c>
      <c r="B1826" s="1" t="n">
        <v>43955</v>
      </c>
      <c r="C1826" s="1" t="n">
        <v>45587</v>
      </c>
      <c r="D1826" t="inlineStr">
        <is>
          <t>GÄVLEBORGS LÄN</t>
        </is>
      </c>
      <c r="E1826" t="inlineStr">
        <is>
          <t>NORDANSTIG</t>
        </is>
      </c>
      <c r="G1826" t="n">
        <v>34.4</v>
      </c>
      <c r="H1826" t="n">
        <v>0</v>
      </c>
      <c r="I1826" t="n">
        <v>0</v>
      </c>
      <c r="J1826" t="n">
        <v>0</v>
      </c>
      <c r="K1826" t="n">
        <v>0</v>
      </c>
      <c r="L1826" t="n">
        <v>0</v>
      </c>
      <c r="M1826" t="n">
        <v>0</v>
      </c>
      <c r="N1826" t="n">
        <v>0</v>
      </c>
      <c r="O1826" t="n">
        <v>0</v>
      </c>
      <c r="P1826" t="n">
        <v>0</v>
      </c>
      <c r="Q1826" t="n">
        <v>0</v>
      </c>
      <c r="R1826" s="2" t="inlineStr"/>
    </row>
    <row r="1827" ht="15" customHeight="1">
      <c r="A1827" t="inlineStr">
        <is>
          <t>A 21379-2020</t>
        </is>
      </c>
      <c r="B1827" s="1" t="n">
        <v>43955</v>
      </c>
      <c r="C1827" s="1" t="n">
        <v>45587</v>
      </c>
      <c r="D1827" t="inlineStr">
        <is>
          <t>GÄVLEBORGS LÄN</t>
        </is>
      </c>
      <c r="E1827" t="inlineStr">
        <is>
          <t>GÄVLE</t>
        </is>
      </c>
      <c r="F1827" t="inlineStr">
        <is>
          <t>Bergvik skog öst AB</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21422-2020</t>
        </is>
      </c>
      <c r="B1828" s="1" t="n">
        <v>43955</v>
      </c>
      <c r="C1828" s="1" t="n">
        <v>45587</v>
      </c>
      <c r="D1828" t="inlineStr">
        <is>
          <t>GÄVLEBORGS LÄN</t>
        </is>
      </c>
      <c r="E1828" t="inlineStr">
        <is>
          <t>NORDANSTIG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21431-2020</t>
        </is>
      </c>
      <c r="B1829" s="1" t="n">
        <v>43956</v>
      </c>
      <c r="C1829" s="1" t="n">
        <v>45587</v>
      </c>
      <c r="D1829" t="inlineStr">
        <is>
          <t>GÄVLEBORGS LÄN</t>
        </is>
      </c>
      <c r="E1829" t="inlineStr">
        <is>
          <t>BOLLNÄS</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21556-2020</t>
        </is>
      </c>
      <c r="B1830" s="1" t="n">
        <v>43956</v>
      </c>
      <c r="C1830" s="1" t="n">
        <v>45587</v>
      </c>
      <c r="D1830" t="inlineStr">
        <is>
          <t>GÄVLEBORGS LÄN</t>
        </is>
      </c>
      <c r="E1830" t="inlineStr">
        <is>
          <t>NORDANSTIG</t>
        </is>
      </c>
      <c r="F1830" t="inlineStr">
        <is>
          <t>Holmen skog AB</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21549-2020</t>
        </is>
      </c>
      <c r="B1831" s="1" t="n">
        <v>43956</v>
      </c>
      <c r="C1831" s="1" t="n">
        <v>45587</v>
      </c>
      <c r="D1831" t="inlineStr">
        <is>
          <t>GÄVLEBORGS LÄN</t>
        </is>
      </c>
      <c r="E1831" t="inlineStr">
        <is>
          <t>NORDANSTIG</t>
        </is>
      </c>
      <c r="F1831" t="inlineStr">
        <is>
          <t>Holmen skog AB</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21647-2020</t>
        </is>
      </c>
      <c r="B1832" s="1" t="n">
        <v>43957</v>
      </c>
      <c r="C1832" s="1" t="n">
        <v>45587</v>
      </c>
      <c r="D1832" t="inlineStr">
        <is>
          <t>GÄVLEBORGS LÄN</t>
        </is>
      </c>
      <c r="E1832" t="inlineStr">
        <is>
          <t>OVANÅKER</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21639-2020</t>
        </is>
      </c>
      <c r="B1833" s="1" t="n">
        <v>43957</v>
      </c>
      <c r="C1833" s="1" t="n">
        <v>45587</v>
      </c>
      <c r="D1833" t="inlineStr">
        <is>
          <t>GÄVLEBORGS LÄN</t>
        </is>
      </c>
      <c r="E1833" t="inlineStr">
        <is>
          <t>OVANÅKER</t>
        </is>
      </c>
      <c r="G1833" t="n">
        <v>10.3</v>
      </c>
      <c r="H1833" t="n">
        <v>0</v>
      </c>
      <c r="I1833" t="n">
        <v>0</v>
      </c>
      <c r="J1833" t="n">
        <v>0</v>
      </c>
      <c r="K1833" t="n">
        <v>0</v>
      </c>
      <c r="L1833" t="n">
        <v>0</v>
      </c>
      <c r="M1833" t="n">
        <v>0</v>
      </c>
      <c r="N1833" t="n">
        <v>0</v>
      </c>
      <c r="O1833" t="n">
        <v>0</v>
      </c>
      <c r="P1833" t="n">
        <v>0</v>
      </c>
      <c r="Q1833" t="n">
        <v>0</v>
      </c>
      <c r="R1833" s="2" t="inlineStr"/>
    </row>
    <row r="1834" ht="15" customHeight="1">
      <c r="A1834" t="inlineStr">
        <is>
          <t>A 21803-2020</t>
        </is>
      </c>
      <c r="B1834" s="1" t="n">
        <v>43958</v>
      </c>
      <c r="C1834" s="1" t="n">
        <v>45587</v>
      </c>
      <c r="D1834" t="inlineStr">
        <is>
          <t>GÄVLEBORGS LÄN</t>
        </is>
      </c>
      <c r="E1834" t="inlineStr">
        <is>
          <t>HUDIKSVALL</t>
        </is>
      </c>
      <c r="F1834" t="inlineStr">
        <is>
          <t>Holmen skog AB</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21898-2020</t>
        </is>
      </c>
      <c r="B1835" s="1" t="n">
        <v>43958</v>
      </c>
      <c r="C1835" s="1" t="n">
        <v>45587</v>
      </c>
      <c r="D1835" t="inlineStr">
        <is>
          <t>GÄVLEBORGS LÄN</t>
        </is>
      </c>
      <c r="E1835" t="inlineStr">
        <is>
          <t>SANDVIKEN</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21899-2020</t>
        </is>
      </c>
      <c r="B1836" s="1" t="n">
        <v>43958</v>
      </c>
      <c r="C1836" s="1" t="n">
        <v>45587</v>
      </c>
      <c r="D1836" t="inlineStr">
        <is>
          <t>GÄVLEBORGS LÄN</t>
        </is>
      </c>
      <c r="E1836" t="inlineStr">
        <is>
          <t>NORDANSTIG</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21926-2020</t>
        </is>
      </c>
      <c r="B1837" s="1" t="n">
        <v>43958</v>
      </c>
      <c r="C1837" s="1" t="n">
        <v>45587</v>
      </c>
      <c r="D1837" t="inlineStr">
        <is>
          <t>GÄVLEBORGS LÄN</t>
        </is>
      </c>
      <c r="E1837" t="inlineStr">
        <is>
          <t>HUDIKSVALL</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21961-2020</t>
        </is>
      </c>
      <c r="B1838" s="1" t="n">
        <v>43958</v>
      </c>
      <c r="C1838" s="1" t="n">
        <v>45587</v>
      </c>
      <c r="D1838" t="inlineStr">
        <is>
          <t>GÄVLEBORGS LÄN</t>
        </is>
      </c>
      <c r="E1838" t="inlineStr">
        <is>
          <t>HUDIKSVALL</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22004-2020</t>
        </is>
      </c>
      <c r="B1839" s="1" t="n">
        <v>43959</v>
      </c>
      <c r="C1839" s="1" t="n">
        <v>45587</v>
      </c>
      <c r="D1839" t="inlineStr">
        <is>
          <t>GÄVLEBORGS LÄN</t>
        </is>
      </c>
      <c r="E1839" t="inlineStr">
        <is>
          <t>LJUSDAL</t>
        </is>
      </c>
      <c r="F1839" t="inlineStr">
        <is>
          <t>Sveaskog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21981-2020</t>
        </is>
      </c>
      <c r="B1840" s="1" t="n">
        <v>43959</v>
      </c>
      <c r="C1840" s="1" t="n">
        <v>45587</v>
      </c>
      <c r="D1840" t="inlineStr">
        <is>
          <t>GÄVLEBORGS LÄN</t>
        </is>
      </c>
      <c r="E1840" t="inlineStr">
        <is>
          <t>GÄVLE</t>
        </is>
      </c>
      <c r="F1840" t="inlineStr">
        <is>
          <t>Bergvik skog öst AB</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22018-2020</t>
        </is>
      </c>
      <c r="B1841" s="1" t="n">
        <v>43959</v>
      </c>
      <c r="C1841" s="1" t="n">
        <v>45587</v>
      </c>
      <c r="D1841" t="inlineStr">
        <is>
          <t>GÄVLEBORGS LÄN</t>
        </is>
      </c>
      <c r="E1841" t="inlineStr">
        <is>
          <t>LJUSDAL</t>
        </is>
      </c>
      <c r="F1841" t="inlineStr">
        <is>
          <t>Sveaskog</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22002-2020</t>
        </is>
      </c>
      <c r="B1842" s="1" t="n">
        <v>43959</v>
      </c>
      <c r="C1842" s="1" t="n">
        <v>45587</v>
      </c>
      <c r="D1842" t="inlineStr">
        <is>
          <t>GÄVLEBORGS LÄN</t>
        </is>
      </c>
      <c r="E1842" t="inlineStr">
        <is>
          <t>LJUSDAL</t>
        </is>
      </c>
      <c r="F1842" t="inlineStr">
        <is>
          <t>Sveaskog</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22000-2020</t>
        </is>
      </c>
      <c r="B1843" s="1" t="n">
        <v>43959</v>
      </c>
      <c r="C1843" s="1" t="n">
        <v>45587</v>
      </c>
      <c r="D1843" t="inlineStr">
        <is>
          <t>GÄVLEBORGS LÄN</t>
        </is>
      </c>
      <c r="E1843" t="inlineStr">
        <is>
          <t>SANDVIKEN</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22074-2020</t>
        </is>
      </c>
      <c r="B1844" s="1" t="n">
        <v>43959</v>
      </c>
      <c r="C1844" s="1" t="n">
        <v>45587</v>
      </c>
      <c r="D1844" t="inlineStr">
        <is>
          <t>GÄVLEBORGS LÄN</t>
        </is>
      </c>
      <c r="E1844" t="inlineStr">
        <is>
          <t>NORDANSTIG</t>
        </is>
      </c>
      <c r="F1844" t="inlineStr">
        <is>
          <t>Holmen skog AB</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22006-2020</t>
        </is>
      </c>
      <c r="B1845" s="1" t="n">
        <v>43959</v>
      </c>
      <c r="C1845" s="1" t="n">
        <v>45587</v>
      </c>
      <c r="D1845" t="inlineStr">
        <is>
          <t>GÄVLEBORGS LÄN</t>
        </is>
      </c>
      <c r="E1845" t="inlineStr">
        <is>
          <t>LJUSDAL</t>
        </is>
      </c>
      <c r="F1845" t="inlineStr">
        <is>
          <t>Sveaskog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22160-2020</t>
        </is>
      </c>
      <c r="B1846" s="1" t="n">
        <v>43962</v>
      </c>
      <c r="C1846" s="1" t="n">
        <v>45587</v>
      </c>
      <c r="D1846" t="inlineStr">
        <is>
          <t>GÄVLEBORGS LÄN</t>
        </is>
      </c>
      <c r="E1846" t="inlineStr">
        <is>
          <t>LJUSDAL</t>
        </is>
      </c>
      <c r="F1846" t="inlineStr">
        <is>
          <t>Holmen skog AB</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22187-2020</t>
        </is>
      </c>
      <c r="B1847" s="1" t="n">
        <v>43962</v>
      </c>
      <c r="C1847" s="1" t="n">
        <v>45587</v>
      </c>
      <c r="D1847" t="inlineStr">
        <is>
          <t>GÄVLEBORGS LÄN</t>
        </is>
      </c>
      <c r="E1847" t="inlineStr">
        <is>
          <t>OVANÅKER</t>
        </is>
      </c>
      <c r="F1847" t="inlineStr">
        <is>
          <t>Kyrkan</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22403-2020</t>
        </is>
      </c>
      <c r="B1848" s="1" t="n">
        <v>43962</v>
      </c>
      <c r="C1848" s="1" t="n">
        <v>45587</v>
      </c>
      <c r="D1848" t="inlineStr">
        <is>
          <t>GÄVLEBORGS LÄN</t>
        </is>
      </c>
      <c r="E1848" t="inlineStr">
        <is>
          <t>NORDANSTIG</t>
        </is>
      </c>
      <c r="G1848" t="n">
        <v>12.1</v>
      </c>
      <c r="H1848" t="n">
        <v>0</v>
      </c>
      <c r="I1848" t="n">
        <v>0</v>
      </c>
      <c r="J1848" t="n">
        <v>0</v>
      </c>
      <c r="K1848" t="n">
        <v>0</v>
      </c>
      <c r="L1848" t="n">
        <v>0</v>
      </c>
      <c r="M1848" t="n">
        <v>0</v>
      </c>
      <c r="N1848" t="n">
        <v>0</v>
      </c>
      <c r="O1848" t="n">
        <v>0</v>
      </c>
      <c r="P1848" t="n">
        <v>0</v>
      </c>
      <c r="Q1848" t="n">
        <v>0</v>
      </c>
      <c r="R1848" s="2" t="inlineStr"/>
    </row>
    <row r="1849" ht="15" customHeight="1">
      <c r="A1849" t="inlineStr">
        <is>
          <t>A 22268-2020</t>
        </is>
      </c>
      <c r="B1849" s="1" t="n">
        <v>43962</v>
      </c>
      <c r="C1849" s="1" t="n">
        <v>45587</v>
      </c>
      <c r="D1849" t="inlineStr">
        <is>
          <t>GÄVLEBORGS LÄN</t>
        </is>
      </c>
      <c r="E1849" t="inlineStr">
        <is>
          <t>LJUSDAL</t>
        </is>
      </c>
      <c r="F1849" t="inlineStr">
        <is>
          <t>Sveaskog</t>
        </is>
      </c>
      <c r="G1849" t="n">
        <v>7.5</v>
      </c>
      <c r="H1849" t="n">
        <v>0</v>
      </c>
      <c r="I1849" t="n">
        <v>0</v>
      </c>
      <c r="J1849" t="n">
        <v>0</v>
      </c>
      <c r="K1849" t="n">
        <v>0</v>
      </c>
      <c r="L1849" t="n">
        <v>0</v>
      </c>
      <c r="M1849" t="n">
        <v>0</v>
      </c>
      <c r="N1849" t="n">
        <v>0</v>
      </c>
      <c r="O1849" t="n">
        <v>0</v>
      </c>
      <c r="P1849" t="n">
        <v>0</v>
      </c>
      <c r="Q1849" t="n">
        <v>0</v>
      </c>
      <c r="R1849" s="2" t="inlineStr"/>
    </row>
    <row r="1850" ht="15" customHeight="1">
      <c r="A1850" t="inlineStr">
        <is>
          <t>A 22361-2020</t>
        </is>
      </c>
      <c r="B1850" s="1" t="n">
        <v>43962</v>
      </c>
      <c r="C1850" s="1" t="n">
        <v>45587</v>
      </c>
      <c r="D1850" t="inlineStr">
        <is>
          <t>GÄVLEBORGS LÄN</t>
        </is>
      </c>
      <c r="E1850" t="inlineStr">
        <is>
          <t>LJUSDAL</t>
        </is>
      </c>
      <c r="F1850" t="inlineStr">
        <is>
          <t>Bergvik skog väst AB</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22348-2020</t>
        </is>
      </c>
      <c r="B1851" s="1" t="n">
        <v>43962</v>
      </c>
      <c r="C1851" s="1" t="n">
        <v>45587</v>
      </c>
      <c r="D1851" t="inlineStr">
        <is>
          <t>GÄVLEBORGS LÄN</t>
        </is>
      </c>
      <c r="E1851" t="inlineStr">
        <is>
          <t>HUDIKSVALL</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22385-2020</t>
        </is>
      </c>
      <c r="B1852" s="1" t="n">
        <v>43962</v>
      </c>
      <c r="C1852" s="1" t="n">
        <v>45587</v>
      </c>
      <c r="D1852" t="inlineStr">
        <is>
          <t>GÄVLEBORGS LÄN</t>
        </is>
      </c>
      <c r="E1852" t="inlineStr">
        <is>
          <t>GÄVLE</t>
        </is>
      </c>
      <c r="F1852" t="inlineStr">
        <is>
          <t>Bergvik skog öst AB</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22378-2020</t>
        </is>
      </c>
      <c r="B1853" s="1" t="n">
        <v>43962</v>
      </c>
      <c r="C1853" s="1" t="n">
        <v>45587</v>
      </c>
      <c r="D1853" t="inlineStr">
        <is>
          <t>GÄVLEBORGS LÄN</t>
        </is>
      </c>
      <c r="E1853" t="inlineStr">
        <is>
          <t>LJUSDAL</t>
        </is>
      </c>
      <c r="F1853" t="inlineStr">
        <is>
          <t>Sveaskog</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22432-2020</t>
        </is>
      </c>
      <c r="B1854" s="1" t="n">
        <v>43963</v>
      </c>
      <c r="C1854" s="1" t="n">
        <v>45587</v>
      </c>
      <c r="D1854" t="inlineStr">
        <is>
          <t>GÄVLEBORGS LÄN</t>
        </is>
      </c>
      <c r="E1854" t="inlineStr">
        <is>
          <t>BOLLNÄS</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22440-2020</t>
        </is>
      </c>
      <c r="B1855" s="1" t="n">
        <v>43963</v>
      </c>
      <c r="C1855" s="1" t="n">
        <v>45587</v>
      </c>
      <c r="D1855" t="inlineStr">
        <is>
          <t>GÄVLEBORGS LÄN</t>
        </is>
      </c>
      <c r="E1855" t="inlineStr">
        <is>
          <t>SANDVIKEN</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22430-2020</t>
        </is>
      </c>
      <c r="B1856" s="1" t="n">
        <v>43963</v>
      </c>
      <c r="C1856" s="1" t="n">
        <v>45587</v>
      </c>
      <c r="D1856" t="inlineStr">
        <is>
          <t>GÄVLEBORGS LÄN</t>
        </is>
      </c>
      <c r="E1856" t="inlineStr">
        <is>
          <t>BOLLNÄS</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22875-2020</t>
        </is>
      </c>
      <c r="B1857" s="1" t="n">
        <v>43964</v>
      </c>
      <c r="C1857" s="1" t="n">
        <v>45587</v>
      </c>
      <c r="D1857" t="inlineStr">
        <is>
          <t>GÄVLEBORGS LÄN</t>
        </is>
      </c>
      <c r="E1857" t="inlineStr">
        <is>
          <t>LJUSDAL</t>
        </is>
      </c>
      <c r="F1857" t="inlineStr">
        <is>
          <t>Sveaskog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22959-2020</t>
        </is>
      </c>
      <c r="B1858" s="1" t="n">
        <v>43965</v>
      </c>
      <c r="C1858" s="1" t="n">
        <v>45587</v>
      </c>
      <c r="D1858" t="inlineStr">
        <is>
          <t>GÄVLEBORGS LÄN</t>
        </is>
      </c>
      <c r="E1858" t="inlineStr">
        <is>
          <t>LJUSDAL</t>
        </is>
      </c>
      <c r="F1858" t="inlineStr">
        <is>
          <t>Sveaskog</t>
        </is>
      </c>
      <c r="G1858" t="n">
        <v>6.5</v>
      </c>
      <c r="H1858" t="n">
        <v>0</v>
      </c>
      <c r="I1858" t="n">
        <v>0</v>
      </c>
      <c r="J1858" t="n">
        <v>0</v>
      </c>
      <c r="K1858" t="n">
        <v>0</v>
      </c>
      <c r="L1858" t="n">
        <v>0</v>
      </c>
      <c r="M1858" t="n">
        <v>0</v>
      </c>
      <c r="N1858" t="n">
        <v>0</v>
      </c>
      <c r="O1858" t="n">
        <v>0</v>
      </c>
      <c r="P1858" t="n">
        <v>0</v>
      </c>
      <c r="Q1858" t="n">
        <v>0</v>
      </c>
      <c r="R1858" s="2" t="inlineStr"/>
    </row>
    <row r="1859" ht="15" customHeight="1">
      <c r="A1859" t="inlineStr">
        <is>
          <t>A 22967-2020</t>
        </is>
      </c>
      <c r="B1859" s="1" t="n">
        <v>43965</v>
      </c>
      <c r="C1859" s="1" t="n">
        <v>45587</v>
      </c>
      <c r="D1859" t="inlineStr">
        <is>
          <t>GÄVLEBORGS LÄN</t>
        </is>
      </c>
      <c r="E1859" t="inlineStr">
        <is>
          <t>HUDIKSVALL</t>
        </is>
      </c>
      <c r="F1859" t="inlineStr">
        <is>
          <t>Holmen skog AB</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23059-2020</t>
        </is>
      </c>
      <c r="B1860" s="1" t="n">
        <v>43965</v>
      </c>
      <c r="C1860" s="1" t="n">
        <v>45587</v>
      </c>
      <c r="D1860" t="inlineStr">
        <is>
          <t>GÄVLEBORGS LÄN</t>
        </is>
      </c>
      <c r="E1860" t="inlineStr">
        <is>
          <t>HUDIKSVALL</t>
        </is>
      </c>
      <c r="F1860" t="inlineStr">
        <is>
          <t>Holmen skog AB</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22972-2020</t>
        </is>
      </c>
      <c r="B1861" s="1" t="n">
        <v>43965</v>
      </c>
      <c r="C1861" s="1" t="n">
        <v>45587</v>
      </c>
      <c r="D1861" t="inlineStr">
        <is>
          <t>GÄVLEBORGS LÄN</t>
        </is>
      </c>
      <c r="E1861" t="inlineStr">
        <is>
          <t>HUDIKSVALL</t>
        </is>
      </c>
      <c r="F1861" t="inlineStr">
        <is>
          <t>Holmen skog AB</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23008-2020</t>
        </is>
      </c>
      <c r="B1862" s="1" t="n">
        <v>43965</v>
      </c>
      <c r="C1862" s="1" t="n">
        <v>45587</v>
      </c>
      <c r="D1862" t="inlineStr">
        <is>
          <t>GÄVLEBORGS LÄN</t>
        </is>
      </c>
      <c r="E1862" t="inlineStr">
        <is>
          <t>HUDIKSVALL</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23060-2020</t>
        </is>
      </c>
      <c r="B1863" s="1" t="n">
        <v>43965</v>
      </c>
      <c r="C1863" s="1" t="n">
        <v>45587</v>
      </c>
      <c r="D1863" t="inlineStr">
        <is>
          <t>GÄVLEBORGS LÄN</t>
        </is>
      </c>
      <c r="E1863" t="inlineStr">
        <is>
          <t>OVANÅKER</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23049-2020</t>
        </is>
      </c>
      <c r="B1864" s="1" t="n">
        <v>43965</v>
      </c>
      <c r="C1864" s="1" t="n">
        <v>45587</v>
      </c>
      <c r="D1864" t="inlineStr">
        <is>
          <t>GÄVLEBORGS LÄN</t>
        </is>
      </c>
      <c r="E1864" t="inlineStr">
        <is>
          <t>HUDIKSVALL</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23117-2020</t>
        </is>
      </c>
      <c r="B1865" s="1" t="n">
        <v>43965</v>
      </c>
      <c r="C1865" s="1" t="n">
        <v>45587</v>
      </c>
      <c r="D1865" t="inlineStr">
        <is>
          <t>GÄVLEBORGS LÄN</t>
        </is>
      </c>
      <c r="E1865" t="inlineStr">
        <is>
          <t>LJUSDAL</t>
        </is>
      </c>
      <c r="F1865" t="inlineStr">
        <is>
          <t>Bergvik skog väst AB</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23057-2020</t>
        </is>
      </c>
      <c r="B1866" s="1" t="n">
        <v>43965</v>
      </c>
      <c r="C1866" s="1" t="n">
        <v>45587</v>
      </c>
      <c r="D1866" t="inlineStr">
        <is>
          <t>GÄVLEBORGS LÄN</t>
        </is>
      </c>
      <c r="E1866" t="inlineStr">
        <is>
          <t>OVANÅKER</t>
        </is>
      </c>
      <c r="F1866" t="inlineStr">
        <is>
          <t>Sveaskog</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23237-2020</t>
        </is>
      </c>
      <c r="B1867" s="1" t="n">
        <v>43966</v>
      </c>
      <c r="C1867" s="1" t="n">
        <v>45587</v>
      </c>
      <c r="D1867" t="inlineStr">
        <is>
          <t>GÄVLEBORGS LÄN</t>
        </is>
      </c>
      <c r="E1867" t="inlineStr">
        <is>
          <t>NORDANSTIG</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23276-2020</t>
        </is>
      </c>
      <c r="B1868" s="1" t="n">
        <v>43966</v>
      </c>
      <c r="C1868" s="1" t="n">
        <v>45587</v>
      </c>
      <c r="D1868" t="inlineStr">
        <is>
          <t>GÄVLEBORGS LÄN</t>
        </is>
      </c>
      <c r="E1868" t="inlineStr">
        <is>
          <t>LJUSDAL</t>
        </is>
      </c>
      <c r="F1868" t="inlineStr">
        <is>
          <t>Sveaskog</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23171-2020</t>
        </is>
      </c>
      <c r="B1869" s="1" t="n">
        <v>43966</v>
      </c>
      <c r="C1869" s="1" t="n">
        <v>45587</v>
      </c>
      <c r="D1869" t="inlineStr">
        <is>
          <t>GÄVLEBORGS LÄN</t>
        </is>
      </c>
      <c r="E1869" t="inlineStr">
        <is>
          <t>SÖDERHAMN</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23280-2020</t>
        </is>
      </c>
      <c r="B1870" s="1" t="n">
        <v>43966</v>
      </c>
      <c r="C1870" s="1" t="n">
        <v>45587</v>
      </c>
      <c r="D1870" t="inlineStr">
        <is>
          <t>GÄVLEBORGS LÄN</t>
        </is>
      </c>
      <c r="E1870" t="inlineStr">
        <is>
          <t>LJUSDAL</t>
        </is>
      </c>
      <c r="F1870" t="inlineStr">
        <is>
          <t>Sveaskog</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23271-2020</t>
        </is>
      </c>
      <c r="B1871" s="1" t="n">
        <v>43966</v>
      </c>
      <c r="C1871" s="1" t="n">
        <v>45587</v>
      </c>
      <c r="D1871" t="inlineStr">
        <is>
          <t>GÄVLEBORGS LÄN</t>
        </is>
      </c>
      <c r="E1871" t="inlineStr">
        <is>
          <t>LJUSDAL</t>
        </is>
      </c>
      <c r="F1871" t="inlineStr">
        <is>
          <t>Sveaskog</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23285-2020</t>
        </is>
      </c>
      <c r="B1872" s="1" t="n">
        <v>43966</v>
      </c>
      <c r="C1872" s="1" t="n">
        <v>45587</v>
      </c>
      <c r="D1872" t="inlineStr">
        <is>
          <t>GÄVLEBORGS LÄN</t>
        </is>
      </c>
      <c r="E1872" t="inlineStr">
        <is>
          <t>HUDIKSVALL</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23429-2020</t>
        </is>
      </c>
      <c r="B1873" s="1" t="n">
        <v>43969</v>
      </c>
      <c r="C1873" s="1" t="n">
        <v>45587</v>
      </c>
      <c r="D1873" t="inlineStr">
        <is>
          <t>GÄVLEBORGS LÄN</t>
        </is>
      </c>
      <c r="E1873" t="inlineStr">
        <is>
          <t>HUDIKSVALL</t>
        </is>
      </c>
      <c r="F1873" t="inlineStr">
        <is>
          <t>Holmen skog AB</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23424-2020</t>
        </is>
      </c>
      <c r="B1874" s="1" t="n">
        <v>43969</v>
      </c>
      <c r="C1874" s="1" t="n">
        <v>45587</v>
      </c>
      <c r="D1874" t="inlineStr">
        <is>
          <t>GÄVLEBORGS LÄN</t>
        </is>
      </c>
      <c r="E1874" t="inlineStr">
        <is>
          <t>LJUSDAL</t>
        </is>
      </c>
      <c r="F1874" t="inlineStr">
        <is>
          <t>Holmen skog AB</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23527-2020</t>
        </is>
      </c>
      <c r="B1875" s="1" t="n">
        <v>43969</v>
      </c>
      <c r="C1875" s="1" t="n">
        <v>45587</v>
      </c>
      <c r="D1875" t="inlineStr">
        <is>
          <t>GÄVLEBORGS LÄN</t>
        </is>
      </c>
      <c r="E1875" t="inlineStr">
        <is>
          <t>OVANÅKER</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23618-2020</t>
        </is>
      </c>
      <c r="B1876" s="1" t="n">
        <v>43969</v>
      </c>
      <c r="C1876" s="1" t="n">
        <v>45587</v>
      </c>
      <c r="D1876" t="inlineStr">
        <is>
          <t>GÄVLEBORGS LÄN</t>
        </is>
      </c>
      <c r="E1876" t="inlineStr">
        <is>
          <t>NORDANSTIG</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23682-2020</t>
        </is>
      </c>
      <c r="B1877" s="1" t="n">
        <v>43970</v>
      </c>
      <c r="C1877" s="1" t="n">
        <v>45587</v>
      </c>
      <c r="D1877" t="inlineStr">
        <is>
          <t>GÄVLEBORGS LÄN</t>
        </is>
      </c>
      <c r="E1877" t="inlineStr">
        <is>
          <t>SÖDERHAMN</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23926-2020</t>
        </is>
      </c>
      <c r="B1878" s="1" t="n">
        <v>43971</v>
      </c>
      <c r="C1878" s="1" t="n">
        <v>45587</v>
      </c>
      <c r="D1878" t="inlineStr">
        <is>
          <t>GÄVLEBORGS LÄN</t>
        </is>
      </c>
      <c r="E1878" t="inlineStr">
        <is>
          <t>HUDIKSVALL</t>
        </is>
      </c>
      <c r="F1878" t="inlineStr">
        <is>
          <t>Holmen skog AB</t>
        </is>
      </c>
      <c r="G1878" t="n">
        <v>5.5</v>
      </c>
      <c r="H1878" t="n">
        <v>0</v>
      </c>
      <c r="I1878" t="n">
        <v>0</v>
      </c>
      <c r="J1878" t="n">
        <v>0</v>
      </c>
      <c r="K1878" t="n">
        <v>0</v>
      </c>
      <c r="L1878" t="n">
        <v>0</v>
      </c>
      <c r="M1878" t="n">
        <v>0</v>
      </c>
      <c r="N1878" t="n">
        <v>0</v>
      </c>
      <c r="O1878" t="n">
        <v>0</v>
      </c>
      <c r="P1878" t="n">
        <v>0</v>
      </c>
      <c r="Q1878" t="n">
        <v>0</v>
      </c>
      <c r="R1878" s="2" t="inlineStr"/>
    </row>
    <row r="1879" ht="15" customHeight="1">
      <c r="A1879" t="inlineStr">
        <is>
          <t>A 23866-2020</t>
        </is>
      </c>
      <c r="B1879" s="1" t="n">
        <v>43971</v>
      </c>
      <c r="C1879" s="1" t="n">
        <v>45587</v>
      </c>
      <c r="D1879" t="inlineStr">
        <is>
          <t>GÄVLEBORGS LÄN</t>
        </is>
      </c>
      <c r="E1879" t="inlineStr">
        <is>
          <t>LJUSDAL</t>
        </is>
      </c>
      <c r="F1879" t="inlineStr">
        <is>
          <t>Sveaskog</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23990-2020</t>
        </is>
      </c>
      <c r="B1880" s="1" t="n">
        <v>43971</v>
      </c>
      <c r="C1880" s="1" t="n">
        <v>45587</v>
      </c>
      <c r="D1880" t="inlineStr">
        <is>
          <t>GÄVLEBORGS LÄN</t>
        </is>
      </c>
      <c r="E1880" t="inlineStr">
        <is>
          <t>HUDIKSVALL</t>
        </is>
      </c>
      <c r="F1880" t="inlineStr">
        <is>
          <t>Holmen skog AB</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23966-2020</t>
        </is>
      </c>
      <c r="B1881" s="1" t="n">
        <v>43971</v>
      </c>
      <c r="C1881" s="1" t="n">
        <v>45587</v>
      </c>
      <c r="D1881" t="inlineStr">
        <is>
          <t>GÄVLEBORGS LÄN</t>
        </is>
      </c>
      <c r="E1881" t="inlineStr">
        <is>
          <t>LJUSDAL</t>
        </is>
      </c>
      <c r="F1881" t="inlineStr">
        <is>
          <t>Holmen skog AB</t>
        </is>
      </c>
      <c r="G1881" t="n">
        <v>16.9</v>
      </c>
      <c r="H1881" t="n">
        <v>0</v>
      </c>
      <c r="I1881" t="n">
        <v>0</v>
      </c>
      <c r="J1881" t="n">
        <v>0</v>
      </c>
      <c r="K1881" t="n">
        <v>0</v>
      </c>
      <c r="L1881" t="n">
        <v>0</v>
      </c>
      <c r="M1881" t="n">
        <v>0</v>
      </c>
      <c r="N1881" t="n">
        <v>0</v>
      </c>
      <c r="O1881" t="n">
        <v>0</v>
      </c>
      <c r="P1881" t="n">
        <v>0</v>
      </c>
      <c r="Q1881" t="n">
        <v>0</v>
      </c>
      <c r="R1881" s="2" t="inlineStr"/>
    </row>
    <row r="1882" ht="15" customHeight="1">
      <c r="A1882" t="inlineStr">
        <is>
          <t>A 23981-2020</t>
        </is>
      </c>
      <c r="B1882" s="1" t="n">
        <v>43971</v>
      </c>
      <c r="C1882" s="1" t="n">
        <v>45587</v>
      </c>
      <c r="D1882" t="inlineStr">
        <is>
          <t>GÄVLEBORGS LÄN</t>
        </is>
      </c>
      <c r="E1882" t="inlineStr">
        <is>
          <t>LJUSDAL</t>
        </is>
      </c>
      <c r="F1882" t="inlineStr">
        <is>
          <t>Bergvik skog väst AB</t>
        </is>
      </c>
      <c r="G1882" t="n">
        <v>9.4</v>
      </c>
      <c r="H1882" t="n">
        <v>0</v>
      </c>
      <c r="I1882" t="n">
        <v>0</v>
      </c>
      <c r="J1882" t="n">
        <v>0</v>
      </c>
      <c r="K1882" t="n">
        <v>0</v>
      </c>
      <c r="L1882" t="n">
        <v>0</v>
      </c>
      <c r="M1882" t="n">
        <v>0</v>
      </c>
      <c r="N1882" t="n">
        <v>0</v>
      </c>
      <c r="O1882" t="n">
        <v>0</v>
      </c>
      <c r="P1882" t="n">
        <v>0</v>
      </c>
      <c r="Q1882" t="n">
        <v>0</v>
      </c>
      <c r="R1882" s="2" t="inlineStr"/>
    </row>
    <row r="1883" ht="15" customHeight="1">
      <c r="A1883" t="inlineStr">
        <is>
          <t>A 24125-2020</t>
        </is>
      </c>
      <c r="B1883" s="1" t="n">
        <v>43973</v>
      </c>
      <c r="C1883" s="1" t="n">
        <v>45587</v>
      </c>
      <c r="D1883" t="inlineStr">
        <is>
          <t>GÄVLEBORGS LÄN</t>
        </is>
      </c>
      <c r="E1883" t="inlineStr">
        <is>
          <t>NORDANSTIG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24102-2020</t>
        </is>
      </c>
      <c r="B1884" s="1" t="n">
        <v>43973</v>
      </c>
      <c r="C1884" s="1" t="n">
        <v>45587</v>
      </c>
      <c r="D1884" t="inlineStr">
        <is>
          <t>GÄVLEBORGS LÄN</t>
        </is>
      </c>
      <c r="E1884" t="inlineStr">
        <is>
          <t>NORDANSTIG</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24238-2020</t>
        </is>
      </c>
      <c r="B1885" s="1" t="n">
        <v>43976</v>
      </c>
      <c r="C1885" s="1" t="n">
        <v>45587</v>
      </c>
      <c r="D1885" t="inlineStr">
        <is>
          <t>GÄVLEBORGS LÄN</t>
        </is>
      </c>
      <c r="E1885" t="inlineStr">
        <is>
          <t>NORDANSTIG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24294-2020</t>
        </is>
      </c>
      <c r="B1886" s="1" t="n">
        <v>43976</v>
      </c>
      <c r="C1886" s="1" t="n">
        <v>45587</v>
      </c>
      <c r="D1886" t="inlineStr">
        <is>
          <t>GÄVLEBORGS LÄN</t>
        </is>
      </c>
      <c r="E1886" t="inlineStr">
        <is>
          <t>NORDANSTIG</t>
        </is>
      </c>
      <c r="F1886" t="inlineStr">
        <is>
          <t>Holmen skog AB</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24230-2020</t>
        </is>
      </c>
      <c r="B1887" s="1" t="n">
        <v>43976</v>
      </c>
      <c r="C1887" s="1" t="n">
        <v>45587</v>
      </c>
      <c r="D1887" t="inlineStr">
        <is>
          <t>GÄVLEBORGS LÄN</t>
        </is>
      </c>
      <c r="E1887" t="inlineStr">
        <is>
          <t>NORDANSTIG</t>
        </is>
      </c>
      <c r="F1887" t="inlineStr">
        <is>
          <t>Holmen skog AB</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24437-2020</t>
        </is>
      </c>
      <c r="B1888" s="1" t="n">
        <v>43977</v>
      </c>
      <c r="C1888" s="1" t="n">
        <v>45587</v>
      </c>
      <c r="D1888" t="inlineStr">
        <is>
          <t>GÄVLEBORGS LÄN</t>
        </is>
      </c>
      <c r="E1888" t="inlineStr">
        <is>
          <t>OCKELBO</t>
        </is>
      </c>
      <c r="F1888" t="inlineStr">
        <is>
          <t>Bergvik skog väst AB</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24603-2020</t>
        </is>
      </c>
      <c r="B1889" s="1" t="n">
        <v>43977</v>
      </c>
      <c r="C1889" s="1" t="n">
        <v>45587</v>
      </c>
      <c r="D1889" t="inlineStr">
        <is>
          <t>GÄVLEBORGS LÄN</t>
        </is>
      </c>
      <c r="E1889" t="inlineStr">
        <is>
          <t>NORDANSTIG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24621-2020</t>
        </is>
      </c>
      <c r="B1890" s="1" t="n">
        <v>43977</v>
      </c>
      <c r="C1890" s="1" t="n">
        <v>45587</v>
      </c>
      <c r="D1890" t="inlineStr">
        <is>
          <t>GÄVLEBORGS LÄN</t>
        </is>
      </c>
      <c r="E1890" t="inlineStr">
        <is>
          <t>LJUSDAL</t>
        </is>
      </c>
      <c r="F1890" t="inlineStr">
        <is>
          <t>Sveaskog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24721-2020</t>
        </is>
      </c>
      <c r="B1891" s="1" t="n">
        <v>43978</v>
      </c>
      <c r="C1891" s="1" t="n">
        <v>45587</v>
      </c>
      <c r="D1891" t="inlineStr">
        <is>
          <t>GÄVLEBORGS LÄN</t>
        </is>
      </c>
      <c r="E1891" t="inlineStr">
        <is>
          <t>NORDANSTIG</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24824-2020</t>
        </is>
      </c>
      <c r="B1892" s="1" t="n">
        <v>43978</v>
      </c>
      <c r="C1892" s="1" t="n">
        <v>45587</v>
      </c>
      <c r="D1892" t="inlineStr">
        <is>
          <t>GÄVLEBORGS LÄN</t>
        </is>
      </c>
      <c r="E1892" t="inlineStr">
        <is>
          <t>LJUSDAL</t>
        </is>
      </c>
      <c r="G1892" t="n">
        <v>0.1</v>
      </c>
      <c r="H1892" t="n">
        <v>0</v>
      </c>
      <c r="I1892" t="n">
        <v>0</v>
      </c>
      <c r="J1892" t="n">
        <v>0</v>
      </c>
      <c r="K1892" t="n">
        <v>0</v>
      </c>
      <c r="L1892" t="n">
        <v>0</v>
      </c>
      <c r="M1892" t="n">
        <v>0</v>
      </c>
      <c r="N1892" t="n">
        <v>0</v>
      </c>
      <c r="O1892" t="n">
        <v>0</v>
      </c>
      <c r="P1892" t="n">
        <v>0</v>
      </c>
      <c r="Q1892" t="n">
        <v>0</v>
      </c>
      <c r="R1892" s="2" t="inlineStr"/>
    </row>
    <row r="1893" ht="15" customHeight="1">
      <c r="A1893" t="inlineStr">
        <is>
          <t>A 24780-2020</t>
        </is>
      </c>
      <c r="B1893" s="1" t="n">
        <v>43978</v>
      </c>
      <c r="C1893" s="1" t="n">
        <v>45587</v>
      </c>
      <c r="D1893" t="inlineStr">
        <is>
          <t>GÄVLEBORGS LÄN</t>
        </is>
      </c>
      <c r="E1893" t="inlineStr">
        <is>
          <t>GÄVLE</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25060-2020</t>
        </is>
      </c>
      <c r="B1894" s="1" t="n">
        <v>43979</v>
      </c>
      <c r="C1894" s="1" t="n">
        <v>45587</v>
      </c>
      <c r="D1894" t="inlineStr">
        <is>
          <t>GÄVLEBORGS LÄN</t>
        </is>
      </c>
      <c r="E1894" t="inlineStr">
        <is>
          <t>LJUSDAL</t>
        </is>
      </c>
      <c r="F1894" t="inlineStr">
        <is>
          <t>Sveaskog</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25009-2020</t>
        </is>
      </c>
      <c r="B1895" s="1" t="n">
        <v>43979</v>
      </c>
      <c r="C1895" s="1" t="n">
        <v>45587</v>
      </c>
      <c r="D1895" t="inlineStr">
        <is>
          <t>GÄVLEBORGS LÄN</t>
        </is>
      </c>
      <c r="E1895" t="inlineStr">
        <is>
          <t>GÄVLE</t>
        </is>
      </c>
      <c r="F1895" t="inlineStr">
        <is>
          <t>Bergvik skog öst AB</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25024-2020</t>
        </is>
      </c>
      <c r="B1896" s="1" t="n">
        <v>43979</v>
      </c>
      <c r="C1896" s="1" t="n">
        <v>45587</v>
      </c>
      <c r="D1896" t="inlineStr">
        <is>
          <t>GÄVLEBORGS LÄN</t>
        </is>
      </c>
      <c r="E1896" t="inlineStr">
        <is>
          <t>NORDANSTIG</t>
        </is>
      </c>
      <c r="G1896" t="n">
        <v>11.2</v>
      </c>
      <c r="H1896" t="n">
        <v>0</v>
      </c>
      <c r="I1896" t="n">
        <v>0</v>
      </c>
      <c r="J1896" t="n">
        <v>0</v>
      </c>
      <c r="K1896" t="n">
        <v>0</v>
      </c>
      <c r="L1896" t="n">
        <v>0</v>
      </c>
      <c r="M1896" t="n">
        <v>0</v>
      </c>
      <c r="N1896" t="n">
        <v>0</v>
      </c>
      <c r="O1896" t="n">
        <v>0</v>
      </c>
      <c r="P1896" t="n">
        <v>0</v>
      </c>
      <c r="Q1896" t="n">
        <v>0</v>
      </c>
      <c r="R1896" s="2" t="inlineStr"/>
    </row>
    <row r="1897" ht="15" customHeight="1">
      <c r="A1897" t="inlineStr">
        <is>
          <t>A 25032-2020</t>
        </is>
      </c>
      <c r="B1897" s="1" t="n">
        <v>43979</v>
      </c>
      <c r="C1897" s="1" t="n">
        <v>45587</v>
      </c>
      <c r="D1897" t="inlineStr">
        <is>
          <t>GÄVLEBORGS LÄN</t>
        </is>
      </c>
      <c r="E1897" t="inlineStr">
        <is>
          <t>NORDANSTIG</t>
        </is>
      </c>
      <c r="G1897" t="n">
        <v>11.2</v>
      </c>
      <c r="H1897" t="n">
        <v>0</v>
      </c>
      <c r="I1897" t="n">
        <v>0</v>
      </c>
      <c r="J1897" t="n">
        <v>0</v>
      </c>
      <c r="K1897" t="n">
        <v>0</v>
      </c>
      <c r="L1897" t="n">
        <v>0</v>
      </c>
      <c r="M1897" t="n">
        <v>0</v>
      </c>
      <c r="N1897" t="n">
        <v>0</v>
      </c>
      <c r="O1897" t="n">
        <v>0</v>
      </c>
      <c r="P1897" t="n">
        <v>0</v>
      </c>
      <c r="Q1897" t="n">
        <v>0</v>
      </c>
      <c r="R1897" s="2" t="inlineStr"/>
    </row>
    <row r="1898" ht="15" customHeight="1">
      <c r="A1898" t="inlineStr">
        <is>
          <t>A 24901-2020</t>
        </is>
      </c>
      <c r="B1898" s="1" t="n">
        <v>43979</v>
      </c>
      <c r="C1898" s="1" t="n">
        <v>45587</v>
      </c>
      <c r="D1898" t="inlineStr">
        <is>
          <t>GÄVLEBORGS LÄN</t>
        </is>
      </c>
      <c r="E1898" t="inlineStr">
        <is>
          <t>SÖDERHAMN</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24899-2020</t>
        </is>
      </c>
      <c r="B1899" s="1" t="n">
        <v>43979</v>
      </c>
      <c r="C1899" s="1" t="n">
        <v>45587</v>
      </c>
      <c r="D1899" t="inlineStr">
        <is>
          <t>GÄVLEBORGS LÄN</t>
        </is>
      </c>
      <c r="E1899" t="inlineStr">
        <is>
          <t>LJUSDAL</t>
        </is>
      </c>
      <c r="F1899" t="inlineStr">
        <is>
          <t>Sveaskog</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24909-2020</t>
        </is>
      </c>
      <c r="B1900" s="1" t="n">
        <v>43979</v>
      </c>
      <c r="C1900" s="1" t="n">
        <v>45587</v>
      </c>
      <c r="D1900" t="inlineStr">
        <is>
          <t>GÄVLEBORGS LÄN</t>
        </is>
      </c>
      <c r="E1900" t="inlineStr">
        <is>
          <t>HUDIKSVALL</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25014-2020</t>
        </is>
      </c>
      <c r="B1901" s="1" t="n">
        <v>43979</v>
      </c>
      <c r="C1901" s="1" t="n">
        <v>45587</v>
      </c>
      <c r="D1901" t="inlineStr">
        <is>
          <t>GÄVLEBORGS LÄN</t>
        </is>
      </c>
      <c r="E1901" t="inlineStr">
        <is>
          <t>LJUSDAL</t>
        </is>
      </c>
      <c r="F1901" t="inlineStr">
        <is>
          <t>Sveaskog</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25018-2020</t>
        </is>
      </c>
      <c r="B1902" s="1" t="n">
        <v>43979</v>
      </c>
      <c r="C1902" s="1" t="n">
        <v>45587</v>
      </c>
      <c r="D1902" t="inlineStr">
        <is>
          <t>GÄVLEBORGS LÄN</t>
        </is>
      </c>
      <c r="E1902" t="inlineStr">
        <is>
          <t>LJUSDAL</t>
        </is>
      </c>
      <c r="F1902" t="inlineStr">
        <is>
          <t>Sveaskog</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25015-2020</t>
        </is>
      </c>
      <c r="B1903" s="1" t="n">
        <v>43979</v>
      </c>
      <c r="C1903" s="1" t="n">
        <v>45587</v>
      </c>
      <c r="D1903" t="inlineStr">
        <is>
          <t>GÄVLEBORGS LÄN</t>
        </is>
      </c>
      <c r="E1903" t="inlineStr">
        <is>
          <t>LJUSDAL</t>
        </is>
      </c>
      <c r="F1903" t="inlineStr">
        <is>
          <t>Sveaskog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25220-2020</t>
        </is>
      </c>
      <c r="B1904" s="1" t="n">
        <v>43980</v>
      </c>
      <c r="C1904" s="1" t="n">
        <v>45587</v>
      </c>
      <c r="D1904" t="inlineStr">
        <is>
          <t>GÄVLEBORGS LÄN</t>
        </is>
      </c>
      <c r="E1904" t="inlineStr">
        <is>
          <t>GÄVLE</t>
        </is>
      </c>
      <c r="G1904" t="n">
        <v>9</v>
      </c>
      <c r="H1904" t="n">
        <v>0</v>
      </c>
      <c r="I1904" t="n">
        <v>0</v>
      </c>
      <c r="J1904" t="n">
        <v>0</v>
      </c>
      <c r="K1904" t="n">
        <v>0</v>
      </c>
      <c r="L1904" t="n">
        <v>0</v>
      </c>
      <c r="M1904" t="n">
        <v>0</v>
      </c>
      <c r="N1904" t="n">
        <v>0</v>
      </c>
      <c r="O1904" t="n">
        <v>0</v>
      </c>
      <c r="P1904" t="n">
        <v>0</v>
      </c>
      <c r="Q1904" t="n">
        <v>0</v>
      </c>
      <c r="R1904" s="2" t="inlineStr"/>
    </row>
    <row r="1905" ht="15" customHeight="1">
      <c r="A1905" t="inlineStr">
        <is>
          <t>A 25270-2020</t>
        </is>
      </c>
      <c r="B1905" s="1" t="n">
        <v>43980</v>
      </c>
      <c r="C1905" s="1" t="n">
        <v>45587</v>
      </c>
      <c r="D1905" t="inlineStr">
        <is>
          <t>GÄVLEBORGS LÄN</t>
        </is>
      </c>
      <c r="E1905" t="inlineStr">
        <is>
          <t>HUDIKSVALL</t>
        </is>
      </c>
      <c r="F1905" t="inlineStr">
        <is>
          <t>Holmen skog AB</t>
        </is>
      </c>
      <c r="G1905" t="n">
        <v>2.1</v>
      </c>
      <c r="H1905" t="n">
        <v>0</v>
      </c>
      <c r="I1905" t="n">
        <v>0</v>
      </c>
      <c r="J1905" t="n">
        <v>0</v>
      </c>
      <c r="K1905" t="n">
        <v>0</v>
      </c>
      <c r="L1905" t="n">
        <v>0</v>
      </c>
      <c r="M1905" t="n">
        <v>0</v>
      </c>
      <c r="N1905" t="n">
        <v>0</v>
      </c>
      <c r="O1905" t="n">
        <v>0</v>
      </c>
      <c r="P1905" t="n">
        <v>0</v>
      </c>
      <c r="Q1905" t="n">
        <v>0</v>
      </c>
      <c r="R1905" s="2" t="inlineStr"/>
      <c r="U1905">
        <f>HYPERLINK("https://klasma.github.io/Logging_2184/knärot/A 25270-2020 karta knärot.png", "A 25270-2020")</f>
        <v/>
      </c>
      <c r="V1905">
        <f>HYPERLINK("https://klasma.github.io/Logging_2184/klagomål/A 25270-2020 FSC-klagomål.docx", "A 25270-2020")</f>
        <v/>
      </c>
      <c r="W1905">
        <f>HYPERLINK("https://klasma.github.io/Logging_2184/klagomålsmail/A 25270-2020 FSC-klagomål mail.docx", "A 25270-2020")</f>
        <v/>
      </c>
      <c r="X1905">
        <f>HYPERLINK("https://klasma.github.io/Logging_2184/tillsyn/A 25270-2020 tillsynsbegäran.docx", "A 25270-2020")</f>
        <v/>
      </c>
      <c r="Y1905">
        <f>HYPERLINK("https://klasma.github.io/Logging_2184/tillsynsmail/A 25270-2020 tillsynsbegäran mail.docx", "A 25270-2020")</f>
        <v/>
      </c>
    </row>
    <row r="1906" ht="15" customHeight="1">
      <c r="A1906" t="inlineStr">
        <is>
          <t>A 25242-2020</t>
        </is>
      </c>
      <c r="B1906" s="1" t="n">
        <v>43980</v>
      </c>
      <c r="C1906" s="1" t="n">
        <v>45587</v>
      </c>
      <c r="D1906" t="inlineStr">
        <is>
          <t>GÄVLEBORGS LÄN</t>
        </is>
      </c>
      <c r="E1906" t="inlineStr">
        <is>
          <t>SANDVIKEN</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25219-2020</t>
        </is>
      </c>
      <c r="B1907" s="1" t="n">
        <v>43980</v>
      </c>
      <c r="C1907" s="1" t="n">
        <v>45587</v>
      </c>
      <c r="D1907" t="inlineStr">
        <is>
          <t>GÄVLEBORGS LÄN</t>
        </is>
      </c>
      <c r="E1907" t="inlineStr">
        <is>
          <t>HUDIKSVALL</t>
        </is>
      </c>
      <c r="F1907" t="inlineStr">
        <is>
          <t>Holmen skog AB</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25275-2020</t>
        </is>
      </c>
      <c r="B1908" s="1" t="n">
        <v>43980</v>
      </c>
      <c r="C1908" s="1" t="n">
        <v>45587</v>
      </c>
      <c r="D1908" t="inlineStr">
        <is>
          <t>GÄVLEBORGS LÄN</t>
        </is>
      </c>
      <c r="E1908" t="inlineStr">
        <is>
          <t>HUDIKSVALL</t>
        </is>
      </c>
      <c r="F1908" t="inlineStr">
        <is>
          <t>Holmen skog AB</t>
        </is>
      </c>
      <c r="G1908" t="n">
        <v>18.6</v>
      </c>
      <c r="H1908" t="n">
        <v>0</v>
      </c>
      <c r="I1908" t="n">
        <v>0</v>
      </c>
      <c r="J1908" t="n">
        <v>0</v>
      </c>
      <c r="K1908" t="n">
        <v>0</v>
      </c>
      <c r="L1908" t="n">
        <v>0</v>
      </c>
      <c r="M1908" t="n">
        <v>0</v>
      </c>
      <c r="N1908" t="n">
        <v>0</v>
      </c>
      <c r="O1908" t="n">
        <v>0</v>
      </c>
      <c r="P1908" t="n">
        <v>0</v>
      </c>
      <c r="Q1908" t="n">
        <v>0</v>
      </c>
      <c r="R1908" s="2" t="inlineStr"/>
    </row>
    <row r="1909" ht="15" customHeight="1">
      <c r="A1909" t="inlineStr">
        <is>
          <t>A 25303-2020</t>
        </is>
      </c>
      <c r="B1909" s="1" t="n">
        <v>43980</v>
      </c>
      <c r="C1909" s="1" t="n">
        <v>45587</v>
      </c>
      <c r="D1909" t="inlineStr">
        <is>
          <t>GÄVLEBORGS LÄN</t>
        </is>
      </c>
      <c r="E1909" t="inlineStr">
        <is>
          <t>NORDANSTIG</t>
        </is>
      </c>
      <c r="F1909" t="inlineStr">
        <is>
          <t>Holmen skog AB</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25532-2020</t>
        </is>
      </c>
      <c r="B1910" s="1" t="n">
        <v>43983</v>
      </c>
      <c r="C1910" s="1" t="n">
        <v>45587</v>
      </c>
      <c r="D1910" t="inlineStr">
        <is>
          <t>GÄVLEBORGS LÄN</t>
        </is>
      </c>
      <c r="E1910" t="inlineStr">
        <is>
          <t>GÄVLE</t>
        </is>
      </c>
      <c r="F1910" t="inlineStr">
        <is>
          <t>Bergvik skog väst AB</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25548-2020</t>
        </is>
      </c>
      <c r="B1911" s="1" t="n">
        <v>43983</v>
      </c>
      <c r="C1911" s="1" t="n">
        <v>45587</v>
      </c>
      <c r="D1911" t="inlineStr">
        <is>
          <t>GÄVLEBORGS LÄN</t>
        </is>
      </c>
      <c r="E1911" t="inlineStr">
        <is>
          <t>OCKELBO</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25652-2020</t>
        </is>
      </c>
      <c r="B1912" s="1" t="n">
        <v>43983</v>
      </c>
      <c r="C1912" s="1" t="n">
        <v>45587</v>
      </c>
      <c r="D1912" t="inlineStr">
        <is>
          <t>GÄVLEBORGS LÄN</t>
        </is>
      </c>
      <c r="E1912" t="inlineStr">
        <is>
          <t>NORDANSTIG</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25671-2020</t>
        </is>
      </c>
      <c r="B1913" s="1" t="n">
        <v>43983</v>
      </c>
      <c r="C1913" s="1" t="n">
        <v>45587</v>
      </c>
      <c r="D1913" t="inlineStr">
        <is>
          <t>GÄVLEBORGS LÄN</t>
        </is>
      </c>
      <c r="E1913" t="inlineStr">
        <is>
          <t>NORDANSTIG</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25733-2020</t>
        </is>
      </c>
      <c r="B1914" s="1" t="n">
        <v>43984</v>
      </c>
      <c r="C1914" s="1" t="n">
        <v>45587</v>
      </c>
      <c r="D1914" t="inlineStr">
        <is>
          <t>GÄVLEBORGS LÄN</t>
        </is>
      </c>
      <c r="E1914" t="inlineStr">
        <is>
          <t>OCKELBO</t>
        </is>
      </c>
      <c r="F1914" t="inlineStr">
        <is>
          <t>Bergvik skog väst AB</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25697-2020</t>
        </is>
      </c>
      <c r="B1915" s="1" t="n">
        <v>43984</v>
      </c>
      <c r="C1915" s="1" t="n">
        <v>45587</v>
      </c>
      <c r="D1915" t="inlineStr">
        <is>
          <t>GÄVLEBORGS LÄN</t>
        </is>
      </c>
      <c r="E1915" t="inlineStr">
        <is>
          <t>HUDIKSVALL</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25896-2020</t>
        </is>
      </c>
      <c r="B1916" s="1" t="n">
        <v>43984</v>
      </c>
      <c r="C1916" s="1" t="n">
        <v>45587</v>
      </c>
      <c r="D1916" t="inlineStr">
        <is>
          <t>GÄVLEBORGS LÄN</t>
        </is>
      </c>
      <c r="E1916" t="inlineStr">
        <is>
          <t>SÖDERHAMN</t>
        </is>
      </c>
      <c r="F1916" t="inlineStr">
        <is>
          <t>Bergvik skog väst AB</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25925-2020</t>
        </is>
      </c>
      <c r="B1917" s="1" t="n">
        <v>43984</v>
      </c>
      <c r="C1917" s="1" t="n">
        <v>45587</v>
      </c>
      <c r="D1917" t="inlineStr">
        <is>
          <t>GÄVLEBORGS LÄN</t>
        </is>
      </c>
      <c r="E1917" t="inlineStr">
        <is>
          <t>NORDANSTIG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25969-2020</t>
        </is>
      </c>
      <c r="B1918" s="1" t="n">
        <v>43985</v>
      </c>
      <c r="C1918" s="1" t="n">
        <v>45587</v>
      </c>
      <c r="D1918" t="inlineStr">
        <is>
          <t>GÄVLEBORGS LÄN</t>
        </is>
      </c>
      <c r="E1918" t="inlineStr">
        <is>
          <t>OVANÅKER</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26150-2020</t>
        </is>
      </c>
      <c r="B1919" s="1" t="n">
        <v>43985</v>
      </c>
      <c r="C1919" s="1" t="n">
        <v>45587</v>
      </c>
      <c r="D1919" t="inlineStr">
        <is>
          <t>GÄVLEBORGS LÄN</t>
        </is>
      </c>
      <c r="E1919" t="inlineStr">
        <is>
          <t>NORDANSTIG</t>
        </is>
      </c>
      <c r="G1919" t="n">
        <v>6.8</v>
      </c>
      <c r="H1919" t="n">
        <v>0</v>
      </c>
      <c r="I1919" t="n">
        <v>0</v>
      </c>
      <c r="J1919" t="n">
        <v>0</v>
      </c>
      <c r="K1919" t="n">
        <v>0</v>
      </c>
      <c r="L1919" t="n">
        <v>0</v>
      </c>
      <c r="M1919" t="n">
        <v>0</v>
      </c>
      <c r="N1919" t="n">
        <v>0</v>
      </c>
      <c r="O1919" t="n">
        <v>0</v>
      </c>
      <c r="P1919" t="n">
        <v>0</v>
      </c>
      <c r="Q1919" t="n">
        <v>0</v>
      </c>
      <c r="R1919" s="2" t="inlineStr"/>
    </row>
    <row r="1920" ht="15" customHeight="1">
      <c r="A1920" t="inlineStr">
        <is>
          <t>A 26001-2020</t>
        </is>
      </c>
      <c r="B1920" s="1" t="n">
        <v>43985</v>
      </c>
      <c r="C1920" s="1" t="n">
        <v>45587</v>
      </c>
      <c r="D1920" t="inlineStr">
        <is>
          <t>GÄVLEBORGS LÄN</t>
        </is>
      </c>
      <c r="E1920" t="inlineStr">
        <is>
          <t>HUDIKSVALL</t>
        </is>
      </c>
      <c r="F1920" t="inlineStr">
        <is>
          <t>Holmen skog AB</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26285-2020</t>
        </is>
      </c>
      <c r="B1921" s="1" t="n">
        <v>43986</v>
      </c>
      <c r="C1921" s="1" t="n">
        <v>45587</v>
      </c>
      <c r="D1921" t="inlineStr">
        <is>
          <t>GÄVLEBORGS LÄN</t>
        </is>
      </c>
      <c r="E1921" t="inlineStr">
        <is>
          <t>NORDANSTIG</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26446-2020</t>
        </is>
      </c>
      <c r="B1922" s="1" t="n">
        <v>43987</v>
      </c>
      <c r="C1922" s="1" t="n">
        <v>45587</v>
      </c>
      <c r="D1922" t="inlineStr">
        <is>
          <t>GÄVLEBORGS LÄN</t>
        </is>
      </c>
      <c r="E1922" t="inlineStr">
        <is>
          <t>BOLLNÄS</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26506-2020</t>
        </is>
      </c>
      <c r="B1923" s="1" t="n">
        <v>43987</v>
      </c>
      <c r="C1923" s="1" t="n">
        <v>45587</v>
      </c>
      <c r="D1923" t="inlineStr">
        <is>
          <t>GÄVLEBORGS LÄN</t>
        </is>
      </c>
      <c r="E1923" t="inlineStr">
        <is>
          <t>OVANÅKER</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26583-2020</t>
        </is>
      </c>
      <c r="B1924" s="1" t="n">
        <v>43987</v>
      </c>
      <c r="C1924" s="1" t="n">
        <v>45587</v>
      </c>
      <c r="D1924" t="inlineStr">
        <is>
          <t>GÄVLEBORGS LÄN</t>
        </is>
      </c>
      <c r="E1924" t="inlineStr">
        <is>
          <t>OVANÅKER</t>
        </is>
      </c>
      <c r="F1924" t="inlineStr">
        <is>
          <t>Bergvik skog väst AB</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26712-2020</t>
        </is>
      </c>
      <c r="B1925" s="1" t="n">
        <v>43990</v>
      </c>
      <c r="C1925" s="1" t="n">
        <v>45587</v>
      </c>
      <c r="D1925" t="inlineStr">
        <is>
          <t>GÄVLEBORGS LÄN</t>
        </is>
      </c>
      <c r="E1925" t="inlineStr">
        <is>
          <t>LJUSDAL</t>
        </is>
      </c>
      <c r="F1925" t="inlineStr">
        <is>
          <t>Holmen skog AB</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26763-2020</t>
        </is>
      </c>
      <c r="B1926" s="1" t="n">
        <v>43990</v>
      </c>
      <c r="C1926" s="1" t="n">
        <v>45587</v>
      </c>
      <c r="D1926" t="inlineStr">
        <is>
          <t>GÄVLEBORGS LÄN</t>
        </is>
      </c>
      <c r="E1926" t="inlineStr">
        <is>
          <t>GÄVLE</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26790-2020</t>
        </is>
      </c>
      <c r="B1927" s="1" t="n">
        <v>43990</v>
      </c>
      <c r="C1927" s="1" t="n">
        <v>45587</v>
      </c>
      <c r="D1927" t="inlineStr">
        <is>
          <t>GÄVLEBORGS LÄN</t>
        </is>
      </c>
      <c r="E1927" t="inlineStr">
        <is>
          <t>GÄVLE</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26781-2020</t>
        </is>
      </c>
      <c r="B1928" s="1" t="n">
        <v>43990</v>
      </c>
      <c r="C1928" s="1" t="n">
        <v>45587</v>
      </c>
      <c r="D1928" t="inlineStr">
        <is>
          <t>GÄVLEBORGS LÄN</t>
        </is>
      </c>
      <c r="E1928" t="inlineStr">
        <is>
          <t>GÄVLE</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26950-2020</t>
        </is>
      </c>
      <c r="B1929" s="1" t="n">
        <v>43990</v>
      </c>
      <c r="C1929" s="1" t="n">
        <v>45587</v>
      </c>
      <c r="D1929" t="inlineStr">
        <is>
          <t>GÄVLEBORGS LÄN</t>
        </is>
      </c>
      <c r="E1929" t="inlineStr">
        <is>
          <t>LJUSDAL</t>
        </is>
      </c>
      <c r="F1929" t="inlineStr">
        <is>
          <t>Bergvik skog väst AB</t>
        </is>
      </c>
      <c r="G1929" t="n">
        <v>14.8</v>
      </c>
      <c r="H1929" t="n">
        <v>0</v>
      </c>
      <c r="I1929" t="n">
        <v>0</v>
      </c>
      <c r="J1929" t="n">
        <v>0</v>
      </c>
      <c r="K1929" t="n">
        <v>0</v>
      </c>
      <c r="L1929" t="n">
        <v>0</v>
      </c>
      <c r="M1929" t="n">
        <v>0</v>
      </c>
      <c r="N1929" t="n">
        <v>0</v>
      </c>
      <c r="O1929" t="n">
        <v>0</v>
      </c>
      <c r="P1929" t="n">
        <v>0</v>
      </c>
      <c r="Q1929" t="n">
        <v>0</v>
      </c>
      <c r="R1929" s="2" t="inlineStr"/>
    </row>
    <row r="1930" ht="15" customHeight="1">
      <c r="A1930" t="inlineStr">
        <is>
          <t>A 27175-2020</t>
        </is>
      </c>
      <c r="B1930" s="1" t="n">
        <v>43991</v>
      </c>
      <c r="C1930" s="1" t="n">
        <v>45587</v>
      </c>
      <c r="D1930" t="inlineStr">
        <is>
          <t>GÄVLEBORGS LÄN</t>
        </is>
      </c>
      <c r="E1930" t="inlineStr">
        <is>
          <t>NORDANSTIG</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27561-2020</t>
        </is>
      </c>
      <c r="B1931" s="1" t="n">
        <v>43991</v>
      </c>
      <c r="C1931" s="1" t="n">
        <v>45587</v>
      </c>
      <c r="D1931" t="inlineStr">
        <is>
          <t>GÄVLEBORGS LÄN</t>
        </is>
      </c>
      <c r="E1931" t="inlineStr">
        <is>
          <t>BOLLNÄS</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27079-2020</t>
        </is>
      </c>
      <c r="B1932" s="1" t="n">
        <v>43991</v>
      </c>
      <c r="C1932" s="1" t="n">
        <v>45587</v>
      </c>
      <c r="D1932" t="inlineStr">
        <is>
          <t>GÄVLEBORGS LÄN</t>
        </is>
      </c>
      <c r="E1932" t="inlineStr">
        <is>
          <t>LJUSDAL</t>
        </is>
      </c>
      <c r="F1932" t="inlineStr">
        <is>
          <t>Bergvik skog väst AB</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27146-2020</t>
        </is>
      </c>
      <c r="B1933" s="1" t="n">
        <v>43991</v>
      </c>
      <c r="C1933" s="1" t="n">
        <v>45587</v>
      </c>
      <c r="D1933" t="inlineStr">
        <is>
          <t>GÄVLEBORGS LÄN</t>
        </is>
      </c>
      <c r="E1933" t="inlineStr">
        <is>
          <t>SANDVIKEN</t>
        </is>
      </c>
      <c r="F1933" t="inlineStr">
        <is>
          <t>Sveaskog</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27176-2020</t>
        </is>
      </c>
      <c r="B1934" s="1" t="n">
        <v>43991</v>
      </c>
      <c r="C1934" s="1" t="n">
        <v>45587</v>
      </c>
      <c r="D1934" t="inlineStr">
        <is>
          <t>GÄVLEBORGS LÄN</t>
        </is>
      </c>
      <c r="E1934" t="inlineStr">
        <is>
          <t>NORDANSTIG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27100-2020</t>
        </is>
      </c>
      <c r="B1935" s="1" t="n">
        <v>43991</v>
      </c>
      <c r="C1935" s="1" t="n">
        <v>45587</v>
      </c>
      <c r="D1935" t="inlineStr">
        <is>
          <t>GÄVLEBORGS LÄN</t>
        </is>
      </c>
      <c r="E1935" t="inlineStr">
        <is>
          <t>SÖDERHAMN</t>
        </is>
      </c>
      <c r="F1935" t="inlineStr">
        <is>
          <t>Bergvik skog väst AB</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27034-2020</t>
        </is>
      </c>
      <c r="B1936" s="1" t="n">
        <v>43991</v>
      </c>
      <c r="C1936" s="1" t="n">
        <v>45587</v>
      </c>
      <c r="D1936" t="inlineStr">
        <is>
          <t>GÄVLEBORGS LÄN</t>
        </is>
      </c>
      <c r="E1936" t="inlineStr">
        <is>
          <t>OCKELBO</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27217-2020</t>
        </is>
      </c>
      <c r="B1937" s="1" t="n">
        <v>43992</v>
      </c>
      <c r="C1937" s="1" t="n">
        <v>45587</v>
      </c>
      <c r="D1937" t="inlineStr">
        <is>
          <t>GÄVLEBORGS LÄN</t>
        </is>
      </c>
      <c r="E1937" t="inlineStr">
        <is>
          <t>HUDIKSVALL</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27237-2020</t>
        </is>
      </c>
      <c r="B1938" s="1" t="n">
        <v>43992</v>
      </c>
      <c r="C1938" s="1" t="n">
        <v>45587</v>
      </c>
      <c r="D1938" t="inlineStr">
        <is>
          <t>GÄVLEBORGS LÄN</t>
        </is>
      </c>
      <c r="E1938" t="inlineStr">
        <is>
          <t>NORDANSTIG</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27269-2020</t>
        </is>
      </c>
      <c r="B1939" s="1" t="n">
        <v>43992</v>
      </c>
      <c r="C1939" s="1" t="n">
        <v>45587</v>
      </c>
      <c r="D1939" t="inlineStr">
        <is>
          <t>GÄVLEBORGS LÄN</t>
        </is>
      </c>
      <c r="E1939" t="inlineStr">
        <is>
          <t>OVANÅKER</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27444-2020</t>
        </is>
      </c>
      <c r="B1940" s="1" t="n">
        <v>43993</v>
      </c>
      <c r="C1940" s="1" t="n">
        <v>45587</v>
      </c>
      <c r="D1940" t="inlineStr">
        <is>
          <t>GÄVLEBORGS LÄN</t>
        </is>
      </c>
      <c r="E1940" t="inlineStr">
        <is>
          <t>SANDVIKEN</t>
        </is>
      </c>
      <c r="F1940" t="inlineStr">
        <is>
          <t>Sveaskog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27526-2020</t>
        </is>
      </c>
      <c r="B1941" s="1" t="n">
        <v>43993</v>
      </c>
      <c r="C1941" s="1" t="n">
        <v>45587</v>
      </c>
      <c r="D1941" t="inlineStr">
        <is>
          <t>GÄVLEBORGS LÄN</t>
        </is>
      </c>
      <c r="E1941" t="inlineStr">
        <is>
          <t>BOLLNÄS</t>
        </is>
      </c>
      <c r="F1941" t="inlineStr">
        <is>
          <t>Sveaskog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27440-2020</t>
        </is>
      </c>
      <c r="B1942" s="1" t="n">
        <v>43993</v>
      </c>
      <c r="C1942" s="1" t="n">
        <v>45587</v>
      </c>
      <c r="D1942" t="inlineStr">
        <is>
          <t>GÄVLEBORGS LÄN</t>
        </is>
      </c>
      <c r="E1942" t="inlineStr">
        <is>
          <t>BOLLNÄS</t>
        </is>
      </c>
      <c r="F1942" t="inlineStr">
        <is>
          <t>Sveaskog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27563-2020</t>
        </is>
      </c>
      <c r="B1943" s="1" t="n">
        <v>43993</v>
      </c>
      <c r="C1943" s="1" t="n">
        <v>45587</v>
      </c>
      <c r="D1943" t="inlineStr">
        <is>
          <t>GÄVLEBORGS LÄN</t>
        </is>
      </c>
      <c r="E1943" t="inlineStr">
        <is>
          <t>HUDIKSVALL</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27430-2020</t>
        </is>
      </c>
      <c r="B1944" s="1" t="n">
        <v>43993</v>
      </c>
      <c r="C1944" s="1" t="n">
        <v>45587</v>
      </c>
      <c r="D1944" t="inlineStr">
        <is>
          <t>GÄVLEBORGS LÄN</t>
        </is>
      </c>
      <c r="E1944" t="inlineStr">
        <is>
          <t>LJUSDAL</t>
        </is>
      </c>
      <c r="F1944" t="inlineStr">
        <is>
          <t>Sveaskog</t>
        </is>
      </c>
      <c r="G1944" t="n">
        <v>5.3</v>
      </c>
      <c r="H1944" t="n">
        <v>0</v>
      </c>
      <c r="I1944" t="n">
        <v>0</v>
      </c>
      <c r="J1944" t="n">
        <v>0</v>
      </c>
      <c r="K1944" t="n">
        <v>0</v>
      </c>
      <c r="L1944" t="n">
        <v>0</v>
      </c>
      <c r="M1944" t="n">
        <v>0</v>
      </c>
      <c r="N1944" t="n">
        <v>0</v>
      </c>
      <c r="O1944" t="n">
        <v>0</v>
      </c>
      <c r="P1944" t="n">
        <v>0</v>
      </c>
      <c r="Q1944" t="n">
        <v>0</v>
      </c>
      <c r="R1944" s="2" t="inlineStr"/>
    </row>
    <row r="1945" ht="15" customHeight="1">
      <c r="A1945" t="inlineStr">
        <is>
          <t>A 28021-2020</t>
        </is>
      </c>
      <c r="B1945" s="1" t="n">
        <v>43993</v>
      </c>
      <c r="C1945" s="1" t="n">
        <v>45587</v>
      </c>
      <c r="D1945" t="inlineStr">
        <is>
          <t>GÄVLEBORGS LÄN</t>
        </is>
      </c>
      <c r="E1945" t="inlineStr">
        <is>
          <t>HUDIKSVALL</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27769-2020</t>
        </is>
      </c>
      <c r="B1946" s="1" t="n">
        <v>43994</v>
      </c>
      <c r="C1946" s="1" t="n">
        <v>45587</v>
      </c>
      <c r="D1946" t="inlineStr">
        <is>
          <t>GÄVLEBORGS LÄN</t>
        </is>
      </c>
      <c r="E1946" t="inlineStr">
        <is>
          <t>NORDANSTIG</t>
        </is>
      </c>
      <c r="F1946" t="inlineStr">
        <is>
          <t>Holmen skog AB</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27793-2020</t>
        </is>
      </c>
      <c r="B1947" s="1" t="n">
        <v>43994</v>
      </c>
      <c r="C1947" s="1" t="n">
        <v>45587</v>
      </c>
      <c r="D1947" t="inlineStr">
        <is>
          <t>GÄVLEBORGS LÄN</t>
        </is>
      </c>
      <c r="E1947" t="inlineStr">
        <is>
          <t>BOLLNÄS</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27783-2020</t>
        </is>
      </c>
      <c r="B1948" s="1" t="n">
        <v>43994</v>
      </c>
      <c r="C1948" s="1" t="n">
        <v>45587</v>
      </c>
      <c r="D1948" t="inlineStr">
        <is>
          <t>GÄVLEBORGS LÄN</t>
        </is>
      </c>
      <c r="E1948" t="inlineStr">
        <is>
          <t>NORDANSTIG</t>
        </is>
      </c>
      <c r="F1948" t="inlineStr">
        <is>
          <t>Holmen skog AB</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27855-2020</t>
        </is>
      </c>
      <c r="B1949" s="1" t="n">
        <v>43994</v>
      </c>
      <c r="C1949" s="1" t="n">
        <v>45587</v>
      </c>
      <c r="D1949" t="inlineStr">
        <is>
          <t>GÄVLEBORGS LÄN</t>
        </is>
      </c>
      <c r="E1949" t="inlineStr">
        <is>
          <t>OVANÅKER</t>
        </is>
      </c>
      <c r="G1949" t="n">
        <v>7.7</v>
      </c>
      <c r="H1949" t="n">
        <v>0</v>
      </c>
      <c r="I1949" t="n">
        <v>0</v>
      </c>
      <c r="J1949" t="n">
        <v>0</v>
      </c>
      <c r="K1949" t="n">
        <v>0</v>
      </c>
      <c r="L1949" t="n">
        <v>0</v>
      </c>
      <c r="M1949" t="n">
        <v>0</v>
      </c>
      <c r="N1949" t="n">
        <v>0</v>
      </c>
      <c r="O1949" t="n">
        <v>0</v>
      </c>
      <c r="P1949" t="n">
        <v>0</v>
      </c>
      <c r="Q1949" t="n">
        <v>0</v>
      </c>
      <c r="R1949" s="2" t="inlineStr"/>
    </row>
    <row r="1950" ht="15" customHeight="1">
      <c r="A1950" t="inlineStr">
        <is>
          <t>A 27728-2020</t>
        </is>
      </c>
      <c r="B1950" s="1" t="n">
        <v>43994</v>
      </c>
      <c r="C1950" s="1" t="n">
        <v>45587</v>
      </c>
      <c r="D1950" t="inlineStr">
        <is>
          <t>GÄVLEBORGS LÄN</t>
        </is>
      </c>
      <c r="E1950" t="inlineStr">
        <is>
          <t>SANDVIKEN</t>
        </is>
      </c>
      <c r="F1950" t="inlineStr">
        <is>
          <t>Sveaskog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28173-2020</t>
        </is>
      </c>
      <c r="B1951" s="1" t="n">
        <v>43997</v>
      </c>
      <c r="C1951" s="1" t="n">
        <v>45587</v>
      </c>
      <c r="D1951" t="inlineStr">
        <is>
          <t>GÄVLEBORGS LÄN</t>
        </is>
      </c>
      <c r="E1951" t="inlineStr">
        <is>
          <t>GÄVLE</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28282-2020</t>
        </is>
      </c>
      <c r="B1952" s="1" t="n">
        <v>43998</v>
      </c>
      <c r="C1952" s="1" t="n">
        <v>45587</v>
      </c>
      <c r="D1952" t="inlineStr">
        <is>
          <t>GÄVLEBORGS LÄN</t>
        </is>
      </c>
      <c r="E1952" t="inlineStr">
        <is>
          <t>HUDIKSVALL</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28435-2020</t>
        </is>
      </c>
      <c r="B1953" s="1" t="n">
        <v>43998</v>
      </c>
      <c r="C1953" s="1" t="n">
        <v>45587</v>
      </c>
      <c r="D1953" t="inlineStr">
        <is>
          <t>GÄVLEBORGS LÄN</t>
        </is>
      </c>
      <c r="E1953" t="inlineStr">
        <is>
          <t>BOLLNÄS</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28681-2020</t>
        </is>
      </c>
      <c r="B1954" s="1" t="n">
        <v>43999</v>
      </c>
      <c r="C1954" s="1" t="n">
        <v>45587</v>
      </c>
      <c r="D1954" t="inlineStr">
        <is>
          <t>GÄVLEBORGS LÄN</t>
        </is>
      </c>
      <c r="E1954" t="inlineStr">
        <is>
          <t>HOFORS</t>
        </is>
      </c>
      <c r="F1954" t="inlineStr">
        <is>
          <t>Sveaskog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28525-2020</t>
        </is>
      </c>
      <c r="B1955" s="1" t="n">
        <v>43999</v>
      </c>
      <c r="C1955" s="1" t="n">
        <v>45587</v>
      </c>
      <c r="D1955" t="inlineStr">
        <is>
          <t>GÄVLEBORGS LÄN</t>
        </is>
      </c>
      <c r="E1955" t="inlineStr">
        <is>
          <t>SANDVIKEN</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28564-2020</t>
        </is>
      </c>
      <c r="B1956" s="1" t="n">
        <v>43999</v>
      </c>
      <c r="C1956" s="1" t="n">
        <v>45587</v>
      </c>
      <c r="D1956" t="inlineStr">
        <is>
          <t>GÄVLEBORGS LÄN</t>
        </is>
      </c>
      <c r="E1956" t="inlineStr">
        <is>
          <t>SANDVIKEN</t>
        </is>
      </c>
      <c r="F1956" t="inlineStr">
        <is>
          <t>Bergvik skog öst AB</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33535-2020</t>
        </is>
      </c>
      <c r="B1957" s="1" t="n">
        <v>43999</v>
      </c>
      <c r="C1957" s="1" t="n">
        <v>45587</v>
      </c>
      <c r="D1957" t="inlineStr">
        <is>
          <t>GÄVLEBORGS LÄN</t>
        </is>
      </c>
      <c r="E1957" t="inlineStr">
        <is>
          <t>HUDIKSVALL</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28723-2020</t>
        </is>
      </c>
      <c r="B1958" s="1" t="n">
        <v>43999</v>
      </c>
      <c r="C1958" s="1" t="n">
        <v>45587</v>
      </c>
      <c r="D1958" t="inlineStr">
        <is>
          <t>GÄVLEBORGS LÄN</t>
        </is>
      </c>
      <c r="E1958" t="inlineStr">
        <is>
          <t>OVANÅKER</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33543-2020</t>
        </is>
      </c>
      <c r="B1959" s="1" t="n">
        <v>43999</v>
      </c>
      <c r="C1959" s="1" t="n">
        <v>45587</v>
      </c>
      <c r="D1959" t="inlineStr">
        <is>
          <t>GÄVLEBORGS LÄN</t>
        </is>
      </c>
      <c r="E1959" t="inlineStr">
        <is>
          <t>HUDIKSVALL</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28823-2020</t>
        </is>
      </c>
      <c r="B1960" s="1" t="n">
        <v>44000</v>
      </c>
      <c r="C1960" s="1" t="n">
        <v>45587</v>
      </c>
      <c r="D1960" t="inlineStr">
        <is>
          <t>GÄVLEBORGS LÄN</t>
        </is>
      </c>
      <c r="E1960" t="inlineStr">
        <is>
          <t>BOLLNÄS</t>
        </is>
      </c>
      <c r="F1960" t="inlineStr">
        <is>
          <t>Sveaskog</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28889-2020</t>
        </is>
      </c>
      <c r="B1961" s="1" t="n">
        <v>44000</v>
      </c>
      <c r="C1961" s="1" t="n">
        <v>45587</v>
      </c>
      <c r="D1961" t="inlineStr">
        <is>
          <t>GÄVLEBORGS LÄN</t>
        </is>
      </c>
      <c r="E1961" t="inlineStr">
        <is>
          <t>LJUSDAL</t>
        </is>
      </c>
      <c r="F1961" t="inlineStr">
        <is>
          <t>Holmen skog AB</t>
        </is>
      </c>
      <c r="G1961" t="n">
        <v>39.1</v>
      </c>
      <c r="H1961" t="n">
        <v>0</v>
      </c>
      <c r="I1961" t="n">
        <v>0</v>
      </c>
      <c r="J1961" t="n">
        <v>0</v>
      </c>
      <c r="K1961" t="n">
        <v>0</v>
      </c>
      <c r="L1961" t="n">
        <v>0</v>
      </c>
      <c r="M1961" t="n">
        <v>0</v>
      </c>
      <c r="N1961" t="n">
        <v>0</v>
      </c>
      <c r="O1961" t="n">
        <v>0</v>
      </c>
      <c r="P1961" t="n">
        <v>0</v>
      </c>
      <c r="Q1961" t="n">
        <v>0</v>
      </c>
      <c r="R1961" s="2" t="inlineStr"/>
    </row>
    <row r="1962" ht="15" customHeight="1">
      <c r="A1962" t="inlineStr">
        <is>
          <t>A 28806-2020</t>
        </is>
      </c>
      <c r="B1962" s="1" t="n">
        <v>44000</v>
      </c>
      <c r="C1962" s="1" t="n">
        <v>45587</v>
      </c>
      <c r="D1962" t="inlineStr">
        <is>
          <t>GÄVLEBORGS LÄN</t>
        </is>
      </c>
      <c r="E1962" t="inlineStr">
        <is>
          <t>GÄVLE</t>
        </is>
      </c>
      <c r="F1962" t="inlineStr">
        <is>
          <t>Bergvik skog öst AB</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28825-2020</t>
        </is>
      </c>
      <c r="B1963" s="1" t="n">
        <v>44000</v>
      </c>
      <c r="C1963" s="1" t="n">
        <v>45587</v>
      </c>
      <c r="D1963" t="inlineStr">
        <is>
          <t>GÄVLEBORGS LÄN</t>
        </is>
      </c>
      <c r="E1963" t="inlineStr">
        <is>
          <t>GÄVLE</t>
        </is>
      </c>
      <c r="F1963" t="inlineStr">
        <is>
          <t>Bergvik skog öst AB</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28932-2020</t>
        </is>
      </c>
      <c r="B1964" s="1" t="n">
        <v>44000</v>
      </c>
      <c r="C1964" s="1" t="n">
        <v>45587</v>
      </c>
      <c r="D1964" t="inlineStr">
        <is>
          <t>GÄVLEBORGS LÄN</t>
        </is>
      </c>
      <c r="E1964" t="inlineStr">
        <is>
          <t>LJUSDAL</t>
        </is>
      </c>
      <c r="F1964" t="inlineStr">
        <is>
          <t>Kyrkan</t>
        </is>
      </c>
      <c r="G1964" t="n">
        <v>36.2</v>
      </c>
      <c r="H1964" t="n">
        <v>0</v>
      </c>
      <c r="I1964" t="n">
        <v>0</v>
      </c>
      <c r="J1964" t="n">
        <v>0</v>
      </c>
      <c r="K1964" t="n">
        <v>0</v>
      </c>
      <c r="L1964" t="n">
        <v>0</v>
      </c>
      <c r="M1964" t="n">
        <v>0</v>
      </c>
      <c r="N1964" t="n">
        <v>0</v>
      </c>
      <c r="O1964" t="n">
        <v>0</v>
      </c>
      <c r="P1964" t="n">
        <v>0</v>
      </c>
      <c r="Q1964" t="n">
        <v>0</v>
      </c>
      <c r="R1964" s="2" t="inlineStr"/>
    </row>
    <row r="1965" ht="15" customHeight="1">
      <c r="A1965" t="inlineStr">
        <is>
          <t>A 29575-2020</t>
        </is>
      </c>
      <c r="B1965" s="1" t="n">
        <v>44000</v>
      </c>
      <c r="C1965" s="1" t="n">
        <v>45587</v>
      </c>
      <c r="D1965" t="inlineStr">
        <is>
          <t>GÄVLEBORGS LÄN</t>
        </is>
      </c>
      <c r="E1965" t="inlineStr">
        <is>
          <t>SÖDERHAMN</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29321-2020</t>
        </is>
      </c>
      <c r="B1966" s="1" t="n">
        <v>44000</v>
      </c>
      <c r="C1966" s="1" t="n">
        <v>45587</v>
      </c>
      <c r="D1966" t="inlineStr">
        <is>
          <t>GÄVLEBORGS LÄN</t>
        </is>
      </c>
      <c r="E1966" t="inlineStr">
        <is>
          <t>HOFORS</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29094-2020</t>
        </is>
      </c>
      <c r="B1967" s="1" t="n">
        <v>44003</v>
      </c>
      <c r="C1967" s="1" t="n">
        <v>45587</v>
      </c>
      <c r="D1967" t="inlineStr">
        <is>
          <t>GÄVLEBORGS LÄN</t>
        </is>
      </c>
      <c r="E1967" t="inlineStr">
        <is>
          <t>HUDIKSVALL</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29102-2020</t>
        </is>
      </c>
      <c r="B1968" s="1" t="n">
        <v>44003</v>
      </c>
      <c r="C1968" s="1" t="n">
        <v>45587</v>
      </c>
      <c r="D1968" t="inlineStr">
        <is>
          <t>GÄVLEBORGS LÄN</t>
        </is>
      </c>
      <c r="E1968" t="inlineStr">
        <is>
          <t>HUDIKSVALL</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29125-2020</t>
        </is>
      </c>
      <c r="B1969" s="1" t="n">
        <v>44004</v>
      </c>
      <c r="C1969" s="1" t="n">
        <v>45587</v>
      </c>
      <c r="D1969" t="inlineStr">
        <is>
          <t>GÄVLEBORGS LÄN</t>
        </is>
      </c>
      <c r="E1969" t="inlineStr">
        <is>
          <t>SÖDERHAMN</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29146-2020</t>
        </is>
      </c>
      <c r="B1970" s="1" t="n">
        <v>44004</v>
      </c>
      <c r="C1970" s="1" t="n">
        <v>45587</v>
      </c>
      <c r="D1970" t="inlineStr">
        <is>
          <t>GÄVLEBORGS LÄN</t>
        </is>
      </c>
      <c r="E1970" t="inlineStr">
        <is>
          <t>NORDANSTIG</t>
        </is>
      </c>
      <c r="F1970" t="inlineStr">
        <is>
          <t>Kyrkan</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29195-2020</t>
        </is>
      </c>
      <c r="B1971" s="1" t="n">
        <v>44004</v>
      </c>
      <c r="C1971" s="1" t="n">
        <v>45587</v>
      </c>
      <c r="D1971" t="inlineStr">
        <is>
          <t>GÄVLEBORGS LÄN</t>
        </is>
      </c>
      <c r="E1971" t="inlineStr">
        <is>
          <t>HUDIKSVALL</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29124-2020</t>
        </is>
      </c>
      <c r="B1972" s="1" t="n">
        <v>44004</v>
      </c>
      <c r="C1972" s="1" t="n">
        <v>45587</v>
      </c>
      <c r="D1972" t="inlineStr">
        <is>
          <t>GÄVLEBORGS LÄN</t>
        </is>
      </c>
      <c r="E1972" t="inlineStr">
        <is>
          <t>NORDANSTIG</t>
        </is>
      </c>
      <c r="F1972" t="inlineStr">
        <is>
          <t>Holmen skog AB</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29284-2020</t>
        </is>
      </c>
      <c r="B1973" s="1" t="n">
        <v>44004</v>
      </c>
      <c r="C1973" s="1" t="n">
        <v>45587</v>
      </c>
      <c r="D1973" t="inlineStr">
        <is>
          <t>GÄVLEBORGS LÄN</t>
        </is>
      </c>
      <c r="E1973" t="inlineStr">
        <is>
          <t>NORDANSTIG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29541-2020</t>
        </is>
      </c>
      <c r="B1974" s="1" t="n">
        <v>44005</v>
      </c>
      <c r="C1974" s="1" t="n">
        <v>45587</v>
      </c>
      <c r="D1974" t="inlineStr">
        <is>
          <t>GÄVLEBORGS LÄN</t>
        </is>
      </c>
      <c r="E1974" t="inlineStr">
        <is>
          <t>OVANÅKER</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29536-2020</t>
        </is>
      </c>
      <c r="B1975" s="1" t="n">
        <v>44005</v>
      </c>
      <c r="C1975" s="1" t="n">
        <v>45587</v>
      </c>
      <c r="D1975" t="inlineStr">
        <is>
          <t>GÄVLEBORGS LÄN</t>
        </is>
      </c>
      <c r="E1975" t="inlineStr">
        <is>
          <t>OVANÅKER</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29749-2020</t>
        </is>
      </c>
      <c r="B1976" s="1" t="n">
        <v>44005</v>
      </c>
      <c r="C1976" s="1" t="n">
        <v>45587</v>
      </c>
      <c r="D1976" t="inlineStr">
        <is>
          <t>GÄVLEBORGS LÄN</t>
        </is>
      </c>
      <c r="E1976" t="inlineStr">
        <is>
          <t>HUDIKSVALL</t>
        </is>
      </c>
      <c r="G1976" t="n">
        <v>7.1</v>
      </c>
      <c r="H1976" t="n">
        <v>0</v>
      </c>
      <c r="I1976" t="n">
        <v>0</v>
      </c>
      <c r="J1976" t="n">
        <v>0</v>
      </c>
      <c r="K1976" t="n">
        <v>0</v>
      </c>
      <c r="L1976" t="n">
        <v>0</v>
      </c>
      <c r="M1976" t="n">
        <v>0</v>
      </c>
      <c r="N1976" t="n">
        <v>0</v>
      </c>
      <c r="O1976" t="n">
        <v>0</v>
      </c>
      <c r="P1976" t="n">
        <v>0</v>
      </c>
      <c r="Q1976" t="n">
        <v>0</v>
      </c>
      <c r="R1976" s="2" t="inlineStr"/>
    </row>
    <row r="1977" ht="15" customHeight="1">
      <c r="A1977" t="inlineStr">
        <is>
          <t>A 29653-2020</t>
        </is>
      </c>
      <c r="B1977" s="1" t="n">
        <v>44005</v>
      </c>
      <c r="C1977" s="1" t="n">
        <v>45587</v>
      </c>
      <c r="D1977" t="inlineStr">
        <is>
          <t>GÄVLEBORGS LÄN</t>
        </is>
      </c>
      <c r="E1977" t="inlineStr">
        <is>
          <t>NORDANSTIG</t>
        </is>
      </c>
      <c r="G1977" t="n">
        <v>18.3</v>
      </c>
      <c r="H1977" t="n">
        <v>0</v>
      </c>
      <c r="I1977" t="n">
        <v>0</v>
      </c>
      <c r="J1977" t="n">
        <v>0</v>
      </c>
      <c r="K1977" t="n">
        <v>0</v>
      </c>
      <c r="L1977" t="n">
        <v>0</v>
      </c>
      <c r="M1977" t="n">
        <v>0</v>
      </c>
      <c r="N1977" t="n">
        <v>0</v>
      </c>
      <c r="O1977" t="n">
        <v>0</v>
      </c>
      <c r="P1977" t="n">
        <v>0</v>
      </c>
      <c r="Q1977" t="n">
        <v>0</v>
      </c>
      <c r="R1977" s="2" t="inlineStr"/>
    </row>
    <row r="1978" ht="15" customHeight="1">
      <c r="A1978" t="inlineStr">
        <is>
          <t>A 29665-2020</t>
        </is>
      </c>
      <c r="B1978" s="1" t="n">
        <v>44005</v>
      </c>
      <c r="C1978" s="1" t="n">
        <v>45587</v>
      </c>
      <c r="D1978" t="inlineStr">
        <is>
          <t>GÄVLEBORGS LÄN</t>
        </is>
      </c>
      <c r="E1978" t="inlineStr">
        <is>
          <t>SANDVIKEN</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29538-2020</t>
        </is>
      </c>
      <c r="B1979" s="1" t="n">
        <v>44005</v>
      </c>
      <c r="C1979" s="1" t="n">
        <v>45587</v>
      </c>
      <c r="D1979" t="inlineStr">
        <is>
          <t>GÄVLEBORGS LÄN</t>
        </is>
      </c>
      <c r="E1979" t="inlineStr">
        <is>
          <t>OVANÅKER</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29564-2020</t>
        </is>
      </c>
      <c r="B1980" s="1" t="n">
        <v>44005</v>
      </c>
      <c r="C1980" s="1" t="n">
        <v>45587</v>
      </c>
      <c r="D1980" t="inlineStr">
        <is>
          <t>GÄVLEBORGS LÄN</t>
        </is>
      </c>
      <c r="E1980" t="inlineStr">
        <is>
          <t>GÄVLE</t>
        </is>
      </c>
      <c r="F1980" t="inlineStr">
        <is>
          <t>Bergvik skog öst AB</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29688-2020</t>
        </is>
      </c>
      <c r="B1981" s="1" t="n">
        <v>44005</v>
      </c>
      <c r="C1981" s="1" t="n">
        <v>45587</v>
      </c>
      <c r="D1981" t="inlineStr">
        <is>
          <t>GÄVLEBORGS LÄN</t>
        </is>
      </c>
      <c r="E1981" t="inlineStr">
        <is>
          <t>LJUSDAL</t>
        </is>
      </c>
      <c r="F1981" t="inlineStr">
        <is>
          <t>Sveaskog</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29692-2020</t>
        </is>
      </c>
      <c r="B1982" s="1" t="n">
        <v>44005</v>
      </c>
      <c r="C1982" s="1" t="n">
        <v>45587</v>
      </c>
      <c r="D1982" t="inlineStr">
        <is>
          <t>GÄVLEBORGS LÄN</t>
        </is>
      </c>
      <c r="E1982" t="inlineStr">
        <is>
          <t>LJUSDAL</t>
        </is>
      </c>
      <c r="F1982" t="inlineStr">
        <is>
          <t>Sveaskog</t>
        </is>
      </c>
      <c r="G1982" t="n">
        <v>21.9</v>
      </c>
      <c r="H1982" t="n">
        <v>0</v>
      </c>
      <c r="I1982" t="n">
        <v>0</v>
      </c>
      <c r="J1982" t="n">
        <v>0</v>
      </c>
      <c r="K1982" t="n">
        <v>0</v>
      </c>
      <c r="L1982" t="n">
        <v>0</v>
      </c>
      <c r="M1982" t="n">
        <v>0</v>
      </c>
      <c r="N1982" t="n">
        <v>0</v>
      </c>
      <c r="O1982" t="n">
        <v>0</v>
      </c>
      <c r="P1982" t="n">
        <v>0</v>
      </c>
      <c r="Q1982" t="n">
        <v>0</v>
      </c>
      <c r="R1982" s="2" t="inlineStr"/>
    </row>
    <row r="1983" ht="15" customHeight="1">
      <c r="A1983" t="inlineStr">
        <is>
          <t>A 29836-2020</t>
        </is>
      </c>
      <c r="B1983" s="1" t="n">
        <v>44006</v>
      </c>
      <c r="C1983" s="1" t="n">
        <v>45587</v>
      </c>
      <c r="D1983" t="inlineStr">
        <is>
          <t>GÄVLEBORGS LÄN</t>
        </is>
      </c>
      <c r="E1983" t="inlineStr">
        <is>
          <t>BOLLNÄS</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29886-2020</t>
        </is>
      </c>
      <c r="B1984" s="1" t="n">
        <v>44006</v>
      </c>
      <c r="C1984" s="1" t="n">
        <v>45587</v>
      </c>
      <c r="D1984" t="inlineStr">
        <is>
          <t>GÄVLEBORGS LÄN</t>
        </is>
      </c>
      <c r="E1984" t="inlineStr">
        <is>
          <t>LJUSDAL</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29810-2020</t>
        </is>
      </c>
      <c r="B1985" s="1" t="n">
        <v>44006</v>
      </c>
      <c r="C1985" s="1" t="n">
        <v>45587</v>
      </c>
      <c r="D1985" t="inlineStr">
        <is>
          <t>GÄVLEBORGS LÄN</t>
        </is>
      </c>
      <c r="E1985" t="inlineStr">
        <is>
          <t>HUDIKSVALL</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29940-2020</t>
        </is>
      </c>
      <c r="B1986" s="1" t="n">
        <v>44006</v>
      </c>
      <c r="C1986" s="1" t="n">
        <v>45587</v>
      </c>
      <c r="D1986" t="inlineStr">
        <is>
          <t>GÄVLEBORGS LÄN</t>
        </is>
      </c>
      <c r="E1986" t="inlineStr">
        <is>
          <t>GÄVLE</t>
        </is>
      </c>
      <c r="F1986" t="inlineStr">
        <is>
          <t>Kommuner</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30185-2020</t>
        </is>
      </c>
      <c r="B1987" s="1" t="n">
        <v>44007</v>
      </c>
      <c r="C1987" s="1" t="n">
        <v>45587</v>
      </c>
      <c r="D1987" t="inlineStr">
        <is>
          <t>GÄVLEBORGS LÄN</t>
        </is>
      </c>
      <c r="E1987" t="inlineStr">
        <is>
          <t>SANDVIKEN</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30191-2020</t>
        </is>
      </c>
      <c r="B1988" s="1" t="n">
        <v>44007</v>
      </c>
      <c r="C1988" s="1" t="n">
        <v>45587</v>
      </c>
      <c r="D1988" t="inlineStr">
        <is>
          <t>GÄVLEBORGS LÄN</t>
        </is>
      </c>
      <c r="E1988" t="inlineStr">
        <is>
          <t>NORDANSTIG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30127-2020</t>
        </is>
      </c>
      <c r="B1989" s="1" t="n">
        <v>44007</v>
      </c>
      <c r="C1989" s="1" t="n">
        <v>45587</v>
      </c>
      <c r="D1989" t="inlineStr">
        <is>
          <t>GÄVLEBORGS LÄN</t>
        </is>
      </c>
      <c r="E1989" t="inlineStr">
        <is>
          <t>LJUSDAL</t>
        </is>
      </c>
      <c r="F1989" t="inlineStr">
        <is>
          <t>Sveaskog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30134-2020</t>
        </is>
      </c>
      <c r="B1990" s="1" t="n">
        <v>44007</v>
      </c>
      <c r="C1990" s="1" t="n">
        <v>45587</v>
      </c>
      <c r="D1990" t="inlineStr">
        <is>
          <t>GÄVLEBORGS LÄN</t>
        </is>
      </c>
      <c r="E1990" t="inlineStr">
        <is>
          <t>SANDVIKEN</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30242-2020</t>
        </is>
      </c>
      <c r="B1991" s="1" t="n">
        <v>44007</v>
      </c>
      <c r="C1991" s="1" t="n">
        <v>45587</v>
      </c>
      <c r="D1991" t="inlineStr">
        <is>
          <t>GÄVLEBORGS LÄN</t>
        </is>
      </c>
      <c r="E1991" t="inlineStr">
        <is>
          <t>SANDVIKEN</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30281-2020</t>
        </is>
      </c>
      <c r="B1992" s="1" t="n">
        <v>44007</v>
      </c>
      <c r="C1992" s="1" t="n">
        <v>45587</v>
      </c>
      <c r="D1992" t="inlineStr">
        <is>
          <t>GÄVLEBORGS LÄN</t>
        </is>
      </c>
      <c r="E1992" t="inlineStr">
        <is>
          <t>SÖDERHAMN</t>
        </is>
      </c>
      <c r="F1992" t="inlineStr">
        <is>
          <t>Bergvik skog väst AB</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30290-2020</t>
        </is>
      </c>
      <c r="B1993" s="1" t="n">
        <v>44007</v>
      </c>
      <c r="C1993" s="1" t="n">
        <v>45587</v>
      </c>
      <c r="D1993" t="inlineStr">
        <is>
          <t>GÄVLEBORGS LÄN</t>
        </is>
      </c>
      <c r="E1993" t="inlineStr">
        <is>
          <t>OVANÅKER</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30452-2020</t>
        </is>
      </c>
      <c r="B1994" s="1" t="n">
        <v>44007</v>
      </c>
      <c r="C1994" s="1" t="n">
        <v>45587</v>
      </c>
      <c r="D1994" t="inlineStr">
        <is>
          <t>GÄVLEBORGS LÄN</t>
        </is>
      </c>
      <c r="E1994" t="inlineStr">
        <is>
          <t>SANDVIKEN</t>
        </is>
      </c>
      <c r="F1994" t="inlineStr">
        <is>
          <t>Sveaskog</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30448-2020</t>
        </is>
      </c>
      <c r="B1995" s="1" t="n">
        <v>44007</v>
      </c>
      <c r="C1995" s="1" t="n">
        <v>45587</v>
      </c>
      <c r="D1995" t="inlineStr">
        <is>
          <t>GÄVLEBORGS LÄN</t>
        </is>
      </c>
      <c r="E1995" t="inlineStr">
        <is>
          <t>NORDANSTIG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30450-2020</t>
        </is>
      </c>
      <c r="B1996" s="1" t="n">
        <v>44007</v>
      </c>
      <c r="C1996" s="1" t="n">
        <v>45587</v>
      </c>
      <c r="D1996" t="inlineStr">
        <is>
          <t>GÄVLEBORGS LÄN</t>
        </is>
      </c>
      <c r="E1996" t="inlineStr">
        <is>
          <t>NORDANSTIG</t>
        </is>
      </c>
      <c r="G1996" t="n">
        <v>9</v>
      </c>
      <c r="H1996" t="n">
        <v>0</v>
      </c>
      <c r="I1996" t="n">
        <v>0</v>
      </c>
      <c r="J1996" t="n">
        <v>0</v>
      </c>
      <c r="K1996" t="n">
        <v>0</v>
      </c>
      <c r="L1996" t="n">
        <v>0</v>
      </c>
      <c r="M1996" t="n">
        <v>0</v>
      </c>
      <c r="N1996" t="n">
        <v>0</v>
      </c>
      <c r="O1996" t="n">
        <v>0</v>
      </c>
      <c r="P1996" t="n">
        <v>0</v>
      </c>
      <c r="Q1996" t="n">
        <v>0</v>
      </c>
      <c r="R1996" s="2" t="inlineStr"/>
    </row>
    <row r="1997" ht="15" customHeight="1">
      <c r="A1997" t="inlineStr">
        <is>
          <t>A 30359-2020</t>
        </is>
      </c>
      <c r="B1997" s="1" t="n">
        <v>44007</v>
      </c>
      <c r="C1997" s="1" t="n">
        <v>45587</v>
      </c>
      <c r="D1997" t="inlineStr">
        <is>
          <t>GÄVLEBORGS LÄN</t>
        </is>
      </c>
      <c r="E1997" t="inlineStr">
        <is>
          <t>SANDVIKEN</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30225-2020</t>
        </is>
      </c>
      <c r="B1998" s="1" t="n">
        <v>44007</v>
      </c>
      <c r="C1998" s="1" t="n">
        <v>45587</v>
      </c>
      <c r="D1998" t="inlineStr">
        <is>
          <t>GÄVLEBORGS LÄN</t>
        </is>
      </c>
      <c r="E1998" t="inlineStr">
        <is>
          <t>SANDVIKEN</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30449-2020</t>
        </is>
      </c>
      <c r="B1999" s="1" t="n">
        <v>44007</v>
      </c>
      <c r="C1999" s="1" t="n">
        <v>45587</v>
      </c>
      <c r="D1999" t="inlineStr">
        <is>
          <t>GÄVLEBORGS LÄN</t>
        </is>
      </c>
      <c r="E1999" t="inlineStr">
        <is>
          <t>NORDANSTIG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30456-2020</t>
        </is>
      </c>
      <c r="B2000" s="1" t="n">
        <v>44007</v>
      </c>
      <c r="C2000" s="1" t="n">
        <v>45587</v>
      </c>
      <c r="D2000" t="inlineStr">
        <is>
          <t>GÄVLEBORGS LÄN</t>
        </is>
      </c>
      <c r="E2000" t="inlineStr">
        <is>
          <t>LJUSDAL</t>
        </is>
      </c>
      <c r="F2000" t="inlineStr">
        <is>
          <t>Sveaskog</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30558-2020</t>
        </is>
      </c>
      <c r="B2001" s="1" t="n">
        <v>44008</v>
      </c>
      <c r="C2001" s="1" t="n">
        <v>45587</v>
      </c>
      <c r="D2001" t="inlineStr">
        <is>
          <t>GÄVLEBORGS LÄN</t>
        </is>
      </c>
      <c r="E2001" t="inlineStr">
        <is>
          <t>SÖDERHAMN</t>
        </is>
      </c>
      <c r="F2001" t="inlineStr">
        <is>
          <t>Bergvik skog väst AB</t>
        </is>
      </c>
      <c r="G2001" t="n">
        <v>5.4</v>
      </c>
      <c r="H2001" t="n">
        <v>0</v>
      </c>
      <c r="I2001" t="n">
        <v>0</v>
      </c>
      <c r="J2001" t="n">
        <v>0</v>
      </c>
      <c r="K2001" t="n">
        <v>0</v>
      </c>
      <c r="L2001" t="n">
        <v>0</v>
      </c>
      <c r="M2001" t="n">
        <v>0</v>
      </c>
      <c r="N2001" t="n">
        <v>0</v>
      </c>
      <c r="O2001" t="n">
        <v>0</v>
      </c>
      <c r="P2001" t="n">
        <v>0</v>
      </c>
      <c r="Q2001" t="n">
        <v>0</v>
      </c>
      <c r="R2001" s="2" t="inlineStr"/>
    </row>
    <row r="2002" ht="15" customHeight="1">
      <c r="A2002" t="inlineStr">
        <is>
          <t>A 30569-2020</t>
        </is>
      </c>
      <c r="B2002" s="1" t="n">
        <v>44008</v>
      </c>
      <c r="C2002" s="1" t="n">
        <v>45587</v>
      </c>
      <c r="D2002" t="inlineStr">
        <is>
          <t>GÄVLEBORGS LÄN</t>
        </is>
      </c>
      <c r="E2002" t="inlineStr">
        <is>
          <t>SÖDERHAMN</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30587-2020</t>
        </is>
      </c>
      <c r="B2003" s="1" t="n">
        <v>44008</v>
      </c>
      <c r="C2003" s="1" t="n">
        <v>45587</v>
      </c>
      <c r="D2003" t="inlineStr">
        <is>
          <t>GÄVLEBORGS LÄN</t>
        </is>
      </c>
      <c r="E2003" t="inlineStr">
        <is>
          <t>BOLLNÄS</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30584-2020</t>
        </is>
      </c>
      <c r="B2004" s="1" t="n">
        <v>44008</v>
      </c>
      <c r="C2004" s="1" t="n">
        <v>45587</v>
      </c>
      <c r="D2004" t="inlineStr">
        <is>
          <t>GÄVLEBORGS LÄN</t>
        </is>
      </c>
      <c r="E2004" t="inlineStr">
        <is>
          <t>SÖDERHAMN</t>
        </is>
      </c>
      <c r="G2004" t="n">
        <v>9.300000000000001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30658-2020</t>
        </is>
      </c>
      <c r="B2005" s="1" t="n">
        <v>44008</v>
      </c>
      <c r="C2005" s="1" t="n">
        <v>45587</v>
      </c>
      <c r="D2005" t="inlineStr">
        <is>
          <t>GÄVLEBORGS LÄN</t>
        </is>
      </c>
      <c r="E2005" t="inlineStr">
        <is>
          <t>GÄVLE</t>
        </is>
      </c>
      <c r="F2005" t="inlineStr">
        <is>
          <t>Bergvik skog öst AB</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30516-2020</t>
        </is>
      </c>
      <c r="B2006" s="1" t="n">
        <v>44008</v>
      </c>
      <c r="C2006" s="1" t="n">
        <v>45587</v>
      </c>
      <c r="D2006" t="inlineStr">
        <is>
          <t>GÄVLEBORGS LÄN</t>
        </is>
      </c>
      <c r="E2006" t="inlineStr">
        <is>
          <t>SÖDERHAMN</t>
        </is>
      </c>
      <c r="F2006" t="inlineStr">
        <is>
          <t>Bergvik skog väst AB</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30678-2020</t>
        </is>
      </c>
      <c r="B2007" s="1" t="n">
        <v>44008</v>
      </c>
      <c r="C2007" s="1" t="n">
        <v>45587</v>
      </c>
      <c r="D2007" t="inlineStr">
        <is>
          <t>GÄVLEBORGS LÄN</t>
        </is>
      </c>
      <c r="E2007" t="inlineStr">
        <is>
          <t>SÖDERHAMN</t>
        </is>
      </c>
      <c r="G2007" t="n">
        <v>0</v>
      </c>
      <c r="H2007" t="n">
        <v>0</v>
      </c>
      <c r="I2007" t="n">
        <v>0</v>
      </c>
      <c r="J2007" t="n">
        <v>0</v>
      </c>
      <c r="K2007" t="n">
        <v>0</v>
      </c>
      <c r="L2007" t="n">
        <v>0</v>
      </c>
      <c r="M2007" t="n">
        <v>0</v>
      </c>
      <c r="N2007" t="n">
        <v>0</v>
      </c>
      <c r="O2007" t="n">
        <v>0</v>
      </c>
      <c r="P2007" t="n">
        <v>0</v>
      </c>
      <c r="Q2007" t="n">
        <v>0</v>
      </c>
      <c r="R2007" s="2" t="inlineStr"/>
    </row>
    <row r="2008" ht="15" customHeight="1">
      <c r="A2008" t="inlineStr">
        <is>
          <t>A 30738-2020</t>
        </is>
      </c>
      <c r="B2008" s="1" t="n">
        <v>44008</v>
      </c>
      <c r="C2008" s="1" t="n">
        <v>45587</v>
      </c>
      <c r="D2008" t="inlineStr">
        <is>
          <t>GÄVLEBORGS LÄN</t>
        </is>
      </c>
      <c r="E2008" t="inlineStr">
        <is>
          <t>LJUSDAL</t>
        </is>
      </c>
      <c r="F2008" t="inlineStr">
        <is>
          <t>Sveaskog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30556-2020</t>
        </is>
      </c>
      <c r="B2009" s="1" t="n">
        <v>44008</v>
      </c>
      <c r="C2009" s="1" t="n">
        <v>45587</v>
      </c>
      <c r="D2009" t="inlineStr">
        <is>
          <t>GÄVLEBORGS LÄN</t>
        </is>
      </c>
      <c r="E2009" t="inlineStr">
        <is>
          <t>SÖDERHAMN</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30737-2020</t>
        </is>
      </c>
      <c r="B2010" s="1" t="n">
        <v>44008</v>
      </c>
      <c r="C2010" s="1" t="n">
        <v>45587</v>
      </c>
      <c r="D2010" t="inlineStr">
        <is>
          <t>GÄVLEBORGS LÄN</t>
        </is>
      </c>
      <c r="E2010" t="inlineStr">
        <is>
          <t>LJUSDAL</t>
        </is>
      </c>
      <c r="F2010" t="inlineStr">
        <is>
          <t>Sveaskog</t>
        </is>
      </c>
      <c r="G2010" t="n">
        <v>8.800000000000001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30851-2020</t>
        </is>
      </c>
      <c r="B2011" s="1" t="n">
        <v>44011</v>
      </c>
      <c r="C2011" s="1" t="n">
        <v>45587</v>
      </c>
      <c r="D2011" t="inlineStr">
        <is>
          <t>GÄVLEBORGS LÄN</t>
        </is>
      </c>
      <c r="E2011" t="inlineStr">
        <is>
          <t>GÄVLE</t>
        </is>
      </c>
      <c r="F2011" t="inlineStr">
        <is>
          <t>Bergvik skog öst AB</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30817-2020</t>
        </is>
      </c>
      <c r="B2012" s="1" t="n">
        <v>44011</v>
      </c>
      <c r="C2012" s="1" t="n">
        <v>45587</v>
      </c>
      <c r="D2012" t="inlineStr">
        <is>
          <t>GÄVLEBORGS LÄN</t>
        </is>
      </c>
      <c r="E2012" t="inlineStr">
        <is>
          <t>NORDANSTIG</t>
        </is>
      </c>
      <c r="F2012" t="inlineStr">
        <is>
          <t>Holmen skog AB</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30927-2020</t>
        </is>
      </c>
      <c r="B2013" s="1" t="n">
        <v>44011</v>
      </c>
      <c r="C2013" s="1" t="n">
        <v>45587</v>
      </c>
      <c r="D2013" t="inlineStr">
        <is>
          <t>GÄVLEBORGS LÄN</t>
        </is>
      </c>
      <c r="E2013" t="inlineStr">
        <is>
          <t>NORDANSTIG</t>
        </is>
      </c>
      <c r="F2013" t="inlineStr">
        <is>
          <t>Holmen skog AB</t>
        </is>
      </c>
      <c r="G2013" t="n">
        <v>5.5</v>
      </c>
      <c r="H2013" t="n">
        <v>0</v>
      </c>
      <c r="I2013" t="n">
        <v>0</v>
      </c>
      <c r="J2013" t="n">
        <v>0</v>
      </c>
      <c r="K2013" t="n">
        <v>0</v>
      </c>
      <c r="L2013" t="n">
        <v>0</v>
      </c>
      <c r="M2013" t="n">
        <v>0</v>
      </c>
      <c r="N2013" t="n">
        <v>0</v>
      </c>
      <c r="O2013" t="n">
        <v>0</v>
      </c>
      <c r="P2013" t="n">
        <v>0</v>
      </c>
      <c r="Q2013" t="n">
        <v>0</v>
      </c>
      <c r="R2013" s="2" t="inlineStr"/>
    </row>
    <row r="2014" ht="15" customHeight="1">
      <c r="A2014" t="inlineStr">
        <is>
          <t>A 30899-2020</t>
        </is>
      </c>
      <c r="B2014" s="1" t="n">
        <v>44011</v>
      </c>
      <c r="C2014" s="1" t="n">
        <v>45587</v>
      </c>
      <c r="D2014" t="inlineStr">
        <is>
          <t>GÄVLEBORGS LÄN</t>
        </is>
      </c>
      <c r="E2014" t="inlineStr">
        <is>
          <t>SÖDERHAMN</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30908-2020</t>
        </is>
      </c>
      <c r="B2015" s="1" t="n">
        <v>44011</v>
      </c>
      <c r="C2015" s="1" t="n">
        <v>45587</v>
      </c>
      <c r="D2015" t="inlineStr">
        <is>
          <t>GÄVLEBORGS LÄN</t>
        </is>
      </c>
      <c r="E2015" t="inlineStr">
        <is>
          <t>HUDIKSVALL</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31110-2020</t>
        </is>
      </c>
      <c r="B2016" s="1" t="n">
        <v>44012</v>
      </c>
      <c r="C2016" s="1" t="n">
        <v>45587</v>
      </c>
      <c r="D2016" t="inlineStr">
        <is>
          <t>GÄVLEBORGS LÄN</t>
        </is>
      </c>
      <c r="E2016" t="inlineStr">
        <is>
          <t>OCKELBO</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31183-2020</t>
        </is>
      </c>
      <c r="B2017" s="1" t="n">
        <v>44012</v>
      </c>
      <c r="C2017" s="1" t="n">
        <v>45587</v>
      </c>
      <c r="D2017" t="inlineStr">
        <is>
          <t>GÄVLEBORGS LÄN</t>
        </is>
      </c>
      <c r="E2017" t="inlineStr">
        <is>
          <t>NORDANSTIG</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31193-2020</t>
        </is>
      </c>
      <c r="B2018" s="1" t="n">
        <v>44012</v>
      </c>
      <c r="C2018" s="1" t="n">
        <v>45587</v>
      </c>
      <c r="D2018" t="inlineStr">
        <is>
          <t>GÄVLEBORGS LÄN</t>
        </is>
      </c>
      <c r="E2018" t="inlineStr">
        <is>
          <t>NORDANSTIG</t>
        </is>
      </c>
      <c r="G2018" t="n">
        <v>0.1</v>
      </c>
      <c r="H2018" t="n">
        <v>0</v>
      </c>
      <c r="I2018" t="n">
        <v>0</v>
      </c>
      <c r="J2018" t="n">
        <v>0</v>
      </c>
      <c r="K2018" t="n">
        <v>0</v>
      </c>
      <c r="L2018" t="n">
        <v>0</v>
      </c>
      <c r="M2018" t="n">
        <v>0</v>
      </c>
      <c r="N2018" t="n">
        <v>0</v>
      </c>
      <c r="O2018" t="n">
        <v>0</v>
      </c>
      <c r="P2018" t="n">
        <v>0</v>
      </c>
      <c r="Q2018" t="n">
        <v>0</v>
      </c>
      <c r="R2018" s="2" t="inlineStr"/>
    </row>
    <row r="2019" ht="15" customHeight="1">
      <c r="A2019" t="inlineStr">
        <is>
          <t>A 31202-2020</t>
        </is>
      </c>
      <c r="B2019" s="1" t="n">
        <v>44012</v>
      </c>
      <c r="C2019" s="1" t="n">
        <v>45587</v>
      </c>
      <c r="D2019" t="inlineStr">
        <is>
          <t>GÄVLEBORGS LÄN</t>
        </is>
      </c>
      <c r="E2019" t="inlineStr">
        <is>
          <t>NORDANSTIG</t>
        </is>
      </c>
      <c r="G2019" t="n">
        <v>8</v>
      </c>
      <c r="H2019" t="n">
        <v>0</v>
      </c>
      <c r="I2019" t="n">
        <v>0</v>
      </c>
      <c r="J2019" t="n">
        <v>0</v>
      </c>
      <c r="K2019" t="n">
        <v>0</v>
      </c>
      <c r="L2019" t="n">
        <v>0</v>
      </c>
      <c r="M2019" t="n">
        <v>0</v>
      </c>
      <c r="N2019" t="n">
        <v>0</v>
      </c>
      <c r="O2019" t="n">
        <v>0</v>
      </c>
      <c r="P2019" t="n">
        <v>0</v>
      </c>
      <c r="Q2019" t="n">
        <v>0</v>
      </c>
      <c r="R2019" s="2" t="inlineStr"/>
    </row>
    <row r="2020" ht="15" customHeight="1">
      <c r="A2020" t="inlineStr">
        <is>
          <t>A 31231-2020</t>
        </is>
      </c>
      <c r="B2020" s="1" t="n">
        <v>44012</v>
      </c>
      <c r="C2020" s="1" t="n">
        <v>45587</v>
      </c>
      <c r="D2020" t="inlineStr">
        <is>
          <t>GÄVLEBORGS LÄN</t>
        </is>
      </c>
      <c r="E2020" t="inlineStr">
        <is>
          <t>OVANÅKER</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31287-2020</t>
        </is>
      </c>
      <c r="B2021" s="1" t="n">
        <v>44012</v>
      </c>
      <c r="C2021" s="1" t="n">
        <v>45587</v>
      </c>
      <c r="D2021" t="inlineStr">
        <is>
          <t>GÄVLEBORGS LÄN</t>
        </is>
      </c>
      <c r="E2021" t="inlineStr">
        <is>
          <t>BOLLNÄS</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31214-2020</t>
        </is>
      </c>
      <c r="B2022" s="1" t="n">
        <v>44012</v>
      </c>
      <c r="C2022" s="1" t="n">
        <v>45587</v>
      </c>
      <c r="D2022" t="inlineStr">
        <is>
          <t>GÄVLEBORGS LÄN</t>
        </is>
      </c>
      <c r="E2022" t="inlineStr">
        <is>
          <t>OVANÅKER</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31408-2020</t>
        </is>
      </c>
      <c r="B2023" s="1" t="n">
        <v>44013</v>
      </c>
      <c r="C2023" s="1" t="n">
        <v>45587</v>
      </c>
      <c r="D2023" t="inlineStr">
        <is>
          <t>GÄVLEBORGS LÄN</t>
        </is>
      </c>
      <c r="E2023" t="inlineStr">
        <is>
          <t>NORDANSTIG</t>
        </is>
      </c>
      <c r="F2023" t="inlineStr">
        <is>
          <t>Holmen skog AB</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31402-2020</t>
        </is>
      </c>
      <c r="B2024" s="1" t="n">
        <v>44013</v>
      </c>
      <c r="C2024" s="1" t="n">
        <v>45587</v>
      </c>
      <c r="D2024" t="inlineStr">
        <is>
          <t>GÄVLEBORGS LÄN</t>
        </is>
      </c>
      <c r="E2024" t="inlineStr">
        <is>
          <t>NORDANSTIG</t>
        </is>
      </c>
      <c r="F2024" t="inlineStr">
        <is>
          <t>Holmen skog AB</t>
        </is>
      </c>
      <c r="G2024" t="n">
        <v>8.1</v>
      </c>
      <c r="H2024" t="n">
        <v>0</v>
      </c>
      <c r="I2024" t="n">
        <v>0</v>
      </c>
      <c r="J2024" t="n">
        <v>0</v>
      </c>
      <c r="K2024" t="n">
        <v>0</v>
      </c>
      <c r="L2024" t="n">
        <v>0</v>
      </c>
      <c r="M2024" t="n">
        <v>0</v>
      </c>
      <c r="N2024" t="n">
        <v>0</v>
      </c>
      <c r="O2024" t="n">
        <v>0</v>
      </c>
      <c r="P2024" t="n">
        <v>0</v>
      </c>
      <c r="Q2024" t="n">
        <v>0</v>
      </c>
      <c r="R2024" s="2" t="inlineStr"/>
    </row>
    <row r="2025" ht="15" customHeight="1">
      <c r="A2025" t="inlineStr">
        <is>
          <t>A 31491-2020</t>
        </is>
      </c>
      <c r="B2025" s="1" t="n">
        <v>44013</v>
      </c>
      <c r="C2025" s="1" t="n">
        <v>45587</v>
      </c>
      <c r="D2025" t="inlineStr">
        <is>
          <t>GÄVLEBORGS LÄN</t>
        </is>
      </c>
      <c r="E2025" t="inlineStr">
        <is>
          <t>NORDANSTIG</t>
        </is>
      </c>
      <c r="F2025" t="inlineStr">
        <is>
          <t>Holmen skog AB</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31599-2020</t>
        </is>
      </c>
      <c r="B2026" s="1" t="n">
        <v>44013</v>
      </c>
      <c r="C2026" s="1" t="n">
        <v>45587</v>
      </c>
      <c r="D2026" t="inlineStr">
        <is>
          <t>GÄVLEBORGS LÄN</t>
        </is>
      </c>
      <c r="E2026" t="inlineStr">
        <is>
          <t>BOLLNÄS</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31716-2020</t>
        </is>
      </c>
      <c r="B2027" s="1" t="n">
        <v>44014</v>
      </c>
      <c r="C2027" s="1" t="n">
        <v>45587</v>
      </c>
      <c r="D2027" t="inlineStr">
        <is>
          <t>GÄVLEBORGS LÄN</t>
        </is>
      </c>
      <c r="E2027" t="inlineStr">
        <is>
          <t>HUDIKSVALL</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31747-2020</t>
        </is>
      </c>
      <c r="B2028" s="1" t="n">
        <v>44014</v>
      </c>
      <c r="C2028" s="1" t="n">
        <v>45587</v>
      </c>
      <c r="D2028" t="inlineStr">
        <is>
          <t>GÄVLEBORGS LÄN</t>
        </is>
      </c>
      <c r="E2028" t="inlineStr">
        <is>
          <t>GÄVLE</t>
        </is>
      </c>
      <c r="F2028" t="inlineStr">
        <is>
          <t>Bergvik skog öst AB</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31810-2020</t>
        </is>
      </c>
      <c r="B2029" s="1" t="n">
        <v>44014</v>
      </c>
      <c r="C2029" s="1" t="n">
        <v>45587</v>
      </c>
      <c r="D2029" t="inlineStr">
        <is>
          <t>GÄVLEBORGS LÄN</t>
        </is>
      </c>
      <c r="E2029" t="inlineStr">
        <is>
          <t>OVANÅKER</t>
        </is>
      </c>
      <c r="F2029" t="inlineStr">
        <is>
          <t>Sveaskog</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31824-2020</t>
        </is>
      </c>
      <c r="B2030" s="1" t="n">
        <v>44014</v>
      </c>
      <c r="C2030" s="1" t="n">
        <v>45587</v>
      </c>
      <c r="D2030" t="inlineStr">
        <is>
          <t>GÄVLEBORGS LÄN</t>
        </is>
      </c>
      <c r="E2030" t="inlineStr">
        <is>
          <t>LJUSDAL</t>
        </is>
      </c>
      <c r="F2030" t="inlineStr">
        <is>
          <t>Holmen skog AB</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31860-2020</t>
        </is>
      </c>
      <c r="B2031" s="1" t="n">
        <v>44014</v>
      </c>
      <c r="C2031" s="1" t="n">
        <v>45587</v>
      </c>
      <c r="D2031" t="inlineStr">
        <is>
          <t>GÄVLEBORGS LÄN</t>
        </is>
      </c>
      <c r="E2031" t="inlineStr">
        <is>
          <t>OVANÅKER</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31890-2020</t>
        </is>
      </c>
      <c r="B2032" s="1" t="n">
        <v>44014</v>
      </c>
      <c r="C2032" s="1" t="n">
        <v>45587</v>
      </c>
      <c r="D2032" t="inlineStr">
        <is>
          <t>GÄVLEBORGS LÄN</t>
        </is>
      </c>
      <c r="E2032" t="inlineStr">
        <is>
          <t>BOLLNÄS</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31817-2020</t>
        </is>
      </c>
      <c r="B2033" s="1" t="n">
        <v>44014</v>
      </c>
      <c r="C2033" s="1" t="n">
        <v>45587</v>
      </c>
      <c r="D2033" t="inlineStr">
        <is>
          <t>GÄVLEBORGS LÄN</t>
        </is>
      </c>
      <c r="E2033" t="inlineStr">
        <is>
          <t>BOLLNÄS</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31827-2020</t>
        </is>
      </c>
      <c r="B2034" s="1" t="n">
        <v>44014</v>
      </c>
      <c r="C2034" s="1" t="n">
        <v>45587</v>
      </c>
      <c r="D2034" t="inlineStr">
        <is>
          <t>GÄVLEBORGS LÄN</t>
        </is>
      </c>
      <c r="E2034" t="inlineStr">
        <is>
          <t>BOLLNÄS</t>
        </is>
      </c>
      <c r="G2034" t="n">
        <v>7</v>
      </c>
      <c r="H2034" t="n">
        <v>0</v>
      </c>
      <c r="I2034" t="n">
        <v>0</v>
      </c>
      <c r="J2034" t="n">
        <v>0</v>
      </c>
      <c r="K2034" t="n">
        <v>0</v>
      </c>
      <c r="L2034" t="n">
        <v>0</v>
      </c>
      <c r="M2034" t="n">
        <v>0</v>
      </c>
      <c r="N2034" t="n">
        <v>0</v>
      </c>
      <c r="O2034" t="n">
        <v>0</v>
      </c>
      <c r="P2034" t="n">
        <v>0</v>
      </c>
      <c r="Q2034" t="n">
        <v>0</v>
      </c>
      <c r="R2034" s="2" t="inlineStr"/>
    </row>
    <row r="2035" ht="15" customHeight="1">
      <c r="A2035" t="inlineStr">
        <is>
          <t>A 31823-2020</t>
        </is>
      </c>
      <c r="B2035" s="1" t="n">
        <v>44014</v>
      </c>
      <c r="C2035" s="1" t="n">
        <v>45587</v>
      </c>
      <c r="D2035" t="inlineStr">
        <is>
          <t>GÄVLEBORGS LÄN</t>
        </is>
      </c>
      <c r="E2035" t="inlineStr">
        <is>
          <t>LJUSDAL</t>
        </is>
      </c>
      <c r="F2035" t="inlineStr">
        <is>
          <t>Holmen skog AB</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31855-2020</t>
        </is>
      </c>
      <c r="B2036" s="1" t="n">
        <v>44014</v>
      </c>
      <c r="C2036" s="1" t="n">
        <v>45587</v>
      </c>
      <c r="D2036" t="inlineStr">
        <is>
          <t>GÄVLEBORGS LÄN</t>
        </is>
      </c>
      <c r="E2036" t="inlineStr">
        <is>
          <t>LJUSDAL</t>
        </is>
      </c>
      <c r="F2036" t="inlineStr">
        <is>
          <t>Sveaskog</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31830-2020</t>
        </is>
      </c>
      <c r="B2037" s="1" t="n">
        <v>44014</v>
      </c>
      <c r="C2037" s="1" t="n">
        <v>45587</v>
      </c>
      <c r="D2037" t="inlineStr">
        <is>
          <t>GÄVLEBORGS LÄN</t>
        </is>
      </c>
      <c r="E2037" t="inlineStr">
        <is>
          <t>BOLLNÄS</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32007-2020</t>
        </is>
      </c>
      <c r="B2038" s="1" t="n">
        <v>44014</v>
      </c>
      <c r="C2038" s="1" t="n">
        <v>45587</v>
      </c>
      <c r="D2038" t="inlineStr">
        <is>
          <t>GÄVLEBORGS LÄN</t>
        </is>
      </c>
      <c r="E2038" t="inlineStr">
        <is>
          <t>HUDIKSVALL</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31794-2020</t>
        </is>
      </c>
      <c r="B2039" s="1" t="n">
        <v>44014</v>
      </c>
      <c r="C2039" s="1" t="n">
        <v>45587</v>
      </c>
      <c r="D2039" t="inlineStr">
        <is>
          <t>GÄVLEBORGS LÄN</t>
        </is>
      </c>
      <c r="E2039" t="inlineStr">
        <is>
          <t>HOFORS</t>
        </is>
      </c>
      <c r="F2039" t="inlineStr">
        <is>
          <t>Sveaskog</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32234-2020</t>
        </is>
      </c>
      <c r="B2040" s="1" t="n">
        <v>44015</v>
      </c>
      <c r="C2040" s="1" t="n">
        <v>45587</v>
      </c>
      <c r="D2040" t="inlineStr">
        <is>
          <t>GÄVLEBORGS LÄN</t>
        </is>
      </c>
      <c r="E2040" t="inlineStr">
        <is>
          <t>BOLLNÄS</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32293-2020</t>
        </is>
      </c>
      <c r="B2041" s="1" t="n">
        <v>44015</v>
      </c>
      <c r="C2041" s="1" t="n">
        <v>45587</v>
      </c>
      <c r="D2041" t="inlineStr">
        <is>
          <t>GÄVLEBORGS LÄN</t>
        </is>
      </c>
      <c r="E2041" t="inlineStr">
        <is>
          <t>BOLLNÄS</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32223-2020</t>
        </is>
      </c>
      <c r="B2042" s="1" t="n">
        <v>44015</v>
      </c>
      <c r="C2042" s="1" t="n">
        <v>45587</v>
      </c>
      <c r="D2042" t="inlineStr">
        <is>
          <t>GÄVLEBORGS LÄN</t>
        </is>
      </c>
      <c r="E2042" t="inlineStr">
        <is>
          <t>GÄVLE</t>
        </is>
      </c>
      <c r="F2042" t="inlineStr">
        <is>
          <t>Bergvik skog öst AB</t>
        </is>
      </c>
      <c r="G2042" t="n">
        <v>5.4</v>
      </c>
      <c r="H2042" t="n">
        <v>0</v>
      </c>
      <c r="I2042" t="n">
        <v>0</v>
      </c>
      <c r="J2042" t="n">
        <v>0</v>
      </c>
      <c r="K2042" t="n">
        <v>0</v>
      </c>
      <c r="L2042" t="n">
        <v>0</v>
      </c>
      <c r="M2042" t="n">
        <v>0</v>
      </c>
      <c r="N2042" t="n">
        <v>0</v>
      </c>
      <c r="O2042" t="n">
        <v>0</v>
      </c>
      <c r="P2042" t="n">
        <v>0</v>
      </c>
      <c r="Q2042" t="n">
        <v>0</v>
      </c>
      <c r="R2042" s="2" t="inlineStr"/>
    </row>
    <row r="2043" ht="15" customHeight="1">
      <c r="A2043" t="inlineStr">
        <is>
          <t>A 32231-2020</t>
        </is>
      </c>
      <c r="B2043" s="1" t="n">
        <v>44015</v>
      </c>
      <c r="C2043" s="1" t="n">
        <v>45587</v>
      </c>
      <c r="D2043" t="inlineStr">
        <is>
          <t>GÄVLEBORGS LÄN</t>
        </is>
      </c>
      <c r="E2043" t="inlineStr">
        <is>
          <t>GÄVLE</t>
        </is>
      </c>
      <c r="F2043" t="inlineStr">
        <is>
          <t>Bergvik skog öst AB</t>
        </is>
      </c>
      <c r="G2043" t="n">
        <v>5.9</v>
      </c>
      <c r="H2043" t="n">
        <v>0</v>
      </c>
      <c r="I2043" t="n">
        <v>0</v>
      </c>
      <c r="J2043" t="n">
        <v>0</v>
      </c>
      <c r="K2043" t="n">
        <v>0</v>
      </c>
      <c r="L2043" t="n">
        <v>0</v>
      </c>
      <c r="M2043" t="n">
        <v>0</v>
      </c>
      <c r="N2043" t="n">
        <v>0</v>
      </c>
      <c r="O2043" t="n">
        <v>0</v>
      </c>
      <c r="P2043" t="n">
        <v>0</v>
      </c>
      <c r="Q2043" t="n">
        <v>0</v>
      </c>
      <c r="R2043" s="2" t="inlineStr"/>
    </row>
    <row r="2044" ht="15" customHeight="1">
      <c r="A2044" t="inlineStr">
        <is>
          <t>A 32247-2020</t>
        </is>
      </c>
      <c r="B2044" s="1" t="n">
        <v>44015</v>
      </c>
      <c r="C2044" s="1" t="n">
        <v>45587</v>
      </c>
      <c r="D2044" t="inlineStr">
        <is>
          <t>GÄVLEBORGS LÄN</t>
        </is>
      </c>
      <c r="E2044" t="inlineStr">
        <is>
          <t>HUDIKSVALL</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32342-2020</t>
        </is>
      </c>
      <c r="B2045" s="1" t="n">
        <v>44016</v>
      </c>
      <c r="C2045" s="1" t="n">
        <v>45587</v>
      </c>
      <c r="D2045" t="inlineStr">
        <is>
          <t>GÄVLEBORGS LÄN</t>
        </is>
      </c>
      <c r="E2045" t="inlineStr">
        <is>
          <t>HOFORS</t>
        </is>
      </c>
      <c r="F2045" t="inlineStr">
        <is>
          <t>Sveaskog</t>
        </is>
      </c>
      <c r="G2045" t="n">
        <v>8.199999999999999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32527-2020</t>
        </is>
      </c>
      <c r="B2046" s="1" t="n">
        <v>44018</v>
      </c>
      <c r="C2046" s="1" t="n">
        <v>45587</v>
      </c>
      <c r="D2046" t="inlineStr">
        <is>
          <t>GÄVLEBORGS LÄN</t>
        </is>
      </c>
      <c r="E2046" t="inlineStr">
        <is>
          <t>NORDANSTIG</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32507-2020</t>
        </is>
      </c>
      <c r="B2047" s="1" t="n">
        <v>44018</v>
      </c>
      <c r="C2047" s="1" t="n">
        <v>45587</v>
      </c>
      <c r="D2047" t="inlineStr">
        <is>
          <t>GÄVLEBORGS LÄN</t>
        </is>
      </c>
      <c r="E2047" t="inlineStr">
        <is>
          <t>HUDIKSVALL</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32722-2020</t>
        </is>
      </c>
      <c r="B2048" s="1" t="n">
        <v>44019</v>
      </c>
      <c r="C2048" s="1" t="n">
        <v>45587</v>
      </c>
      <c r="D2048" t="inlineStr">
        <is>
          <t>GÄVLEBORGS LÄN</t>
        </is>
      </c>
      <c r="E2048" t="inlineStr">
        <is>
          <t>HUDIKSVALL</t>
        </is>
      </c>
      <c r="F2048" t="inlineStr">
        <is>
          <t>Holmen skog AB</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32969-2020</t>
        </is>
      </c>
      <c r="B2049" s="1" t="n">
        <v>44020</v>
      </c>
      <c r="C2049" s="1" t="n">
        <v>45587</v>
      </c>
      <c r="D2049" t="inlineStr">
        <is>
          <t>GÄVLEBORGS LÄN</t>
        </is>
      </c>
      <c r="E2049" t="inlineStr">
        <is>
          <t>OCKELBO</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32796-2020</t>
        </is>
      </c>
      <c r="B2050" s="1" t="n">
        <v>44020</v>
      </c>
      <c r="C2050" s="1" t="n">
        <v>45587</v>
      </c>
      <c r="D2050" t="inlineStr">
        <is>
          <t>GÄVLEBORGS LÄN</t>
        </is>
      </c>
      <c r="E2050" t="inlineStr">
        <is>
          <t>SANDVIKEN</t>
        </is>
      </c>
      <c r="F2050" t="inlineStr">
        <is>
          <t>Bergvik skog öst AB</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32895-2020</t>
        </is>
      </c>
      <c r="B2051" s="1" t="n">
        <v>44020</v>
      </c>
      <c r="C2051" s="1" t="n">
        <v>45587</v>
      </c>
      <c r="D2051" t="inlineStr">
        <is>
          <t>GÄVLEBORGS LÄN</t>
        </is>
      </c>
      <c r="E2051" t="inlineStr">
        <is>
          <t>HUDIKSVALL</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32795-2020</t>
        </is>
      </c>
      <c r="B2052" s="1" t="n">
        <v>44020</v>
      </c>
      <c r="C2052" s="1" t="n">
        <v>45587</v>
      </c>
      <c r="D2052" t="inlineStr">
        <is>
          <t>GÄVLEBORGS LÄN</t>
        </is>
      </c>
      <c r="E2052" t="inlineStr">
        <is>
          <t>SANDVIKEN</t>
        </is>
      </c>
      <c r="F2052" t="inlineStr">
        <is>
          <t>Bergvik skog öst AB</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33285-2020</t>
        </is>
      </c>
      <c r="B2053" s="1" t="n">
        <v>44020</v>
      </c>
      <c r="C2053" s="1" t="n">
        <v>45587</v>
      </c>
      <c r="D2053" t="inlineStr">
        <is>
          <t>GÄVLEBORGS LÄN</t>
        </is>
      </c>
      <c r="E2053" t="inlineStr">
        <is>
          <t>HUDIKSVALL</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33281-2020</t>
        </is>
      </c>
      <c r="B2054" s="1" t="n">
        <v>44020</v>
      </c>
      <c r="C2054" s="1" t="n">
        <v>45587</v>
      </c>
      <c r="D2054" t="inlineStr">
        <is>
          <t>GÄVLEBORGS LÄN</t>
        </is>
      </c>
      <c r="E2054" t="inlineStr">
        <is>
          <t>HUDIKSVALL</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33127-2020</t>
        </is>
      </c>
      <c r="B2055" s="1" t="n">
        <v>44021</v>
      </c>
      <c r="C2055" s="1" t="n">
        <v>45587</v>
      </c>
      <c r="D2055" t="inlineStr">
        <is>
          <t>GÄVLEBORGS LÄN</t>
        </is>
      </c>
      <c r="E2055" t="inlineStr">
        <is>
          <t>OVANÅKER</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33414-2020</t>
        </is>
      </c>
      <c r="B2056" s="1" t="n">
        <v>44022</v>
      </c>
      <c r="C2056" s="1" t="n">
        <v>45587</v>
      </c>
      <c r="D2056" t="inlineStr">
        <is>
          <t>GÄVLEBORGS LÄN</t>
        </is>
      </c>
      <c r="E2056" t="inlineStr">
        <is>
          <t>SANDVIKEN</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33328-2020</t>
        </is>
      </c>
      <c r="B2057" s="1" t="n">
        <v>44022</v>
      </c>
      <c r="C2057" s="1" t="n">
        <v>45587</v>
      </c>
      <c r="D2057" t="inlineStr">
        <is>
          <t>GÄVLEBORGS LÄN</t>
        </is>
      </c>
      <c r="E2057" t="inlineStr">
        <is>
          <t>LJUSDAL</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33351-2020</t>
        </is>
      </c>
      <c r="B2058" s="1" t="n">
        <v>44022</v>
      </c>
      <c r="C2058" s="1" t="n">
        <v>45587</v>
      </c>
      <c r="D2058" t="inlineStr">
        <is>
          <t>GÄVLEBORGS LÄN</t>
        </is>
      </c>
      <c r="E2058" t="inlineStr">
        <is>
          <t>GÄVLE</t>
        </is>
      </c>
      <c r="F2058" t="inlineStr">
        <is>
          <t>Bergvik skog väst AB</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33437-2020</t>
        </is>
      </c>
      <c r="B2059" s="1" t="n">
        <v>44022</v>
      </c>
      <c r="C2059" s="1" t="n">
        <v>45587</v>
      </c>
      <c r="D2059" t="inlineStr">
        <is>
          <t>GÄVLEBORGS LÄN</t>
        </is>
      </c>
      <c r="E2059" t="inlineStr">
        <is>
          <t>HUDIKSVALL</t>
        </is>
      </c>
      <c r="G2059" t="n">
        <v>8.699999999999999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33338-2020</t>
        </is>
      </c>
      <c r="B2060" s="1" t="n">
        <v>44022</v>
      </c>
      <c r="C2060" s="1" t="n">
        <v>45587</v>
      </c>
      <c r="D2060" t="inlineStr">
        <is>
          <t>GÄVLEBORGS LÄN</t>
        </is>
      </c>
      <c r="E2060" t="inlineStr">
        <is>
          <t>LJUSDAL</t>
        </is>
      </c>
      <c r="F2060" t="inlineStr">
        <is>
          <t>Sveaskog</t>
        </is>
      </c>
      <c r="G2060" t="n">
        <v>23.5</v>
      </c>
      <c r="H2060" t="n">
        <v>0</v>
      </c>
      <c r="I2060" t="n">
        <v>0</v>
      </c>
      <c r="J2060" t="n">
        <v>0</v>
      </c>
      <c r="K2060" t="n">
        <v>0</v>
      </c>
      <c r="L2060" t="n">
        <v>0</v>
      </c>
      <c r="M2060" t="n">
        <v>0</v>
      </c>
      <c r="N2060" t="n">
        <v>0</v>
      </c>
      <c r="O2060" t="n">
        <v>0</v>
      </c>
      <c r="P2060" t="n">
        <v>0</v>
      </c>
      <c r="Q2060" t="n">
        <v>0</v>
      </c>
      <c r="R2060" s="2" t="inlineStr"/>
    </row>
    <row r="2061" ht="15" customHeight="1">
      <c r="A2061" t="inlineStr">
        <is>
          <t>A 33566-2020</t>
        </is>
      </c>
      <c r="B2061" s="1" t="n">
        <v>44025</v>
      </c>
      <c r="C2061" s="1" t="n">
        <v>45587</v>
      </c>
      <c r="D2061" t="inlineStr">
        <is>
          <t>GÄVLEBORGS LÄN</t>
        </is>
      </c>
      <c r="E2061" t="inlineStr">
        <is>
          <t>HUDIKSVALL</t>
        </is>
      </c>
      <c r="F2061" t="inlineStr">
        <is>
          <t>Holmen skog AB</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33889-2020</t>
        </is>
      </c>
      <c r="B2062" s="1" t="n">
        <v>44025</v>
      </c>
      <c r="C2062" s="1" t="n">
        <v>45587</v>
      </c>
      <c r="D2062" t="inlineStr">
        <is>
          <t>GÄVLEBORGS LÄN</t>
        </is>
      </c>
      <c r="E2062" t="inlineStr">
        <is>
          <t>OVANÅKER</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33834-2020</t>
        </is>
      </c>
      <c r="B2063" s="1" t="n">
        <v>44025</v>
      </c>
      <c r="C2063" s="1" t="n">
        <v>45587</v>
      </c>
      <c r="D2063" t="inlineStr">
        <is>
          <t>GÄVLEBORGS LÄN</t>
        </is>
      </c>
      <c r="E2063" t="inlineStr">
        <is>
          <t>HUDIKSVALL</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33876-2020</t>
        </is>
      </c>
      <c r="B2064" s="1" t="n">
        <v>44025</v>
      </c>
      <c r="C2064" s="1" t="n">
        <v>45587</v>
      </c>
      <c r="D2064" t="inlineStr">
        <is>
          <t>GÄVLEBORGS LÄN</t>
        </is>
      </c>
      <c r="E2064" t="inlineStr">
        <is>
          <t>LJUSDAL</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33893-2020</t>
        </is>
      </c>
      <c r="B2065" s="1" t="n">
        <v>44025</v>
      </c>
      <c r="C2065" s="1" t="n">
        <v>45587</v>
      </c>
      <c r="D2065" t="inlineStr">
        <is>
          <t>GÄVLEBORGS LÄN</t>
        </is>
      </c>
      <c r="E2065" t="inlineStr">
        <is>
          <t>GÄVLE</t>
        </is>
      </c>
      <c r="F2065" t="inlineStr">
        <is>
          <t>Bergvik skog väst AB</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33647-2020</t>
        </is>
      </c>
      <c r="B2066" s="1" t="n">
        <v>44026</v>
      </c>
      <c r="C2066" s="1" t="n">
        <v>45587</v>
      </c>
      <c r="D2066" t="inlineStr">
        <is>
          <t>GÄVLEBORGS LÄN</t>
        </is>
      </c>
      <c r="E2066" t="inlineStr">
        <is>
          <t>LJUSDAL</t>
        </is>
      </c>
      <c r="F2066" t="inlineStr">
        <is>
          <t>Sveaskog</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33707-2020</t>
        </is>
      </c>
      <c r="B2067" s="1" t="n">
        <v>44026</v>
      </c>
      <c r="C2067" s="1" t="n">
        <v>45587</v>
      </c>
      <c r="D2067" t="inlineStr">
        <is>
          <t>GÄVLEBORGS LÄN</t>
        </is>
      </c>
      <c r="E2067" t="inlineStr">
        <is>
          <t>HUDIKSVALL</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33708-2020</t>
        </is>
      </c>
      <c r="B2068" s="1" t="n">
        <v>44026</v>
      </c>
      <c r="C2068" s="1" t="n">
        <v>45587</v>
      </c>
      <c r="D2068" t="inlineStr">
        <is>
          <t>GÄVLEBORGS LÄN</t>
        </is>
      </c>
      <c r="E2068" t="inlineStr">
        <is>
          <t>HUDIKSVALL</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33755-2020</t>
        </is>
      </c>
      <c r="B2069" s="1" t="n">
        <v>44026</v>
      </c>
      <c r="C2069" s="1" t="n">
        <v>45587</v>
      </c>
      <c r="D2069" t="inlineStr">
        <is>
          <t>GÄVLEBORGS LÄN</t>
        </is>
      </c>
      <c r="E2069" t="inlineStr">
        <is>
          <t>GÄVLE</t>
        </is>
      </c>
      <c r="F2069" t="inlineStr">
        <is>
          <t>Kommuner</t>
        </is>
      </c>
      <c r="G2069" t="n">
        <v>7.2</v>
      </c>
      <c r="H2069" t="n">
        <v>0</v>
      </c>
      <c r="I2069" t="n">
        <v>0</v>
      </c>
      <c r="J2069" t="n">
        <v>0</v>
      </c>
      <c r="K2069" t="n">
        <v>0</v>
      </c>
      <c r="L2069" t="n">
        <v>0</v>
      </c>
      <c r="M2069" t="n">
        <v>0</v>
      </c>
      <c r="N2069" t="n">
        <v>0</v>
      </c>
      <c r="O2069" t="n">
        <v>0</v>
      </c>
      <c r="P2069" t="n">
        <v>0</v>
      </c>
      <c r="Q2069" t="n">
        <v>0</v>
      </c>
      <c r="R2069" s="2" t="inlineStr"/>
    </row>
    <row r="2070" ht="15" customHeight="1">
      <c r="A2070" t="inlineStr">
        <is>
          <t>A 33762-2020</t>
        </is>
      </c>
      <c r="B2070" s="1" t="n">
        <v>44026</v>
      </c>
      <c r="C2070" s="1" t="n">
        <v>45587</v>
      </c>
      <c r="D2070" t="inlineStr">
        <is>
          <t>GÄVLEBORGS LÄN</t>
        </is>
      </c>
      <c r="E2070" t="inlineStr">
        <is>
          <t>SÖDERHAMN</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33769-2020</t>
        </is>
      </c>
      <c r="B2071" s="1" t="n">
        <v>44026</v>
      </c>
      <c r="C2071" s="1" t="n">
        <v>45587</v>
      </c>
      <c r="D2071" t="inlineStr">
        <is>
          <t>GÄVLEBORGS LÄN</t>
        </is>
      </c>
      <c r="E2071" t="inlineStr">
        <is>
          <t>SÖDERHAMN</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33765-2020</t>
        </is>
      </c>
      <c r="B2072" s="1" t="n">
        <v>44026</v>
      </c>
      <c r="C2072" s="1" t="n">
        <v>45587</v>
      </c>
      <c r="D2072" t="inlineStr">
        <is>
          <t>GÄVLEBORGS LÄN</t>
        </is>
      </c>
      <c r="E2072" t="inlineStr">
        <is>
          <t>SÖDERHAMN</t>
        </is>
      </c>
      <c r="G2072" t="n">
        <v>15.4</v>
      </c>
      <c r="H2072" t="n">
        <v>0</v>
      </c>
      <c r="I2072" t="n">
        <v>0</v>
      </c>
      <c r="J2072" t="n">
        <v>0</v>
      </c>
      <c r="K2072" t="n">
        <v>0</v>
      </c>
      <c r="L2072" t="n">
        <v>0</v>
      </c>
      <c r="M2072" t="n">
        <v>0</v>
      </c>
      <c r="N2072" t="n">
        <v>0</v>
      </c>
      <c r="O2072" t="n">
        <v>0</v>
      </c>
      <c r="P2072" t="n">
        <v>0</v>
      </c>
      <c r="Q2072" t="n">
        <v>0</v>
      </c>
      <c r="R2072" s="2" t="inlineStr"/>
    </row>
    <row r="2073" ht="15" customHeight="1">
      <c r="A2073" t="inlineStr">
        <is>
          <t>A 33863-2020</t>
        </is>
      </c>
      <c r="B2073" s="1" t="n">
        <v>44027</v>
      </c>
      <c r="C2073" s="1" t="n">
        <v>45587</v>
      </c>
      <c r="D2073" t="inlineStr">
        <is>
          <t>GÄVLEBORGS LÄN</t>
        </is>
      </c>
      <c r="E2073" t="inlineStr">
        <is>
          <t>SANDVIKEN</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33895-2020</t>
        </is>
      </c>
      <c r="B2074" s="1" t="n">
        <v>44027</v>
      </c>
      <c r="C2074" s="1" t="n">
        <v>45587</v>
      </c>
      <c r="D2074" t="inlineStr">
        <is>
          <t>GÄVLEBORGS LÄN</t>
        </is>
      </c>
      <c r="E2074" t="inlineStr">
        <is>
          <t>LJUSDAL</t>
        </is>
      </c>
      <c r="G2074" t="n">
        <v>12.5</v>
      </c>
      <c r="H2074" t="n">
        <v>0</v>
      </c>
      <c r="I2074" t="n">
        <v>0</v>
      </c>
      <c r="J2074" t="n">
        <v>0</v>
      </c>
      <c r="K2074" t="n">
        <v>0</v>
      </c>
      <c r="L2074" t="n">
        <v>0</v>
      </c>
      <c r="M2074" t="n">
        <v>0</v>
      </c>
      <c r="N2074" t="n">
        <v>0</v>
      </c>
      <c r="O2074" t="n">
        <v>0</v>
      </c>
      <c r="P2074" t="n">
        <v>0</v>
      </c>
      <c r="Q2074" t="n">
        <v>0</v>
      </c>
      <c r="R2074" s="2" t="inlineStr"/>
    </row>
    <row r="2075" ht="15" customHeight="1">
      <c r="A2075" t="inlineStr">
        <is>
          <t>A 34034-2020</t>
        </is>
      </c>
      <c r="B2075" s="1" t="n">
        <v>44028</v>
      </c>
      <c r="C2075" s="1" t="n">
        <v>45587</v>
      </c>
      <c r="D2075" t="inlineStr">
        <is>
          <t>GÄVLEBORGS LÄN</t>
        </is>
      </c>
      <c r="E2075" t="inlineStr">
        <is>
          <t>LJUSDAL</t>
        </is>
      </c>
      <c r="F2075" t="inlineStr">
        <is>
          <t>Holmen skog AB</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34036-2020</t>
        </is>
      </c>
      <c r="B2076" s="1" t="n">
        <v>44028</v>
      </c>
      <c r="C2076" s="1" t="n">
        <v>45587</v>
      </c>
      <c r="D2076" t="inlineStr">
        <is>
          <t>GÄVLEBORGS LÄN</t>
        </is>
      </c>
      <c r="E2076" t="inlineStr">
        <is>
          <t>NORDANSTIG</t>
        </is>
      </c>
      <c r="F2076" t="inlineStr">
        <is>
          <t>Holmen skog AB</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34031-2020</t>
        </is>
      </c>
      <c r="B2077" s="1" t="n">
        <v>44028</v>
      </c>
      <c r="C2077" s="1" t="n">
        <v>45587</v>
      </c>
      <c r="D2077" t="inlineStr">
        <is>
          <t>GÄVLEBORGS LÄN</t>
        </is>
      </c>
      <c r="E2077" t="inlineStr">
        <is>
          <t>HUDIKSVALL</t>
        </is>
      </c>
      <c r="G2077" t="n">
        <v>0.1</v>
      </c>
      <c r="H2077" t="n">
        <v>0</v>
      </c>
      <c r="I2077" t="n">
        <v>0</v>
      </c>
      <c r="J2077" t="n">
        <v>0</v>
      </c>
      <c r="K2077" t="n">
        <v>0</v>
      </c>
      <c r="L2077" t="n">
        <v>0</v>
      </c>
      <c r="M2077" t="n">
        <v>0</v>
      </c>
      <c r="N2077" t="n">
        <v>0</v>
      </c>
      <c r="O2077" t="n">
        <v>0</v>
      </c>
      <c r="P2077" t="n">
        <v>0</v>
      </c>
      <c r="Q2077" t="n">
        <v>0</v>
      </c>
      <c r="R2077" s="2" t="inlineStr"/>
    </row>
    <row r="2078" ht="15" customHeight="1">
      <c r="A2078" t="inlineStr">
        <is>
          <t>A 34156-2020</t>
        </is>
      </c>
      <c r="B2078" s="1" t="n">
        <v>44029</v>
      </c>
      <c r="C2078" s="1" t="n">
        <v>45587</v>
      </c>
      <c r="D2078" t="inlineStr">
        <is>
          <t>GÄVLEBORGS LÄN</t>
        </is>
      </c>
      <c r="E2078" t="inlineStr">
        <is>
          <t>LJUSDAL</t>
        </is>
      </c>
      <c r="F2078" t="inlineStr">
        <is>
          <t>Sveaskog</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34193-2020</t>
        </is>
      </c>
      <c r="B2079" s="1" t="n">
        <v>44029</v>
      </c>
      <c r="C2079" s="1" t="n">
        <v>45587</v>
      </c>
      <c r="D2079" t="inlineStr">
        <is>
          <t>GÄVLEBORGS LÄN</t>
        </is>
      </c>
      <c r="E2079" t="inlineStr">
        <is>
          <t>LJUSDAL</t>
        </is>
      </c>
      <c r="F2079" t="inlineStr">
        <is>
          <t>Sveaskog</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34496-2020</t>
        </is>
      </c>
      <c r="B2080" s="1" t="n">
        <v>44029</v>
      </c>
      <c r="C2080" s="1" t="n">
        <v>45587</v>
      </c>
      <c r="D2080" t="inlineStr">
        <is>
          <t>GÄVLEBORGS LÄN</t>
        </is>
      </c>
      <c r="E2080" t="inlineStr">
        <is>
          <t>SANDVIKEN</t>
        </is>
      </c>
      <c r="F2080" t="inlineStr">
        <is>
          <t>Bergvik skog väst AB</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34308-2020</t>
        </is>
      </c>
      <c r="B2081" s="1" t="n">
        <v>44031</v>
      </c>
      <c r="C2081" s="1" t="n">
        <v>45587</v>
      </c>
      <c r="D2081" t="inlineStr">
        <is>
          <t>GÄVLEBORGS LÄN</t>
        </is>
      </c>
      <c r="E2081" t="inlineStr">
        <is>
          <t>LJUSDAL</t>
        </is>
      </c>
      <c r="F2081" t="inlineStr">
        <is>
          <t>Sveaskog</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34317-2020</t>
        </is>
      </c>
      <c r="B2082" s="1" t="n">
        <v>44032</v>
      </c>
      <c r="C2082" s="1" t="n">
        <v>45587</v>
      </c>
      <c r="D2082" t="inlineStr">
        <is>
          <t>GÄVLEBORGS LÄN</t>
        </is>
      </c>
      <c r="E2082" t="inlineStr">
        <is>
          <t>LJUSDAL</t>
        </is>
      </c>
      <c r="F2082" t="inlineStr">
        <is>
          <t>Sveaskog</t>
        </is>
      </c>
      <c r="G2082" t="n">
        <v>38.4</v>
      </c>
      <c r="H2082" t="n">
        <v>0</v>
      </c>
      <c r="I2082" t="n">
        <v>0</v>
      </c>
      <c r="J2082" t="n">
        <v>0</v>
      </c>
      <c r="K2082" t="n">
        <v>0</v>
      </c>
      <c r="L2082" t="n">
        <v>0</v>
      </c>
      <c r="M2082" t="n">
        <v>0</v>
      </c>
      <c r="N2082" t="n">
        <v>0</v>
      </c>
      <c r="O2082" t="n">
        <v>0</v>
      </c>
      <c r="P2082" t="n">
        <v>0</v>
      </c>
      <c r="Q2082" t="n">
        <v>0</v>
      </c>
      <c r="R2082" s="2" t="inlineStr"/>
    </row>
    <row r="2083" ht="15" customHeight="1">
      <c r="A2083" t="inlineStr">
        <is>
          <t>A 34316-2020</t>
        </is>
      </c>
      <c r="B2083" s="1" t="n">
        <v>44032</v>
      </c>
      <c r="C2083" s="1" t="n">
        <v>45587</v>
      </c>
      <c r="D2083" t="inlineStr">
        <is>
          <t>GÄVLEBORGS LÄN</t>
        </is>
      </c>
      <c r="E2083" t="inlineStr">
        <is>
          <t>LJUSDAL</t>
        </is>
      </c>
      <c r="F2083" t="inlineStr">
        <is>
          <t>Sveaskog</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34462-2020</t>
        </is>
      </c>
      <c r="B2084" s="1" t="n">
        <v>44032</v>
      </c>
      <c r="C2084" s="1" t="n">
        <v>45587</v>
      </c>
      <c r="D2084" t="inlineStr">
        <is>
          <t>GÄVLEBORGS LÄN</t>
        </is>
      </c>
      <c r="E2084" t="inlineStr">
        <is>
          <t>LJUSDAL</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34523-2020</t>
        </is>
      </c>
      <c r="B2085" s="1" t="n">
        <v>44033</v>
      </c>
      <c r="C2085" s="1" t="n">
        <v>45587</v>
      </c>
      <c r="D2085" t="inlineStr">
        <is>
          <t>GÄVLEBORGS LÄN</t>
        </is>
      </c>
      <c r="E2085" t="inlineStr">
        <is>
          <t>LJUSDAL</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34519-2020</t>
        </is>
      </c>
      <c r="B2086" s="1" t="n">
        <v>44033</v>
      </c>
      <c r="C2086" s="1" t="n">
        <v>45587</v>
      </c>
      <c r="D2086" t="inlineStr">
        <is>
          <t>GÄVLEBORGS LÄN</t>
        </is>
      </c>
      <c r="E2086" t="inlineStr">
        <is>
          <t>HUDIKSVALL</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34627-2020</t>
        </is>
      </c>
      <c r="B2087" s="1" t="n">
        <v>44034</v>
      </c>
      <c r="C2087" s="1" t="n">
        <v>45587</v>
      </c>
      <c r="D2087" t="inlineStr">
        <is>
          <t>GÄVLEBORGS LÄN</t>
        </is>
      </c>
      <c r="E2087" t="inlineStr">
        <is>
          <t>NORDANSTIG</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34625-2020</t>
        </is>
      </c>
      <c r="B2088" s="1" t="n">
        <v>44034</v>
      </c>
      <c r="C2088" s="1" t="n">
        <v>45587</v>
      </c>
      <c r="D2088" t="inlineStr">
        <is>
          <t>GÄVLEBORGS LÄN</t>
        </is>
      </c>
      <c r="E2088" t="inlineStr">
        <is>
          <t>NORDANSTIG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34704-2020</t>
        </is>
      </c>
      <c r="B2089" s="1" t="n">
        <v>44035</v>
      </c>
      <c r="C2089" s="1" t="n">
        <v>45587</v>
      </c>
      <c r="D2089" t="inlineStr">
        <is>
          <t>GÄVLEBORGS LÄN</t>
        </is>
      </c>
      <c r="E2089" t="inlineStr">
        <is>
          <t>HUDIKSVALL</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34722-2020</t>
        </is>
      </c>
      <c r="B2090" s="1" t="n">
        <v>44035</v>
      </c>
      <c r="C2090" s="1" t="n">
        <v>45587</v>
      </c>
      <c r="D2090" t="inlineStr">
        <is>
          <t>GÄVLEBORGS LÄN</t>
        </is>
      </c>
      <c r="E2090" t="inlineStr">
        <is>
          <t>OVANÅKER</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34683-2020</t>
        </is>
      </c>
      <c r="B2091" s="1" t="n">
        <v>44035</v>
      </c>
      <c r="C2091" s="1" t="n">
        <v>45587</v>
      </c>
      <c r="D2091" t="inlineStr">
        <is>
          <t>GÄVLEBORGS LÄN</t>
        </is>
      </c>
      <c r="E2091" t="inlineStr">
        <is>
          <t>BOLLNÄS</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34740-2020</t>
        </is>
      </c>
      <c r="B2092" s="1" t="n">
        <v>44035</v>
      </c>
      <c r="C2092" s="1" t="n">
        <v>45587</v>
      </c>
      <c r="D2092" t="inlineStr">
        <is>
          <t>GÄVLEBORGS LÄN</t>
        </is>
      </c>
      <c r="E2092" t="inlineStr">
        <is>
          <t>BOLLNÄS</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34750-2020</t>
        </is>
      </c>
      <c r="B2093" s="1" t="n">
        <v>44035</v>
      </c>
      <c r="C2093" s="1" t="n">
        <v>45587</v>
      </c>
      <c r="D2093" t="inlineStr">
        <is>
          <t>GÄVLEBORGS LÄN</t>
        </is>
      </c>
      <c r="E2093" t="inlineStr">
        <is>
          <t>HUDIKSVALL</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34822-2020</t>
        </is>
      </c>
      <c r="B2094" s="1" t="n">
        <v>44036</v>
      </c>
      <c r="C2094" s="1" t="n">
        <v>45587</v>
      </c>
      <c r="D2094" t="inlineStr">
        <is>
          <t>GÄVLEBORGS LÄN</t>
        </is>
      </c>
      <c r="E2094" t="inlineStr">
        <is>
          <t>SÖDERHAMN</t>
        </is>
      </c>
      <c r="F2094" t="inlineStr">
        <is>
          <t>Bergvik skog väst AB</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34817-2020</t>
        </is>
      </c>
      <c r="B2095" s="1" t="n">
        <v>44036</v>
      </c>
      <c r="C2095" s="1" t="n">
        <v>45587</v>
      </c>
      <c r="D2095" t="inlineStr">
        <is>
          <t>GÄVLEBORGS LÄN</t>
        </is>
      </c>
      <c r="E2095" t="inlineStr">
        <is>
          <t>OCKELBO</t>
        </is>
      </c>
      <c r="F2095" t="inlineStr">
        <is>
          <t>Bergvik skog väst AB</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34845-2020</t>
        </is>
      </c>
      <c r="B2096" s="1" t="n">
        <v>44036</v>
      </c>
      <c r="C2096" s="1" t="n">
        <v>45587</v>
      </c>
      <c r="D2096" t="inlineStr">
        <is>
          <t>GÄVLEBORGS LÄN</t>
        </is>
      </c>
      <c r="E2096" t="inlineStr">
        <is>
          <t>OCKELBO</t>
        </is>
      </c>
      <c r="F2096" t="inlineStr">
        <is>
          <t>Bergvik skog väst AB</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35205-2020</t>
        </is>
      </c>
      <c r="B2097" s="1" t="n">
        <v>44040</v>
      </c>
      <c r="C2097" s="1" t="n">
        <v>45587</v>
      </c>
      <c r="D2097" t="inlineStr">
        <is>
          <t>GÄVLEBORGS LÄN</t>
        </is>
      </c>
      <c r="E2097" t="inlineStr">
        <is>
          <t>SANDVIKEN</t>
        </is>
      </c>
      <c r="F2097" t="inlineStr">
        <is>
          <t>Sveaskog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35295-2020</t>
        </is>
      </c>
      <c r="B2098" s="1" t="n">
        <v>44041</v>
      </c>
      <c r="C2098" s="1" t="n">
        <v>45587</v>
      </c>
      <c r="D2098" t="inlineStr">
        <is>
          <t>GÄVLEBORGS LÄN</t>
        </is>
      </c>
      <c r="E2098" t="inlineStr">
        <is>
          <t>OVANÅKER</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35251-2020</t>
        </is>
      </c>
      <c r="B2099" s="1" t="n">
        <v>44041</v>
      </c>
      <c r="C2099" s="1" t="n">
        <v>45587</v>
      </c>
      <c r="D2099" t="inlineStr">
        <is>
          <t>GÄVLEBORGS LÄN</t>
        </is>
      </c>
      <c r="E2099" t="inlineStr">
        <is>
          <t>SÖDERHAMN</t>
        </is>
      </c>
      <c r="F2099" t="inlineStr">
        <is>
          <t>Bergvik skog väst AB</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35277-2020</t>
        </is>
      </c>
      <c r="B2100" s="1" t="n">
        <v>44041</v>
      </c>
      <c r="C2100" s="1" t="n">
        <v>45587</v>
      </c>
      <c r="D2100" t="inlineStr">
        <is>
          <t>GÄVLEBORGS LÄN</t>
        </is>
      </c>
      <c r="E2100" t="inlineStr">
        <is>
          <t>LJUSDAL</t>
        </is>
      </c>
      <c r="F2100" t="inlineStr">
        <is>
          <t>Holmen skog AB</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35297-2020</t>
        </is>
      </c>
      <c r="B2101" s="1" t="n">
        <v>44041</v>
      </c>
      <c r="C2101" s="1" t="n">
        <v>45587</v>
      </c>
      <c r="D2101" t="inlineStr">
        <is>
          <t>GÄVLEBORGS LÄN</t>
        </is>
      </c>
      <c r="E2101" t="inlineStr">
        <is>
          <t>LJUSDAL</t>
        </is>
      </c>
      <c r="F2101" t="inlineStr">
        <is>
          <t>Holmen skog AB</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35227-2020</t>
        </is>
      </c>
      <c r="B2102" s="1" t="n">
        <v>44041</v>
      </c>
      <c r="C2102" s="1" t="n">
        <v>45587</v>
      </c>
      <c r="D2102" t="inlineStr">
        <is>
          <t>GÄVLEBORGS LÄN</t>
        </is>
      </c>
      <c r="E2102" t="inlineStr">
        <is>
          <t>SÖDERHAMN</t>
        </is>
      </c>
      <c r="F2102" t="inlineStr">
        <is>
          <t>Bergvik skog väst AB</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35335-2020</t>
        </is>
      </c>
      <c r="B2103" s="1" t="n">
        <v>44041</v>
      </c>
      <c r="C2103" s="1" t="n">
        <v>45587</v>
      </c>
      <c r="D2103" t="inlineStr">
        <is>
          <t>GÄVLEBORGS LÄN</t>
        </is>
      </c>
      <c r="E2103" t="inlineStr">
        <is>
          <t>SANDVIKEN</t>
        </is>
      </c>
      <c r="F2103" t="inlineStr">
        <is>
          <t>Sveaskog</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35333-2020</t>
        </is>
      </c>
      <c r="B2104" s="1" t="n">
        <v>44041</v>
      </c>
      <c r="C2104" s="1" t="n">
        <v>45587</v>
      </c>
      <c r="D2104" t="inlineStr">
        <is>
          <t>GÄVLEBORGS LÄN</t>
        </is>
      </c>
      <c r="E2104" t="inlineStr">
        <is>
          <t>SANDVIKEN</t>
        </is>
      </c>
      <c r="F2104" t="inlineStr">
        <is>
          <t>Sveaskog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35332-2020</t>
        </is>
      </c>
      <c r="B2105" s="1" t="n">
        <v>44041</v>
      </c>
      <c r="C2105" s="1" t="n">
        <v>45587</v>
      </c>
      <c r="D2105" t="inlineStr">
        <is>
          <t>GÄVLEBORGS LÄN</t>
        </is>
      </c>
      <c r="E2105" t="inlineStr">
        <is>
          <t>SANDVIKEN</t>
        </is>
      </c>
      <c r="F2105" t="inlineStr">
        <is>
          <t>Sveaskog</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35293-2020</t>
        </is>
      </c>
      <c r="B2106" s="1" t="n">
        <v>44041</v>
      </c>
      <c r="C2106" s="1" t="n">
        <v>45587</v>
      </c>
      <c r="D2106" t="inlineStr">
        <is>
          <t>GÄVLEBORGS LÄN</t>
        </is>
      </c>
      <c r="E2106" t="inlineStr">
        <is>
          <t>LJUSDAL</t>
        </is>
      </c>
      <c r="F2106" t="inlineStr">
        <is>
          <t>Holmen skog AB</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35337-2020</t>
        </is>
      </c>
      <c r="B2107" s="1" t="n">
        <v>44041</v>
      </c>
      <c r="C2107" s="1" t="n">
        <v>45587</v>
      </c>
      <c r="D2107" t="inlineStr">
        <is>
          <t>GÄVLEBORGS LÄN</t>
        </is>
      </c>
      <c r="E2107" t="inlineStr">
        <is>
          <t>SANDVIKEN</t>
        </is>
      </c>
      <c r="F2107" t="inlineStr">
        <is>
          <t>Sveaskog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35270-2020</t>
        </is>
      </c>
      <c r="B2108" s="1" t="n">
        <v>44041</v>
      </c>
      <c r="C2108" s="1" t="n">
        <v>45587</v>
      </c>
      <c r="D2108" t="inlineStr">
        <is>
          <t>GÄVLEBORGS LÄN</t>
        </is>
      </c>
      <c r="E2108" t="inlineStr">
        <is>
          <t>OVANÅKER</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35405-2020</t>
        </is>
      </c>
      <c r="B2109" s="1" t="n">
        <v>44042</v>
      </c>
      <c r="C2109" s="1" t="n">
        <v>45587</v>
      </c>
      <c r="D2109" t="inlineStr">
        <is>
          <t>GÄVLEBORGS LÄN</t>
        </is>
      </c>
      <c r="E2109" t="inlineStr">
        <is>
          <t>LJUSDAL</t>
        </is>
      </c>
      <c r="F2109" t="inlineStr">
        <is>
          <t>Sveaskog</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35486-2020</t>
        </is>
      </c>
      <c r="B2110" s="1" t="n">
        <v>44042</v>
      </c>
      <c r="C2110" s="1" t="n">
        <v>45587</v>
      </c>
      <c r="D2110" t="inlineStr">
        <is>
          <t>GÄVLEBORGS LÄN</t>
        </is>
      </c>
      <c r="E2110" t="inlineStr">
        <is>
          <t>SANDVIKEN</t>
        </is>
      </c>
      <c r="F2110" t="inlineStr">
        <is>
          <t>Sveaskog</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35404-2020</t>
        </is>
      </c>
      <c r="B2111" s="1" t="n">
        <v>44042</v>
      </c>
      <c r="C2111" s="1" t="n">
        <v>45587</v>
      </c>
      <c r="D2111" t="inlineStr">
        <is>
          <t>GÄVLEBORGS LÄN</t>
        </is>
      </c>
      <c r="E2111" t="inlineStr">
        <is>
          <t>LJUSDAL</t>
        </is>
      </c>
      <c r="F2111" t="inlineStr">
        <is>
          <t>Sveaskog</t>
        </is>
      </c>
      <c r="G2111" t="n">
        <v>8.199999999999999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35533-2020</t>
        </is>
      </c>
      <c r="B2112" s="1" t="n">
        <v>44043</v>
      </c>
      <c r="C2112" s="1" t="n">
        <v>45587</v>
      </c>
      <c r="D2112" t="inlineStr">
        <is>
          <t>GÄVLEBORGS LÄN</t>
        </is>
      </c>
      <c r="E2112" t="inlineStr">
        <is>
          <t>GÄVLE</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35875-2020</t>
        </is>
      </c>
      <c r="B2113" s="1" t="n">
        <v>44047</v>
      </c>
      <c r="C2113" s="1" t="n">
        <v>45587</v>
      </c>
      <c r="D2113" t="inlineStr">
        <is>
          <t>GÄVLEBORGS LÄN</t>
        </is>
      </c>
      <c r="E2113" t="inlineStr">
        <is>
          <t>OCKELBO</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35853-2020</t>
        </is>
      </c>
      <c r="B2114" s="1" t="n">
        <v>44047</v>
      </c>
      <c r="C2114" s="1" t="n">
        <v>45587</v>
      </c>
      <c r="D2114" t="inlineStr">
        <is>
          <t>GÄVLEBORGS LÄN</t>
        </is>
      </c>
      <c r="E2114" t="inlineStr">
        <is>
          <t>HUDIKSVALL</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36111-2020</t>
        </is>
      </c>
      <c r="B2115" s="1" t="n">
        <v>44048</v>
      </c>
      <c r="C2115" s="1" t="n">
        <v>45587</v>
      </c>
      <c r="D2115" t="inlineStr">
        <is>
          <t>GÄVLEBORGS LÄN</t>
        </is>
      </c>
      <c r="E2115" t="inlineStr">
        <is>
          <t>HOFORS</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36209-2020</t>
        </is>
      </c>
      <c r="B2116" s="1" t="n">
        <v>44048</v>
      </c>
      <c r="C2116" s="1" t="n">
        <v>45587</v>
      </c>
      <c r="D2116" t="inlineStr">
        <is>
          <t>GÄVLEBORGS LÄN</t>
        </is>
      </c>
      <c r="E2116" t="inlineStr">
        <is>
          <t>NORDANSTIG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36181-2020</t>
        </is>
      </c>
      <c r="B2117" s="1" t="n">
        <v>44048</v>
      </c>
      <c r="C2117" s="1" t="n">
        <v>45587</v>
      </c>
      <c r="D2117" t="inlineStr">
        <is>
          <t>GÄVLEBORGS LÄN</t>
        </is>
      </c>
      <c r="E2117" t="inlineStr">
        <is>
          <t>HUDIKSVALL</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36307-2020</t>
        </is>
      </c>
      <c r="B2118" s="1" t="n">
        <v>44049</v>
      </c>
      <c r="C2118" s="1" t="n">
        <v>45587</v>
      </c>
      <c r="D2118" t="inlineStr">
        <is>
          <t>GÄVLEBORGS LÄN</t>
        </is>
      </c>
      <c r="E2118" t="inlineStr">
        <is>
          <t>OCKELBO</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36358-2020</t>
        </is>
      </c>
      <c r="B2119" s="1" t="n">
        <v>44049</v>
      </c>
      <c r="C2119" s="1" t="n">
        <v>45587</v>
      </c>
      <c r="D2119" t="inlineStr">
        <is>
          <t>GÄVLEBORGS LÄN</t>
        </is>
      </c>
      <c r="E2119" t="inlineStr">
        <is>
          <t>OCKELBO</t>
        </is>
      </c>
      <c r="G2119" t="n">
        <v>6.8</v>
      </c>
      <c r="H2119" t="n">
        <v>0</v>
      </c>
      <c r="I2119" t="n">
        <v>0</v>
      </c>
      <c r="J2119" t="n">
        <v>0</v>
      </c>
      <c r="K2119" t="n">
        <v>0</v>
      </c>
      <c r="L2119" t="n">
        <v>0</v>
      </c>
      <c r="M2119" t="n">
        <v>0</v>
      </c>
      <c r="N2119" t="n">
        <v>0</v>
      </c>
      <c r="O2119" t="n">
        <v>0</v>
      </c>
      <c r="P2119" t="n">
        <v>0</v>
      </c>
      <c r="Q2119" t="n">
        <v>0</v>
      </c>
      <c r="R2119" s="2" t="inlineStr"/>
    </row>
    <row r="2120" ht="15" customHeight="1">
      <c r="A2120" t="inlineStr">
        <is>
          <t>A 36429-2020</t>
        </is>
      </c>
      <c r="B2120" s="1" t="n">
        <v>44049</v>
      </c>
      <c r="C2120" s="1" t="n">
        <v>45587</v>
      </c>
      <c r="D2120" t="inlineStr">
        <is>
          <t>GÄVLEBORGS LÄN</t>
        </is>
      </c>
      <c r="E2120" t="inlineStr">
        <is>
          <t>LJUSDAL</t>
        </is>
      </c>
      <c r="F2120" t="inlineStr">
        <is>
          <t>Naturvårdsverket</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36467-2020</t>
        </is>
      </c>
      <c r="B2121" s="1" t="n">
        <v>44049</v>
      </c>
      <c r="C2121" s="1" t="n">
        <v>45587</v>
      </c>
      <c r="D2121" t="inlineStr">
        <is>
          <t>GÄVLEBORGS LÄN</t>
        </is>
      </c>
      <c r="E2121" t="inlineStr">
        <is>
          <t>HOFORS</t>
        </is>
      </c>
      <c r="F2121" t="inlineStr">
        <is>
          <t>Sveaskog</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36500-2020</t>
        </is>
      </c>
      <c r="B2122" s="1" t="n">
        <v>44050</v>
      </c>
      <c r="C2122" s="1" t="n">
        <v>45587</v>
      </c>
      <c r="D2122" t="inlineStr">
        <is>
          <t>GÄVLEBORGS LÄN</t>
        </is>
      </c>
      <c r="E2122" t="inlineStr">
        <is>
          <t>HUDIKSVALL</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36576-2020</t>
        </is>
      </c>
      <c r="B2123" s="1" t="n">
        <v>44050</v>
      </c>
      <c r="C2123" s="1" t="n">
        <v>45587</v>
      </c>
      <c r="D2123" t="inlineStr">
        <is>
          <t>GÄVLEBORGS LÄN</t>
        </is>
      </c>
      <c r="E2123" t="inlineStr">
        <is>
          <t>SANDVIKEN</t>
        </is>
      </c>
      <c r="G2123" t="n">
        <v>8.199999999999999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36485-2020</t>
        </is>
      </c>
      <c r="B2124" s="1" t="n">
        <v>44050</v>
      </c>
      <c r="C2124" s="1" t="n">
        <v>45587</v>
      </c>
      <c r="D2124" t="inlineStr">
        <is>
          <t>GÄVLEBORGS LÄN</t>
        </is>
      </c>
      <c r="E2124" t="inlineStr">
        <is>
          <t>HUDIKSVALL</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36636-2020</t>
        </is>
      </c>
      <c r="B2125" s="1" t="n">
        <v>44050</v>
      </c>
      <c r="C2125" s="1" t="n">
        <v>45587</v>
      </c>
      <c r="D2125" t="inlineStr">
        <is>
          <t>GÄVLEBORGS LÄN</t>
        </is>
      </c>
      <c r="E2125" t="inlineStr">
        <is>
          <t>NORDANSTIG</t>
        </is>
      </c>
      <c r="F2125" t="inlineStr">
        <is>
          <t>Holmen skog AB</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36693-2020</t>
        </is>
      </c>
      <c r="B2126" s="1" t="n">
        <v>44053</v>
      </c>
      <c r="C2126" s="1" t="n">
        <v>45587</v>
      </c>
      <c r="D2126" t="inlineStr">
        <is>
          <t>GÄVLEBORGS LÄN</t>
        </is>
      </c>
      <c r="E2126" t="inlineStr">
        <is>
          <t>LJUSDAL</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36896-2020</t>
        </is>
      </c>
      <c r="B2127" s="1" t="n">
        <v>44053</v>
      </c>
      <c r="C2127" s="1" t="n">
        <v>45587</v>
      </c>
      <c r="D2127" t="inlineStr">
        <is>
          <t>GÄVLEBORGS LÄN</t>
        </is>
      </c>
      <c r="E2127" t="inlineStr">
        <is>
          <t>OVANÅKER</t>
        </is>
      </c>
      <c r="F2127" t="inlineStr">
        <is>
          <t>Bergvik skog väst AB</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36709-2020</t>
        </is>
      </c>
      <c r="B2128" s="1" t="n">
        <v>44053</v>
      </c>
      <c r="C2128" s="1" t="n">
        <v>45587</v>
      </c>
      <c r="D2128" t="inlineStr">
        <is>
          <t>GÄVLEBORGS LÄN</t>
        </is>
      </c>
      <c r="E2128" t="inlineStr">
        <is>
          <t>SÖDERHAMN</t>
        </is>
      </c>
      <c r="F2128" t="inlineStr">
        <is>
          <t>Bergvik skog väst AB</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36899-2020</t>
        </is>
      </c>
      <c r="B2129" s="1" t="n">
        <v>44053</v>
      </c>
      <c r="C2129" s="1" t="n">
        <v>45587</v>
      </c>
      <c r="D2129" t="inlineStr">
        <is>
          <t>GÄVLEBORGS LÄN</t>
        </is>
      </c>
      <c r="E2129" t="inlineStr">
        <is>
          <t>OVANÅKER</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36903-2020</t>
        </is>
      </c>
      <c r="B2130" s="1" t="n">
        <v>44053</v>
      </c>
      <c r="C2130" s="1" t="n">
        <v>45587</v>
      </c>
      <c r="D2130" t="inlineStr">
        <is>
          <t>GÄVLEBORGS LÄN</t>
        </is>
      </c>
      <c r="E2130" t="inlineStr">
        <is>
          <t>OVANÅKER</t>
        </is>
      </c>
      <c r="F2130" t="inlineStr">
        <is>
          <t>Bergvik skog väst AB</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36914-2020</t>
        </is>
      </c>
      <c r="B2131" s="1" t="n">
        <v>44053</v>
      </c>
      <c r="C2131" s="1" t="n">
        <v>45587</v>
      </c>
      <c r="D2131" t="inlineStr">
        <is>
          <t>GÄVLEBORGS LÄN</t>
        </is>
      </c>
      <c r="E2131" t="inlineStr">
        <is>
          <t>OCKELBO</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36988-2020</t>
        </is>
      </c>
      <c r="B2132" s="1" t="n">
        <v>44054</v>
      </c>
      <c r="C2132" s="1" t="n">
        <v>45587</v>
      </c>
      <c r="D2132" t="inlineStr">
        <is>
          <t>GÄVLEBORGS LÄN</t>
        </is>
      </c>
      <c r="E2132" t="inlineStr">
        <is>
          <t>OVANÅKER</t>
        </is>
      </c>
      <c r="F2132" t="inlineStr">
        <is>
          <t>Bergvik skog väst AB</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37034-2020</t>
        </is>
      </c>
      <c r="B2133" s="1" t="n">
        <v>44054</v>
      </c>
      <c r="C2133" s="1" t="n">
        <v>45587</v>
      </c>
      <c r="D2133" t="inlineStr">
        <is>
          <t>GÄVLEBORGS LÄN</t>
        </is>
      </c>
      <c r="E2133" t="inlineStr">
        <is>
          <t>NORDANSTIG</t>
        </is>
      </c>
      <c r="F2133" t="inlineStr">
        <is>
          <t>Holmen skog AB</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36991-2020</t>
        </is>
      </c>
      <c r="B2134" s="1" t="n">
        <v>44054</v>
      </c>
      <c r="C2134" s="1" t="n">
        <v>45587</v>
      </c>
      <c r="D2134" t="inlineStr">
        <is>
          <t>GÄVLEBORGS LÄN</t>
        </is>
      </c>
      <c r="E2134" t="inlineStr">
        <is>
          <t>OVANÅKER</t>
        </is>
      </c>
      <c r="F2134" t="inlineStr">
        <is>
          <t>Bergvik skog väst AB</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37110-2020</t>
        </is>
      </c>
      <c r="B2135" s="1" t="n">
        <v>44054</v>
      </c>
      <c r="C2135" s="1" t="n">
        <v>45587</v>
      </c>
      <c r="D2135" t="inlineStr">
        <is>
          <t>GÄVLEBORGS LÄN</t>
        </is>
      </c>
      <c r="E2135" t="inlineStr">
        <is>
          <t>SANDVIKEN</t>
        </is>
      </c>
      <c r="F2135" t="inlineStr">
        <is>
          <t>Bergvik skog öst AB</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37159-2020</t>
        </is>
      </c>
      <c r="B2136" s="1" t="n">
        <v>44054</v>
      </c>
      <c r="C2136" s="1" t="n">
        <v>45587</v>
      </c>
      <c r="D2136" t="inlineStr">
        <is>
          <t>GÄVLEBORGS LÄN</t>
        </is>
      </c>
      <c r="E2136" t="inlineStr">
        <is>
          <t>NORDANSTIG</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36986-2020</t>
        </is>
      </c>
      <c r="B2137" s="1" t="n">
        <v>44054</v>
      </c>
      <c r="C2137" s="1" t="n">
        <v>45587</v>
      </c>
      <c r="D2137" t="inlineStr">
        <is>
          <t>GÄVLEBORGS LÄN</t>
        </is>
      </c>
      <c r="E2137" t="inlineStr">
        <is>
          <t>OVANÅKER</t>
        </is>
      </c>
      <c r="F2137" t="inlineStr">
        <is>
          <t>Bergvik skog väst AB</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36990-2020</t>
        </is>
      </c>
      <c r="B2138" s="1" t="n">
        <v>44054</v>
      </c>
      <c r="C2138" s="1" t="n">
        <v>45587</v>
      </c>
      <c r="D2138" t="inlineStr">
        <is>
          <t>GÄVLEBORGS LÄN</t>
        </is>
      </c>
      <c r="E2138" t="inlineStr">
        <is>
          <t>OVANÅKER</t>
        </is>
      </c>
      <c r="F2138" t="inlineStr">
        <is>
          <t>Bergvik skog väst AB</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37453-2020</t>
        </is>
      </c>
      <c r="B2139" s="1" t="n">
        <v>44055</v>
      </c>
      <c r="C2139" s="1" t="n">
        <v>45587</v>
      </c>
      <c r="D2139" t="inlineStr">
        <is>
          <t>GÄVLEBORGS LÄN</t>
        </is>
      </c>
      <c r="E2139" t="inlineStr">
        <is>
          <t>NORDANSTIG</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37449-2020</t>
        </is>
      </c>
      <c r="B2140" s="1" t="n">
        <v>44055</v>
      </c>
      <c r="C2140" s="1" t="n">
        <v>45587</v>
      </c>
      <c r="D2140" t="inlineStr">
        <is>
          <t>GÄVLEBORGS LÄN</t>
        </is>
      </c>
      <c r="E2140" t="inlineStr">
        <is>
          <t>NORDANSTIG</t>
        </is>
      </c>
      <c r="G2140" t="n">
        <v>9.300000000000001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37394-2020</t>
        </is>
      </c>
      <c r="B2141" s="1" t="n">
        <v>44055</v>
      </c>
      <c r="C2141" s="1" t="n">
        <v>45587</v>
      </c>
      <c r="D2141" t="inlineStr">
        <is>
          <t>GÄVLEBORGS LÄN</t>
        </is>
      </c>
      <c r="E2141" t="inlineStr">
        <is>
          <t>HUDIKSVALL</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37411-2020</t>
        </is>
      </c>
      <c r="B2142" s="1" t="n">
        <v>44055</v>
      </c>
      <c r="C2142" s="1" t="n">
        <v>45587</v>
      </c>
      <c r="D2142" t="inlineStr">
        <is>
          <t>GÄVLEBORGS LÄN</t>
        </is>
      </c>
      <c r="E2142" t="inlineStr">
        <is>
          <t>BOLLNÄS</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37532-2020</t>
        </is>
      </c>
      <c r="B2143" s="1" t="n">
        <v>44056</v>
      </c>
      <c r="C2143" s="1" t="n">
        <v>45587</v>
      </c>
      <c r="D2143" t="inlineStr">
        <is>
          <t>GÄVLEBORGS LÄN</t>
        </is>
      </c>
      <c r="E2143" t="inlineStr">
        <is>
          <t>LJUSDAL</t>
        </is>
      </c>
      <c r="F2143" t="inlineStr">
        <is>
          <t>Sveaskog</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37604-2020</t>
        </is>
      </c>
      <c r="B2144" s="1" t="n">
        <v>44056</v>
      </c>
      <c r="C2144" s="1" t="n">
        <v>45587</v>
      </c>
      <c r="D2144" t="inlineStr">
        <is>
          <t>GÄVLEBORGS LÄN</t>
        </is>
      </c>
      <c r="E2144" t="inlineStr">
        <is>
          <t>GÄVLE</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37721-2020</t>
        </is>
      </c>
      <c r="B2145" s="1" t="n">
        <v>44056</v>
      </c>
      <c r="C2145" s="1" t="n">
        <v>45587</v>
      </c>
      <c r="D2145" t="inlineStr">
        <is>
          <t>GÄVLEBORGS LÄN</t>
        </is>
      </c>
      <c r="E2145" t="inlineStr">
        <is>
          <t>GÄVLE</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37546-2020</t>
        </is>
      </c>
      <c r="B2146" s="1" t="n">
        <v>44056</v>
      </c>
      <c r="C2146" s="1" t="n">
        <v>45587</v>
      </c>
      <c r="D2146" t="inlineStr">
        <is>
          <t>GÄVLEBORGS LÄN</t>
        </is>
      </c>
      <c r="E2146" t="inlineStr">
        <is>
          <t>SÖDERHAMN</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37684-2020</t>
        </is>
      </c>
      <c r="B2147" s="1" t="n">
        <v>44056</v>
      </c>
      <c r="C2147" s="1" t="n">
        <v>45587</v>
      </c>
      <c r="D2147" t="inlineStr">
        <is>
          <t>GÄVLEBORGS LÄN</t>
        </is>
      </c>
      <c r="E2147" t="inlineStr">
        <is>
          <t>SÖDERHAMN</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37717-2020</t>
        </is>
      </c>
      <c r="B2148" s="1" t="n">
        <v>44056</v>
      </c>
      <c r="C2148" s="1" t="n">
        <v>45587</v>
      </c>
      <c r="D2148" t="inlineStr">
        <is>
          <t>GÄVLEBORGS LÄN</t>
        </is>
      </c>
      <c r="E2148" t="inlineStr">
        <is>
          <t>GÄVLE</t>
        </is>
      </c>
      <c r="F2148" t="inlineStr">
        <is>
          <t>Bergvik skog öst AB</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37712-2020</t>
        </is>
      </c>
      <c r="B2149" s="1" t="n">
        <v>44056</v>
      </c>
      <c r="C2149" s="1" t="n">
        <v>45587</v>
      </c>
      <c r="D2149" t="inlineStr">
        <is>
          <t>GÄVLEBORGS LÄN</t>
        </is>
      </c>
      <c r="E2149" t="inlineStr">
        <is>
          <t>HUDIKSVALL</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37895-2020</t>
        </is>
      </c>
      <c r="B2150" s="1" t="n">
        <v>44057</v>
      </c>
      <c r="C2150" s="1" t="n">
        <v>45587</v>
      </c>
      <c r="D2150" t="inlineStr">
        <is>
          <t>GÄVLEBORGS LÄN</t>
        </is>
      </c>
      <c r="E2150" t="inlineStr">
        <is>
          <t>LJUSDAL</t>
        </is>
      </c>
      <c r="F2150" t="inlineStr">
        <is>
          <t>Sveaskog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37851-2020</t>
        </is>
      </c>
      <c r="B2151" s="1" t="n">
        <v>44057</v>
      </c>
      <c r="C2151" s="1" t="n">
        <v>45587</v>
      </c>
      <c r="D2151" t="inlineStr">
        <is>
          <t>GÄVLEBORGS LÄN</t>
        </is>
      </c>
      <c r="E2151" t="inlineStr">
        <is>
          <t>HOFORS</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37863-2020</t>
        </is>
      </c>
      <c r="B2152" s="1" t="n">
        <v>44057</v>
      </c>
      <c r="C2152" s="1" t="n">
        <v>45587</v>
      </c>
      <c r="D2152" t="inlineStr">
        <is>
          <t>GÄVLEBORGS LÄN</t>
        </is>
      </c>
      <c r="E2152" t="inlineStr">
        <is>
          <t>LJUSDAL</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38011-2020</t>
        </is>
      </c>
      <c r="B2153" s="1" t="n">
        <v>44057</v>
      </c>
      <c r="C2153" s="1" t="n">
        <v>45587</v>
      </c>
      <c r="D2153" t="inlineStr">
        <is>
          <t>GÄVLEBORGS LÄN</t>
        </is>
      </c>
      <c r="E2153" t="inlineStr">
        <is>
          <t>BOLLNÄS</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38260-2020</t>
        </is>
      </c>
      <c r="B2154" s="1" t="n">
        <v>44060</v>
      </c>
      <c r="C2154" s="1" t="n">
        <v>45587</v>
      </c>
      <c r="D2154" t="inlineStr">
        <is>
          <t>GÄVLEBORGS LÄN</t>
        </is>
      </c>
      <c r="E2154" t="inlineStr">
        <is>
          <t>SÖDERHAMN</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38300-2020</t>
        </is>
      </c>
      <c r="B2155" s="1" t="n">
        <v>44060</v>
      </c>
      <c r="C2155" s="1" t="n">
        <v>45587</v>
      </c>
      <c r="D2155" t="inlineStr">
        <is>
          <t>GÄVLEBORGS LÄN</t>
        </is>
      </c>
      <c r="E2155" t="inlineStr">
        <is>
          <t>GÄVLE</t>
        </is>
      </c>
      <c r="F2155" t="inlineStr">
        <is>
          <t>Bergvik skog öst AB</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38305-2020</t>
        </is>
      </c>
      <c r="B2156" s="1" t="n">
        <v>44060</v>
      </c>
      <c r="C2156" s="1" t="n">
        <v>45587</v>
      </c>
      <c r="D2156" t="inlineStr">
        <is>
          <t>GÄVLEBORGS LÄN</t>
        </is>
      </c>
      <c r="E2156" t="inlineStr">
        <is>
          <t>GÄVLE</t>
        </is>
      </c>
      <c r="F2156" t="inlineStr">
        <is>
          <t>Bergvik skog öst AB</t>
        </is>
      </c>
      <c r="G2156" t="n">
        <v>10</v>
      </c>
      <c r="H2156" t="n">
        <v>0</v>
      </c>
      <c r="I2156" t="n">
        <v>0</v>
      </c>
      <c r="J2156" t="n">
        <v>0</v>
      </c>
      <c r="K2156" t="n">
        <v>0</v>
      </c>
      <c r="L2156" t="n">
        <v>0</v>
      </c>
      <c r="M2156" t="n">
        <v>0</v>
      </c>
      <c r="N2156" t="n">
        <v>0</v>
      </c>
      <c r="O2156" t="n">
        <v>0</v>
      </c>
      <c r="P2156" t="n">
        <v>0</v>
      </c>
      <c r="Q2156" t="n">
        <v>0</v>
      </c>
      <c r="R2156" s="2" t="inlineStr"/>
    </row>
    <row r="2157" ht="15" customHeight="1">
      <c r="A2157" t="inlineStr">
        <is>
          <t>A 38185-2020</t>
        </is>
      </c>
      <c r="B2157" s="1" t="n">
        <v>44060</v>
      </c>
      <c r="C2157" s="1" t="n">
        <v>45587</v>
      </c>
      <c r="D2157" t="inlineStr">
        <is>
          <t>GÄVLEBORGS LÄN</t>
        </is>
      </c>
      <c r="E2157" t="inlineStr">
        <is>
          <t>LJUSDAL</t>
        </is>
      </c>
      <c r="F2157" t="inlineStr">
        <is>
          <t>Holmen skog AB</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38441-2020</t>
        </is>
      </c>
      <c r="B2158" s="1" t="n">
        <v>44060</v>
      </c>
      <c r="C2158" s="1" t="n">
        <v>45587</v>
      </c>
      <c r="D2158" t="inlineStr">
        <is>
          <t>GÄVLEBORGS LÄN</t>
        </is>
      </c>
      <c r="E2158" t="inlineStr">
        <is>
          <t>HUDIKSVALL</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38597-2020</t>
        </is>
      </c>
      <c r="B2159" s="1" t="n">
        <v>44061</v>
      </c>
      <c r="C2159" s="1" t="n">
        <v>45587</v>
      </c>
      <c r="D2159" t="inlineStr">
        <is>
          <t>GÄVLEBORGS LÄN</t>
        </is>
      </c>
      <c r="E2159" t="inlineStr">
        <is>
          <t>LJUSDAL</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38599-2020</t>
        </is>
      </c>
      <c r="B2160" s="1" t="n">
        <v>44061</v>
      </c>
      <c r="C2160" s="1" t="n">
        <v>45587</v>
      </c>
      <c r="D2160" t="inlineStr">
        <is>
          <t>GÄVLEBORGS LÄN</t>
        </is>
      </c>
      <c r="E2160" t="inlineStr">
        <is>
          <t>LJUSDAL</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38633-2020</t>
        </is>
      </c>
      <c r="B2161" s="1" t="n">
        <v>44061</v>
      </c>
      <c r="C2161" s="1" t="n">
        <v>45587</v>
      </c>
      <c r="D2161" t="inlineStr">
        <is>
          <t>GÄVLEBORGS LÄN</t>
        </is>
      </c>
      <c r="E2161" t="inlineStr">
        <is>
          <t>NORDANSTIG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38676-2020</t>
        </is>
      </c>
      <c r="B2162" s="1" t="n">
        <v>44061</v>
      </c>
      <c r="C2162" s="1" t="n">
        <v>45587</v>
      </c>
      <c r="D2162" t="inlineStr">
        <is>
          <t>GÄVLEBORGS LÄN</t>
        </is>
      </c>
      <c r="E2162" t="inlineStr">
        <is>
          <t>OVANÅKER</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38685-2020</t>
        </is>
      </c>
      <c r="B2163" s="1" t="n">
        <v>44061</v>
      </c>
      <c r="C2163" s="1" t="n">
        <v>45587</v>
      </c>
      <c r="D2163" t="inlineStr">
        <is>
          <t>GÄVLEBORGS LÄN</t>
        </is>
      </c>
      <c r="E2163" t="inlineStr">
        <is>
          <t>LJUSDAL</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38680-2020</t>
        </is>
      </c>
      <c r="B2164" s="1" t="n">
        <v>44061</v>
      </c>
      <c r="C2164" s="1" t="n">
        <v>45587</v>
      </c>
      <c r="D2164" t="inlineStr">
        <is>
          <t>GÄVLEBORGS LÄN</t>
        </is>
      </c>
      <c r="E2164" t="inlineStr">
        <is>
          <t>BOLLNÄS</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38743-2020</t>
        </is>
      </c>
      <c r="B2165" s="1" t="n">
        <v>44061</v>
      </c>
      <c r="C2165" s="1" t="n">
        <v>45587</v>
      </c>
      <c r="D2165" t="inlineStr">
        <is>
          <t>GÄVLEBORGS LÄN</t>
        </is>
      </c>
      <c r="E2165" t="inlineStr">
        <is>
          <t>SANDVIKEN</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38773-2020</t>
        </is>
      </c>
      <c r="B2166" s="1" t="n">
        <v>44061</v>
      </c>
      <c r="C2166" s="1" t="n">
        <v>45587</v>
      </c>
      <c r="D2166" t="inlineStr">
        <is>
          <t>GÄVLEBORGS LÄN</t>
        </is>
      </c>
      <c r="E2166" t="inlineStr">
        <is>
          <t>LJUSDAL</t>
        </is>
      </c>
      <c r="F2166" t="inlineStr">
        <is>
          <t>Sveaskog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38810-2020</t>
        </is>
      </c>
      <c r="B2167" s="1" t="n">
        <v>44062</v>
      </c>
      <c r="C2167" s="1" t="n">
        <v>45587</v>
      </c>
      <c r="D2167" t="inlineStr">
        <is>
          <t>GÄVLEBORGS LÄN</t>
        </is>
      </c>
      <c r="E2167" t="inlineStr">
        <is>
          <t>LJUSDAL</t>
        </is>
      </c>
      <c r="F2167" t="inlineStr">
        <is>
          <t>Holmen skog AB</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38884-2020</t>
        </is>
      </c>
      <c r="B2168" s="1" t="n">
        <v>44062</v>
      </c>
      <c r="C2168" s="1" t="n">
        <v>45587</v>
      </c>
      <c r="D2168" t="inlineStr">
        <is>
          <t>GÄVLEBORGS LÄN</t>
        </is>
      </c>
      <c r="E2168" t="inlineStr">
        <is>
          <t>OVANÅKER</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38926-2020</t>
        </is>
      </c>
      <c r="B2169" s="1" t="n">
        <v>44062</v>
      </c>
      <c r="C2169" s="1" t="n">
        <v>45587</v>
      </c>
      <c r="D2169" t="inlineStr">
        <is>
          <t>GÄVLEBORGS LÄN</t>
        </is>
      </c>
      <c r="E2169" t="inlineStr">
        <is>
          <t>GÄVLE</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38977-2020</t>
        </is>
      </c>
      <c r="B2170" s="1" t="n">
        <v>44062</v>
      </c>
      <c r="C2170" s="1" t="n">
        <v>45587</v>
      </c>
      <c r="D2170" t="inlineStr">
        <is>
          <t>GÄVLEBORGS LÄN</t>
        </is>
      </c>
      <c r="E2170" t="inlineStr">
        <is>
          <t>HUDIKSVALL</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38870-2020</t>
        </is>
      </c>
      <c r="B2171" s="1" t="n">
        <v>44062</v>
      </c>
      <c r="C2171" s="1" t="n">
        <v>45587</v>
      </c>
      <c r="D2171" t="inlineStr">
        <is>
          <t>GÄVLEBORGS LÄN</t>
        </is>
      </c>
      <c r="E2171" t="inlineStr">
        <is>
          <t>BOLLNÄS</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39120-2020</t>
        </is>
      </c>
      <c r="B2172" s="1" t="n">
        <v>44063</v>
      </c>
      <c r="C2172" s="1" t="n">
        <v>45587</v>
      </c>
      <c r="D2172" t="inlineStr">
        <is>
          <t>GÄVLEBORGS LÄN</t>
        </is>
      </c>
      <c r="E2172" t="inlineStr">
        <is>
          <t>OVANÅKER</t>
        </is>
      </c>
      <c r="G2172" t="n">
        <v>25.3</v>
      </c>
      <c r="H2172" t="n">
        <v>0</v>
      </c>
      <c r="I2172" t="n">
        <v>0</v>
      </c>
      <c r="J2172" t="n">
        <v>0</v>
      </c>
      <c r="K2172" t="n">
        <v>0</v>
      </c>
      <c r="L2172" t="n">
        <v>0</v>
      </c>
      <c r="M2172" t="n">
        <v>0</v>
      </c>
      <c r="N2172" t="n">
        <v>0</v>
      </c>
      <c r="O2172" t="n">
        <v>0</v>
      </c>
      <c r="P2172" t="n">
        <v>0</v>
      </c>
      <c r="Q2172" t="n">
        <v>0</v>
      </c>
      <c r="R2172" s="2" t="inlineStr"/>
    </row>
    <row r="2173" ht="15" customHeight="1">
      <c r="A2173" t="inlineStr">
        <is>
          <t>A 39113-2020</t>
        </is>
      </c>
      <c r="B2173" s="1" t="n">
        <v>44063</v>
      </c>
      <c r="C2173" s="1" t="n">
        <v>45587</v>
      </c>
      <c r="D2173" t="inlineStr">
        <is>
          <t>GÄVLEBORGS LÄN</t>
        </is>
      </c>
      <c r="E2173" t="inlineStr">
        <is>
          <t>HUDIKSVALL</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39128-2020</t>
        </is>
      </c>
      <c r="B2174" s="1" t="n">
        <v>44063</v>
      </c>
      <c r="C2174" s="1" t="n">
        <v>45587</v>
      </c>
      <c r="D2174" t="inlineStr">
        <is>
          <t>GÄVLEBORGS LÄN</t>
        </is>
      </c>
      <c r="E2174" t="inlineStr">
        <is>
          <t>OVANÅKER</t>
        </is>
      </c>
      <c r="G2174" t="n">
        <v>6.3</v>
      </c>
      <c r="H2174" t="n">
        <v>0</v>
      </c>
      <c r="I2174" t="n">
        <v>0</v>
      </c>
      <c r="J2174" t="n">
        <v>0</v>
      </c>
      <c r="K2174" t="n">
        <v>0</v>
      </c>
      <c r="L2174" t="n">
        <v>0</v>
      </c>
      <c r="M2174" t="n">
        <v>0</v>
      </c>
      <c r="N2174" t="n">
        <v>0</v>
      </c>
      <c r="O2174" t="n">
        <v>0</v>
      </c>
      <c r="P2174" t="n">
        <v>0</v>
      </c>
      <c r="Q2174" t="n">
        <v>0</v>
      </c>
      <c r="R2174" s="2" t="inlineStr"/>
    </row>
    <row r="2175" ht="15" customHeight="1">
      <c r="A2175" t="inlineStr">
        <is>
          <t>A 39210-2020</t>
        </is>
      </c>
      <c r="B2175" s="1" t="n">
        <v>44063</v>
      </c>
      <c r="C2175" s="1" t="n">
        <v>45587</v>
      </c>
      <c r="D2175" t="inlineStr">
        <is>
          <t>GÄVLEBORGS LÄN</t>
        </is>
      </c>
      <c r="E2175" t="inlineStr">
        <is>
          <t>SÖDERHAMN</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39420-2020</t>
        </is>
      </c>
      <c r="B2176" s="1" t="n">
        <v>44064</v>
      </c>
      <c r="C2176" s="1" t="n">
        <v>45587</v>
      </c>
      <c r="D2176" t="inlineStr">
        <is>
          <t>GÄVLEBORGS LÄN</t>
        </is>
      </c>
      <c r="E2176" t="inlineStr">
        <is>
          <t>HUDIKSVALL</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39490-2020</t>
        </is>
      </c>
      <c r="B2177" s="1" t="n">
        <v>44064</v>
      </c>
      <c r="C2177" s="1" t="n">
        <v>45587</v>
      </c>
      <c r="D2177" t="inlineStr">
        <is>
          <t>GÄVLEBORGS LÄN</t>
        </is>
      </c>
      <c r="E2177" t="inlineStr">
        <is>
          <t>LJUSDAL</t>
        </is>
      </c>
      <c r="F2177" t="inlineStr">
        <is>
          <t>Sveaskog</t>
        </is>
      </c>
      <c r="G2177" t="n">
        <v>8.800000000000001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39498-2020</t>
        </is>
      </c>
      <c r="B2178" s="1" t="n">
        <v>44064</v>
      </c>
      <c r="C2178" s="1" t="n">
        <v>45587</v>
      </c>
      <c r="D2178" t="inlineStr">
        <is>
          <t>GÄVLEBORGS LÄN</t>
        </is>
      </c>
      <c r="E2178" t="inlineStr">
        <is>
          <t>LJUSDAL</t>
        </is>
      </c>
      <c r="F2178" t="inlineStr">
        <is>
          <t>Sveaskog</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39469-2020</t>
        </is>
      </c>
      <c r="B2179" s="1" t="n">
        <v>44064</v>
      </c>
      <c r="C2179" s="1" t="n">
        <v>45587</v>
      </c>
      <c r="D2179" t="inlineStr">
        <is>
          <t>GÄVLEBORGS LÄN</t>
        </is>
      </c>
      <c r="E2179" t="inlineStr">
        <is>
          <t>SANDVIKEN</t>
        </is>
      </c>
      <c r="F2179" t="inlineStr">
        <is>
          <t>Bergvik skog öst AB</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39524-2020</t>
        </is>
      </c>
      <c r="B2180" s="1" t="n">
        <v>44064</v>
      </c>
      <c r="C2180" s="1" t="n">
        <v>45587</v>
      </c>
      <c r="D2180" t="inlineStr">
        <is>
          <t>GÄVLEBORGS LÄN</t>
        </is>
      </c>
      <c r="E2180" t="inlineStr">
        <is>
          <t>NORDANSTIG</t>
        </is>
      </c>
      <c r="F2180" t="inlineStr">
        <is>
          <t>Holmen skog AB</t>
        </is>
      </c>
      <c r="G2180" t="n">
        <v>4.3</v>
      </c>
      <c r="H2180" t="n">
        <v>0</v>
      </c>
      <c r="I2180" t="n">
        <v>0</v>
      </c>
      <c r="J2180" t="n">
        <v>0</v>
      </c>
      <c r="K2180" t="n">
        <v>0</v>
      </c>
      <c r="L2180" t="n">
        <v>0</v>
      </c>
      <c r="M2180" t="n">
        <v>0</v>
      </c>
      <c r="N2180" t="n">
        <v>0</v>
      </c>
      <c r="O2180" t="n">
        <v>0</v>
      </c>
      <c r="P2180" t="n">
        <v>0</v>
      </c>
      <c r="Q2180" t="n">
        <v>0</v>
      </c>
      <c r="R2180" s="2" t="inlineStr"/>
      <c r="U2180">
        <f>HYPERLINK("https://klasma.github.io/Logging_2132/knärot/A 39524-2020 karta knärot.png", "A 39524-2020")</f>
        <v/>
      </c>
      <c r="V2180">
        <f>HYPERLINK("https://klasma.github.io/Logging_2132/klagomål/A 39524-2020 FSC-klagomål.docx", "A 39524-2020")</f>
        <v/>
      </c>
      <c r="W2180">
        <f>HYPERLINK("https://klasma.github.io/Logging_2132/klagomålsmail/A 39524-2020 FSC-klagomål mail.docx", "A 39524-2020")</f>
        <v/>
      </c>
      <c r="X2180">
        <f>HYPERLINK("https://klasma.github.io/Logging_2132/tillsyn/A 39524-2020 tillsynsbegäran.docx", "A 39524-2020")</f>
        <v/>
      </c>
      <c r="Y2180">
        <f>HYPERLINK("https://klasma.github.io/Logging_2132/tillsynsmail/A 39524-2020 tillsynsbegäran mail.docx", "A 39524-2020")</f>
        <v/>
      </c>
    </row>
    <row r="2181" ht="15" customHeight="1">
      <c r="A2181" t="inlineStr">
        <is>
          <t>A 39371-2020</t>
        </is>
      </c>
      <c r="B2181" s="1" t="n">
        <v>44064</v>
      </c>
      <c r="C2181" s="1" t="n">
        <v>45587</v>
      </c>
      <c r="D2181" t="inlineStr">
        <is>
          <t>GÄVLEBORGS LÄN</t>
        </is>
      </c>
      <c r="E2181" t="inlineStr">
        <is>
          <t>BOLLNÄS</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39418-2020</t>
        </is>
      </c>
      <c r="B2182" s="1" t="n">
        <v>44064</v>
      </c>
      <c r="C2182" s="1" t="n">
        <v>45587</v>
      </c>
      <c r="D2182" t="inlineStr">
        <is>
          <t>GÄVLEBORGS LÄN</t>
        </is>
      </c>
      <c r="E2182" t="inlineStr">
        <is>
          <t>HUDIKSVALL</t>
        </is>
      </c>
      <c r="G2182" t="n">
        <v>7.4</v>
      </c>
      <c r="H2182" t="n">
        <v>0</v>
      </c>
      <c r="I2182" t="n">
        <v>0</v>
      </c>
      <c r="J2182" t="n">
        <v>0</v>
      </c>
      <c r="K2182" t="n">
        <v>0</v>
      </c>
      <c r="L2182" t="n">
        <v>0</v>
      </c>
      <c r="M2182" t="n">
        <v>0</v>
      </c>
      <c r="N2182" t="n">
        <v>0</v>
      </c>
      <c r="O2182" t="n">
        <v>0</v>
      </c>
      <c r="P2182" t="n">
        <v>0</v>
      </c>
      <c r="Q2182" t="n">
        <v>0</v>
      </c>
      <c r="R2182" s="2" t="inlineStr"/>
    </row>
    <row r="2183" ht="15" customHeight="1">
      <c r="A2183" t="inlineStr">
        <is>
          <t>A 39489-2020</t>
        </is>
      </c>
      <c r="B2183" s="1" t="n">
        <v>44064</v>
      </c>
      <c r="C2183" s="1" t="n">
        <v>45587</v>
      </c>
      <c r="D2183" t="inlineStr">
        <is>
          <t>GÄVLEBORGS LÄN</t>
        </is>
      </c>
      <c r="E2183" t="inlineStr">
        <is>
          <t>LJUSDAL</t>
        </is>
      </c>
      <c r="F2183" t="inlineStr">
        <is>
          <t>Sveaskog</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39497-2020</t>
        </is>
      </c>
      <c r="B2184" s="1" t="n">
        <v>44064</v>
      </c>
      <c r="C2184" s="1" t="n">
        <v>45587</v>
      </c>
      <c r="D2184" t="inlineStr">
        <is>
          <t>GÄVLEBORGS LÄN</t>
        </is>
      </c>
      <c r="E2184" t="inlineStr">
        <is>
          <t>LJUSDAL</t>
        </is>
      </c>
      <c r="F2184" t="inlineStr">
        <is>
          <t>Sveaskog</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39543-2020</t>
        </is>
      </c>
      <c r="B2185" s="1" t="n">
        <v>44064</v>
      </c>
      <c r="C2185" s="1" t="n">
        <v>45587</v>
      </c>
      <c r="D2185" t="inlineStr">
        <is>
          <t>GÄVLEBORGS LÄN</t>
        </is>
      </c>
      <c r="E2185" t="inlineStr">
        <is>
          <t>HUDIKSVALL</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39808-2020</t>
        </is>
      </c>
      <c r="B2186" s="1" t="n">
        <v>44067</v>
      </c>
      <c r="C2186" s="1" t="n">
        <v>45587</v>
      </c>
      <c r="D2186" t="inlineStr">
        <is>
          <t>GÄVLEBORGS LÄN</t>
        </is>
      </c>
      <c r="E2186" t="inlineStr">
        <is>
          <t>SANDVIKEN</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39881-2020</t>
        </is>
      </c>
      <c r="B2187" s="1" t="n">
        <v>44067</v>
      </c>
      <c r="C2187" s="1" t="n">
        <v>45587</v>
      </c>
      <c r="D2187" t="inlineStr">
        <is>
          <t>GÄVLEBORGS LÄN</t>
        </is>
      </c>
      <c r="E2187" t="inlineStr">
        <is>
          <t>LJUSDAL</t>
        </is>
      </c>
      <c r="F2187" t="inlineStr">
        <is>
          <t>Allmännings- och besparingsskogar</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39934-2020</t>
        </is>
      </c>
      <c r="B2188" s="1" t="n">
        <v>44067</v>
      </c>
      <c r="C2188" s="1" t="n">
        <v>45587</v>
      </c>
      <c r="D2188" t="inlineStr">
        <is>
          <t>GÄVLEBORGS LÄN</t>
        </is>
      </c>
      <c r="E2188" t="inlineStr">
        <is>
          <t>OVANÅKER</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39747-2020</t>
        </is>
      </c>
      <c r="B2189" s="1" t="n">
        <v>44067</v>
      </c>
      <c r="C2189" s="1" t="n">
        <v>45587</v>
      </c>
      <c r="D2189" t="inlineStr">
        <is>
          <t>GÄVLEBORGS LÄN</t>
        </is>
      </c>
      <c r="E2189" t="inlineStr">
        <is>
          <t>HUDIKSVALL</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39798-2020</t>
        </is>
      </c>
      <c r="B2190" s="1" t="n">
        <v>44067</v>
      </c>
      <c r="C2190" s="1" t="n">
        <v>45587</v>
      </c>
      <c r="D2190" t="inlineStr">
        <is>
          <t>GÄVLEBORGS LÄN</t>
        </is>
      </c>
      <c r="E2190" t="inlineStr">
        <is>
          <t>GÄVLE</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39749-2020</t>
        </is>
      </c>
      <c r="B2191" s="1" t="n">
        <v>44067</v>
      </c>
      <c r="C2191" s="1" t="n">
        <v>45587</v>
      </c>
      <c r="D2191" t="inlineStr">
        <is>
          <t>GÄVLEBORGS LÄN</t>
        </is>
      </c>
      <c r="E2191" t="inlineStr">
        <is>
          <t>HUDIKSVALL</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40027-2020</t>
        </is>
      </c>
      <c r="B2192" s="1" t="n">
        <v>44067</v>
      </c>
      <c r="C2192" s="1" t="n">
        <v>45587</v>
      </c>
      <c r="D2192" t="inlineStr">
        <is>
          <t>GÄVLEBORGS LÄN</t>
        </is>
      </c>
      <c r="E2192" t="inlineStr">
        <is>
          <t>SANDVIKEN</t>
        </is>
      </c>
      <c r="F2192" t="inlineStr">
        <is>
          <t>Sveaskog</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39973-2020</t>
        </is>
      </c>
      <c r="B2193" s="1" t="n">
        <v>44067</v>
      </c>
      <c r="C2193" s="1" t="n">
        <v>45587</v>
      </c>
      <c r="D2193" t="inlineStr">
        <is>
          <t>GÄVLEBORGS LÄN</t>
        </is>
      </c>
      <c r="E2193" t="inlineStr">
        <is>
          <t>HUDIKSVALL</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40005-2020</t>
        </is>
      </c>
      <c r="B2194" s="1" t="n">
        <v>44067</v>
      </c>
      <c r="C2194" s="1" t="n">
        <v>45587</v>
      </c>
      <c r="D2194" t="inlineStr">
        <is>
          <t>GÄVLEBORGS LÄN</t>
        </is>
      </c>
      <c r="E2194" t="inlineStr">
        <is>
          <t>OVANÅKER</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40034-2020</t>
        </is>
      </c>
      <c r="B2195" s="1" t="n">
        <v>44067</v>
      </c>
      <c r="C2195" s="1" t="n">
        <v>45587</v>
      </c>
      <c r="D2195" t="inlineStr">
        <is>
          <t>GÄVLEBORGS LÄN</t>
        </is>
      </c>
      <c r="E2195" t="inlineStr">
        <is>
          <t>SANDVIKEN</t>
        </is>
      </c>
      <c r="F2195" t="inlineStr">
        <is>
          <t>Sveaskog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40087-2020</t>
        </is>
      </c>
      <c r="B2196" s="1" t="n">
        <v>44068</v>
      </c>
      <c r="C2196" s="1" t="n">
        <v>45587</v>
      </c>
      <c r="D2196" t="inlineStr">
        <is>
          <t>GÄVLEBORGS LÄN</t>
        </is>
      </c>
      <c r="E2196" t="inlineStr">
        <is>
          <t>GÄVLE</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40345-2020</t>
        </is>
      </c>
      <c r="B2197" s="1" t="n">
        <v>44068</v>
      </c>
      <c r="C2197" s="1" t="n">
        <v>45587</v>
      </c>
      <c r="D2197" t="inlineStr">
        <is>
          <t>GÄVLEBORGS LÄN</t>
        </is>
      </c>
      <c r="E2197" t="inlineStr">
        <is>
          <t>LJUSDAL</t>
        </is>
      </c>
      <c r="F2197" t="inlineStr">
        <is>
          <t>Bergvik skog väst AB</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40340-2020</t>
        </is>
      </c>
      <c r="B2198" s="1" t="n">
        <v>44068</v>
      </c>
      <c r="C2198" s="1" t="n">
        <v>45587</v>
      </c>
      <c r="D2198" t="inlineStr">
        <is>
          <t>GÄVLEBORGS LÄN</t>
        </is>
      </c>
      <c r="E2198" t="inlineStr">
        <is>
          <t>GÄVLE</t>
        </is>
      </c>
      <c r="F2198" t="inlineStr">
        <is>
          <t>Bergvik skog öst AB</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40195-2020</t>
        </is>
      </c>
      <c r="B2199" s="1" t="n">
        <v>44068</v>
      </c>
      <c r="C2199" s="1" t="n">
        <v>45587</v>
      </c>
      <c r="D2199" t="inlineStr">
        <is>
          <t>GÄVLEBORGS LÄN</t>
        </is>
      </c>
      <c r="E2199" t="inlineStr">
        <is>
          <t>OCKELBO</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40573-2020</t>
        </is>
      </c>
      <c r="B2200" s="1" t="n">
        <v>44069</v>
      </c>
      <c r="C2200" s="1" t="n">
        <v>45587</v>
      </c>
      <c r="D2200" t="inlineStr">
        <is>
          <t>GÄVLEBORGS LÄN</t>
        </is>
      </c>
      <c r="E2200" t="inlineStr">
        <is>
          <t>BOLLNÄS</t>
        </is>
      </c>
      <c r="F2200" t="inlineStr">
        <is>
          <t>Sveaskog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40599-2020</t>
        </is>
      </c>
      <c r="B2201" s="1" t="n">
        <v>44069</v>
      </c>
      <c r="C2201" s="1" t="n">
        <v>45587</v>
      </c>
      <c r="D2201" t="inlineStr">
        <is>
          <t>GÄVLEBORGS LÄN</t>
        </is>
      </c>
      <c r="E2201" t="inlineStr">
        <is>
          <t>LJUSDAL</t>
        </is>
      </c>
      <c r="F2201" t="inlineStr">
        <is>
          <t>Sveaskog</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40614-2020</t>
        </is>
      </c>
      <c r="B2202" s="1" t="n">
        <v>44069</v>
      </c>
      <c r="C2202" s="1" t="n">
        <v>45587</v>
      </c>
      <c r="D2202" t="inlineStr">
        <is>
          <t>GÄVLEBORGS LÄN</t>
        </is>
      </c>
      <c r="E2202" t="inlineStr">
        <is>
          <t>LJUSDAL</t>
        </is>
      </c>
      <c r="F2202" t="inlineStr">
        <is>
          <t>Sveaskog</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40422-2020</t>
        </is>
      </c>
      <c r="B2203" s="1" t="n">
        <v>44069</v>
      </c>
      <c r="C2203" s="1" t="n">
        <v>45587</v>
      </c>
      <c r="D2203" t="inlineStr">
        <is>
          <t>GÄVLEBORGS LÄN</t>
        </is>
      </c>
      <c r="E2203" t="inlineStr">
        <is>
          <t>LJUSDAL</t>
        </is>
      </c>
      <c r="F2203" t="inlineStr">
        <is>
          <t>Sveaskog</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40610-2020</t>
        </is>
      </c>
      <c r="B2204" s="1" t="n">
        <v>44069</v>
      </c>
      <c r="C2204" s="1" t="n">
        <v>45587</v>
      </c>
      <c r="D2204" t="inlineStr">
        <is>
          <t>GÄVLEBORGS LÄN</t>
        </is>
      </c>
      <c r="E2204" t="inlineStr">
        <is>
          <t>LJUSDAL</t>
        </is>
      </c>
      <c r="F2204" t="inlineStr">
        <is>
          <t>Sveaskog</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40626-2020</t>
        </is>
      </c>
      <c r="B2205" s="1" t="n">
        <v>44069</v>
      </c>
      <c r="C2205" s="1" t="n">
        <v>45587</v>
      </c>
      <c r="D2205" t="inlineStr">
        <is>
          <t>GÄVLEBORGS LÄN</t>
        </is>
      </c>
      <c r="E2205" t="inlineStr">
        <is>
          <t>GÄVLE</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40631-2020</t>
        </is>
      </c>
      <c r="B2206" s="1" t="n">
        <v>44069</v>
      </c>
      <c r="C2206" s="1" t="n">
        <v>45587</v>
      </c>
      <c r="D2206" t="inlineStr">
        <is>
          <t>GÄVLEBORGS LÄN</t>
        </is>
      </c>
      <c r="E2206" t="inlineStr">
        <is>
          <t>HUDIKSVALL</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40996-2020</t>
        </is>
      </c>
      <c r="B2207" s="1" t="n">
        <v>44070</v>
      </c>
      <c r="C2207" s="1" t="n">
        <v>45587</v>
      </c>
      <c r="D2207" t="inlineStr">
        <is>
          <t>GÄVLEBORGS LÄN</t>
        </is>
      </c>
      <c r="E2207" t="inlineStr">
        <is>
          <t>HUDIKSVALL</t>
        </is>
      </c>
      <c r="G2207" t="n">
        <v>6.4</v>
      </c>
      <c r="H2207" t="n">
        <v>0</v>
      </c>
      <c r="I2207" t="n">
        <v>0</v>
      </c>
      <c r="J2207" t="n">
        <v>0</v>
      </c>
      <c r="K2207" t="n">
        <v>0</v>
      </c>
      <c r="L2207" t="n">
        <v>0</v>
      </c>
      <c r="M2207" t="n">
        <v>0</v>
      </c>
      <c r="N2207" t="n">
        <v>0</v>
      </c>
      <c r="O2207" t="n">
        <v>0</v>
      </c>
      <c r="P2207" t="n">
        <v>0</v>
      </c>
      <c r="Q2207" t="n">
        <v>0</v>
      </c>
      <c r="R2207" s="2" t="inlineStr"/>
    </row>
    <row r="2208" ht="15" customHeight="1">
      <c r="A2208" t="inlineStr">
        <is>
          <t>A 40801-2020</t>
        </is>
      </c>
      <c r="B2208" s="1" t="n">
        <v>44070</v>
      </c>
      <c r="C2208" s="1" t="n">
        <v>45587</v>
      </c>
      <c r="D2208" t="inlineStr">
        <is>
          <t>GÄVLEBORGS LÄN</t>
        </is>
      </c>
      <c r="E2208" t="inlineStr">
        <is>
          <t>LJUSDAL</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40773-2020</t>
        </is>
      </c>
      <c r="B2209" s="1" t="n">
        <v>44070</v>
      </c>
      <c r="C2209" s="1" t="n">
        <v>45587</v>
      </c>
      <c r="D2209" t="inlineStr">
        <is>
          <t>GÄVLEBORGS LÄN</t>
        </is>
      </c>
      <c r="E2209" t="inlineStr">
        <is>
          <t>HUDIKSVALL</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40929-2020</t>
        </is>
      </c>
      <c r="B2210" s="1" t="n">
        <v>44070</v>
      </c>
      <c r="C2210" s="1" t="n">
        <v>45587</v>
      </c>
      <c r="D2210" t="inlineStr">
        <is>
          <t>GÄVLEBORGS LÄN</t>
        </is>
      </c>
      <c r="E2210" t="inlineStr">
        <is>
          <t>BOLLNÄS</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41133-2020</t>
        </is>
      </c>
      <c r="B2211" s="1" t="n">
        <v>44071</v>
      </c>
      <c r="C2211" s="1" t="n">
        <v>45587</v>
      </c>
      <c r="D2211" t="inlineStr">
        <is>
          <t>GÄVLEBORGS LÄN</t>
        </is>
      </c>
      <c r="E2211" t="inlineStr">
        <is>
          <t>HUDIKSVALL</t>
        </is>
      </c>
      <c r="F2211" t="inlineStr">
        <is>
          <t>Holmen skog AB</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41182-2020</t>
        </is>
      </c>
      <c r="B2212" s="1" t="n">
        <v>44071</v>
      </c>
      <c r="C2212" s="1" t="n">
        <v>45587</v>
      </c>
      <c r="D2212" t="inlineStr">
        <is>
          <t>GÄVLEBORGS LÄN</t>
        </is>
      </c>
      <c r="E2212" t="inlineStr">
        <is>
          <t>HUDIKSVALL</t>
        </is>
      </c>
      <c r="F2212" t="inlineStr">
        <is>
          <t>Holmen skog AB</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41083-2020</t>
        </is>
      </c>
      <c r="B2213" s="1" t="n">
        <v>44071</v>
      </c>
      <c r="C2213" s="1" t="n">
        <v>45587</v>
      </c>
      <c r="D2213" t="inlineStr">
        <is>
          <t>GÄVLEBORGS LÄN</t>
        </is>
      </c>
      <c r="E2213" t="inlineStr">
        <is>
          <t>HUDIKSVALL</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41155-2020</t>
        </is>
      </c>
      <c r="B2214" s="1" t="n">
        <v>44071</v>
      </c>
      <c r="C2214" s="1" t="n">
        <v>45587</v>
      </c>
      <c r="D2214" t="inlineStr">
        <is>
          <t>GÄVLEBORGS LÄN</t>
        </is>
      </c>
      <c r="E2214" t="inlineStr">
        <is>
          <t>OVANÅKER</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41184-2020</t>
        </is>
      </c>
      <c r="B2215" s="1" t="n">
        <v>44071</v>
      </c>
      <c r="C2215" s="1" t="n">
        <v>45587</v>
      </c>
      <c r="D2215" t="inlineStr">
        <is>
          <t>GÄVLEBORGS LÄN</t>
        </is>
      </c>
      <c r="E2215" t="inlineStr">
        <is>
          <t>OVANÅKER</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41255-2020</t>
        </is>
      </c>
      <c r="B2216" s="1" t="n">
        <v>44071</v>
      </c>
      <c r="C2216" s="1" t="n">
        <v>45587</v>
      </c>
      <c r="D2216" t="inlineStr">
        <is>
          <t>GÄVLEBORGS LÄN</t>
        </is>
      </c>
      <c r="E2216" t="inlineStr">
        <is>
          <t>OCKELBO</t>
        </is>
      </c>
      <c r="F2216" t="inlineStr">
        <is>
          <t>Bergvik skog väst AB</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41219-2020</t>
        </is>
      </c>
      <c r="B2217" s="1" t="n">
        <v>44071</v>
      </c>
      <c r="C2217" s="1" t="n">
        <v>45587</v>
      </c>
      <c r="D2217" t="inlineStr">
        <is>
          <t>GÄVLEBORGS LÄN</t>
        </is>
      </c>
      <c r="E2217" t="inlineStr">
        <is>
          <t>OVANÅKER</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41633-2020</t>
        </is>
      </c>
      <c r="B2218" s="1" t="n">
        <v>44074</v>
      </c>
      <c r="C2218" s="1" t="n">
        <v>45587</v>
      </c>
      <c r="D2218" t="inlineStr">
        <is>
          <t>GÄVLEBORGS LÄN</t>
        </is>
      </c>
      <c r="E2218" t="inlineStr">
        <is>
          <t>SANDVIKEN</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41519-2020</t>
        </is>
      </c>
      <c r="B2219" s="1" t="n">
        <v>44074</v>
      </c>
      <c r="C2219" s="1" t="n">
        <v>45587</v>
      </c>
      <c r="D2219" t="inlineStr">
        <is>
          <t>GÄVLEBORGS LÄN</t>
        </is>
      </c>
      <c r="E2219" t="inlineStr">
        <is>
          <t>OVANÅKER</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41622-2020</t>
        </is>
      </c>
      <c r="B2220" s="1" t="n">
        <v>44074</v>
      </c>
      <c r="C2220" s="1" t="n">
        <v>45587</v>
      </c>
      <c r="D2220" t="inlineStr">
        <is>
          <t>GÄVLEBORGS LÄN</t>
        </is>
      </c>
      <c r="E2220" t="inlineStr">
        <is>
          <t>LJUSDAL</t>
        </is>
      </c>
      <c r="F2220" t="inlineStr">
        <is>
          <t>Sveaskog</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41742-2020</t>
        </is>
      </c>
      <c r="B2221" s="1" t="n">
        <v>44074</v>
      </c>
      <c r="C2221" s="1" t="n">
        <v>45587</v>
      </c>
      <c r="D2221" t="inlineStr">
        <is>
          <t>GÄVLEBORGS LÄN</t>
        </is>
      </c>
      <c r="E2221" t="inlineStr">
        <is>
          <t>LJUSDAL</t>
        </is>
      </c>
      <c r="F2221" t="inlineStr">
        <is>
          <t>Sveaskog</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41775-2020</t>
        </is>
      </c>
      <c r="B2222" s="1" t="n">
        <v>44074</v>
      </c>
      <c r="C2222" s="1" t="n">
        <v>45587</v>
      </c>
      <c r="D2222" t="inlineStr">
        <is>
          <t>GÄVLEBORGS LÄN</t>
        </is>
      </c>
      <c r="E2222" t="inlineStr">
        <is>
          <t>OCKELBO</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42006-2020</t>
        </is>
      </c>
      <c r="B2223" s="1" t="n">
        <v>44075</v>
      </c>
      <c r="C2223" s="1" t="n">
        <v>45587</v>
      </c>
      <c r="D2223" t="inlineStr">
        <is>
          <t>GÄVLEBORGS LÄN</t>
        </is>
      </c>
      <c r="E2223" t="inlineStr">
        <is>
          <t>LJUSDAL</t>
        </is>
      </c>
      <c r="F2223" t="inlineStr">
        <is>
          <t>Sveaskog</t>
        </is>
      </c>
      <c r="G2223" t="n">
        <v>4.4</v>
      </c>
      <c r="H2223" t="n">
        <v>0</v>
      </c>
      <c r="I2223" t="n">
        <v>0</v>
      </c>
      <c r="J2223" t="n">
        <v>0</v>
      </c>
      <c r="K2223" t="n">
        <v>0</v>
      </c>
      <c r="L2223" t="n">
        <v>0</v>
      </c>
      <c r="M2223" t="n">
        <v>0</v>
      </c>
      <c r="N2223" t="n">
        <v>0</v>
      </c>
      <c r="O2223" t="n">
        <v>0</v>
      </c>
      <c r="P2223" t="n">
        <v>0</v>
      </c>
      <c r="Q2223" t="n">
        <v>0</v>
      </c>
      <c r="R2223" s="2" t="inlineStr"/>
    </row>
    <row r="2224" ht="15" customHeight="1">
      <c r="A2224" t="inlineStr">
        <is>
          <t>A 42007-2020</t>
        </is>
      </c>
      <c r="B2224" s="1" t="n">
        <v>44075</v>
      </c>
      <c r="C2224" s="1" t="n">
        <v>45587</v>
      </c>
      <c r="D2224" t="inlineStr">
        <is>
          <t>GÄVLEBORGS LÄN</t>
        </is>
      </c>
      <c r="E2224" t="inlineStr">
        <is>
          <t>LJUSDAL</t>
        </is>
      </c>
      <c r="F2224" t="inlineStr">
        <is>
          <t>Sveaskog</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42009-2020</t>
        </is>
      </c>
      <c r="B2225" s="1" t="n">
        <v>44075</v>
      </c>
      <c r="C2225" s="1" t="n">
        <v>45587</v>
      </c>
      <c r="D2225" t="inlineStr">
        <is>
          <t>GÄVLEBORGS LÄN</t>
        </is>
      </c>
      <c r="E2225" t="inlineStr">
        <is>
          <t>LJUSDAL</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42308-2020</t>
        </is>
      </c>
      <c r="B2226" s="1" t="n">
        <v>44076</v>
      </c>
      <c r="C2226" s="1" t="n">
        <v>45587</v>
      </c>
      <c r="D2226" t="inlineStr">
        <is>
          <t>GÄVLEBORGS LÄN</t>
        </is>
      </c>
      <c r="E2226" t="inlineStr">
        <is>
          <t>BOLLNÄS</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42318-2020</t>
        </is>
      </c>
      <c r="B2227" s="1" t="n">
        <v>44076</v>
      </c>
      <c r="C2227" s="1" t="n">
        <v>45587</v>
      </c>
      <c r="D2227" t="inlineStr">
        <is>
          <t>GÄVLEBORGS LÄN</t>
        </is>
      </c>
      <c r="E2227" t="inlineStr">
        <is>
          <t>BOLLNÄS</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42332-2020</t>
        </is>
      </c>
      <c r="B2228" s="1" t="n">
        <v>44076</v>
      </c>
      <c r="C2228" s="1" t="n">
        <v>45587</v>
      </c>
      <c r="D2228" t="inlineStr">
        <is>
          <t>GÄVLEBORGS LÄN</t>
        </is>
      </c>
      <c r="E2228" t="inlineStr">
        <is>
          <t>LJUSDAL</t>
        </is>
      </c>
      <c r="F2228" t="inlineStr">
        <is>
          <t>Bergvik skog väst AB</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42357-2020</t>
        </is>
      </c>
      <c r="B2229" s="1" t="n">
        <v>44076</v>
      </c>
      <c r="C2229" s="1" t="n">
        <v>45587</v>
      </c>
      <c r="D2229" t="inlineStr">
        <is>
          <t>GÄVLEBORGS LÄN</t>
        </is>
      </c>
      <c r="E2229" t="inlineStr">
        <is>
          <t>GÄVLE</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42351-2020</t>
        </is>
      </c>
      <c r="B2230" s="1" t="n">
        <v>44076</v>
      </c>
      <c r="C2230" s="1" t="n">
        <v>45587</v>
      </c>
      <c r="D2230" t="inlineStr">
        <is>
          <t>GÄVLEBORGS LÄN</t>
        </is>
      </c>
      <c r="E2230" t="inlineStr">
        <is>
          <t>GÄVLE</t>
        </is>
      </c>
      <c r="G2230" t="n">
        <v>10.6</v>
      </c>
      <c r="H2230" t="n">
        <v>0</v>
      </c>
      <c r="I2230" t="n">
        <v>0</v>
      </c>
      <c r="J2230" t="n">
        <v>0</v>
      </c>
      <c r="K2230" t="n">
        <v>0</v>
      </c>
      <c r="L2230" t="n">
        <v>0</v>
      </c>
      <c r="M2230" t="n">
        <v>0</v>
      </c>
      <c r="N2230" t="n">
        <v>0</v>
      </c>
      <c r="O2230" t="n">
        <v>0</v>
      </c>
      <c r="P2230" t="n">
        <v>0</v>
      </c>
      <c r="Q2230" t="n">
        <v>0</v>
      </c>
      <c r="R2230" s="2" t="inlineStr"/>
    </row>
    <row r="2231" ht="15" customHeight="1">
      <c r="A2231" t="inlineStr">
        <is>
          <t>A 42356-2020</t>
        </is>
      </c>
      <c r="B2231" s="1" t="n">
        <v>44076</v>
      </c>
      <c r="C2231" s="1" t="n">
        <v>45587</v>
      </c>
      <c r="D2231" t="inlineStr">
        <is>
          <t>GÄVLEBORGS LÄN</t>
        </is>
      </c>
      <c r="E2231" t="inlineStr">
        <is>
          <t>GÄVLE</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42591-2020</t>
        </is>
      </c>
      <c r="B2232" s="1" t="n">
        <v>44077</v>
      </c>
      <c r="C2232" s="1" t="n">
        <v>45587</v>
      </c>
      <c r="D2232" t="inlineStr">
        <is>
          <t>GÄVLEBORGS LÄN</t>
        </is>
      </c>
      <c r="E2232" t="inlineStr">
        <is>
          <t>OCKELBO</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42510-2020</t>
        </is>
      </c>
      <c r="B2233" s="1" t="n">
        <v>44077</v>
      </c>
      <c r="C2233" s="1" t="n">
        <v>45587</v>
      </c>
      <c r="D2233" t="inlineStr">
        <is>
          <t>GÄVLEBORGS LÄN</t>
        </is>
      </c>
      <c r="E2233" t="inlineStr">
        <is>
          <t>HUDIKSVALL</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43520-2020</t>
        </is>
      </c>
      <c r="B2234" s="1" t="n">
        <v>44077</v>
      </c>
      <c r="C2234" s="1" t="n">
        <v>45587</v>
      </c>
      <c r="D2234" t="inlineStr">
        <is>
          <t>GÄVLEBORGS LÄN</t>
        </is>
      </c>
      <c r="E2234" t="inlineStr">
        <is>
          <t>HUDIKSVALL</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42504-2020</t>
        </is>
      </c>
      <c r="B2235" s="1" t="n">
        <v>44077</v>
      </c>
      <c r="C2235" s="1" t="n">
        <v>45587</v>
      </c>
      <c r="D2235" t="inlineStr">
        <is>
          <t>GÄVLEBORGS LÄN</t>
        </is>
      </c>
      <c r="E2235" t="inlineStr">
        <is>
          <t>LJUSDAL</t>
        </is>
      </c>
      <c r="F2235" t="inlineStr">
        <is>
          <t>Holmen skog AB</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43397-2020</t>
        </is>
      </c>
      <c r="B2236" s="1" t="n">
        <v>44077</v>
      </c>
      <c r="C2236" s="1" t="n">
        <v>45587</v>
      </c>
      <c r="D2236" t="inlineStr">
        <is>
          <t>GÄVLEBORGS LÄN</t>
        </is>
      </c>
      <c r="E2236" t="inlineStr">
        <is>
          <t>HUDIKSVALL</t>
        </is>
      </c>
      <c r="G2236" t="n">
        <v>8</v>
      </c>
      <c r="H2236" t="n">
        <v>0</v>
      </c>
      <c r="I2236" t="n">
        <v>0</v>
      </c>
      <c r="J2236" t="n">
        <v>0</v>
      </c>
      <c r="K2236" t="n">
        <v>0</v>
      </c>
      <c r="L2236" t="n">
        <v>0</v>
      </c>
      <c r="M2236" t="n">
        <v>0</v>
      </c>
      <c r="N2236" t="n">
        <v>0</v>
      </c>
      <c r="O2236" t="n">
        <v>0</v>
      </c>
      <c r="P2236" t="n">
        <v>0</v>
      </c>
      <c r="Q2236" t="n">
        <v>0</v>
      </c>
      <c r="R2236" s="2" t="inlineStr"/>
    </row>
    <row r="2237" ht="15" customHeight="1">
      <c r="A2237" t="inlineStr">
        <is>
          <t>A 42792-2020</t>
        </is>
      </c>
      <c r="B2237" s="1" t="n">
        <v>44078</v>
      </c>
      <c r="C2237" s="1" t="n">
        <v>45587</v>
      </c>
      <c r="D2237" t="inlineStr">
        <is>
          <t>GÄVLEBORGS LÄN</t>
        </is>
      </c>
      <c r="E2237" t="inlineStr">
        <is>
          <t>SANDVIKEN</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42868-2020</t>
        </is>
      </c>
      <c r="B2238" s="1" t="n">
        <v>44078</v>
      </c>
      <c r="C2238" s="1" t="n">
        <v>45587</v>
      </c>
      <c r="D2238" t="inlineStr">
        <is>
          <t>GÄVLEBORGS LÄN</t>
        </is>
      </c>
      <c r="E2238" t="inlineStr">
        <is>
          <t>GÄVLE</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42782-2020</t>
        </is>
      </c>
      <c r="B2239" s="1" t="n">
        <v>44078</v>
      </c>
      <c r="C2239" s="1" t="n">
        <v>45587</v>
      </c>
      <c r="D2239" t="inlineStr">
        <is>
          <t>GÄVLEBORGS LÄN</t>
        </is>
      </c>
      <c r="E2239" t="inlineStr">
        <is>
          <t>LJUSDAL</t>
        </is>
      </c>
      <c r="F2239" t="inlineStr">
        <is>
          <t>Sveaskog</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43723-2020</t>
        </is>
      </c>
      <c r="B2240" s="1" t="n">
        <v>44078</v>
      </c>
      <c r="C2240" s="1" t="n">
        <v>45587</v>
      </c>
      <c r="D2240" t="inlineStr">
        <is>
          <t>GÄVLEBORGS LÄN</t>
        </is>
      </c>
      <c r="E2240" t="inlineStr">
        <is>
          <t>LJUSDAL</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42844-2020</t>
        </is>
      </c>
      <c r="B2241" s="1" t="n">
        <v>44078</v>
      </c>
      <c r="C2241" s="1" t="n">
        <v>45587</v>
      </c>
      <c r="D2241" t="inlineStr">
        <is>
          <t>GÄVLEBORGS LÄN</t>
        </is>
      </c>
      <c r="E2241" t="inlineStr">
        <is>
          <t>LJUSDAL</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42961-2020</t>
        </is>
      </c>
      <c r="B2242" s="1" t="n">
        <v>44078</v>
      </c>
      <c r="C2242" s="1" t="n">
        <v>45587</v>
      </c>
      <c r="D2242" t="inlineStr">
        <is>
          <t>GÄVLEBORGS LÄN</t>
        </is>
      </c>
      <c r="E2242" t="inlineStr">
        <is>
          <t>BOLLNÄS</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42959-2020</t>
        </is>
      </c>
      <c r="B2243" s="1" t="n">
        <v>44078</v>
      </c>
      <c r="C2243" s="1" t="n">
        <v>45587</v>
      </c>
      <c r="D2243" t="inlineStr">
        <is>
          <t>GÄVLEBORGS LÄN</t>
        </is>
      </c>
      <c r="E2243" t="inlineStr">
        <is>
          <t>HOFORS</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43030-2020</t>
        </is>
      </c>
      <c r="B2244" s="1" t="n">
        <v>44078</v>
      </c>
      <c r="C2244" s="1" t="n">
        <v>45587</v>
      </c>
      <c r="D2244" t="inlineStr">
        <is>
          <t>GÄVLEBORGS LÄN</t>
        </is>
      </c>
      <c r="E2244" t="inlineStr">
        <is>
          <t>SANDVIKEN</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43144-2020</t>
        </is>
      </c>
      <c r="B2245" s="1" t="n">
        <v>44080</v>
      </c>
      <c r="C2245" s="1" t="n">
        <v>45587</v>
      </c>
      <c r="D2245" t="inlineStr">
        <is>
          <t>GÄVLEBORGS LÄN</t>
        </is>
      </c>
      <c r="E2245" t="inlineStr">
        <is>
          <t>LJUSDAL</t>
        </is>
      </c>
      <c r="F2245" t="inlineStr">
        <is>
          <t>Sveaskog</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43295-2020</t>
        </is>
      </c>
      <c r="B2246" s="1" t="n">
        <v>44081</v>
      </c>
      <c r="C2246" s="1" t="n">
        <v>45587</v>
      </c>
      <c r="D2246" t="inlineStr">
        <is>
          <t>GÄVLEBORGS LÄN</t>
        </is>
      </c>
      <c r="E2246" t="inlineStr">
        <is>
          <t>HUDIKSVALL</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43370-2020</t>
        </is>
      </c>
      <c r="B2247" s="1" t="n">
        <v>44081</v>
      </c>
      <c r="C2247" s="1" t="n">
        <v>45587</v>
      </c>
      <c r="D2247" t="inlineStr">
        <is>
          <t>GÄVLEBORGS LÄN</t>
        </is>
      </c>
      <c r="E2247" t="inlineStr">
        <is>
          <t>LJUSDAL</t>
        </is>
      </c>
      <c r="F2247" t="inlineStr">
        <is>
          <t>Sveaskog</t>
        </is>
      </c>
      <c r="G2247" t="n">
        <v>10.1</v>
      </c>
      <c r="H2247" t="n">
        <v>0</v>
      </c>
      <c r="I2247" t="n">
        <v>0</v>
      </c>
      <c r="J2247" t="n">
        <v>0</v>
      </c>
      <c r="K2247" t="n">
        <v>0</v>
      </c>
      <c r="L2247" t="n">
        <v>0</v>
      </c>
      <c r="M2247" t="n">
        <v>0</v>
      </c>
      <c r="N2247" t="n">
        <v>0</v>
      </c>
      <c r="O2247" t="n">
        <v>0</v>
      </c>
      <c r="P2247" t="n">
        <v>0</v>
      </c>
      <c r="Q2247" t="n">
        <v>0</v>
      </c>
      <c r="R2247" s="2" t="inlineStr"/>
    </row>
    <row r="2248" ht="15" customHeight="1">
      <c r="A2248" t="inlineStr">
        <is>
          <t>A 43385-2020</t>
        </is>
      </c>
      <c r="B2248" s="1" t="n">
        <v>44081</v>
      </c>
      <c r="C2248" s="1" t="n">
        <v>45587</v>
      </c>
      <c r="D2248" t="inlineStr">
        <is>
          <t>GÄVLEBORGS LÄN</t>
        </is>
      </c>
      <c r="E2248" t="inlineStr">
        <is>
          <t>GÄVLE</t>
        </is>
      </c>
      <c r="F2248" t="inlineStr">
        <is>
          <t>Bergvik skog öst AB</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43185-2020</t>
        </is>
      </c>
      <c r="B2249" s="1" t="n">
        <v>44081</v>
      </c>
      <c r="C2249" s="1" t="n">
        <v>45587</v>
      </c>
      <c r="D2249" t="inlineStr">
        <is>
          <t>GÄVLEBORGS LÄN</t>
        </is>
      </c>
      <c r="E2249" t="inlineStr">
        <is>
          <t>GÄVLE</t>
        </is>
      </c>
      <c r="F2249" t="inlineStr">
        <is>
          <t>Bergvik skog öst AB</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43376-2020</t>
        </is>
      </c>
      <c r="B2250" s="1" t="n">
        <v>44081</v>
      </c>
      <c r="C2250" s="1" t="n">
        <v>45587</v>
      </c>
      <c r="D2250" t="inlineStr">
        <is>
          <t>GÄVLEBORGS LÄN</t>
        </is>
      </c>
      <c r="E2250" t="inlineStr">
        <is>
          <t>LJUSDAL</t>
        </is>
      </c>
      <c r="F2250" t="inlineStr">
        <is>
          <t>Sveaskog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43491-2020</t>
        </is>
      </c>
      <c r="B2251" s="1" t="n">
        <v>44082</v>
      </c>
      <c r="C2251" s="1" t="n">
        <v>45587</v>
      </c>
      <c r="D2251" t="inlineStr">
        <is>
          <t>GÄVLEBORGS LÄN</t>
        </is>
      </c>
      <c r="E2251" t="inlineStr">
        <is>
          <t>LJUSDAL</t>
        </is>
      </c>
      <c r="F2251" t="inlineStr">
        <is>
          <t>Sveaskog</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43668-2020</t>
        </is>
      </c>
      <c r="B2252" s="1" t="n">
        <v>44082</v>
      </c>
      <c r="C2252" s="1" t="n">
        <v>45587</v>
      </c>
      <c r="D2252" t="inlineStr">
        <is>
          <t>GÄVLEBORGS LÄN</t>
        </is>
      </c>
      <c r="E2252" t="inlineStr">
        <is>
          <t>NORDANSTIG</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43487-2020</t>
        </is>
      </c>
      <c r="B2253" s="1" t="n">
        <v>44082</v>
      </c>
      <c r="C2253" s="1" t="n">
        <v>45587</v>
      </c>
      <c r="D2253" t="inlineStr">
        <is>
          <t>GÄVLEBORGS LÄN</t>
        </is>
      </c>
      <c r="E2253" t="inlineStr">
        <is>
          <t>LJUSDAL</t>
        </is>
      </c>
      <c r="F2253" t="inlineStr">
        <is>
          <t>Sveaskog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43544-2020</t>
        </is>
      </c>
      <c r="B2254" s="1" t="n">
        <v>44082</v>
      </c>
      <c r="C2254" s="1" t="n">
        <v>45587</v>
      </c>
      <c r="D2254" t="inlineStr">
        <is>
          <t>GÄVLEBORGS LÄN</t>
        </is>
      </c>
      <c r="E2254" t="inlineStr">
        <is>
          <t>LJUSDAL</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43625-2020</t>
        </is>
      </c>
      <c r="B2255" s="1" t="n">
        <v>44082</v>
      </c>
      <c r="C2255" s="1" t="n">
        <v>45587</v>
      </c>
      <c r="D2255" t="inlineStr">
        <is>
          <t>GÄVLEBORGS LÄN</t>
        </is>
      </c>
      <c r="E2255" t="inlineStr">
        <is>
          <t>SÖDERHAMN</t>
        </is>
      </c>
      <c r="F2255" t="inlineStr">
        <is>
          <t>Bergvik skog väst AB</t>
        </is>
      </c>
      <c r="G2255" t="n">
        <v>23.2</v>
      </c>
      <c r="H2255" t="n">
        <v>0</v>
      </c>
      <c r="I2255" t="n">
        <v>0</v>
      </c>
      <c r="J2255" t="n">
        <v>0</v>
      </c>
      <c r="K2255" t="n">
        <v>0</v>
      </c>
      <c r="L2255" t="n">
        <v>0</v>
      </c>
      <c r="M2255" t="n">
        <v>0</v>
      </c>
      <c r="N2255" t="n">
        <v>0</v>
      </c>
      <c r="O2255" t="n">
        <v>0</v>
      </c>
      <c r="P2255" t="n">
        <v>0</v>
      </c>
      <c r="Q2255" t="n">
        <v>0</v>
      </c>
      <c r="R2255" s="2" t="inlineStr"/>
    </row>
    <row r="2256" ht="15" customHeight="1">
      <c r="A2256" t="inlineStr">
        <is>
          <t>A 43662-2020</t>
        </is>
      </c>
      <c r="B2256" s="1" t="n">
        <v>44082</v>
      </c>
      <c r="C2256" s="1" t="n">
        <v>45587</v>
      </c>
      <c r="D2256" t="inlineStr">
        <is>
          <t>GÄVLEBORGS LÄN</t>
        </is>
      </c>
      <c r="E2256" t="inlineStr">
        <is>
          <t>NORDANSTIG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43867-2020</t>
        </is>
      </c>
      <c r="B2257" s="1" t="n">
        <v>44083</v>
      </c>
      <c r="C2257" s="1" t="n">
        <v>45587</v>
      </c>
      <c r="D2257" t="inlineStr">
        <is>
          <t>GÄVLEBORGS LÄN</t>
        </is>
      </c>
      <c r="E2257" t="inlineStr">
        <is>
          <t>LJUSDAL</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43907-2020</t>
        </is>
      </c>
      <c r="B2258" s="1" t="n">
        <v>44083</v>
      </c>
      <c r="C2258" s="1" t="n">
        <v>45587</v>
      </c>
      <c r="D2258" t="inlineStr">
        <is>
          <t>GÄVLEBORGS LÄN</t>
        </is>
      </c>
      <c r="E2258" t="inlineStr">
        <is>
          <t>HOFORS</t>
        </is>
      </c>
      <c r="F2258" t="inlineStr">
        <is>
          <t>Sveaskog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44014-2020</t>
        </is>
      </c>
      <c r="B2259" s="1" t="n">
        <v>44083</v>
      </c>
      <c r="C2259" s="1" t="n">
        <v>45587</v>
      </c>
      <c r="D2259" t="inlineStr">
        <is>
          <t>GÄVLEBORGS LÄN</t>
        </is>
      </c>
      <c r="E2259" t="inlineStr">
        <is>
          <t>BOLLNÄS</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44012-2020</t>
        </is>
      </c>
      <c r="B2260" s="1" t="n">
        <v>44083</v>
      </c>
      <c r="C2260" s="1" t="n">
        <v>45587</v>
      </c>
      <c r="D2260" t="inlineStr">
        <is>
          <t>GÄVLEBORGS LÄN</t>
        </is>
      </c>
      <c r="E2260" t="inlineStr">
        <is>
          <t>BOLLNÄS</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43899-2020</t>
        </is>
      </c>
      <c r="B2261" s="1" t="n">
        <v>44083</v>
      </c>
      <c r="C2261" s="1" t="n">
        <v>45587</v>
      </c>
      <c r="D2261" t="inlineStr">
        <is>
          <t>GÄVLEBORGS LÄN</t>
        </is>
      </c>
      <c r="E2261" t="inlineStr">
        <is>
          <t>HUDIKSVALL</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44017-2020</t>
        </is>
      </c>
      <c r="B2262" s="1" t="n">
        <v>44083</v>
      </c>
      <c r="C2262" s="1" t="n">
        <v>45587</v>
      </c>
      <c r="D2262" t="inlineStr">
        <is>
          <t>GÄVLEBORGS LÄN</t>
        </is>
      </c>
      <c r="E2262" t="inlineStr">
        <is>
          <t>BOLLNÄS</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44018-2020</t>
        </is>
      </c>
      <c r="B2263" s="1" t="n">
        <v>44083</v>
      </c>
      <c r="C2263" s="1" t="n">
        <v>45587</v>
      </c>
      <c r="D2263" t="inlineStr">
        <is>
          <t>GÄVLEBORGS LÄN</t>
        </is>
      </c>
      <c r="E2263" t="inlineStr">
        <is>
          <t>BOLLNÄS</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44050-2020</t>
        </is>
      </c>
      <c r="B2264" s="1" t="n">
        <v>44083</v>
      </c>
      <c r="C2264" s="1" t="n">
        <v>45587</v>
      </c>
      <c r="D2264" t="inlineStr">
        <is>
          <t>GÄVLEBORGS LÄN</t>
        </is>
      </c>
      <c r="E2264" t="inlineStr">
        <is>
          <t>OVANÅKER</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44130-2020</t>
        </is>
      </c>
      <c r="B2265" s="1" t="n">
        <v>44083</v>
      </c>
      <c r="C2265" s="1" t="n">
        <v>45587</v>
      </c>
      <c r="D2265" t="inlineStr">
        <is>
          <t>GÄVLEBORGS LÄN</t>
        </is>
      </c>
      <c r="E2265" t="inlineStr">
        <is>
          <t>OVANÅKER</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44172-2020</t>
        </is>
      </c>
      <c r="B2266" s="1" t="n">
        <v>44083</v>
      </c>
      <c r="C2266" s="1" t="n">
        <v>45587</v>
      </c>
      <c r="D2266" t="inlineStr">
        <is>
          <t>GÄVLEBORGS LÄN</t>
        </is>
      </c>
      <c r="E2266" t="inlineStr">
        <is>
          <t>OCKELBO</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44230-2020</t>
        </is>
      </c>
      <c r="B2267" s="1" t="n">
        <v>44084</v>
      </c>
      <c r="C2267" s="1" t="n">
        <v>45587</v>
      </c>
      <c r="D2267" t="inlineStr">
        <is>
          <t>GÄVLEBORGS LÄN</t>
        </is>
      </c>
      <c r="E2267" t="inlineStr">
        <is>
          <t>HOFORS</t>
        </is>
      </c>
      <c r="G2267" t="n">
        <v>9.4</v>
      </c>
      <c r="H2267" t="n">
        <v>0</v>
      </c>
      <c r="I2267" t="n">
        <v>0</v>
      </c>
      <c r="J2267" t="n">
        <v>0</v>
      </c>
      <c r="K2267" t="n">
        <v>0</v>
      </c>
      <c r="L2267" t="n">
        <v>0</v>
      </c>
      <c r="M2267" t="n">
        <v>0</v>
      </c>
      <c r="N2267" t="n">
        <v>0</v>
      </c>
      <c r="O2267" t="n">
        <v>0</v>
      </c>
      <c r="P2267" t="n">
        <v>0</v>
      </c>
      <c r="Q2267" t="n">
        <v>0</v>
      </c>
      <c r="R2267" s="2" t="inlineStr"/>
    </row>
    <row r="2268" ht="15" customHeight="1">
      <c r="A2268" t="inlineStr">
        <is>
          <t>A 44270-2020</t>
        </is>
      </c>
      <c r="B2268" s="1" t="n">
        <v>44084</v>
      </c>
      <c r="C2268" s="1" t="n">
        <v>45587</v>
      </c>
      <c r="D2268" t="inlineStr">
        <is>
          <t>GÄVLEBORGS LÄN</t>
        </is>
      </c>
      <c r="E2268" t="inlineStr">
        <is>
          <t>BOLLNÄS</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44350-2020</t>
        </is>
      </c>
      <c r="B2269" s="1" t="n">
        <v>44084</v>
      </c>
      <c r="C2269" s="1" t="n">
        <v>45587</v>
      </c>
      <c r="D2269" t="inlineStr">
        <is>
          <t>GÄVLEBORGS LÄN</t>
        </is>
      </c>
      <c r="E2269" t="inlineStr">
        <is>
          <t>GÄVLE</t>
        </is>
      </c>
      <c r="F2269" t="inlineStr">
        <is>
          <t>Bergvik skog öst AB</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44376-2020</t>
        </is>
      </c>
      <c r="B2270" s="1" t="n">
        <v>44084</v>
      </c>
      <c r="C2270" s="1" t="n">
        <v>45587</v>
      </c>
      <c r="D2270" t="inlineStr">
        <is>
          <t>GÄVLEBORGS LÄN</t>
        </is>
      </c>
      <c r="E2270" t="inlineStr">
        <is>
          <t>LJUSDAL</t>
        </is>
      </c>
      <c r="F2270" t="inlineStr">
        <is>
          <t>Holmen skog AB</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44483-2020</t>
        </is>
      </c>
      <c r="B2271" s="1" t="n">
        <v>44084</v>
      </c>
      <c r="C2271" s="1" t="n">
        <v>45587</v>
      </c>
      <c r="D2271" t="inlineStr">
        <is>
          <t>GÄVLEBORGS LÄN</t>
        </is>
      </c>
      <c r="E2271" t="inlineStr">
        <is>
          <t>HUDIKSVALL</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44451-2020</t>
        </is>
      </c>
      <c r="B2272" s="1" t="n">
        <v>44084</v>
      </c>
      <c r="C2272" s="1" t="n">
        <v>45587</v>
      </c>
      <c r="D2272" t="inlineStr">
        <is>
          <t>GÄVLEBORGS LÄN</t>
        </is>
      </c>
      <c r="E2272" t="inlineStr">
        <is>
          <t>HUDIKSVALL</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44486-2020</t>
        </is>
      </c>
      <c r="B2273" s="1" t="n">
        <v>44084</v>
      </c>
      <c r="C2273" s="1" t="n">
        <v>45587</v>
      </c>
      <c r="D2273" t="inlineStr">
        <is>
          <t>GÄVLEBORGS LÄN</t>
        </is>
      </c>
      <c r="E2273" t="inlineStr">
        <is>
          <t>HUDIKSVALL</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44574-2020</t>
        </is>
      </c>
      <c r="B2274" s="1" t="n">
        <v>44085</v>
      </c>
      <c r="C2274" s="1" t="n">
        <v>45587</v>
      </c>
      <c r="D2274" t="inlineStr">
        <is>
          <t>GÄVLEBORGS LÄN</t>
        </is>
      </c>
      <c r="E2274" t="inlineStr">
        <is>
          <t>HUDIKSVALL</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44530-2020</t>
        </is>
      </c>
      <c r="B2275" s="1" t="n">
        <v>44085</v>
      </c>
      <c r="C2275" s="1" t="n">
        <v>45587</v>
      </c>
      <c r="D2275" t="inlineStr">
        <is>
          <t>GÄVLEBORGS LÄN</t>
        </is>
      </c>
      <c r="E2275" t="inlineStr">
        <is>
          <t>HUDIKSVALL</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44552-2020</t>
        </is>
      </c>
      <c r="B2276" s="1" t="n">
        <v>44085</v>
      </c>
      <c r="C2276" s="1" t="n">
        <v>45587</v>
      </c>
      <c r="D2276" t="inlineStr">
        <is>
          <t>GÄVLEBORGS LÄN</t>
        </is>
      </c>
      <c r="E2276" t="inlineStr">
        <is>
          <t>LJUSDAL</t>
        </is>
      </c>
      <c r="F2276" t="inlineStr">
        <is>
          <t>Bergvik skog väst AB</t>
        </is>
      </c>
      <c r="G2276" t="n">
        <v>8.6</v>
      </c>
      <c r="H2276" t="n">
        <v>0</v>
      </c>
      <c r="I2276" t="n">
        <v>0</v>
      </c>
      <c r="J2276" t="n">
        <v>0</v>
      </c>
      <c r="K2276" t="n">
        <v>0</v>
      </c>
      <c r="L2276" t="n">
        <v>0</v>
      </c>
      <c r="M2276" t="n">
        <v>0</v>
      </c>
      <c r="N2276" t="n">
        <v>0</v>
      </c>
      <c r="O2276" t="n">
        <v>0</v>
      </c>
      <c r="P2276" t="n">
        <v>0</v>
      </c>
      <c r="Q2276" t="n">
        <v>0</v>
      </c>
      <c r="R2276" s="2" t="inlineStr"/>
    </row>
    <row r="2277" ht="15" customHeight="1">
      <c r="A2277" t="inlineStr">
        <is>
          <t>A 44805-2020</t>
        </is>
      </c>
      <c r="B2277" s="1" t="n">
        <v>44085</v>
      </c>
      <c r="C2277" s="1" t="n">
        <v>45587</v>
      </c>
      <c r="D2277" t="inlineStr">
        <is>
          <t>GÄVLEBORGS LÄN</t>
        </is>
      </c>
      <c r="E2277" t="inlineStr">
        <is>
          <t>LJUSDAL</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44781-2020</t>
        </is>
      </c>
      <c r="B2278" s="1" t="n">
        <v>44085</v>
      </c>
      <c r="C2278" s="1" t="n">
        <v>45587</v>
      </c>
      <c r="D2278" t="inlineStr">
        <is>
          <t>GÄVLEBORGS LÄN</t>
        </is>
      </c>
      <c r="E2278" t="inlineStr">
        <is>
          <t>LJUSDAL</t>
        </is>
      </c>
      <c r="F2278" t="inlineStr">
        <is>
          <t>Sveaskog</t>
        </is>
      </c>
      <c r="G2278" t="n">
        <v>9.4</v>
      </c>
      <c r="H2278" t="n">
        <v>0</v>
      </c>
      <c r="I2278" t="n">
        <v>0</v>
      </c>
      <c r="J2278" t="n">
        <v>0</v>
      </c>
      <c r="K2278" t="n">
        <v>0</v>
      </c>
      <c r="L2278" t="n">
        <v>0</v>
      </c>
      <c r="M2278" t="n">
        <v>0</v>
      </c>
      <c r="N2278" t="n">
        <v>0</v>
      </c>
      <c r="O2278" t="n">
        <v>0</v>
      </c>
      <c r="P2278" t="n">
        <v>0</v>
      </c>
      <c r="Q2278" t="n">
        <v>0</v>
      </c>
      <c r="R2278" s="2" t="inlineStr"/>
    </row>
    <row r="2279" ht="15" customHeight="1">
      <c r="A2279" t="inlineStr">
        <is>
          <t>A 44777-2020</t>
        </is>
      </c>
      <c r="B2279" s="1" t="n">
        <v>44085</v>
      </c>
      <c r="C2279" s="1" t="n">
        <v>45587</v>
      </c>
      <c r="D2279" t="inlineStr">
        <is>
          <t>GÄVLEBORGS LÄN</t>
        </is>
      </c>
      <c r="E2279" t="inlineStr">
        <is>
          <t>LJUSDAL</t>
        </is>
      </c>
      <c r="F2279" t="inlineStr">
        <is>
          <t>Sveaskog</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44913-2020</t>
        </is>
      </c>
      <c r="B2280" s="1" t="n">
        <v>44088</v>
      </c>
      <c r="C2280" s="1" t="n">
        <v>45587</v>
      </c>
      <c r="D2280" t="inlineStr">
        <is>
          <t>GÄVLEBORGS LÄN</t>
        </is>
      </c>
      <c r="E2280" t="inlineStr">
        <is>
          <t>LJUSDAL</t>
        </is>
      </c>
      <c r="F2280" t="inlineStr">
        <is>
          <t>Sveaskog</t>
        </is>
      </c>
      <c r="G2280" t="n">
        <v>7.8</v>
      </c>
      <c r="H2280" t="n">
        <v>0</v>
      </c>
      <c r="I2280" t="n">
        <v>0</v>
      </c>
      <c r="J2280" t="n">
        <v>0</v>
      </c>
      <c r="K2280" t="n">
        <v>0</v>
      </c>
      <c r="L2280" t="n">
        <v>0</v>
      </c>
      <c r="M2280" t="n">
        <v>0</v>
      </c>
      <c r="N2280" t="n">
        <v>0</v>
      </c>
      <c r="O2280" t="n">
        <v>0</v>
      </c>
      <c r="P2280" t="n">
        <v>0</v>
      </c>
      <c r="Q2280" t="n">
        <v>0</v>
      </c>
      <c r="R2280" s="2" t="inlineStr"/>
    </row>
    <row r="2281" ht="15" customHeight="1">
      <c r="A2281" t="inlineStr">
        <is>
          <t>A 45128-2020</t>
        </is>
      </c>
      <c r="B2281" s="1" t="n">
        <v>44088</v>
      </c>
      <c r="C2281" s="1" t="n">
        <v>45587</v>
      </c>
      <c r="D2281" t="inlineStr">
        <is>
          <t>GÄVLEBORGS LÄN</t>
        </is>
      </c>
      <c r="E2281" t="inlineStr">
        <is>
          <t>BOLLNÄS</t>
        </is>
      </c>
      <c r="F2281" t="inlineStr">
        <is>
          <t>Bergvik skog väst AB</t>
        </is>
      </c>
      <c r="G2281" t="n">
        <v>27.9</v>
      </c>
      <c r="H2281" t="n">
        <v>0</v>
      </c>
      <c r="I2281" t="n">
        <v>0</v>
      </c>
      <c r="J2281" t="n">
        <v>0</v>
      </c>
      <c r="K2281" t="n">
        <v>0</v>
      </c>
      <c r="L2281" t="n">
        <v>0</v>
      </c>
      <c r="M2281" t="n">
        <v>0</v>
      </c>
      <c r="N2281" t="n">
        <v>0</v>
      </c>
      <c r="O2281" t="n">
        <v>0</v>
      </c>
      <c r="P2281" t="n">
        <v>0</v>
      </c>
      <c r="Q2281" t="n">
        <v>0</v>
      </c>
      <c r="R2281" s="2" t="inlineStr"/>
    </row>
    <row r="2282" ht="15" customHeight="1">
      <c r="A2282" t="inlineStr">
        <is>
          <t>A 45049-2020</t>
        </is>
      </c>
      <c r="B2282" s="1" t="n">
        <v>44088</v>
      </c>
      <c r="C2282" s="1" t="n">
        <v>45587</v>
      </c>
      <c r="D2282" t="inlineStr">
        <is>
          <t>GÄVLEBORGS LÄN</t>
        </is>
      </c>
      <c r="E2282" t="inlineStr">
        <is>
          <t>OCKELBO</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45183-2020</t>
        </is>
      </c>
      <c r="B2283" s="1" t="n">
        <v>44088</v>
      </c>
      <c r="C2283" s="1" t="n">
        <v>45587</v>
      </c>
      <c r="D2283" t="inlineStr">
        <is>
          <t>GÄVLEBORGS LÄN</t>
        </is>
      </c>
      <c r="E2283" t="inlineStr">
        <is>
          <t>HUDIKSVALL</t>
        </is>
      </c>
      <c r="F2283" t="inlineStr">
        <is>
          <t>Holmen skog AB</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44904-2020</t>
        </is>
      </c>
      <c r="B2284" s="1" t="n">
        <v>44088</v>
      </c>
      <c r="C2284" s="1" t="n">
        <v>45587</v>
      </c>
      <c r="D2284" t="inlineStr">
        <is>
          <t>GÄVLEBORGS LÄN</t>
        </is>
      </c>
      <c r="E2284" t="inlineStr">
        <is>
          <t>LJUSDAL</t>
        </is>
      </c>
      <c r="F2284" t="inlineStr">
        <is>
          <t>Sveaskog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45268-2020</t>
        </is>
      </c>
      <c r="B2285" s="1" t="n">
        <v>44089</v>
      </c>
      <c r="C2285" s="1" t="n">
        <v>45587</v>
      </c>
      <c r="D2285" t="inlineStr">
        <is>
          <t>GÄVLEBORGS LÄN</t>
        </is>
      </c>
      <c r="E2285" t="inlineStr">
        <is>
          <t>OVANÅKER</t>
        </is>
      </c>
      <c r="F2285" t="inlineStr">
        <is>
          <t>Sveaskog</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45317-2020</t>
        </is>
      </c>
      <c r="B2286" s="1" t="n">
        <v>44089</v>
      </c>
      <c r="C2286" s="1" t="n">
        <v>45587</v>
      </c>
      <c r="D2286" t="inlineStr">
        <is>
          <t>GÄVLEBORGS LÄN</t>
        </is>
      </c>
      <c r="E2286" t="inlineStr">
        <is>
          <t>BOLLNÄS</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45620-2020</t>
        </is>
      </c>
      <c r="B2287" s="1" t="n">
        <v>44090</v>
      </c>
      <c r="C2287" s="1" t="n">
        <v>45587</v>
      </c>
      <c r="D2287" t="inlineStr">
        <is>
          <t>GÄVLEBORGS LÄN</t>
        </is>
      </c>
      <c r="E2287" t="inlineStr">
        <is>
          <t>BOLLNÄS</t>
        </is>
      </c>
      <c r="F2287" t="inlineStr">
        <is>
          <t>Bergvik skog väst AB</t>
        </is>
      </c>
      <c r="G2287" t="n">
        <v>7.4</v>
      </c>
      <c r="H2287" t="n">
        <v>0</v>
      </c>
      <c r="I2287" t="n">
        <v>0</v>
      </c>
      <c r="J2287" t="n">
        <v>0</v>
      </c>
      <c r="K2287" t="n">
        <v>0</v>
      </c>
      <c r="L2287" t="n">
        <v>0</v>
      </c>
      <c r="M2287" t="n">
        <v>0</v>
      </c>
      <c r="N2287" t="n">
        <v>0</v>
      </c>
      <c r="O2287" t="n">
        <v>0</v>
      </c>
      <c r="P2287" t="n">
        <v>0</v>
      </c>
      <c r="Q2287" t="n">
        <v>0</v>
      </c>
      <c r="R2287" s="2" t="inlineStr"/>
    </row>
    <row r="2288" ht="15" customHeight="1">
      <c r="A2288" t="inlineStr">
        <is>
          <t>A 45683-2020</t>
        </is>
      </c>
      <c r="B2288" s="1" t="n">
        <v>44090</v>
      </c>
      <c r="C2288" s="1" t="n">
        <v>45587</v>
      </c>
      <c r="D2288" t="inlineStr">
        <is>
          <t>GÄVLEBORGS LÄN</t>
        </is>
      </c>
      <c r="E2288" t="inlineStr">
        <is>
          <t>NORDANSTIG</t>
        </is>
      </c>
      <c r="G2288" t="n">
        <v>31.9</v>
      </c>
      <c r="H2288" t="n">
        <v>0</v>
      </c>
      <c r="I2288" t="n">
        <v>0</v>
      </c>
      <c r="J2288" t="n">
        <v>0</v>
      </c>
      <c r="K2288" t="n">
        <v>0</v>
      </c>
      <c r="L2288" t="n">
        <v>0</v>
      </c>
      <c r="M2288" t="n">
        <v>0</v>
      </c>
      <c r="N2288" t="n">
        <v>0</v>
      </c>
      <c r="O2288" t="n">
        <v>0</v>
      </c>
      <c r="P2288" t="n">
        <v>0</v>
      </c>
      <c r="Q2288" t="n">
        <v>0</v>
      </c>
      <c r="R2288" s="2" t="inlineStr"/>
    </row>
    <row r="2289" ht="15" customHeight="1">
      <c r="A2289" t="inlineStr">
        <is>
          <t>A 45573-2020</t>
        </is>
      </c>
      <c r="B2289" s="1" t="n">
        <v>44090</v>
      </c>
      <c r="C2289" s="1" t="n">
        <v>45587</v>
      </c>
      <c r="D2289" t="inlineStr">
        <is>
          <t>GÄVLEBORGS LÄN</t>
        </is>
      </c>
      <c r="E2289" t="inlineStr">
        <is>
          <t>NORDANSTIG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45652-2020</t>
        </is>
      </c>
      <c r="B2290" s="1" t="n">
        <v>44090</v>
      </c>
      <c r="C2290" s="1" t="n">
        <v>45587</v>
      </c>
      <c r="D2290" t="inlineStr">
        <is>
          <t>GÄVLEBORGS LÄN</t>
        </is>
      </c>
      <c r="E2290" t="inlineStr">
        <is>
          <t>BOLLNÄS</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45591-2020</t>
        </is>
      </c>
      <c r="B2291" s="1" t="n">
        <v>44090</v>
      </c>
      <c r="C2291" s="1" t="n">
        <v>45587</v>
      </c>
      <c r="D2291" t="inlineStr">
        <is>
          <t>GÄVLEBORGS LÄN</t>
        </is>
      </c>
      <c r="E2291" t="inlineStr">
        <is>
          <t>HUDIKSVALL</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45856-2020</t>
        </is>
      </c>
      <c r="B2292" s="1" t="n">
        <v>44091</v>
      </c>
      <c r="C2292" s="1" t="n">
        <v>45587</v>
      </c>
      <c r="D2292" t="inlineStr">
        <is>
          <t>GÄVLEBORGS LÄN</t>
        </is>
      </c>
      <c r="E2292" t="inlineStr">
        <is>
          <t>LJUSDAL</t>
        </is>
      </c>
      <c r="F2292" t="inlineStr">
        <is>
          <t>Sveaskog</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45925-2020</t>
        </is>
      </c>
      <c r="B2293" s="1" t="n">
        <v>44091</v>
      </c>
      <c r="C2293" s="1" t="n">
        <v>45587</v>
      </c>
      <c r="D2293" t="inlineStr">
        <is>
          <t>GÄVLEBORGS LÄN</t>
        </is>
      </c>
      <c r="E2293" t="inlineStr">
        <is>
          <t>OVANÅKER</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46028-2020</t>
        </is>
      </c>
      <c r="B2294" s="1" t="n">
        <v>44091</v>
      </c>
      <c r="C2294" s="1" t="n">
        <v>45587</v>
      </c>
      <c r="D2294" t="inlineStr">
        <is>
          <t>GÄVLEBORGS LÄN</t>
        </is>
      </c>
      <c r="E2294" t="inlineStr">
        <is>
          <t>HUDIKSVALL</t>
        </is>
      </c>
      <c r="G2294" t="n">
        <v>14.6</v>
      </c>
      <c r="H2294" t="n">
        <v>0</v>
      </c>
      <c r="I2294" t="n">
        <v>0</v>
      </c>
      <c r="J2294" t="n">
        <v>0</v>
      </c>
      <c r="K2294" t="n">
        <v>0</v>
      </c>
      <c r="L2294" t="n">
        <v>0</v>
      </c>
      <c r="M2294" t="n">
        <v>0</v>
      </c>
      <c r="N2294" t="n">
        <v>0</v>
      </c>
      <c r="O2294" t="n">
        <v>0</v>
      </c>
      <c r="P2294" t="n">
        <v>0</v>
      </c>
      <c r="Q2294" t="n">
        <v>0</v>
      </c>
      <c r="R2294" s="2" t="inlineStr"/>
    </row>
    <row r="2295" ht="15" customHeight="1">
      <c r="A2295" t="inlineStr">
        <is>
          <t>A 46022-2020</t>
        </is>
      </c>
      <c r="B2295" s="1" t="n">
        <v>44091</v>
      </c>
      <c r="C2295" s="1" t="n">
        <v>45587</v>
      </c>
      <c r="D2295" t="inlineStr">
        <is>
          <t>GÄVLEBORGS LÄN</t>
        </is>
      </c>
      <c r="E2295" t="inlineStr">
        <is>
          <t>HUDIKSVALL</t>
        </is>
      </c>
      <c r="G2295" t="n">
        <v>8</v>
      </c>
      <c r="H2295" t="n">
        <v>0</v>
      </c>
      <c r="I2295" t="n">
        <v>0</v>
      </c>
      <c r="J2295" t="n">
        <v>0</v>
      </c>
      <c r="K2295" t="n">
        <v>0</v>
      </c>
      <c r="L2295" t="n">
        <v>0</v>
      </c>
      <c r="M2295" t="n">
        <v>0</v>
      </c>
      <c r="N2295" t="n">
        <v>0</v>
      </c>
      <c r="O2295" t="n">
        <v>0</v>
      </c>
      <c r="P2295" t="n">
        <v>0</v>
      </c>
      <c r="Q2295" t="n">
        <v>0</v>
      </c>
      <c r="R2295" s="2" t="inlineStr"/>
    </row>
    <row r="2296" ht="15" customHeight="1">
      <c r="A2296" t="inlineStr">
        <is>
          <t>A 46069-2020</t>
        </is>
      </c>
      <c r="B2296" s="1" t="n">
        <v>44091</v>
      </c>
      <c r="C2296" s="1" t="n">
        <v>45587</v>
      </c>
      <c r="D2296" t="inlineStr">
        <is>
          <t>GÄVLEBORGS LÄN</t>
        </is>
      </c>
      <c r="E2296" t="inlineStr">
        <is>
          <t>OVANÅKER</t>
        </is>
      </c>
      <c r="F2296" t="inlineStr">
        <is>
          <t>Holmen skog AB</t>
        </is>
      </c>
      <c r="G2296" t="n">
        <v>14.4</v>
      </c>
      <c r="H2296" t="n">
        <v>0</v>
      </c>
      <c r="I2296" t="n">
        <v>0</v>
      </c>
      <c r="J2296" t="n">
        <v>0</v>
      </c>
      <c r="K2296" t="n">
        <v>0</v>
      </c>
      <c r="L2296" t="n">
        <v>0</v>
      </c>
      <c r="M2296" t="n">
        <v>0</v>
      </c>
      <c r="N2296" t="n">
        <v>0</v>
      </c>
      <c r="O2296" t="n">
        <v>0</v>
      </c>
      <c r="P2296" t="n">
        <v>0</v>
      </c>
      <c r="Q2296" t="n">
        <v>0</v>
      </c>
      <c r="R2296" s="2" t="inlineStr"/>
    </row>
    <row r="2297" ht="15" customHeight="1">
      <c r="A2297" t="inlineStr">
        <is>
          <t>A 46287-2020</t>
        </is>
      </c>
      <c r="B2297" s="1" t="n">
        <v>44092</v>
      </c>
      <c r="C2297" s="1" t="n">
        <v>45587</v>
      </c>
      <c r="D2297" t="inlineStr">
        <is>
          <t>GÄVLEBORGS LÄN</t>
        </is>
      </c>
      <c r="E2297" t="inlineStr">
        <is>
          <t>LJUSDAL</t>
        </is>
      </c>
      <c r="F2297" t="inlineStr">
        <is>
          <t>Sveaskog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46269-2020</t>
        </is>
      </c>
      <c r="B2298" s="1" t="n">
        <v>44092</v>
      </c>
      <c r="C2298" s="1" t="n">
        <v>45587</v>
      </c>
      <c r="D2298" t="inlineStr">
        <is>
          <t>GÄVLEBORGS LÄN</t>
        </is>
      </c>
      <c r="E2298" t="inlineStr">
        <is>
          <t>HOFORS</t>
        </is>
      </c>
      <c r="F2298" t="inlineStr">
        <is>
          <t>Sveaskog</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46274-2020</t>
        </is>
      </c>
      <c r="B2299" s="1" t="n">
        <v>44092</v>
      </c>
      <c r="C2299" s="1" t="n">
        <v>45587</v>
      </c>
      <c r="D2299" t="inlineStr">
        <is>
          <t>GÄVLEBORGS LÄN</t>
        </is>
      </c>
      <c r="E2299" t="inlineStr">
        <is>
          <t>HOFORS</t>
        </is>
      </c>
      <c r="F2299" t="inlineStr">
        <is>
          <t>Sveaskog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46281-2020</t>
        </is>
      </c>
      <c r="B2300" s="1" t="n">
        <v>44092</v>
      </c>
      <c r="C2300" s="1" t="n">
        <v>45587</v>
      </c>
      <c r="D2300" t="inlineStr">
        <is>
          <t>GÄVLEBORGS LÄN</t>
        </is>
      </c>
      <c r="E2300" t="inlineStr">
        <is>
          <t>HOFORS</t>
        </is>
      </c>
      <c r="F2300" t="inlineStr">
        <is>
          <t>Sveaskog</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46288-2020</t>
        </is>
      </c>
      <c r="B2301" s="1" t="n">
        <v>44092</v>
      </c>
      <c r="C2301" s="1" t="n">
        <v>45587</v>
      </c>
      <c r="D2301" t="inlineStr">
        <is>
          <t>GÄVLEBORGS LÄN</t>
        </is>
      </c>
      <c r="E2301" t="inlineStr">
        <is>
          <t>LJUSDAL</t>
        </is>
      </c>
      <c r="F2301" t="inlineStr">
        <is>
          <t>Holmen skog AB</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46301-2020</t>
        </is>
      </c>
      <c r="B2302" s="1" t="n">
        <v>44092</v>
      </c>
      <c r="C2302" s="1" t="n">
        <v>45587</v>
      </c>
      <c r="D2302" t="inlineStr">
        <is>
          <t>GÄVLEBORGS LÄN</t>
        </is>
      </c>
      <c r="E2302" t="inlineStr">
        <is>
          <t>LJUSDAL</t>
        </is>
      </c>
      <c r="F2302" t="inlineStr">
        <is>
          <t>Sveaskog</t>
        </is>
      </c>
      <c r="G2302" t="n">
        <v>7.1</v>
      </c>
      <c r="H2302" t="n">
        <v>0</v>
      </c>
      <c r="I2302" t="n">
        <v>0</v>
      </c>
      <c r="J2302" t="n">
        <v>0</v>
      </c>
      <c r="K2302" t="n">
        <v>0</v>
      </c>
      <c r="L2302" t="n">
        <v>0</v>
      </c>
      <c r="M2302" t="n">
        <v>0</v>
      </c>
      <c r="N2302" t="n">
        <v>0</v>
      </c>
      <c r="O2302" t="n">
        <v>0</v>
      </c>
      <c r="P2302" t="n">
        <v>0</v>
      </c>
      <c r="Q2302" t="n">
        <v>0</v>
      </c>
      <c r="R2302" s="2" t="inlineStr"/>
    </row>
    <row r="2303" ht="15" customHeight="1">
      <c r="A2303" t="inlineStr">
        <is>
          <t>A 46270-2020</t>
        </is>
      </c>
      <c r="B2303" s="1" t="n">
        <v>44092</v>
      </c>
      <c r="C2303" s="1" t="n">
        <v>45587</v>
      </c>
      <c r="D2303" t="inlineStr">
        <is>
          <t>GÄVLEBORGS LÄN</t>
        </is>
      </c>
      <c r="E2303" t="inlineStr">
        <is>
          <t>HOFORS</t>
        </is>
      </c>
      <c r="F2303" t="inlineStr">
        <is>
          <t>Sveaskog</t>
        </is>
      </c>
      <c r="G2303" t="n">
        <v>5.3</v>
      </c>
      <c r="H2303" t="n">
        <v>0</v>
      </c>
      <c r="I2303" t="n">
        <v>0</v>
      </c>
      <c r="J2303" t="n">
        <v>0</v>
      </c>
      <c r="K2303" t="n">
        <v>0</v>
      </c>
      <c r="L2303" t="n">
        <v>0</v>
      </c>
      <c r="M2303" t="n">
        <v>0</v>
      </c>
      <c r="N2303" t="n">
        <v>0</v>
      </c>
      <c r="O2303" t="n">
        <v>0</v>
      </c>
      <c r="P2303" t="n">
        <v>0</v>
      </c>
      <c r="Q2303" t="n">
        <v>0</v>
      </c>
      <c r="R2303" s="2" t="inlineStr"/>
    </row>
    <row r="2304" ht="15" customHeight="1">
      <c r="A2304" t="inlineStr">
        <is>
          <t>A 46346-2020</t>
        </is>
      </c>
      <c r="B2304" s="1" t="n">
        <v>44092</v>
      </c>
      <c r="C2304" s="1" t="n">
        <v>45587</v>
      </c>
      <c r="D2304" t="inlineStr">
        <is>
          <t>GÄVLEBORGS LÄN</t>
        </is>
      </c>
      <c r="E2304" t="inlineStr">
        <is>
          <t>NORDANSTIG</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46266-2020</t>
        </is>
      </c>
      <c r="B2305" s="1" t="n">
        <v>44092</v>
      </c>
      <c r="C2305" s="1" t="n">
        <v>45587</v>
      </c>
      <c r="D2305" t="inlineStr">
        <is>
          <t>GÄVLEBORGS LÄN</t>
        </is>
      </c>
      <c r="E2305" t="inlineStr">
        <is>
          <t>HUDIKSVALL</t>
        </is>
      </c>
      <c r="F2305" t="inlineStr">
        <is>
          <t>Holmen skog AB</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46278-2020</t>
        </is>
      </c>
      <c r="B2306" s="1" t="n">
        <v>44092</v>
      </c>
      <c r="C2306" s="1" t="n">
        <v>45587</v>
      </c>
      <c r="D2306" t="inlineStr">
        <is>
          <t>GÄVLEBORGS LÄN</t>
        </is>
      </c>
      <c r="E2306" t="inlineStr">
        <is>
          <t>HOFORS</t>
        </is>
      </c>
      <c r="F2306" t="inlineStr">
        <is>
          <t>Sveaskog</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46293-2020</t>
        </is>
      </c>
      <c r="B2307" s="1" t="n">
        <v>44092</v>
      </c>
      <c r="C2307" s="1" t="n">
        <v>45587</v>
      </c>
      <c r="D2307" t="inlineStr">
        <is>
          <t>GÄVLEBORGS LÄN</t>
        </is>
      </c>
      <c r="E2307" t="inlineStr">
        <is>
          <t>LJUSDAL</t>
        </is>
      </c>
      <c r="F2307" t="inlineStr">
        <is>
          <t>Sveaskog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46334-2020</t>
        </is>
      </c>
      <c r="B2308" s="1" t="n">
        <v>44092</v>
      </c>
      <c r="C2308" s="1" t="n">
        <v>45587</v>
      </c>
      <c r="D2308" t="inlineStr">
        <is>
          <t>GÄVLEBORGS LÄN</t>
        </is>
      </c>
      <c r="E2308" t="inlineStr">
        <is>
          <t>NORDANSTIG</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46352-2020</t>
        </is>
      </c>
      <c r="B2309" s="1" t="n">
        <v>44092</v>
      </c>
      <c r="C2309" s="1" t="n">
        <v>45587</v>
      </c>
      <c r="D2309" t="inlineStr">
        <is>
          <t>GÄVLEBORGS LÄN</t>
        </is>
      </c>
      <c r="E2309" t="inlineStr">
        <is>
          <t>HUDIKSVALL</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46455-2020</t>
        </is>
      </c>
      <c r="B2310" s="1" t="n">
        <v>44095</v>
      </c>
      <c r="C2310" s="1" t="n">
        <v>45587</v>
      </c>
      <c r="D2310" t="inlineStr">
        <is>
          <t>GÄVLEBORGS LÄN</t>
        </is>
      </c>
      <c r="E2310" t="inlineStr">
        <is>
          <t>GÄVLE</t>
        </is>
      </c>
      <c r="F2310" t="inlineStr">
        <is>
          <t>Bergvik skog öst AB</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46495-2020</t>
        </is>
      </c>
      <c r="B2311" s="1" t="n">
        <v>44095</v>
      </c>
      <c r="C2311" s="1" t="n">
        <v>45587</v>
      </c>
      <c r="D2311" t="inlineStr">
        <is>
          <t>GÄVLEBORGS LÄN</t>
        </is>
      </c>
      <c r="E2311" t="inlineStr">
        <is>
          <t>SÖDERHAMN</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46646-2020</t>
        </is>
      </c>
      <c r="B2312" s="1" t="n">
        <v>44095</v>
      </c>
      <c r="C2312" s="1" t="n">
        <v>45587</v>
      </c>
      <c r="D2312" t="inlineStr">
        <is>
          <t>GÄVLEBORGS LÄN</t>
        </is>
      </c>
      <c r="E2312" t="inlineStr">
        <is>
          <t>NORDANSTIG</t>
        </is>
      </c>
      <c r="F2312" t="inlineStr">
        <is>
          <t>Holmen skog AB</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46577-2020</t>
        </is>
      </c>
      <c r="B2313" s="1" t="n">
        <v>44095</v>
      </c>
      <c r="C2313" s="1" t="n">
        <v>45587</v>
      </c>
      <c r="D2313" t="inlineStr">
        <is>
          <t>GÄVLEBORGS LÄN</t>
        </is>
      </c>
      <c r="E2313" t="inlineStr">
        <is>
          <t>LJUSDAL</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46654-2020</t>
        </is>
      </c>
      <c r="B2314" s="1" t="n">
        <v>44095</v>
      </c>
      <c r="C2314" s="1" t="n">
        <v>45587</v>
      </c>
      <c r="D2314" t="inlineStr">
        <is>
          <t>GÄVLEBORGS LÄN</t>
        </is>
      </c>
      <c r="E2314" t="inlineStr">
        <is>
          <t>BOLLNÄS</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46694-2020</t>
        </is>
      </c>
      <c r="B2315" s="1" t="n">
        <v>44095</v>
      </c>
      <c r="C2315" s="1" t="n">
        <v>45587</v>
      </c>
      <c r="D2315" t="inlineStr">
        <is>
          <t>GÄVLEBORGS LÄN</t>
        </is>
      </c>
      <c r="E2315" t="inlineStr">
        <is>
          <t>GÄVLE</t>
        </is>
      </c>
      <c r="F2315" t="inlineStr">
        <is>
          <t>Bergvik skog öst AB</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46708-2020</t>
        </is>
      </c>
      <c r="B2316" s="1" t="n">
        <v>44095</v>
      </c>
      <c r="C2316" s="1" t="n">
        <v>45587</v>
      </c>
      <c r="D2316" t="inlineStr">
        <is>
          <t>GÄVLEBORGS LÄN</t>
        </is>
      </c>
      <c r="E2316" t="inlineStr">
        <is>
          <t>GÄVLE</t>
        </is>
      </c>
      <c r="F2316" t="inlineStr">
        <is>
          <t>Bergvik skog öst AB</t>
        </is>
      </c>
      <c r="G2316" t="n">
        <v>8.199999999999999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46444-2020</t>
        </is>
      </c>
      <c r="B2317" s="1" t="n">
        <v>44095</v>
      </c>
      <c r="C2317" s="1" t="n">
        <v>45587</v>
      </c>
      <c r="D2317" t="inlineStr">
        <is>
          <t>GÄVLEBORGS LÄN</t>
        </is>
      </c>
      <c r="E2317" t="inlineStr">
        <is>
          <t>GÄVLE</t>
        </is>
      </c>
      <c r="F2317" t="inlineStr">
        <is>
          <t>Bergvik skog öst AB</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46898-2020</t>
        </is>
      </c>
      <c r="B2318" s="1" t="n">
        <v>44096</v>
      </c>
      <c r="C2318" s="1" t="n">
        <v>45587</v>
      </c>
      <c r="D2318" t="inlineStr">
        <is>
          <t>GÄVLEBORGS LÄN</t>
        </is>
      </c>
      <c r="E2318" t="inlineStr">
        <is>
          <t>GÄVLE</t>
        </is>
      </c>
      <c r="F2318" t="inlineStr">
        <is>
          <t>Bergvik skog väst AB</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47029-2020</t>
        </is>
      </c>
      <c r="B2319" s="1" t="n">
        <v>44096</v>
      </c>
      <c r="C2319" s="1" t="n">
        <v>45587</v>
      </c>
      <c r="D2319" t="inlineStr">
        <is>
          <t>GÄVLEBORGS LÄN</t>
        </is>
      </c>
      <c r="E2319" t="inlineStr">
        <is>
          <t>OVANÅKER</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46787-2020</t>
        </is>
      </c>
      <c r="B2320" s="1" t="n">
        <v>44096</v>
      </c>
      <c r="C2320" s="1" t="n">
        <v>45587</v>
      </c>
      <c r="D2320" t="inlineStr">
        <is>
          <t>GÄVLEBORGS LÄN</t>
        </is>
      </c>
      <c r="E2320" t="inlineStr">
        <is>
          <t>SANDVIKEN</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46873-2020</t>
        </is>
      </c>
      <c r="B2321" s="1" t="n">
        <v>44096</v>
      </c>
      <c r="C2321" s="1" t="n">
        <v>45587</v>
      </c>
      <c r="D2321" t="inlineStr">
        <is>
          <t>GÄVLEBORGS LÄN</t>
        </is>
      </c>
      <c r="E2321" t="inlineStr">
        <is>
          <t>HUDIKSVALL</t>
        </is>
      </c>
      <c r="F2321" t="inlineStr">
        <is>
          <t>Holmen skog AB</t>
        </is>
      </c>
      <c r="G2321" t="n">
        <v>15.9</v>
      </c>
      <c r="H2321" t="n">
        <v>0</v>
      </c>
      <c r="I2321" t="n">
        <v>0</v>
      </c>
      <c r="J2321" t="n">
        <v>0</v>
      </c>
      <c r="K2321" t="n">
        <v>0</v>
      </c>
      <c r="L2321" t="n">
        <v>0</v>
      </c>
      <c r="M2321" t="n">
        <v>0</v>
      </c>
      <c r="N2321" t="n">
        <v>0</v>
      </c>
      <c r="O2321" t="n">
        <v>0</v>
      </c>
      <c r="P2321" t="n">
        <v>0</v>
      </c>
      <c r="Q2321" t="n">
        <v>0</v>
      </c>
      <c r="R2321" s="2" t="inlineStr"/>
    </row>
    <row r="2322" ht="15" customHeight="1">
      <c r="A2322" t="inlineStr">
        <is>
          <t>A 46925-2020</t>
        </is>
      </c>
      <c r="B2322" s="1" t="n">
        <v>44096</v>
      </c>
      <c r="C2322" s="1" t="n">
        <v>45587</v>
      </c>
      <c r="D2322" t="inlineStr">
        <is>
          <t>GÄVLEBORGS LÄN</t>
        </is>
      </c>
      <c r="E2322" t="inlineStr">
        <is>
          <t>GÄVLE</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46940-2020</t>
        </is>
      </c>
      <c r="B2323" s="1" t="n">
        <v>44096</v>
      </c>
      <c r="C2323" s="1" t="n">
        <v>45587</v>
      </c>
      <c r="D2323" t="inlineStr">
        <is>
          <t>GÄVLEBORGS LÄN</t>
        </is>
      </c>
      <c r="E2323" t="inlineStr">
        <is>
          <t>SANDVIKEN</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47036-2020</t>
        </is>
      </c>
      <c r="B2324" s="1" t="n">
        <v>44096</v>
      </c>
      <c r="C2324" s="1" t="n">
        <v>45587</v>
      </c>
      <c r="D2324" t="inlineStr">
        <is>
          <t>GÄVLEBORGS LÄN</t>
        </is>
      </c>
      <c r="E2324" t="inlineStr">
        <is>
          <t>OVANÅKER</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47157-2020</t>
        </is>
      </c>
      <c r="B2325" s="1" t="n">
        <v>44097</v>
      </c>
      <c r="C2325" s="1" t="n">
        <v>45587</v>
      </c>
      <c r="D2325" t="inlineStr">
        <is>
          <t>GÄVLEBORGS LÄN</t>
        </is>
      </c>
      <c r="E2325" t="inlineStr">
        <is>
          <t>SÖDERHAMN</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47452-2020</t>
        </is>
      </c>
      <c r="B2326" s="1" t="n">
        <v>44097</v>
      </c>
      <c r="C2326" s="1" t="n">
        <v>45587</v>
      </c>
      <c r="D2326" t="inlineStr">
        <is>
          <t>GÄVLEBORGS LÄN</t>
        </is>
      </c>
      <c r="E2326" t="inlineStr">
        <is>
          <t>SANDVIKEN</t>
        </is>
      </c>
      <c r="F2326" t="inlineStr">
        <is>
          <t>Sveaskog</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47427-2020</t>
        </is>
      </c>
      <c r="B2327" s="1" t="n">
        <v>44097</v>
      </c>
      <c r="C2327" s="1" t="n">
        <v>45587</v>
      </c>
      <c r="D2327" t="inlineStr">
        <is>
          <t>GÄVLEBORGS LÄN</t>
        </is>
      </c>
      <c r="E2327" t="inlineStr">
        <is>
          <t>OCKELBO</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47416-2020</t>
        </is>
      </c>
      <c r="B2328" s="1" t="n">
        <v>44097</v>
      </c>
      <c r="C2328" s="1" t="n">
        <v>45587</v>
      </c>
      <c r="D2328" t="inlineStr">
        <is>
          <t>GÄVLEBORGS LÄN</t>
        </is>
      </c>
      <c r="E2328" t="inlineStr">
        <is>
          <t>HUDIKSVALL</t>
        </is>
      </c>
      <c r="G2328" t="n">
        <v>10</v>
      </c>
      <c r="H2328" t="n">
        <v>0</v>
      </c>
      <c r="I2328" t="n">
        <v>0</v>
      </c>
      <c r="J2328" t="n">
        <v>0</v>
      </c>
      <c r="K2328" t="n">
        <v>0</v>
      </c>
      <c r="L2328" t="n">
        <v>0</v>
      </c>
      <c r="M2328" t="n">
        <v>0</v>
      </c>
      <c r="N2328" t="n">
        <v>0</v>
      </c>
      <c r="O2328" t="n">
        <v>0</v>
      </c>
      <c r="P2328" t="n">
        <v>0</v>
      </c>
      <c r="Q2328" t="n">
        <v>0</v>
      </c>
      <c r="R2328" s="2" t="inlineStr"/>
    </row>
    <row r="2329" ht="15" customHeight="1">
      <c r="A2329" t="inlineStr">
        <is>
          <t>A 47556-2020</t>
        </is>
      </c>
      <c r="B2329" s="1" t="n">
        <v>44098</v>
      </c>
      <c r="C2329" s="1" t="n">
        <v>45587</v>
      </c>
      <c r="D2329" t="inlineStr">
        <is>
          <t>GÄVLEBORGS LÄN</t>
        </is>
      </c>
      <c r="E2329" t="inlineStr">
        <is>
          <t>HUDIKSVALL</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47520-2020</t>
        </is>
      </c>
      <c r="B2330" s="1" t="n">
        <v>44098</v>
      </c>
      <c r="C2330" s="1" t="n">
        <v>45587</v>
      </c>
      <c r="D2330" t="inlineStr">
        <is>
          <t>GÄVLEBORGS LÄN</t>
        </is>
      </c>
      <c r="E2330" t="inlineStr">
        <is>
          <t>OCKELBO</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47543-2020</t>
        </is>
      </c>
      <c r="B2331" s="1" t="n">
        <v>44098</v>
      </c>
      <c r="C2331" s="1" t="n">
        <v>45587</v>
      </c>
      <c r="D2331" t="inlineStr">
        <is>
          <t>GÄVLEBORGS LÄN</t>
        </is>
      </c>
      <c r="E2331" t="inlineStr">
        <is>
          <t>GÄVLE</t>
        </is>
      </c>
      <c r="F2331" t="inlineStr">
        <is>
          <t>Bergvik skog öst AB</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47706-2020</t>
        </is>
      </c>
      <c r="B2332" s="1" t="n">
        <v>44098</v>
      </c>
      <c r="C2332" s="1" t="n">
        <v>45587</v>
      </c>
      <c r="D2332" t="inlineStr">
        <is>
          <t>GÄVLEBORGS LÄN</t>
        </is>
      </c>
      <c r="E2332" t="inlineStr">
        <is>
          <t>HUDIKSVALL</t>
        </is>
      </c>
      <c r="G2332" t="n">
        <v>4.7</v>
      </c>
      <c r="H2332" t="n">
        <v>0</v>
      </c>
      <c r="I2332" t="n">
        <v>0</v>
      </c>
      <c r="J2332" t="n">
        <v>0</v>
      </c>
      <c r="K2332" t="n">
        <v>0</v>
      </c>
      <c r="L2332" t="n">
        <v>0</v>
      </c>
      <c r="M2332" t="n">
        <v>0</v>
      </c>
      <c r="N2332" t="n">
        <v>0</v>
      </c>
      <c r="O2332" t="n">
        <v>0</v>
      </c>
      <c r="P2332" t="n">
        <v>0</v>
      </c>
      <c r="Q2332" t="n">
        <v>0</v>
      </c>
      <c r="R2332" s="2" t="inlineStr"/>
    </row>
    <row r="2333" ht="15" customHeight="1">
      <c r="A2333" t="inlineStr">
        <is>
          <t>A 47734-2020</t>
        </is>
      </c>
      <c r="B2333" s="1" t="n">
        <v>44098</v>
      </c>
      <c r="C2333" s="1" t="n">
        <v>45587</v>
      </c>
      <c r="D2333" t="inlineStr">
        <is>
          <t>GÄVLEBORGS LÄN</t>
        </is>
      </c>
      <c r="E2333" t="inlineStr">
        <is>
          <t>OCKELBO</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47899-2020</t>
        </is>
      </c>
      <c r="B2334" s="1" t="n">
        <v>44099</v>
      </c>
      <c r="C2334" s="1" t="n">
        <v>45587</v>
      </c>
      <c r="D2334" t="inlineStr">
        <is>
          <t>GÄVLEBORGS LÄN</t>
        </is>
      </c>
      <c r="E2334" t="inlineStr">
        <is>
          <t>LJUSDAL</t>
        </is>
      </c>
      <c r="F2334" t="inlineStr">
        <is>
          <t>Sveaskog</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47914-2020</t>
        </is>
      </c>
      <c r="B2335" s="1" t="n">
        <v>44099</v>
      </c>
      <c r="C2335" s="1" t="n">
        <v>45587</v>
      </c>
      <c r="D2335" t="inlineStr">
        <is>
          <t>GÄVLEBORGS LÄN</t>
        </is>
      </c>
      <c r="E2335" t="inlineStr">
        <is>
          <t>LJUSDAL</t>
        </is>
      </c>
      <c r="F2335" t="inlineStr">
        <is>
          <t>Holmen skog AB</t>
        </is>
      </c>
      <c r="G2335" t="n">
        <v>18.2</v>
      </c>
      <c r="H2335" t="n">
        <v>0</v>
      </c>
      <c r="I2335" t="n">
        <v>0</v>
      </c>
      <c r="J2335" t="n">
        <v>0</v>
      </c>
      <c r="K2335" t="n">
        <v>0</v>
      </c>
      <c r="L2335" t="n">
        <v>0</v>
      </c>
      <c r="M2335" t="n">
        <v>0</v>
      </c>
      <c r="N2335" t="n">
        <v>0</v>
      </c>
      <c r="O2335" t="n">
        <v>0</v>
      </c>
      <c r="P2335" t="n">
        <v>0</v>
      </c>
      <c r="Q2335" t="n">
        <v>0</v>
      </c>
      <c r="R2335" s="2" t="inlineStr"/>
    </row>
    <row r="2336" ht="15" customHeight="1">
      <c r="A2336" t="inlineStr">
        <is>
          <t>A 47893-2020</t>
        </is>
      </c>
      <c r="B2336" s="1" t="n">
        <v>44099</v>
      </c>
      <c r="C2336" s="1" t="n">
        <v>45587</v>
      </c>
      <c r="D2336" t="inlineStr">
        <is>
          <t>GÄVLEBORGS LÄN</t>
        </is>
      </c>
      <c r="E2336" t="inlineStr">
        <is>
          <t>LJUSDAL</t>
        </is>
      </c>
      <c r="F2336" t="inlineStr">
        <is>
          <t>Sveaskog</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48124-2020</t>
        </is>
      </c>
      <c r="B2337" s="1" t="n">
        <v>44102</v>
      </c>
      <c r="C2337" s="1" t="n">
        <v>45587</v>
      </c>
      <c r="D2337" t="inlineStr">
        <is>
          <t>GÄVLEBORGS LÄN</t>
        </is>
      </c>
      <c r="E2337" t="inlineStr">
        <is>
          <t>OVANÅKER</t>
        </is>
      </c>
      <c r="F2337" t="inlineStr">
        <is>
          <t>Bergvik skog väst AB</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48306-2020</t>
        </is>
      </c>
      <c r="B2338" s="1" t="n">
        <v>44102</v>
      </c>
      <c r="C2338" s="1" t="n">
        <v>45587</v>
      </c>
      <c r="D2338" t="inlineStr">
        <is>
          <t>GÄVLEBORGS LÄN</t>
        </is>
      </c>
      <c r="E2338" t="inlineStr">
        <is>
          <t>BOLLNÄS</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48366-2020</t>
        </is>
      </c>
      <c r="B2339" s="1" t="n">
        <v>44102</v>
      </c>
      <c r="C2339" s="1" t="n">
        <v>45587</v>
      </c>
      <c r="D2339" t="inlineStr">
        <is>
          <t>GÄVLEBORGS LÄN</t>
        </is>
      </c>
      <c r="E2339" t="inlineStr">
        <is>
          <t>NORDANSTIG</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48401-2020</t>
        </is>
      </c>
      <c r="B2340" s="1" t="n">
        <v>44102</v>
      </c>
      <c r="C2340" s="1" t="n">
        <v>45587</v>
      </c>
      <c r="D2340" t="inlineStr">
        <is>
          <t>GÄVLEBORGS LÄN</t>
        </is>
      </c>
      <c r="E2340" t="inlineStr">
        <is>
          <t>SANDVIKEN</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48191-2020</t>
        </is>
      </c>
      <c r="B2341" s="1" t="n">
        <v>44102</v>
      </c>
      <c r="C2341" s="1" t="n">
        <v>45587</v>
      </c>
      <c r="D2341" t="inlineStr">
        <is>
          <t>GÄVLEBORGS LÄN</t>
        </is>
      </c>
      <c r="E2341" t="inlineStr">
        <is>
          <t>HUDIKSVALL</t>
        </is>
      </c>
      <c r="F2341" t="inlineStr">
        <is>
          <t>Holmen skog AB</t>
        </is>
      </c>
      <c r="G2341" t="n">
        <v>6.2</v>
      </c>
      <c r="H2341" t="n">
        <v>0</v>
      </c>
      <c r="I2341" t="n">
        <v>0</v>
      </c>
      <c r="J2341" t="n">
        <v>0</v>
      </c>
      <c r="K2341" t="n">
        <v>0</v>
      </c>
      <c r="L2341" t="n">
        <v>0</v>
      </c>
      <c r="M2341" t="n">
        <v>0</v>
      </c>
      <c r="N2341" t="n">
        <v>0</v>
      </c>
      <c r="O2341" t="n">
        <v>0</v>
      </c>
      <c r="P2341" t="n">
        <v>0</v>
      </c>
      <c r="Q2341" t="n">
        <v>0</v>
      </c>
      <c r="R2341" s="2" t="inlineStr"/>
    </row>
    <row r="2342" ht="15" customHeight="1">
      <c r="A2342" t="inlineStr">
        <is>
          <t>A 48432-2020</t>
        </is>
      </c>
      <c r="B2342" s="1" t="n">
        <v>44102</v>
      </c>
      <c r="C2342" s="1" t="n">
        <v>45587</v>
      </c>
      <c r="D2342" t="inlineStr">
        <is>
          <t>GÄVLEBORGS LÄN</t>
        </is>
      </c>
      <c r="E2342" t="inlineStr">
        <is>
          <t>HUDIKSVALL</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48720-2020</t>
        </is>
      </c>
      <c r="B2343" s="1" t="n">
        <v>44103</v>
      </c>
      <c r="C2343" s="1" t="n">
        <v>45587</v>
      </c>
      <c r="D2343" t="inlineStr">
        <is>
          <t>GÄVLEBORGS LÄN</t>
        </is>
      </c>
      <c r="E2343" t="inlineStr">
        <is>
          <t>OVANÅKER</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48742-2020</t>
        </is>
      </c>
      <c r="B2344" s="1" t="n">
        <v>44103</v>
      </c>
      <c r="C2344" s="1" t="n">
        <v>45587</v>
      </c>
      <c r="D2344" t="inlineStr">
        <is>
          <t>GÄVLEBORGS LÄN</t>
        </is>
      </c>
      <c r="E2344" t="inlineStr">
        <is>
          <t>LJUSDAL</t>
        </is>
      </c>
      <c r="F2344" t="inlineStr">
        <is>
          <t>Bergvik skog väst AB</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48680-2020</t>
        </is>
      </c>
      <c r="B2345" s="1" t="n">
        <v>44103</v>
      </c>
      <c r="C2345" s="1" t="n">
        <v>45587</v>
      </c>
      <c r="D2345" t="inlineStr">
        <is>
          <t>GÄVLEBORGS LÄN</t>
        </is>
      </c>
      <c r="E2345" t="inlineStr">
        <is>
          <t>LJUSDAL</t>
        </is>
      </c>
      <c r="F2345" t="inlineStr">
        <is>
          <t>Holmen skog AB</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48734-2020</t>
        </is>
      </c>
      <c r="B2346" s="1" t="n">
        <v>44103</v>
      </c>
      <c r="C2346" s="1" t="n">
        <v>45587</v>
      </c>
      <c r="D2346" t="inlineStr">
        <is>
          <t>GÄVLEBORGS LÄN</t>
        </is>
      </c>
      <c r="E2346" t="inlineStr">
        <is>
          <t>BOLLNÄS</t>
        </is>
      </c>
      <c r="G2346" t="n">
        <v>10.4</v>
      </c>
      <c r="H2346" t="n">
        <v>0</v>
      </c>
      <c r="I2346" t="n">
        <v>0</v>
      </c>
      <c r="J2346" t="n">
        <v>0</v>
      </c>
      <c r="K2346" t="n">
        <v>0</v>
      </c>
      <c r="L2346" t="n">
        <v>0</v>
      </c>
      <c r="M2346" t="n">
        <v>0</v>
      </c>
      <c r="N2346" t="n">
        <v>0</v>
      </c>
      <c r="O2346" t="n">
        <v>0</v>
      </c>
      <c r="P2346" t="n">
        <v>0</v>
      </c>
      <c r="Q2346" t="n">
        <v>0</v>
      </c>
      <c r="R2346" s="2" t="inlineStr"/>
    </row>
    <row r="2347" ht="15" customHeight="1">
      <c r="A2347" t="inlineStr">
        <is>
          <t>A 48875-2020</t>
        </is>
      </c>
      <c r="B2347" s="1" t="n">
        <v>44104</v>
      </c>
      <c r="C2347" s="1" t="n">
        <v>45587</v>
      </c>
      <c r="D2347" t="inlineStr">
        <is>
          <t>GÄVLEBORGS LÄN</t>
        </is>
      </c>
      <c r="E2347" t="inlineStr">
        <is>
          <t>SÖDERHAMN</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48997-2020</t>
        </is>
      </c>
      <c r="B2348" s="1" t="n">
        <v>44104</v>
      </c>
      <c r="C2348" s="1" t="n">
        <v>45587</v>
      </c>
      <c r="D2348" t="inlineStr">
        <is>
          <t>GÄVLEBORGS LÄN</t>
        </is>
      </c>
      <c r="E2348" t="inlineStr">
        <is>
          <t>HUDIKSVALL</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48905-2020</t>
        </is>
      </c>
      <c r="B2349" s="1" t="n">
        <v>44104</v>
      </c>
      <c r="C2349" s="1" t="n">
        <v>45587</v>
      </c>
      <c r="D2349" t="inlineStr">
        <is>
          <t>GÄVLEBORGS LÄN</t>
        </is>
      </c>
      <c r="E2349" t="inlineStr">
        <is>
          <t>LJUSDAL</t>
        </is>
      </c>
      <c r="F2349" t="inlineStr">
        <is>
          <t>Sveaskog</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49160-2020</t>
        </is>
      </c>
      <c r="B2350" s="1" t="n">
        <v>44104</v>
      </c>
      <c r="C2350" s="1" t="n">
        <v>45587</v>
      </c>
      <c r="D2350" t="inlineStr">
        <is>
          <t>GÄVLEBORGS LÄN</t>
        </is>
      </c>
      <c r="E2350" t="inlineStr">
        <is>
          <t>NORDANSTIG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49191-2020</t>
        </is>
      </c>
      <c r="B2351" s="1" t="n">
        <v>44105</v>
      </c>
      <c r="C2351" s="1" t="n">
        <v>45587</v>
      </c>
      <c r="D2351" t="inlineStr">
        <is>
          <t>GÄVLEBORGS LÄN</t>
        </is>
      </c>
      <c r="E2351" t="inlineStr">
        <is>
          <t>OVANÅKER</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49198-2020</t>
        </is>
      </c>
      <c r="B2352" s="1" t="n">
        <v>44105</v>
      </c>
      <c r="C2352" s="1" t="n">
        <v>45587</v>
      </c>
      <c r="D2352" t="inlineStr">
        <is>
          <t>GÄVLEBORGS LÄN</t>
        </is>
      </c>
      <c r="E2352" t="inlineStr">
        <is>
          <t>OVANÅKER</t>
        </is>
      </c>
      <c r="F2352" t="inlineStr">
        <is>
          <t>Sveaskog</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49337-2020</t>
        </is>
      </c>
      <c r="B2353" s="1" t="n">
        <v>44105</v>
      </c>
      <c r="C2353" s="1" t="n">
        <v>45587</v>
      </c>
      <c r="D2353" t="inlineStr">
        <is>
          <t>GÄVLEBORGS LÄN</t>
        </is>
      </c>
      <c r="E2353" t="inlineStr">
        <is>
          <t>BOLLNÄS</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49465-2020</t>
        </is>
      </c>
      <c r="B2354" s="1" t="n">
        <v>44105</v>
      </c>
      <c r="C2354" s="1" t="n">
        <v>45587</v>
      </c>
      <c r="D2354" t="inlineStr">
        <is>
          <t>GÄVLEBORGS LÄN</t>
        </is>
      </c>
      <c r="E2354" t="inlineStr">
        <is>
          <t>BOLLNÄS</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49481-2020</t>
        </is>
      </c>
      <c r="B2355" s="1" t="n">
        <v>44105</v>
      </c>
      <c r="C2355" s="1" t="n">
        <v>45587</v>
      </c>
      <c r="D2355" t="inlineStr">
        <is>
          <t>GÄVLEBORGS LÄN</t>
        </is>
      </c>
      <c r="E2355" t="inlineStr">
        <is>
          <t>SÖDERHAMN</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49653-2020</t>
        </is>
      </c>
      <c r="B2356" s="1" t="n">
        <v>44106</v>
      </c>
      <c r="C2356" s="1" t="n">
        <v>45587</v>
      </c>
      <c r="D2356" t="inlineStr">
        <is>
          <t>GÄVLEBORGS LÄN</t>
        </is>
      </c>
      <c r="E2356" t="inlineStr">
        <is>
          <t>BOLLNÄS</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49708-2020</t>
        </is>
      </c>
      <c r="B2357" s="1" t="n">
        <v>44106</v>
      </c>
      <c r="C2357" s="1" t="n">
        <v>45587</v>
      </c>
      <c r="D2357" t="inlineStr">
        <is>
          <t>GÄVLEBORGS LÄN</t>
        </is>
      </c>
      <c r="E2357" t="inlineStr">
        <is>
          <t>HOFORS</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49798-2020</t>
        </is>
      </c>
      <c r="B2358" s="1" t="n">
        <v>44106</v>
      </c>
      <c r="C2358" s="1" t="n">
        <v>45587</v>
      </c>
      <c r="D2358" t="inlineStr">
        <is>
          <t>GÄVLEBORGS LÄN</t>
        </is>
      </c>
      <c r="E2358" t="inlineStr">
        <is>
          <t>HUDIKSVALL</t>
        </is>
      </c>
      <c r="F2358" t="inlineStr">
        <is>
          <t>Holmen skog AB</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49578-2020</t>
        </is>
      </c>
      <c r="B2359" s="1" t="n">
        <v>44106</v>
      </c>
      <c r="C2359" s="1" t="n">
        <v>45587</v>
      </c>
      <c r="D2359" t="inlineStr">
        <is>
          <t>GÄVLEBORGS LÄN</t>
        </is>
      </c>
      <c r="E2359" t="inlineStr">
        <is>
          <t>OVANÅKER</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49687-2020</t>
        </is>
      </c>
      <c r="B2360" s="1" t="n">
        <v>44106</v>
      </c>
      <c r="C2360" s="1" t="n">
        <v>45587</v>
      </c>
      <c r="D2360" t="inlineStr">
        <is>
          <t>GÄVLEBORGS LÄN</t>
        </is>
      </c>
      <c r="E2360" t="inlineStr">
        <is>
          <t>LJUSDAL</t>
        </is>
      </c>
      <c r="F2360" t="inlineStr">
        <is>
          <t>Holmen skog AB</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49733-2020</t>
        </is>
      </c>
      <c r="B2361" s="1" t="n">
        <v>44106</v>
      </c>
      <c r="C2361" s="1" t="n">
        <v>45587</v>
      </c>
      <c r="D2361" t="inlineStr">
        <is>
          <t>GÄVLEBORGS LÄN</t>
        </is>
      </c>
      <c r="E2361" t="inlineStr">
        <is>
          <t>HUDIKSVALL</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49807-2020</t>
        </is>
      </c>
      <c r="B2362" s="1" t="n">
        <v>44106</v>
      </c>
      <c r="C2362" s="1" t="n">
        <v>45587</v>
      </c>
      <c r="D2362" t="inlineStr">
        <is>
          <t>GÄVLEBORGS LÄN</t>
        </is>
      </c>
      <c r="E2362" t="inlineStr">
        <is>
          <t>LJUSDAL</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49810-2020</t>
        </is>
      </c>
      <c r="B2363" s="1" t="n">
        <v>44106</v>
      </c>
      <c r="C2363" s="1" t="n">
        <v>45587</v>
      </c>
      <c r="D2363" t="inlineStr">
        <is>
          <t>GÄVLEBORGS LÄN</t>
        </is>
      </c>
      <c r="E2363" t="inlineStr">
        <is>
          <t>LJUSDAL</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49886-2020</t>
        </is>
      </c>
      <c r="B2364" s="1" t="n">
        <v>44108</v>
      </c>
      <c r="C2364" s="1" t="n">
        <v>45587</v>
      </c>
      <c r="D2364" t="inlineStr">
        <is>
          <t>GÄVLEBORGS LÄN</t>
        </is>
      </c>
      <c r="E2364" t="inlineStr">
        <is>
          <t>LJUSDAL</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50069-2020</t>
        </is>
      </c>
      <c r="B2365" s="1" t="n">
        <v>44109</v>
      </c>
      <c r="C2365" s="1" t="n">
        <v>45587</v>
      </c>
      <c r="D2365" t="inlineStr">
        <is>
          <t>GÄVLEBORGS LÄN</t>
        </is>
      </c>
      <c r="E2365" t="inlineStr">
        <is>
          <t>NORDANSTIG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50116-2020</t>
        </is>
      </c>
      <c r="B2366" s="1" t="n">
        <v>44109</v>
      </c>
      <c r="C2366" s="1" t="n">
        <v>45587</v>
      </c>
      <c r="D2366" t="inlineStr">
        <is>
          <t>GÄVLEBORGS LÄN</t>
        </is>
      </c>
      <c r="E2366" t="inlineStr">
        <is>
          <t>HUDIKSVALL</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50243-2020</t>
        </is>
      </c>
      <c r="B2367" s="1" t="n">
        <v>44109</v>
      </c>
      <c r="C2367" s="1" t="n">
        <v>45587</v>
      </c>
      <c r="D2367" t="inlineStr">
        <is>
          <t>GÄVLEBORGS LÄN</t>
        </is>
      </c>
      <c r="E2367" t="inlineStr">
        <is>
          <t>OVANÅKER</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50141-2020</t>
        </is>
      </c>
      <c r="B2368" s="1" t="n">
        <v>44109</v>
      </c>
      <c r="C2368" s="1" t="n">
        <v>45587</v>
      </c>
      <c r="D2368" t="inlineStr">
        <is>
          <t>GÄVLEBORGS LÄN</t>
        </is>
      </c>
      <c r="E2368" t="inlineStr">
        <is>
          <t>HUDIKSVALL</t>
        </is>
      </c>
      <c r="F2368" t="inlineStr">
        <is>
          <t>Holmen skog AB</t>
        </is>
      </c>
      <c r="G2368" t="n">
        <v>28.6</v>
      </c>
      <c r="H2368" t="n">
        <v>0</v>
      </c>
      <c r="I2368" t="n">
        <v>0</v>
      </c>
      <c r="J2368" t="n">
        <v>0</v>
      </c>
      <c r="K2368" t="n">
        <v>0</v>
      </c>
      <c r="L2368" t="n">
        <v>0</v>
      </c>
      <c r="M2368" t="n">
        <v>0</v>
      </c>
      <c r="N2368" t="n">
        <v>0</v>
      </c>
      <c r="O2368" t="n">
        <v>0</v>
      </c>
      <c r="P2368" t="n">
        <v>0</v>
      </c>
      <c r="Q2368" t="n">
        <v>0</v>
      </c>
      <c r="R2368" s="2" t="inlineStr"/>
    </row>
    <row r="2369" ht="15" customHeight="1">
      <c r="A2369" t="inlineStr">
        <is>
          <t>A 50216-2020</t>
        </is>
      </c>
      <c r="B2369" s="1" t="n">
        <v>44109</v>
      </c>
      <c r="C2369" s="1" t="n">
        <v>45587</v>
      </c>
      <c r="D2369" t="inlineStr">
        <is>
          <t>GÄVLEBORGS LÄN</t>
        </is>
      </c>
      <c r="E2369" t="inlineStr">
        <is>
          <t>GÄVLE</t>
        </is>
      </c>
      <c r="G2369" t="n">
        <v>7.9</v>
      </c>
      <c r="H2369" t="n">
        <v>0</v>
      </c>
      <c r="I2369" t="n">
        <v>0</v>
      </c>
      <c r="J2369" t="n">
        <v>0</v>
      </c>
      <c r="K2369" t="n">
        <v>0</v>
      </c>
      <c r="L2369" t="n">
        <v>0</v>
      </c>
      <c r="M2369" t="n">
        <v>0</v>
      </c>
      <c r="N2369" t="n">
        <v>0</v>
      </c>
      <c r="O2369" t="n">
        <v>0</v>
      </c>
      <c r="P2369" t="n">
        <v>0</v>
      </c>
      <c r="Q2369" t="n">
        <v>0</v>
      </c>
      <c r="R2369" s="2" t="inlineStr"/>
    </row>
    <row r="2370" ht="15" customHeight="1">
      <c r="A2370" t="inlineStr">
        <is>
          <t>A 49924-2020</t>
        </is>
      </c>
      <c r="B2370" s="1" t="n">
        <v>44109</v>
      </c>
      <c r="C2370" s="1" t="n">
        <v>45587</v>
      </c>
      <c r="D2370" t="inlineStr">
        <is>
          <t>GÄVLEBORGS LÄN</t>
        </is>
      </c>
      <c r="E2370" t="inlineStr">
        <is>
          <t>LJUSDAL</t>
        </is>
      </c>
      <c r="F2370" t="inlineStr">
        <is>
          <t>Kommuner</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49991-2020</t>
        </is>
      </c>
      <c r="B2371" s="1" t="n">
        <v>44109</v>
      </c>
      <c r="C2371" s="1" t="n">
        <v>45587</v>
      </c>
      <c r="D2371" t="inlineStr">
        <is>
          <t>GÄVLEBORGS LÄN</t>
        </is>
      </c>
      <c r="E2371" t="inlineStr">
        <is>
          <t>OVANÅKER</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49913-2020</t>
        </is>
      </c>
      <c r="B2372" s="1" t="n">
        <v>44109</v>
      </c>
      <c r="C2372" s="1" t="n">
        <v>45587</v>
      </c>
      <c r="D2372" t="inlineStr">
        <is>
          <t>GÄVLEBORGS LÄN</t>
        </is>
      </c>
      <c r="E2372" t="inlineStr">
        <is>
          <t>LJUSDAL</t>
        </is>
      </c>
      <c r="F2372" t="inlineStr">
        <is>
          <t>Kommuner</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50244-2020</t>
        </is>
      </c>
      <c r="B2373" s="1" t="n">
        <v>44109</v>
      </c>
      <c r="C2373" s="1" t="n">
        <v>45587</v>
      </c>
      <c r="D2373" t="inlineStr">
        <is>
          <t>GÄVLEBORGS LÄN</t>
        </is>
      </c>
      <c r="E2373" t="inlineStr">
        <is>
          <t>OVANÅKER</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50376-2020</t>
        </is>
      </c>
      <c r="B2374" s="1" t="n">
        <v>44110</v>
      </c>
      <c r="C2374" s="1" t="n">
        <v>45587</v>
      </c>
      <c r="D2374" t="inlineStr">
        <is>
          <t>GÄVLEBORGS LÄN</t>
        </is>
      </c>
      <c r="E2374" t="inlineStr">
        <is>
          <t>BOLLNÄS</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50474-2020</t>
        </is>
      </c>
      <c r="B2375" s="1" t="n">
        <v>44110</v>
      </c>
      <c r="C2375" s="1" t="n">
        <v>45587</v>
      </c>
      <c r="D2375" t="inlineStr">
        <is>
          <t>GÄVLEBORGS LÄN</t>
        </is>
      </c>
      <c r="E2375" t="inlineStr">
        <is>
          <t>LJUSDAL</t>
        </is>
      </c>
      <c r="F2375" t="inlineStr">
        <is>
          <t>Kommuner</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50544-2020</t>
        </is>
      </c>
      <c r="B2376" s="1" t="n">
        <v>44110</v>
      </c>
      <c r="C2376" s="1" t="n">
        <v>45587</v>
      </c>
      <c r="D2376" t="inlineStr">
        <is>
          <t>GÄVLEBORGS LÄN</t>
        </is>
      </c>
      <c r="E2376" t="inlineStr">
        <is>
          <t>LJUSDAL</t>
        </is>
      </c>
      <c r="F2376" t="inlineStr">
        <is>
          <t>Sveaskog</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50571-2020</t>
        </is>
      </c>
      <c r="B2377" s="1" t="n">
        <v>44110</v>
      </c>
      <c r="C2377" s="1" t="n">
        <v>45587</v>
      </c>
      <c r="D2377" t="inlineStr">
        <is>
          <t>GÄVLEBORGS LÄN</t>
        </is>
      </c>
      <c r="E2377" t="inlineStr">
        <is>
          <t>BOLLNÄS</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50689-2020</t>
        </is>
      </c>
      <c r="B2378" s="1" t="n">
        <v>44111</v>
      </c>
      <c r="C2378" s="1" t="n">
        <v>45587</v>
      </c>
      <c r="D2378" t="inlineStr">
        <is>
          <t>GÄVLEBORGS LÄN</t>
        </is>
      </c>
      <c r="E2378" t="inlineStr">
        <is>
          <t>LJUSDAL</t>
        </is>
      </c>
      <c r="F2378" t="inlineStr">
        <is>
          <t>Sveaskog</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50888-2020</t>
        </is>
      </c>
      <c r="B2379" s="1" t="n">
        <v>44111</v>
      </c>
      <c r="C2379" s="1" t="n">
        <v>45587</v>
      </c>
      <c r="D2379" t="inlineStr">
        <is>
          <t>GÄVLEBORGS LÄN</t>
        </is>
      </c>
      <c r="E2379" t="inlineStr">
        <is>
          <t>SANDVIKEN</t>
        </is>
      </c>
      <c r="F2379" t="inlineStr">
        <is>
          <t>Sveaskog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50890-2020</t>
        </is>
      </c>
      <c r="B2380" s="1" t="n">
        <v>44111</v>
      </c>
      <c r="C2380" s="1" t="n">
        <v>45587</v>
      </c>
      <c r="D2380" t="inlineStr">
        <is>
          <t>GÄVLEBORGS LÄN</t>
        </is>
      </c>
      <c r="E2380" t="inlineStr">
        <is>
          <t>SANDVIKEN</t>
        </is>
      </c>
      <c r="F2380" t="inlineStr">
        <is>
          <t>Sveaskog</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50877-2020</t>
        </is>
      </c>
      <c r="B2381" s="1" t="n">
        <v>44111</v>
      </c>
      <c r="C2381" s="1" t="n">
        <v>45587</v>
      </c>
      <c r="D2381" t="inlineStr">
        <is>
          <t>GÄVLEBORGS LÄN</t>
        </is>
      </c>
      <c r="E2381" t="inlineStr">
        <is>
          <t>SANDVIKEN</t>
        </is>
      </c>
      <c r="F2381" t="inlineStr">
        <is>
          <t>Sveaskog</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51086-2020</t>
        </is>
      </c>
      <c r="B2382" s="1" t="n">
        <v>44112</v>
      </c>
      <c r="C2382" s="1" t="n">
        <v>45587</v>
      </c>
      <c r="D2382" t="inlineStr">
        <is>
          <t>GÄVLEBORGS LÄN</t>
        </is>
      </c>
      <c r="E2382" t="inlineStr">
        <is>
          <t>OVANÅKER</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51121-2020</t>
        </is>
      </c>
      <c r="B2383" s="1" t="n">
        <v>44112</v>
      </c>
      <c r="C2383" s="1" t="n">
        <v>45587</v>
      </c>
      <c r="D2383" t="inlineStr">
        <is>
          <t>GÄVLEBORGS LÄN</t>
        </is>
      </c>
      <c r="E2383" t="inlineStr">
        <is>
          <t>GÄVLE</t>
        </is>
      </c>
      <c r="F2383" t="inlineStr">
        <is>
          <t>Bergvik skog öst AB</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51062-2020</t>
        </is>
      </c>
      <c r="B2384" s="1" t="n">
        <v>44112</v>
      </c>
      <c r="C2384" s="1" t="n">
        <v>45587</v>
      </c>
      <c r="D2384" t="inlineStr">
        <is>
          <t>GÄVLEBORGS LÄN</t>
        </is>
      </c>
      <c r="E2384" t="inlineStr">
        <is>
          <t>NORDANSTIG</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51083-2020</t>
        </is>
      </c>
      <c r="B2385" s="1" t="n">
        <v>44112</v>
      </c>
      <c r="C2385" s="1" t="n">
        <v>45587</v>
      </c>
      <c r="D2385" t="inlineStr">
        <is>
          <t>GÄVLEBORGS LÄN</t>
        </is>
      </c>
      <c r="E2385" t="inlineStr">
        <is>
          <t>OVANÅKER</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51126-2020</t>
        </is>
      </c>
      <c r="B2386" s="1" t="n">
        <v>44112</v>
      </c>
      <c r="C2386" s="1" t="n">
        <v>45587</v>
      </c>
      <c r="D2386" t="inlineStr">
        <is>
          <t>GÄVLEBORGS LÄN</t>
        </is>
      </c>
      <c r="E2386" t="inlineStr">
        <is>
          <t>GÄVLE</t>
        </is>
      </c>
      <c r="F2386" t="inlineStr">
        <is>
          <t>Bergvik skog öst AB</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51103-2020</t>
        </is>
      </c>
      <c r="B2387" s="1" t="n">
        <v>44112</v>
      </c>
      <c r="C2387" s="1" t="n">
        <v>45587</v>
      </c>
      <c r="D2387" t="inlineStr">
        <is>
          <t>GÄVLEBORGS LÄN</t>
        </is>
      </c>
      <c r="E2387" t="inlineStr">
        <is>
          <t>OVANÅKER</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51256-2020</t>
        </is>
      </c>
      <c r="B2388" s="1" t="n">
        <v>44112</v>
      </c>
      <c r="C2388" s="1" t="n">
        <v>45587</v>
      </c>
      <c r="D2388" t="inlineStr">
        <is>
          <t>GÄVLEBORGS LÄN</t>
        </is>
      </c>
      <c r="E2388" t="inlineStr">
        <is>
          <t>LJUSDAL</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51306-2020</t>
        </is>
      </c>
      <c r="B2389" s="1" t="n">
        <v>44112</v>
      </c>
      <c r="C2389" s="1" t="n">
        <v>45587</v>
      </c>
      <c r="D2389" t="inlineStr">
        <is>
          <t>GÄVLEBORGS LÄN</t>
        </is>
      </c>
      <c r="E2389" t="inlineStr">
        <is>
          <t>LJUSDAL</t>
        </is>
      </c>
      <c r="F2389" t="inlineStr">
        <is>
          <t>Kommuner</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51356-2020</t>
        </is>
      </c>
      <c r="B2390" s="1" t="n">
        <v>44112</v>
      </c>
      <c r="C2390" s="1" t="n">
        <v>45587</v>
      </c>
      <c r="D2390" t="inlineStr">
        <is>
          <t>GÄVLEBORGS LÄN</t>
        </is>
      </c>
      <c r="E2390" t="inlineStr">
        <is>
          <t>SANDVIKEN</t>
        </is>
      </c>
      <c r="F2390" t="inlineStr">
        <is>
          <t>Sveaskog</t>
        </is>
      </c>
      <c r="G2390" t="n">
        <v>10.3</v>
      </c>
      <c r="H2390" t="n">
        <v>0</v>
      </c>
      <c r="I2390" t="n">
        <v>0</v>
      </c>
      <c r="J2390" t="n">
        <v>0</v>
      </c>
      <c r="K2390" t="n">
        <v>0</v>
      </c>
      <c r="L2390" t="n">
        <v>0</v>
      </c>
      <c r="M2390" t="n">
        <v>0</v>
      </c>
      <c r="N2390" t="n">
        <v>0</v>
      </c>
      <c r="O2390" t="n">
        <v>0</v>
      </c>
      <c r="P2390" t="n">
        <v>0</v>
      </c>
      <c r="Q2390" t="n">
        <v>0</v>
      </c>
      <c r="R2390" s="2" t="inlineStr"/>
    </row>
    <row r="2391" ht="15" customHeight="1">
      <c r="A2391" t="inlineStr">
        <is>
          <t>A 51274-2020</t>
        </is>
      </c>
      <c r="B2391" s="1" t="n">
        <v>44112</v>
      </c>
      <c r="C2391" s="1" t="n">
        <v>45587</v>
      </c>
      <c r="D2391" t="inlineStr">
        <is>
          <t>GÄVLEBORGS LÄN</t>
        </is>
      </c>
      <c r="E2391" t="inlineStr">
        <is>
          <t>OVANÅKER</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52304-2020</t>
        </is>
      </c>
      <c r="B2392" s="1" t="n">
        <v>44112</v>
      </c>
      <c r="C2392" s="1" t="n">
        <v>45587</v>
      </c>
      <c r="D2392" t="inlineStr">
        <is>
          <t>GÄVLEBORGS LÄN</t>
        </is>
      </c>
      <c r="E2392" t="inlineStr">
        <is>
          <t>LJUSDAL</t>
        </is>
      </c>
      <c r="F2392" t="inlineStr">
        <is>
          <t>Sveaskog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51598-2020</t>
        </is>
      </c>
      <c r="B2393" s="1" t="n">
        <v>44113</v>
      </c>
      <c r="C2393" s="1" t="n">
        <v>45587</v>
      </c>
      <c r="D2393" t="inlineStr">
        <is>
          <t>GÄVLEBORGS LÄN</t>
        </is>
      </c>
      <c r="E2393" t="inlineStr">
        <is>
          <t>OCKELBO</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51454-2020</t>
        </is>
      </c>
      <c r="B2394" s="1" t="n">
        <v>44113</v>
      </c>
      <c r="C2394" s="1" t="n">
        <v>45587</v>
      </c>
      <c r="D2394" t="inlineStr">
        <is>
          <t>GÄVLEBORGS LÄN</t>
        </is>
      </c>
      <c r="E2394" t="inlineStr">
        <is>
          <t>HUDIKSVALL</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51573-2020</t>
        </is>
      </c>
      <c r="B2395" s="1" t="n">
        <v>44113</v>
      </c>
      <c r="C2395" s="1" t="n">
        <v>45587</v>
      </c>
      <c r="D2395" t="inlineStr">
        <is>
          <t>GÄVLEBORGS LÄN</t>
        </is>
      </c>
      <c r="E2395" t="inlineStr">
        <is>
          <t>SANDVIKEN</t>
        </is>
      </c>
      <c r="G2395" t="n">
        <v>10.1</v>
      </c>
      <c r="H2395" t="n">
        <v>0</v>
      </c>
      <c r="I2395" t="n">
        <v>0</v>
      </c>
      <c r="J2395" t="n">
        <v>0</v>
      </c>
      <c r="K2395" t="n">
        <v>0</v>
      </c>
      <c r="L2395" t="n">
        <v>0</v>
      </c>
      <c r="M2395" t="n">
        <v>0</v>
      </c>
      <c r="N2395" t="n">
        <v>0</v>
      </c>
      <c r="O2395" t="n">
        <v>0</v>
      </c>
      <c r="P2395" t="n">
        <v>0</v>
      </c>
      <c r="Q2395" t="n">
        <v>0</v>
      </c>
      <c r="R2395" s="2" t="inlineStr"/>
    </row>
    <row r="2396" ht="15" customHeight="1">
      <c r="A2396" t="inlineStr">
        <is>
          <t>A 51527-2020</t>
        </is>
      </c>
      <c r="B2396" s="1" t="n">
        <v>44113</v>
      </c>
      <c r="C2396" s="1" t="n">
        <v>45587</v>
      </c>
      <c r="D2396" t="inlineStr">
        <is>
          <t>GÄVLEBORGS LÄN</t>
        </is>
      </c>
      <c r="E2396" t="inlineStr">
        <is>
          <t>HUDIKSVALL</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51669-2020</t>
        </is>
      </c>
      <c r="B2397" s="1" t="n">
        <v>44113</v>
      </c>
      <c r="C2397" s="1" t="n">
        <v>45587</v>
      </c>
      <c r="D2397" t="inlineStr">
        <is>
          <t>GÄVLEBORGS LÄN</t>
        </is>
      </c>
      <c r="E2397" t="inlineStr">
        <is>
          <t>NORDANSTIG</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52448-2020</t>
        </is>
      </c>
      <c r="B2398" s="1" t="n">
        <v>44113</v>
      </c>
      <c r="C2398" s="1" t="n">
        <v>45587</v>
      </c>
      <c r="D2398" t="inlineStr">
        <is>
          <t>GÄVLEBORGS LÄN</t>
        </is>
      </c>
      <c r="E2398" t="inlineStr">
        <is>
          <t>OVANÅKER</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51790-2020</t>
        </is>
      </c>
      <c r="B2399" s="1" t="n">
        <v>44116</v>
      </c>
      <c r="C2399" s="1" t="n">
        <v>45587</v>
      </c>
      <c r="D2399" t="inlineStr">
        <is>
          <t>GÄVLEBORGS LÄN</t>
        </is>
      </c>
      <c r="E2399" t="inlineStr">
        <is>
          <t>LJUSDAL</t>
        </is>
      </c>
      <c r="F2399" t="inlineStr">
        <is>
          <t>Holmen skog AB</t>
        </is>
      </c>
      <c r="G2399" t="n">
        <v>5.9</v>
      </c>
      <c r="H2399" t="n">
        <v>0</v>
      </c>
      <c r="I2399" t="n">
        <v>0</v>
      </c>
      <c r="J2399" t="n">
        <v>0</v>
      </c>
      <c r="K2399" t="n">
        <v>0</v>
      </c>
      <c r="L2399" t="n">
        <v>0</v>
      </c>
      <c r="M2399" t="n">
        <v>0</v>
      </c>
      <c r="N2399" t="n">
        <v>0</v>
      </c>
      <c r="O2399" t="n">
        <v>0</v>
      </c>
      <c r="P2399" t="n">
        <v>0</v>
      </c>
      <c r="Q2399" t="n">
        <v>0</v>
      </c>
      <c r="R2399" s="2" t="inlineStr"/>
    </row>
    <row r="2400" ht="15" customHeight="1">
      <c r="A2400" t="inlineStr">
        <is>
          <t>A 51874-2020</t>
        </is>
      </c>
      <c r="B2400" s="1" t="n">
        <v>44116</v>
      </c>
      <c r="C2400" s="1" t="n">
        <v>45587</v>
      </c>
      <c r="D2400" t="inlineStr">
        <is>
          <t>GÄVLEBORGS LÄN</t>
        </is>
      </c>
      <c r="E2400" t="inlineStr">
        <is>
          <t>NORDANSTIG</t>
        </is>
      </c>
      <c r="F2400" t="inlineStr">
        <is>
          <t>Holmen skog AB</t>
        </is>
      </c>
      <c r="G2400" t="n">
        <v>6.1</v>
      </c>
      <c r="H2400" t="n">
        <v>0</v>
      </c>
      <c r="I2400" t="n">
        <v>0</v>
      </c>
      <c r="J2400" t="n">
        <v>0</v>
      </c>
      <c r="K2400" t="n">
        <v>0</v>
      </c>
      <c r="L2400" t="n">
        <v>0</v>
      </c>
      <c r="M2400" t="n">
        <v>0</v>
      </c>
      <c r="N2400" t="n">
        <v>0</v>
      </c>
      <c r="O2400" t="n">
        <v>0</v>
      </c>
      <c r="P2400" t="n">
        <v>0</v>
      </c>
      <c r="Q2400" t="n">
        <v>0</v>
      </c>
      <c r="R2400" s="2" t="inlineStr"/>
    </row>
    <row r="2401" ht="15" customHeight="1">
      <c r="A2401" t="inlineStr">
        <is>
          <t>A 51983-2020</t>
        </is>
      </c>
      <c r="B2401" s="1" t="n">
        <v>44116</v>
      </c>
      <c r="C2401" s="1" t="n">
        <v>45587</v>
      </c>
      <c r="D2401" t="inlineStr">
        <is>
          <t>GÄVLEBORGS LÄN</t>
        </is>
      </c>
      <c r="E2401" t="inlineStr">
        <is>
          <t>OVANÅKER</t>
        </is>
      </c>
      <c r="G2401" t="n">
        <v>26.7</v>
      </c>
      <c r="H2401" t="n">
        <v>0</v>
      </c>
      <c r="I2401" t="n">
        <v>0</v>
      </c>
      <c r="J2401" t="n">
        <v>0</v>
      </c>
      <c r="K2401" t="n">
        <v>0</v>
      </c>
      <c r="L2401" t="n">
        <v>0</v>
      </c>
      <c r="M2401" t="n">
        <v>0</v>
      </c>
      <c r="N2401" t="n">
        <v>0</v>
      </c>
      <c r="O2401" t="n">
        <v>0</v>
      </c>
      <c r="P2401" t="n">
        <v>0</v>
      </c>
      <c r="Q2401" t="n">
        <v>0</v>
      </c>
      <c r="R2401" s="2" t="inlineStr"/>
    </row>
    <row r="2402" ht="15" customHeight="1">
      <c r="A2402" t="inlineStr">
        <is>
          <t>A 51780-2020</t>
        </is>
      </c>
      <c r="B2402" s="1" t="n">
        <v>44116</v>
      </c>
      <c r="C2402" s="1" t="n">
        <v>45587</v>
      </c>
      <c r="D2402" t="inlineStr">
        <is>
          <t>GÄVLEBORGS LÄN</t>
        </is>
      </c>
      <c r="E2402" t="inlineStr">
        <is>
          <t>LJUSDAL</t>
        </is>
      </c>
      <c r="F2402" t="inlineStr">
        <is>
          <t>Sveaskog</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51918-2020</t>
        </is>
      </c>
      <c r="B2403" s="1" t="n">
        <v>44116</v>
      </c>
      <c r="C2403" s="1" t="n">
        <v>45587</v>
      </c>
      <c r="D2403" t="inlineStr">
        <is>
          <t>GÄVLEBORGS LÄN</t>
        </is>
      </c>
      <c r="E2403" t="inlineStr">
        <is>
          <t>LJUSDAL</t>
        </is>
      </c>
      <c r="G2403" t="n">
        <v>6</v>
      </c>
      <c r="H2403" t="n">
        <v>0</v>
      </c>
      <c r="I2403" t="n">
        <v>0</v>
      </c>
      <c r="J2403" t="n">
        <v>0</v>
      </c>
      <c r="K2403" t="n">
        <v>0</v>
      </c>
      <c r="L2403" t="n">
        <v>0</v>
      </c>
      <c r="M2403" t="n">
        <v>0</v>
      </c>
      <c r="N2403" t="n">
        <v>0</v>
      </c>
      <c r="O2403" t="n">
        <v>0</v>
      </c>
      <c r="P2403" t="n">
        <v>0</v>
      </c>
      <c r="Q2403" t="n">
        <v>0</v>
      </c>
      <c r="R2403" s="2" t="inlineStr"/>
    </row>
    <row r="2404" ht="15" customHeight="1">
      <c r="A2404" t="inlineStr">
        <is>
          <t>A 51779-2020</t>
        </is>
      </c>
      <c r="B2404" s="1" t="n">
        <v>44116</v>
      </c>
      <c r="C2404" s="1" t="n">
        <v>45587</v>
      </c>
      <c r="D2404" t="inlineStr">
        <is>
          <t>GÄVLEBORGS LÄN</t>
        </is>
      </c>
      <c r="E2404" t="inlineStr">
        <is>
          <t>LJUSDAL</t>
        </is>
      </c>
      <c r="F2404" t="inlineStr">
        <is>
          <t>Sveaskog</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52441-2020</t>
        </is>
      </c>
      <c r="B2405" s="1" t="n">
        <v>44116</v>
      </c>
      <c r="C2405" s="1" t="n">
        <v>45587</v>
      </c>
      <c r="D2405" t="inlineStr">
        <is>
          <t>GÄVLEBORGS LÄN</t>
        </is>
      </c>
      <c r="E2405" t="inlineStr">
        <is>
          <t>BOLLNÄS</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51781-2020</t>
        </is>
      </c>
      <c r="B2406" s="1" t="n">
        <v>44116</v>
      </c>
      <c r="C2406" s="1" t="n">
        <v>45587</v>
      </c>
      <c r="D2406" t="inlineStr">
        <is>
          <t>GÄVLEBORGS LÄN</t>
        </is>
      </c>
      <c r="E2406" t="inlineStr">
        <is>
          <t>LJUSDAL</t>
        </is>
      </c>
      <c r="F2406" t="inlineStr">
        <is>
          <t>Sveaskog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51828-2020</t>
        </is>
      </c>
      <c r="B2407" s="1" t="n">
        <v>44116</v>
      </c>
      <c r="C2407" s="1" t="n">
        <v>45587</v>
      </c>
      <c r="D2407" t="inlineStr">
        <is>
          <t>GÄVLEBORGS LÄN</t>
        </is>
      </c>
      <c r="E2407" t="inlineStr">
        <is>
          <t>SANDVIKEN</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51868-2020</t>
        </is>
      </c>
      <c r="B2408" s="1" t="n">
        <v>44116</v>
      </c>
      <c r="C2408" s="1" t="n">
        <v>45587</v>
      </c>
      <c r="D2408" t="inlineStr">
        <is>
          <t>GÄVLEBORGS LÄN</t>
        </is>
      </c>
      <c r="E2408" t="inlineStr">
        <is>
          <t>SANDVIKEN</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52438-2020</t>
        </is>
      </c>
      <c r="B2409" s="1" t="n">
        <v>44118</v>
      </c>
      <c r="C2409" s="1" t="n">
        <v>45587</v>
      </c>
      <c r="D2409" t="inlineStr">
        <is>
          <t>GÄVLEBORGS LÄN</t>
        </is>
      </c>
      <c r="E2409" t="inlineStr">
        <is>
          <t>SÖDERHAMN</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52427-2020</t>
        </is>
      </c>
      <c r="B2410" s="1" t="n">
        <v>44118</v>
      </c>
      <c r="C2410" s="1" t="n">
        <v>45587</v>
      </c>
      <c r="D2410" t="inlineStr">
        <is>
          <t>GÄVLEBORGS LÄN</t>
        </is>
      </c>
      <c r="E2410" t="inlineStr">
        <is>
          <t>SÖDERHAMN</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52435-2020</t>
        </is>
      </c>
      <c r="B2411" s="1" t="n">
        <v>44118</v>
      </c>
      <c r="C2411" s="1" t="n">
        <v>45587</v>
      </c>
      <c r="D2411" t="inlineStr">
        <is>
          <t>GÄVLEBORGS LÄN</t>
        </is>
      </c>
      <c r="E2411" t="inlineStr">
        <is>
          <t>SÖDERHAMN</t>
        </is>
      </c>
      <c r="G2411" t="n">
        <v>13.3</v>
      </c>
      <c r="H2411" t="n">
        <v>0</v>
      </c>
      <c r="I2411" t="n">
        <v>0</v>
      </c>
      <c r="J2411" t="n">
        <v>0</v>
      </c>
      <c r="K2411" t="n">
        <v>0</v>
      </c>
      <c r="L2411" t="n">
        <v>0</v>
      </c>
      <c r="M2411" t="n">
        <v>0</v>
      </c>
      <c r="N2411" t="n">
        <v>0</v>
      </c>
      <c r="O2411" t="n">
        <v>0</v>
      </c>
      <c r="P2411" t="n">
        <v>0</v>
      </c>
      <c r="Q2411" t="n">
        <v>0</v>
      </c>
      <c r="R2411" s="2" t="inlineStr"/>
    </row>
    <row r="2412" ht="15" customHeight="1">
      <c r="A2412" t="inlineStr">
        <is>
          <t>A 52790-2020</t>
        </is>
      </c>
      <c r="B2412" s="1" t="n">
        <v>44118</v>
      </c>
      <c r="C2412" s="1" t="n">
        <v>45587</v>
      </c>
      <c r="D2412" t="inlineStr">
        <is>
          <t>GÄVLEBORGS LÄN</t>
        </is>
      </c>
      <c r="E2412" t="inlineStr">
        <is>
          <t>GÄVLE</t>
        </is>
      </c>
      <c r="F2412" t="inlineStr">
        <is>
          <t>Bergvik skog väst AB</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52772-2020</t>
        </is>
      </c>
      <c r="B2413" s="1" t="n">
        <v>44119</v>
      </c>
      <c r="C2413" s="1" t="n">
        <v>45587</v>
      </c>
      <c r="D2413" t="inlineStr">
        <is>
          <t>GÄVLEBORGS LÄN</t>
        </is>
      </c>
      <c r="E2413" t="inlineStr">
        <is>
          <t>LJUSDAL</t>
        </is>
      </c>
      <c r="F2413" t="inlineStr">
        <is>
          <t>Sveaskog</t>
        </is>
      </c>
      <c r="G2413" t="n">
        <v>5.4</v>
      </c>
      <c r="H2413" t="n">
        <v>0</v>
      </c>
      <c r="I2413" t="n">
        <v>0</v>
      </c>
      <c r="J2413" t="n">
        <v>0</v>
      </c>
      <c r="K2413" t="n">
        <v>0</v>
      </c>
      <c r="L2413" t="n">
        <v>0</v>
      </c>
      <c r="M2413" t="n">
        <v>0</v>
      </c>
      <c r="N2413" t="n">
        <v>0</v>
      </c>
      <c r="O2413" t="n">
        <v>0</v>
      </c>
      <c r="P2413" t="n">
        <v>0</v>
      </c>
      <c r="Q2413" t="n">
        <v>0</v>
      </c>
      <c r="R2413" s="2" t="inlineStr"/>
    </row>
    <row r="2414" ht="15" customHeight="1">
      <c r="A2414" t="inlineStr">
        <is>
          <t>A 52886-2020</t>
        </is>
      </c>
      <c r="B2414" s="1" t="n">
        <v>44119</v>
      </c>
      <c r="C2414" s="1" t="n">
        <v>45587</v>
      </c>
      <c r="D2414" t="inlineStr">
        <is>
          <t>GÄVLEBORGS LÄN</t>
        </is>
      </c>
      <c r="E2414" t="inlineStr">
        <is>
          <t>SÖDERHAMN</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52767-2020</t>
        </is>
      </c>
      <c r="B2415" s="1" t="n">
        <v>44119</v>
      </c>
      <c r="C2415" s="1" t="n">
        <v>45587</v>
      </c>
      <c r="D2415" t="inlineStr">
        <is>
          <t>GÄVLEBORGS LÄN</t>
        </is>
      </c>
      <c r="E2415" t="inlineStr">
        <is>
          <t>LJUSDAL</t>
        </is>
      </c>
      <c r="F2415" t="inlineStr">
        <is>
          <t>Sveaskog</t>
        </is>
      </c>
      <c r="G2415" t="n">
        <v>5.1</v>
      </c>
      <c r="H2415" t="n">
        <v>0</v>
      </c>
      <c r="I2415" t="n">
        <v>0</v>
      </c>
      <c r="J2415" t="n">
        <v>0</v>
      </c>
      <c r="K2415" t="n">
        <v>0</v>
      </c>
      <c r="L2415" t="n">
        <v>0</v>
      </c>
      <c r="M2415" t="n">
        <v>0</v>
      </c>
      <c r="N2415" t="n">
        <v>0</v>
      </c>
      <c r="O2415" t="n">
        <v>0</v>
      </c>
      <c r="P2415" t="n">
        <v>0</v>
      </c>
      <c r="Q2415" t="n">
        <v>0</v>
      </c>
      <c r="R2415" s="2" t="inlineStr"/>
    </row>
    <row r="2416" ht="15" customHeight="1">
      <c r="A2416" t="inlineStr">
        <is>
          <t>A 52774-2020</t>
        </is>
      </c>
      <c r="B2416" s="1" t="n">
        <v>44119</v>
      </c>
      <c r="C2416" s="1" t="n">
        <v>45587</v>
      </c>
      <c r="D2416" t="inlineStr">
        <is>
          <t>GÄVLEBORGS LÄN</t>
        </is>
      </c>
      <c r="E2416" t="inlineStr">
        <is>
          <t>LJUSDAL</t>
        </is>
      </c>
      <c r="F2416" t="inlineStr">
        <is>
          <t>Sveaskog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52907-2020</t>
        </is>
      </c>
      <c r="B2417" s="1" t="n">
        <v>44119</v>
      </c>
      <c r="C2417" s="1" t="n">
        <v>45587</v>
      </c>
      <c r="D2417" t="inlineStr">
        <is>
          <t>GÄVLEBORGS LÄN</t>
        </is>
      </c>
      <c r="E2417" t="inlineStr">
        <is>
          <t>BOLLNÄS</t>
        </is>
      </c>
      <c r="F2417" t="inlineStr">
        <is>
          <t>Bergvik skog väst AB</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52908-2020</t>
        </is>
      </c>
      <c r="B2418" s="1" t="n">
        <v>44119</v>
      </c>
      <c r="C2418" s="1" t="n">
        <v>45587</v>
      </c>
      <c r="D2418" t="inlineStr">
        <is>
          <t>GÄVLEBORGS LÄN</t>
        </is>
      </c>
      <c r="E2418" t="inlineStr">
        <is>
          <t>BOLLNÄS</t>
        </is>
      </c>
      <c r="F2418" t="inlineStr">
        <is>
          <t>Bergvik skog väst AB</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52776-2020</t>
        </is>
      </c>
      <c r="B2419" s="1" t="n">
        <v>44119</v>
      </c>
      <c r="C2419" s="1" t="n">
        <v>45587</v>
      </c>
      <c r="D2419" t="inlineStr">
        <is>
          <t>GÄVLEBORGS LÄN</t>
        </is>
      </c>
      <c r="E2419" t="inlineStr">
        <is>
          <t>BOLLNÄS</t>
        </is>
      </c>
      <c r="F2419" t="inlineStr">
        <is>
          <t>Holmen skog AB</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52934-2020</t>
        </is>
      </c>
      <c r="B2420" s="1" t="n">
        <v>44120</v>
      </c>
      <c r="C2420" s="1" t="n">
        <v>45587</v>
      </c>
      <c r="D2420" t="inlineStr">
        <is>
          <t>GÄVLEBORGS LÄN</t>
        </is>
      </c>
      <c r="E2420" t="inlineStr">
        <is>
          <t>HUDIKSVALL</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52962-2020</t>
        </is>
      </c>
      <c r="B2421" s="1" t="n">
        <v>44120</v>
      </c>
      <c r="C2421" s="1" t="n">
        <v>45587</v>
      </c>
      <c r="D2421" t="inlineStr">
        <is>
          <t>GÄVLEBORGS LÄN</t>
        </is>
      </c>
      <c r="E2421" t="inlineStr">
        <is>
          <t>OVANÅKER</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52950-2020</t>
        </is>
      </c>
      <c r="B2422" s="1" t="n">
        <v>44120</v>
      </c>
      <c r="C2422" s="1" t="n">
        <v>45587</v>
      </c>
      <c r="D2422" t="inlineStr">
        <is>
          <t>GÄVLEBORGS LÄN</t>
        </is>
      </c>
      <c r="E2422" t="inlineStr">
        <is>
          <t>BOLLNÄS</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52966-2020</t>
        </is>
      </c>
      <c r="B2423" s="1" t="n">
        <v>44120</v>
      </c>
      <c r="C2423" s="1" t="n">
        <v>45587</v>
      </c>
      <c r="D2423" t="inlineStr">
        <is>
          <t>GÄVLEBORGS LÄN</t>
        </is>
      </c>
      <c r="E2423" t="inlineStr">
        <is>
          <t>NORDANSTIG</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53071-2020</t>
        </is>
      </c>
      <c r="B2424" s="1" t="n">
        <v>44120</v>
      </c>
      <c r="C2424" s="1" t="n">
        <v>45587</v>
      </c>
      <c r="D2424" t="inlineStr">
        <is>
          <t>GÄVLEBORGS LÄN</t>
        </is>
      </c>
      <c r="E2424" t="inlineStr">
        <is>
          <t>LJUSDAL</t>
        </is>
      </c>
      <c r="F2424" t="inlineStr">
        <is>
          <t>Sveaskog</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53218-2020</t>
        </is>
      </c>
      <c r="B2425" s="1" t="n">
        <v>44123</v>
      </c>
      <c r="C2425" s="1" t="n">
        <v>45587</v>
      </c>
      <c r="D2425" t="inlineStr">
        <is>
          <t>GÄVLEBORGS LÄN</t>
        </is>
      </c>
      <c r="E2425" t="inlineStr">
        <is>
          <t>LJUSDAL</t>
        </is>
      </c>
      <c r="F2425" t="inlineStr">
        <is>
          <t>Sveaskog</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53220-2020</t>
        </is>
      </c>
      <c r="B2426" s="1" t="n">
        <v>44123</v>
      </c>
      <c r="C2426" s="1" t="n">
        <v>45587</v>
      </c>
      <c r="D2426" t="inlineStr">
        <is>
          <t>GÄVLEBORGS LÄN</t>
        </is>
      </c>
      <c r="E2426" t="inlineStr">
        <is>
          <t>OCKELBO</t>
        </is>
      </c>
      <c r="F2426" t="inlineStr">
        <is>
          <t>Bergvik skog väst AB</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53381-2020</t>
        </is>
      </c>
      <c r="B2427" s="1" t="n">
        <v>44123</v>
      </c>
      <c r="C2427" s="1" t="n">
        <v>45587</v>
      </c>
      <c r="D2427" t="inlineStr">
        <is>
          <t>GÄVLEBORGS LÄN</t>
        </is>
      </c>
      <c r="E2427" t="inlineStr">
        <is>
          <t>OCKELBO</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53466-2020</t>
        </is>
      </c>
      <c r="B2428" s="1" t="n">
        <v>44123</v>
      </c>
      <c r="C2428" s="1" t="n">
        <v>45587</v>
      </c>
      <c r="D2428" t="inlineStr">
        <is>
          <t>GÄVLEBORGS LÄN</t>
        </is>
      </c>
      <c r="E2428" t="inlineStr">
        <is>
          <t>HUDIKSVALL</t>
        </is>
      </c>
      <c r="F2428" t="inlineStr">
        <is>
          <t>Holmen skog AB</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53467-2020</t>
        </is>
      </c>
      <c r="B2429" s="1" t="n">
        <v>44123</v>
      </c>
      <c r="C2429" s="1" t="n">
        <v>45587</v>
      </c>
      <c r="D2429" t="inlineStr">
        <is>
          <t>GÄVLEBORGS LÄN</t>
        </is>
      </c>
      <c r="E2429" t="inlineStr">
        <is>
          <t>HUDIKSVALL</t>
        </is>
      </c>
      <c r="F2429" t="inlineStr">
        <is>
          <t>Holmen skog AB</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53492-2020</t>
        </is>
      </c>
      <c r="B2430" s="1" t="n">
        <v>44123</v>
      </c>
      <c r="C2430" s="1" t="n">
        <v>45587</v>
      </c>
      <c r="D2430" t="inlineStr">
        <is>
          <t>GÄVLEBORGS LÄN</t>
        </is>
      </c>
      <c r="E2430" t="inlineStr">
        <is>
          <t>SANDVIKEN</t>
        </is>
      </c>
      <c r="F2430" t="inlineStr">
        <is>
          <t>Sveaskog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53470-2020</t>
        </is>
      </c>
      <c r="B2431" s="1" t="n">
        <v>44123</v>
      </c>
      <c r="C2431" s="1" t="n">
        <v>45587</v>
      </c>
      <c r="D2431" t="inlineStr">
        <is>
          <t>GÄVLEBORGS LÄN</t>
        </is>
      </c>
      <c r="E2431" t="inlineStr">
        <is>
          <t>GÄVLE</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54967-2020</t>
        </is>
      </c>
      <c r="B2432" s="1" t="n">
        <v>44123</v>
      </c>
      <c r="C2432" s="1" t="n">
        <v>45587</v>
      </c>
      <c r="D2432" t="inlineStr">
        <is>
          <t>GÄVLEBORGS LÄN</t>
        </is>
      </c>
      <c r="E2432" t="inlineStr">
        <is>
          <t>SÖDERHAMN</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53730-2020</t>
        </is>
      </c>
      <c r="B2433" s="1" t="n">
        <v>44123</v>
      </c>
      <c r="C2433" s="1" t="n">
        <v>45587</v>
      </c>
      <c r="D2433" t="inlineStr">
        <is>
          <t>GÄVLEBORGS LÄN</t>
        </is>
      </c>
      <c r="E2433" t="inlineStr">
        <is>
          <t>HUDIKSVALL</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53517-2020</t>
        </is>
      </c>
      <c r="B2434" s="1" t="n">
        <v>44124</v>
      </c>
      <c r="C2434" s="1" t="n">
        <v>45587</v>
      </c>
      <c r="D2434" t="inlineStr">
        <is>
          <t>GÄVLEBORGS LÄN</t>
        </is>
      </c>
      <c r="E2434" t="inlineStr">
        <is>
          <t>GÄVLE</t>
        </is>
      </c>
      <c r="F2434" t="inlineStr">
        <is>
          <t>Bergvik skog öst AB</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53529-2020</t>
        </is>
      </c>
      <c r="B2435" s="1" t="n">
        <v>44124</v>
      </c>
      <c r="C2435" s="1" t="n">
        <v>45587</v>
      </c>
      <c r="D2435" t="inlineStr">
        <is>
          <t>GÄVLEBORGS LÄN</t>
        </is>
      </c>
      <c r="E2435" t="inlineStr">
        <is>
          <t>LJUSDAL</t>
        </is>
      </c>
      <c r="F2435" t="inlineStr">
        <is>
          <t>Sveaskog</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53508-2020</t>
        </is>
      </c>
      <c r="B2436" s="1" t="n">
        <v>44124</v>
      </c>
      <c r="C2436" s="1" t="n">
        <v>45587</v>
      </c>
      <c r="D2436" t="inlineStr">
        <is>
          <t>GÄVLEBORGS LÄN</t>
        </is>
      </c>
      <c r="E2436" t="inlineStr">
        <is>
          <t>LJUSDAL</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53612-2020</t>
        </is>
      </c>
      <c r="B2437" s="1" t="n">
        <v>44124</v>
      </c>
      <c r="C2437" s="1" t="n">
        <v>45587</v>
      </c>
      <c r="D2437" t="inlineStr">
        <is>
          <t>GÄVLEBORGS LÄN</t>
        </is>
      </c>
      <c r="E2437" t="inlineStr">
        <is>
          <t>HUDIKSVALL</t>
        </is>
      </c>
      <c r="F2437" t="inlineStr">
        <is>
          <t>Holmen skog AB</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53648-2020</t>
        </is>
      </c>
      <c r="B2438" s="1" t="n">
        <v>44124</v>
      </c>
      <c r="C2438" s="1" t="n">
        <v>45587</v>
      </c>
      <c r="D2438" t="inlineStr">
        <is>
          <t>GÄVLEBORGS LÄN</t>
        </is>
      </c>
      <c r="E2438" t="inlineStr">
        <is>
          <t>NORDANSTIG</t>
        </is>
      </c>
      <c r="F2438" t="inlineStr">
        <is>
          <t>Holmen skog AB</t>
        </is>
      </c>
      <c r="G2438" t="n">
        <v>5.1</v>
      </c>
      <c r="H2438" t="n">
        <v>0</v>
      </c>
      <c r="I2438" t="n">
        <v>0</v>
      </c>
      <c r="J2438" t="n">
        <v>0</v>
      </c>
      <c r="K2438" t="n">
        <v>0</v>
      </c>
      <c r="L2438" t="n">
        <v>0</v>
      </c>
      <c r="M2438" t="n">
        <v>0</v>
      </c>
      <c r="N2438" t="n">
        <v>0</v>
      </c>
      <c r="O2438" t="n">
        <v>0</v>
      </c>
      <c r="P2438" t="n">
        <v>0</v>
      </c>
      <c r="Q2438" t="n">
        <v>0</v>
      </c>
      <c r="R2438" s="2" t="inlineStr"/>
    </row>
    <row r="2439" ht="15" customHeight="1">
      <c r="A2439" t="inlineStr">
        <is>
          <t>A 54031-2020</t>
        </is>
      </c>
      <c r="B2439" s="1" t="n">
        <v>44125</v>
      </c>
      <c r="C2439" s="1" t="n">
        <v>45587</v>
      </c>
      <c r="D2439" t="inlineStr">
        <is>
          <t>GÄVLEBORGS LÄN</t>
        </is>
      </c>
      <c r="E2439" t="inlineStr">
        <is>
          <t>GÄVLE</t>
        </is>
      </c>
      <c r="F2439" t="inlineStr">
        <is>
          <t>Bergvik skog öst AB</t>
        </is>
      </c>
      <c r="G2439" t="n">
        <v>4.9</v>
      </c>
      <c r="H2439" t="n">
        <v>0</v>
      </c>
      <c r="I2439" t="n">
        <v>0</v>
      </c>
      <c r="J2439" t="n">
        <v>0</v>
      </c>
      <c r="K2439" t="n">
        <v>0</v>
      </c>
      <c r="L2439" t="n">
        <v>0</v>
      </c>
      <c r="M2439" t="n">
        <v>0</v>
      </c>
      <c r="N2439" t="n">
        <v>0</v>
      </c>
      <c r="O2439" t="n">
        <v>0</v>
      </c>
      <c r="P2439" t="n">
        <v>0</v>
      </c>
      <c r="Q2439" t="n">
        <v>0</v>
      </c>
      <c r="R2439" s="2" t="inlineStr"/>
    </row>
    <row r="2440" ht="15" customHeight="1">
      <c r="A2440" t="inlineStr">
        <is>
          <t>A 54004-2020</t>
        </is>
      </c>
      <c r="B2440" s="1" t="n">
        <v>44125</v>
      </c>
      <c r="C2440" s="1" t="n">
        <v>45587</v>
      </c>
      <c r="D2440" t="inlineStr">
        <is>
          <t>GÄVLEBORGS LÄN</t>
        </is>
      </c>
      <c r="E2440" t="inlineStr">
        <is>
          <t>BOLLNÄS</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54053-2020</t>
        </is>
      </c>
      <c r="B2441" s="1" t="n">
        <v>44125</v>
      </c>
      <c r="C2441" s="1" t="n">
        <v>45587</v>
      </c>
      <c r="D2441" t="inlineStr">
        <is>
          <t>GÄVLEBORGS LÄN</t>
        </is>
      </c>
      <c r="E2441" t="inlineStr">
        <is>
          <t>GÄVLE</t>
        </is>
      </c>
      <c r="F2441" t="inlineStr">
        <is>
          <t>Bergvik skog öst AB</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54065-2020</t>
        </is>
      </c>
      <c r="B2442" s="1" t="n">
        <v>44125</v>
      </c>
      <c r="C2442" s="1" t="n">
        <v>45587</v>
      </c>
      <c r="D2442" t="inlineStr">
        <is>
          <t>GÄVLEBORGS LÄN</t>
        </is>
      </c>
      <c r="E2442" t="inlineStr">
        <is>
          <t>GÄVLE</t>
        </is>
      </c>
      <c r="F2442" t="inlineStr">
        <is>
          <t>Bergvik skog öst AB</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54136-2020</t>
        </is>
      </c>
      <c r="B2443" s="1" t="n">
        <v>44125</v>
      </c>
      <c r="C2443" s="1" t="n">
        <v>45587</v>
      </c>
      <c r="D2443" t="inlineStr">
        <is>
          <t>GÄVLEBORGS LÄN</t>
        </is>
      </c>
      <c r="E2443" t="inlineStr">
        <is>
          <t>LJUSDAL</t>
        </is>
      </c>
      <c r="F2443" t="inlineStr">
        <is>
          <t>Sveaskog</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53970-2020</t>
        </is>
      </c>
      <c r="B2444" s="1" t="n">
        <v>44125</v>
      </c>
      <c r="C2444" s="1" t="n">
        <v>45587</v>
      </c>
      <c r="D2444" t="inlineStr">
        <is>
          <t>GÄVLEBORGS LÄN</t>
        </is>
      </c>
      <c r="E2444" t="inlineStr">
        <is>
          <t>LJUSDAL</t>
        </is>
      </c>
      <c r="G2444" t="n">
        <v>6.4</v>
      </c>
      <c r="H2444" t="n">
        <v>0</v>
      </c>
      <c r="I2444" t="n">
        <v>0</v>
      </c>
      <c r="J2444" t="n">
        <v>0</v>
      </c>
      <c r="K2444" t="n">
        <v>0</v>
      </c>
      <c r="L2444" t="n">
        <v>0</v>
      </c>
      <c r="M2444" t="n">
        <v>0</v>
      </c>
      <c r="N2444" t="n">
        <v>0</v>
      </c>
      <c r="O2444" t="n">
        <v>0</v>
      </c>
      <c r="P2444" t="n">
        <v>0</v>
      </c>
      <c r="Q2444" t="n">
        <v>0</v>
      </c>
      <c r="R2444" s="2" t="inlineStr"/>
    </row>
    <row r="2445" ht="15" customHeight="1">
      <c r="A2445" t="inlineStr">
        <is>
          <t>A 54070-2020</t>
        </is>
      </c>
      <c r="B2445" s="1" t="n">
        <v>44125</v>
      </c>
      <c r="C2445" s="1" t="n">
        <v>45587</v>
      </c>
      <c r="D2445" t="inlineStr">
        <is>
          <t>GÄVLEBORGS LÄN</t>
        </is>
      </c>
      <c r="E2445" t="inlineStr">
        <is>
          <t>OVANÅKER</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54133-2020</t>
        </is>
      </c>
      <c r="B2446" s="1" t="n">
        <v>44125</v>
      </c>
      <c r="C2446" s="1" t="n">
        <v>45587</v>
      </c>
      <c r="D2446" t="inlineStr">
        <is>
          <t>GÄVLEBORGS LÄN</t>
        </is>
      </c>
      <c r="E2446" t="inlineStr">
        <is>
          <t>LJUSDAL</t>
        </is>
      </c>
      <c r="F2446" t="inlineStr">
        <is>
          <t>Sveaskog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53850-2020</t>
        </is>
      </c>
      <c r="B2447" s="1" t="n">
        <v>44125</v>
      </c>
      <c r="C2447" s="1" t="n">
        <v>45587</v>
      </c>
      <c r="D2447" t="inlineStr">
        <is>
          <t>GÄVLEBORGS LÄN</t>
        </is>
      </c>
      <c r="E2447" t="inlineStr">
        <is>
          <t>LJUSDAL</t>
        </is>
      </c>
      <c r="F2447" t="inlineStr">
        <is>
          <t>Sveaskog</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53853-2020</t>
        </is>
      </c>
      <c r="B2448" s="1" t="n">
        <v>44125</v>
      </c>
      <c r="C2448" s="1" t="n">
        <v>45587</v>
      </c>
      <c r="D2448" t="inlineStr">
        <is>
          <t>GÄVLEBORGS LÄN</t>
        </is>
      </c>
      <c r="E2448" t="inlineStr">
        <is>
          <t>BOLLNÄS</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53939-2020</t>
        </is>
      </c>
      <c r="B2449" s="1" t="n">
        <v>44125</v>
      </c>
      <c r="C2449" s="1" t="n">
        <v>45587</v>
      </c>
      <c r="D2449" t="inlineStr">
        <is>
          <t>GÄVLEBORGS LÄN</t>
        </is>
      </c>
      <c r="E2449" t="inlineStr">
        <is>
          <t>NORDANSTIG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54475-2020</t>
        </is>
      </c>
      <c r="B2450" s="1" t="n">
        <v>44126</v>
      </c>
      <c r="C2450" s="1" t="n">
        <v>45587</v>
      </c>
      <c r="D2450" t="inlineStr">
        <is>
          <t>GÄVLEBORGS LÄN</t>
        </is>
      </c>
      <c r="E2450" t="inlineStr">
        <is>
          <t>LJUSDAL</t>
        </is>
      </c>
      <c r="F2450" t="inlineStr">
        <is>
          <t>Bergvik skog väst AB</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54434-2020</t>
        </is>
      </c>
      <c r="B2451" s="1" t="n">
        <v>44126</v>
      </c>
      <c r="C2451" s="1" t="n">
        <v>45587</v>
      </c>
      <c r="D2451" t="inlineStr">
        <is>
          <t>GÄVLEBORGS LÄN</t>
        </is>
      </c>
      <c r="E2451" t="inlineStr">
        <is>
          <t>HUDIKSVALL</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54249-2020</t>
        </is>
      </c>
      <c r="B2452" s="1" t="n">
        <v>44126</v>
      </c>
      <c r="C2452" s="1" t="n">
        <v>45587</v>
      </c>
      <c r="D2452" t="inlineStr">
        <is>
          <t>GÄVLEBORGS LÄN</t>
        </is>
      </c>
      <c r="E2452" t="inlineStr">
        <is>
          <t>GÄVLE</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54294-2020</t>
        </is>
      </c>
      <c r="B2453" s="1" t="n">
        <v>44126</v>
      </c>
      <c r="C2453" s="1" t="n">
        <v>45587</v>
      </c>
      <c r="D2453" t="inlineStr">
        <is>
          <t>GÄVLEBORGS LÄN</t>
        </is>
      </c>
      <c r="E2453" t="inlineStr">
        <is>
          <t>GÄVLE</t>
        </is>
      </c>
      <c r="F2453" t="inlineStr">
        <is>
          <t>Bergvik skog öst AB</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54472-2020</t>
        </is>
      </c>
      <c r="B2454" s="1" t="n">
        <v>44126</v>
      </c>
      <c r="C2454" s="1" t="n">
        <v>45587</v>
      </c>
      <c r="D2454" t="inlineStr">
        <is>
          <t>GÄVLEBORGS LÄN</t>
        </is>
      </c>
      <c r="E2454" t="inlineStr">
        <is>
          <t>LJUSDAL</t>
        </is>
      </c>
      <c r="F2454" t="inlineStr">
        <is>
          <t>Bergvik skog väst AB</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54324-2020</t>
        </is>
      </c>
      <c r="B2455" s="1" t="n">
        <v>44126</v>
      </c>
      <c r="C2455" s="1" t="n">
        <v>45587</v>
      </c>
      <c r="D2455" t="inlineStr">
        <is>
          <t>GÄVLEBORGS LÄN</t>
        </is>
      </c>
      <c r="E2455" t="inlineStr">
        <is>
          <t>LJUSDAL</t>
        </is>
      </c>
      <c r="F2455" t="inlineStr">
        <is>
          <t>Sveaskog</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54595-2020</t>
        </is>
      </c>
      <c r="B2456" s="1" t="n">
        <v>44126</v>
      </c>
      <c r="C2456" s="1" t="n">
        <v>45587</v>
      </c>
      <c r="D2456" t="inlineStr">
        <is>
          <t>GÄVLEBORGS LÄN</t>
        </is>
      </c>
      <c r="E2456" t="inlineStr">
        <is>
          <t>LJUSDAL</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54616-2020</t>
        </is>
      </c>
      <c r="B2457" s="1" t="n">
        <v>44127</v>
      </c>
      <c r="C2457" s="1" t="n">
        <v>45587</v>
      </c>
      <c r="D2457" t="inlineStr">
        <is>
          <t>GÄVLEBORGS LÄN</t>
        </is>
      </c>
      <c r="E2457" t="inlineStr">
        <is>
          <t>GÄVLE</t>
        </is>
      </c>
      <c r="F2457" t="inlineStr">
        <is>
          <t>Bergvik skog öst AB</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54675-2020</t>
        </is>
      </c>
      <c r="B2458" s="1" t="n">
        <v>44127</v>
      </c>
      <c r="C2458" s="1" t="n">
        <v>45587</v>
      </c>
      <c r="D2458" t="inlineStr">
        <is>
          <t>GÄVLEBORGS LÄN</t>
        </is>
      </c>
      <c r="E2458" t="inlineStr">
        <is>
          <t>BOLLNÄS</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54704-2020</t>
        </is>
      </c>
      <c r="B2459" s="1" t="n">
        <v>44127</v>
      </c>
      <c r="C2459" s="1" t="n">
        <v>45587</v>
      </c>
      <c r="D2459" t="inlineStr">
        <is>
          <t>GÄVLEBORGS LÄN</t>
        </is>
      </c>
      <c r="E2459" t="inlineStr">
        <is>
          <t>BOLLNÄS</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54745-2020</t>
        </is>
      </c>
      <c r="B2460" s="1" t="n">
        <v>44127</v>
      </c>
      <c r="C2460" s="1" t="n">
        <v>45587</v>
      </c>
      <c r="D2460" t="inlineStr">
        <is>
          <t>GÄVLEBORGS LÄN</t>
        </is>
      </c>
      <c r="E2460" t="inlineStr">
        <is>
          <t>NORDANSTIG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54624-2020</t>
        </is>
      </c>
      <c r="B2461" s="1" t="n">
        <v>44127</v>
      </c>
      <c r="C2461" s="1" t="n">
        <v>45587</v>
      </c>
      <c r="D2461" t="inlineStr">
        <is>
          <t>GÄVLEBORGS LÄN</t>
        </is>
      </c>
      <c r="E2461" t="inlineStr">
        <is>
          <t>GÄVLE</t>
        </is>
      </c>
      <c r="F2461" t="inlineStr">
        <is>
          <t>Bergvik skog öst AB</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54661-2020</t>
        </is>
      </c>
      <c r="B2462" s="1" t="n">
        <v>44127</v>
      </c>
      <c r="C2462" s="1" t="n">
        <v>45587</v>
      </c>
      <c r="D2462" t="inlineStr">
        <is>
          <t>GÄVLEBORGS LÄN</t>
        </is>
      </c>
      <c r="E2462" t="inlineStr">
        <is>
          <t>NORDANSTIG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54699-2020</t>
        </is>
      </c>
      <c r="B2463" s="1" t="n">
        <v>44127</v>
      </c>
      <c r="C2463" s="1" t="n">
        <v>45587</v>
      </c>
      <c r="D2463" t="inlineStr">
        <is>
          <t>GÄVLEBORGS LÄN</t>
        </is>
      </c>
      <c r="E2463" t="inlineStr">
        <is>
          <t>BOLLNÄS</t>
        </is>
      </c>
      <c r="G2463" t="n">
        <v>6.6</v>
      </c>
      <c r="H2463" t="n">
        <v>0</v>
      </c>
      <c r="I2463" t="n">
        <v>0</v>
      </c>
      <c r="J2463" t="n">
        <v>0</v>
      </c>
      <c r="K2463" t="n">
        <v>0</v>
      </c>
      <c r="L2463" t="n">
        <v>0</v>
      </c>
      <c r="M2463" t="n">
        <v>0</v>
      </c>
      <c r="N2463" t="n">
        <v>0</v>
      </c>
      <c r="O2463" t="n">
        <v>0</v>
      </c>
      <c r="P2463" t="n">
        <v>0</v>
      </c>
      <c r="Q2463" t="n">
        <v>0</v>
      </c>
      <c r="R2463" s="2" t="inlineStr"/>
    </row>
    <row r="2464" ht="15" customHeight="1">
      <c r="A2464" t="inlineStr">
        <is>
          <t>A 54620-2020</t>
        </is>
      </c>
      <c r="B2464" s="1" t="n">
        <v>44127</v>
      </c>
      <c r="C2464" s="1" t="n">
        <v>45587</v>
      </c>
      <c r="D2464" t="inlineStr">
        <is>
          <t>GÄVLEBORGS LÄN</t>
        </is>
      </c>
      <c r="E2464" t="inlineStr">
        <is>
          <t>GÄVLE</t>
        </is>
      </c>
      <c r="F2464" t="inlineStr">
        <is>
          <t>Bergvik skog öst AB</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54638-2020</t>
        </is>
      </c>
      <c r="B2465" s="1" t="n">
        <v>44127</v>
      </c>
      <c r="C2465" s="1" t="n">
        <v>45587</v>
      </c>
      <c r="D2465" t="inlineStr">
        <is>
          <t>GÄVLEBORGS LÄN</t>
        </is>
      </c>
      <c r="E2465" t="inlineStr">
        <is>
          <t>GÄVLE</t>
        </is>
      </c>
      <c r="F2465" t="inlineStr">
        <is>
          <t>Bergvik skog öst AB</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54940-2020</t>
        </is>
      </c>
      <c r="B2466" s="1" t="n">
        <v>44129</v>
      </c>
      <c r="C2466" s="1" t="n">
        <v>45587</v>
      </c>
      <c r="D2466" t="inlineStr">
        <is>
          <t>GÄVLEBORGS LÄN</t>
        </is>
      </c>
      <c r="E2466" t="inlineStr">
        <is>
          <t>OCKELBO</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54969-2020</t>
        </is>
      </c>
      <c r="B2467" s="1" t="n">
        <v>44130</v>
      </c>
      <c r="C2467" s="1" t="n">
        <v>45587</v>
      </c>
      <c r="D2467" t="inlineStr">
        <is>
          <t>GÄVLEBORGS LÄN</t>
        </is>
      </c>
      <c r="E2467" t="inlineStr">
        <is>
          <t>BOLLNÄS</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55131-2020</t>
        </is>
      </c>
      <c r="B2468" s="1" t="n">
        <v>44130</v>
      </c>
      <c r="C2468" s="1" t="n">
        <v>45587</v>
      </c>
      <c r="D2468" t="inlineStr">
        <is>
          <t>GÄVLEBORGS LÄN</t>
        </is>
      </c>
      <c r="E2468" t="inlineStr">
        <is>
          <t>NORDANSTIG</t>
        </is>
      </c>
      <c r="G2468" t="n">
        <v>6.7</v>
      </c>
      <c r="H2468" t="n">
        <v>0</v>
      </c>
      <c r="I2468" t="n">
        <v>0</v>
      </c>
      <c r="J2468" t="n">
        <v>0</v>
      </c>
      <c r="K2468" t="n">
        <v>0</v>
      </c>
      <c r="L2468" t="n">
        <v>0</v>
      </c>
      <c r="M2468" t="n">
        <v>0</v>
      </c>
      <c r="N2468" t="n">
        <v>0</v>
      </c>
      <c r="O2468" t="n">
        <v>0</v>
      </c>
      <c r="P2468" t="n">
        <v>0</v>
      </c>
      <c r="Q2468" t="n">
        <v>0</v>
      </c>
      <c r="R2468" s="2" t="inlineStr"/>
    </row>
    <row r="2469" ht="15" customHeight="1">
      <c r="A2469" t="inlineStr">
        <is>
          <t>A 55262-2020</t>
        </is>
      </c>
      <c r="B2469" s="1" t="n">
        <v>44130</v>
      </c>
      <c r="C2469" s="1" t="n">
        <v>45587</v>
      </c>
      <c r="D2469" t="inlineStr">
        <is>
          <t>GÄVLEBORGS LÄN</t>
        </is>
      </c>
      <c r="E2469" t="inlineStr">
        <is>
          <t>SÖDERHAMN</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55269-2020</t>
        </is>
      </c>
      <c r="B2470" s="1" t="n">
        <v>44130</v>
      </c>
      <c r="C2470" s="1" t="n">
        <v>45587</v>
      </c>
      <c r="D2470" t="inlineStr">
        <is>
          <t>GÄVLEBORGS LÄN</t>
        </is>
      </c>
      <c r="E2470" t="inlineStr">
        <is>
          <t>SÖDERHAMN</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55301-2020</t>
        </is>
      </c>
      <c r="B2471" s="1" t="n">
        <v>44130</v>
      </c>
      <c r="C2471" s="1" t="n">
        <v>45587</v>
      </c>
      <c r="D2471" t="inlineStr">
        <is>
          <t>GÄVLEBORGS LÄN</t>
        </is>
      </c>
      <c r="E2471" t="inlineStr">
        <is>
          <t>HOFORS</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55147-2020</t>
        </is>
      </c>
      <c r="B2472" s="1" t="n">
        <v>44130</v>
      </c>
      <c r="C2472" s="1" t="n">
        <v>45587</v>
      </c>
      <c r="D2472" t="inlineStr">
        <is>
          <t>GÄVLEBORGS LÄN</t>
        </is>
      </c>
      <c r="E2472" t="inlineStr">
        <is>
          <t>NORDANSTIG</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55299-2020</t>
        </is>
      </c>
      <c r="B2473" s="1" t="n">
        <v>44130</v>
      </c>
      <c r="C2473" s="1" t="n">
        <v>45587</v>
      </c>
      <c r="D2473" t="inlineStr">
        <is>
          <t>GÄVLEBORGS LÄN</t>
        </is>
      </c>
      <c r="E2473" t="inlineStr">
        <is>
          <t>SÖDERHAMN</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55606-2020</t>
        </is>
      </c>
      <c r="B2474" s="1" t="n">
        <v>44131</v>
      </c>
      <c r="C2474" s="1" t="n">
        <v>45587</v>
      </c>
      <c r="D2474" t="inlineStr">
        <is>
          <t>GÄVLEBORGS LÄN</t>
        </is>
      </c>
      <c r="E2474" t="inlineStr">
        <is>
          <t>OVANÅKER</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55600-2020</t>
        </is>
      </c>
      <c r="B2475" s="1" t="n">
        <v>44131</v>
      </c>
      <c r="C2475" s="1" t="n">
        <v>45587</v>
      </c>
      <c r="D2475" t="inlineStr">
        <is>
          <t>GÄVLEBORGS LÄN</t>
        </is>
      </c>
      <c r="E2475" t="inlineStr">
        <is>
          <t>OVANÅKER</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55446-2020</t>
        </is>
      </c>
      <c r="B2476" s="1" t="n">
        <v>44131</v>
      </c>
      <c r="C2476" s="1" t="n">
        <v>45587</v>
      </c>
      <c r="D2476" t="inlineStr">
        <is>
          <t>GÄVLEBORGS LÄN</t>
        </is>
      </c>
      <c r="E2476" t="inlineStr">
        <is>
          <t>HUDIKSVALL</t>
        </is>
      </c>
      <c r="F2476" t="inlineStr">
        <is>
          <t>Sveaskog</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55487-2020</t>
        </is>
      </c>
      <c r="B2477" s="1" t="n">
        <v>44131</v>
      </c>
      <c r="C2477" s="1" t="n">
        <v>45587</v>
      </c>
      <c r="D2477" t="inlineStr">
        <is>
          <t>GÄVLEBORGS LÄN</t>
        </is>
      </c>
      <c r="E2477" t="inlineStr">
        <is>
          <t>HUDIKSVALL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55604-2020</t>
        </is>
      </c>
      <c r="B2478" s="1" t="n">
        <v>44131</v>
      </c>
      <c r="C2478" s="1" t="n">
        <v>45587</v>
      </c>
      <c r="D2478" t="inlineStr">
        <is>
          <t>GÄVLEBORGS LÄN</t>
        </is>
      </c>
      <c r="E2478" t="inlineStr">
        <is>
          <t>OVANÅKER</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55766-2020</t>
        </is>
      </c>
      <c r="B2479" s="1" t="n">
        <v>44132</v>
      </c>
      <c r="C2479" s="1" t="n">
        <v>45587</v>
      </c>
      <c r="D2479" t="inlineStr">
        <is>
          <t>GÄVLEBORGS LÄN</t>
        </is>
      </c>
      <c r="E2479" t="inlineStr">
        <is>
          <t>NORDANSTIG</t>
        </is>
      </c>
      <c r="F2479" t="inlineStr">
        <is>
          <t>Holmen skog AB</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55848-2020</t>
        </is>
      </c>
      <c r="B2480" s="1" t="n">
        <v>44132</v>
      </c>
      <c r="C2480" s="1" t="n">
        <v>45587</v>
      </c>
      <c r="D2480" t="inlineStr">
        <is>
          <t>GÄVLEBORGS LÄN</t>
        </is>
      </c>
      <c r="E2480" t="inlineStr">
        <is>
          <t>SANDVIKEN</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55922-2020</t>
        </is>
      </c>
      <c r="B2481" s="1" t="n">
        <v>44132</v>
      </c>
      <c r="C2481" s="1" t="n">
        <v>45587</v>
      </c>
      <c r="D2481" t="inlineStr">
        <is>
          <t>GÄVLEBORGS LÄN</t>
        </is>
      </c>
      <c r="E2481" t="inlineStr">
        <is>
          <t>HUDIKSVALL</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56149-2020</t>
        </is>
      </c>
      <c r="B2482" s="1" t="n">
        <v>44133</v>
      </c>
      <c r="C2482" s="1" t="n">
        <v>45587</v>
      </c>
      <c r="D2482" t="inlineStr">
        <is>
          <t>GÄVLEBORGS LÄN</t>
        </is>
      </c>
      <c r="E2482" t="inlineStr">
        <is>
          <t>BOLLNÄS</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56139-2020</t>
        </is>
      </c>
      <c r="B2483" s="1" t="n">
        <v>44133</v>
      </c>
      <c r="C2483" s="1" t="n">
        <v>45587</v>
      </c>
      <c r="D2483" t="inlineStr">
        <is>
          <t>GÄVLEBORGS LÄN</t>
        </is>
      </c>
      <c r="E2483" t="inlineStr">
        <is>
          <t>BOLLNÄS</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56151-2020</t>
        </is>
      </c>
      <c r="B2484" s="1" t="n">
        <v>44133</v>
      </c>
      <c r="C2484" s="1" t="n">
        <v>45587</v>
      </c>
      <c r="D2484" t="inlineStr">
        <is>
          <t>GÄVLEBORGS LÄN</t>
        </is>
      </c>
      <c r="E2484" t="inlineStr">
        <is>
          <t>BOLLNÄS</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56123-2020</t>
        </is>
      </c>
      <c r="B2485" s="1" t="n">
        <v>44133</v>
      </c>
      <c r="C2485" s="1" t="n">
        <v>45587</v>
      </c>
      <c r="D2485" t="inlineStr">
        <is>
          <t>GÄVLEBORGS LÄN</t>
        </is>
      </c>
      <c r="E2485" t="inlineStr">
        <is>
          <t>HUDIKSVALL</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55993-2020</t>
        </is>
      </c>
      <c r="B2486" s="1" t="n">
        <v>44133</v>
      </c>
      <c r="C2486" s="1" t="n">
        <v>45587</v>
      </c>
      <c r="D2486" t="inlineStr">
        <is>
          <t>GÄVLEBORGS LÄN</t>
        </is>
      </c>
      <c r="E2486" t="inlineStr">
        <is>
          <t>HUDIKSVALL</t>
        </is>
      </c>
      <c r="F2486" t="inlineStr">
        <is>
          <t>Sveaskog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56468-2020</t>
        </is>
      </c>
      <c r="B2487" s="1" t="n">
        <v>44133</v>
      </c>
      <c r="C2487" s="1" t="n">
        <v>45587</v>
      </c>
      <c r="D2487" t="inlineStr">
        <is>
          <t>GÄVLEBORGS LÄN</t>
        </is>
      </c>
      <c r="E2487" t="inlineStr">
        <is>
          <t>SÖDERHAMN</t>
        </is>
      </c>
      <c r="G2487" t="n">
        <v>12.8</v>
      </c>
      <c r="H2487" t="n">
        <v>0</v>
      </c>
      <c r="I2487" t="n">
        <v>0</v>
      </c>
      <c r="J2487" t="n">
        <v>0</v>
      </c>
      <c r="K2487" t="n">
        <v>0</v>
      </c>
      <c r="L2487" t="n">
        <v>0</v>
      </c>
      <c r="M2487" t="n">
        <v>0</v>
      </c>
      <c r="N2487" t="n">
        <v>0</v>
      </c>
      <c r="O2487" t="n">
        <v>0</v>
      </c>
      <c r="P2487" t="n">
        <v>0</v>
      </c>
      <c r="Q2487" t="n">
        <v>0</v>
      </c>
      <c r="R2487" s="2" t="inlineStr"/>
    </row>
    <row r="2488" ht="15" customHeight="1">
      <c r="A2488" t="inlineStr">
        <is>
          <t>A 56221-2020</t>
        </is>
      </c>
      <c r="B2488" s="1" t="n">
        <v>44134</v>
      </c>
      <c r="C2488" s="1" t="n">
        <v>45587</v>
      </c>
      <c r="D2488" t="inlineStr">
        <is>
          <t>GÄVLEBORGS LÄN</t>
        </is>
      </c>
      <c r="E2488" t="inlineStr">
        <is>
          <t>GÄVLE</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56458-2020</t>
        </is>
      </c>
      <c r="B2489" s="1" t="n">
        <v>44137</v>
      </c>
      <c r="C2489" s="1" t="n">
        <v>45587</v>
      </c>
      <c r="D2489" t="inlineStr">
        <is>
          <t>GÄVLEBORGS LÄN</t>
        </is>
      </c>
      <c r="E2489" t="inlineStr">
        <is>
          <t>HUDIKSVALL</t>
        </is>
      </c>
      <c r="F2489" t="inlineStr">
        <is>
          <t>Sveaskog</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56597-2020</t>
        </is>
      </c>
      <c r="B2490" s="1" t="n">
        <v>44137</v>
      </c>
      <c r="C2490" s="1" t="n">
        <v>45587</v>
      </c>
      <c r="D2490" t="inlineStr">
        <is>
          <t>GÄVLEBORGS LÄN</t>
        </is>
      </c>
      <c r="E2490" t="inlineStr">
        <is>
          <t>HUDIKSVALL</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56641-2020</t>
        </is>
      </c>
      <c r="B2491" s="1" t="n">
        <v>44137</v>
      </c>
      <c r="C2491" s="1" t="n">
        <v>45587</v>
      </c>
      <c r="D2491" t="inlineStr">
        <is>
          <t>GÄVLEBORGS LÄN</t>
        </is>
      </c>
      <c r="E2491" t="inlineStr">
        <is>
          <t>BOLLNÄS</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56671-2020</t>
        </is>
      </c>
      <c r="B2492" s="1" t="n">
        <v>44137</v>
      </c>
      <c r="C2492" s="1" t="n">
        <v>45587</v>
      </c>
      <c r="D2492" t="inlineStr">
        <is>
          <t>GÄVLEBORGS LÄN</t>
        </is>
      </c>
      <c r="E2492" t="inlineStr">
        <is>
          <t>HOFORS</t>
        </is>
      </c>
      <c r="F2492" t="inlineStr">
        <is>
          <t>Sveaskog</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56503-2020</t>
        </is>
      </c>
      <c r="B2493" s="1" t="n">
        <v>44137</v>
      </c>
      <c r="C2493" s="1" t="n">
        <v>45587</v>
      </c>
      <c r="D2493" t="inlineStr">
        <is>
          <t>GÄVLEBORGS LÄN</t>
        </is>
      </c>
      <c r="E2493" t="inlineStr">
        <is>
          <t>OVANÅKER</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56603-2020</t>
        </is>
      </c>
      <c r="B2494" s="1" t="n">
        <v>44137</v>
      </c>
      <c r="C2494" s="1" t="n">
        <v>45587</v>
      </c>
      <c r="D2494" t="inlineStr">
        <is>
          <t>GÄVLEBORGS LÄN</t>
        </is>
      </c>
      <c r="E2494" t="inlineStr">
        <is>
          <t>HOFORS</t>
        </is>
      </c>
      <c r="F2494" t="inlineStr">
        <is>
          <t>Sveaskog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56626-2020</t>
        </is>
      </c>
      <c r="B2495" s="1" t="n">
        <v>44137</v>
      </c>
      <c r="C2495" s="1" t="n">
        <v>45587</v>
      </c>
      <c r="D2495" t="inlineStr">
        <is>
          <t>GÄVLEBORGS LÄN</t>
        </is>
      </c>
      <c r="E2495" t="inlineStr">
        <is>
          <t>OVANÅKER</t>
        </is>
      </c>
      <c r="G2495" t="n">
        <v>11.4</v>
      </c>
      <c r="H2495" t="n">
        <v>0</v>
      </c>
      <c r="I2495" t="n">
        <v>0</v>
      </c>
      <c r="J2495" t="n">
        <v>0</v>
      </c>
      <c r="K2495" t="n">
        <v>0</v>
      </c>
      <c r="L2495" t="n">
        <v>0</v>
      </c>
      <c r="M2495" t="n">
        <v>0</v>
      </c>
      <c r="N2495" t="n">
        <v>0</v>
      </c>
      <c r="O2495" t="n">
        <v>0</v>
      </c>
      <c r="P2495" t="n">
        <v>0</v>
      </c>
      <c r="Q2495" t="n">
        <v>0</v>
      </c>
      <c r="R2495" s="2" t="inlineStr"/>
    </row>
    <row r="2496" ht="15" customHeight="1">
      <c r="A2496" t="inlineStr">
        <is>
          <t>A 56667-2020</t>
        </is>
      </c>
      <c r="B2496" s="1" t="n">
        <v>44137</v>
      </c>
      <c r="C2496" s="1" t="n">
        <v>45587</v>
      </c>
      <c r="D2496" t="inlineStr">
        <is>
          <t>GÄVLEBORGS LÄN</t>
        </is>
      </c>
      <c r="E2496" t="inlineStr">
        <is>
          <t>SANDVIKEN</t>
        </is>
      </c>
      <c r="F2496" t="inlineStr">
        <is>
          <t>Sveaskog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56991-2020</t>
        </is>
      </c>
      <c r="B2497" s="1" t="n">
        <v>44138</v>
      </c>
      <c r="C2497" s="1" t="n">
        <v>45587</v>
      </c>
      <c r="D2497" t="inlineStr">
        <is>
          <t>GÄVLEBORGS LÄN</t>
        </is>
      </c>
      <c r="E2497" t="inlineStr">
        <is>
          <t>NORDANSTIG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57205-2020</t>
        </is>
      </c>
      <c r="B2498" s="1" t="n">
        <v>44139</v>
      </c>
      <c r="C2498" s="1" t="n">
        <v>45587</v>
      </c>
      <c r="D2498" t="inlineStr">
        <is>
          <t>GÄVLEBORGS LÄN</t>
        </is>
      </c>
      <c r="E2498" t="inlineStr">
        <is>
          <t>SÖDERHAMN</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57194-2020</t>
        </is>
      </c>
      <c r="B2499" s="1" t="n">
        <v>44139</v>
      </c>
      <c r="C2499" s="1" t="n">
        <v>45587</v>
      </c>
      <c r="D2499" t="inlineStr">
        <is>
          <t>GÄVLEBORGS LÄN</t>
        </is>
      </c>
      <c r="E2499" t="inlineStr">
        <is>
          <t>NORDANSTIG</t>
        </is>
      </c>
      <c r="F2499" t="inlineStr">
        <is>
          <t>Holmen skog AB</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57244-2020</t>
        </is>
      </c>
      <c r="B2500" s="1" t="n">
        <v>44139</v>
      </c>
      <c r="C2500" s="1" t="n">
        <v>45587</v>
      </c>
      <c r="D2500" t="inlineStr">
        <is>
          <t>GÄVLEBORGS LÄN</t>
        </is>
      </c>
      <c r="E2500" t="inlineStr">
        <is>
          <t>NORDANSTIG</t>
        </is>
      </c>
      <c r="F2500" t="inlineStr">
        <is>
          <t>Holmen skog AB</t>
        </is>
      </c>
      <c r="G2500" t="n">
        <v>8.300000000000001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57273-2020</t>
        </is>
      </c>
      <c r="B2501" s="1" t="n">
        <v>44139</v>
      </c>
      <c r="C2501" s="1" t="n">
        <v>45587</v>
      </c>
      <c r="D2501" t="inlineStr">
        <is>
          <t>GÄVLEBORGS LÄN</t>
        </is>
      </c>
      <c r="E2501" t="inlineStr">
        <is>
          <t>NORDANSTIG</t>
        </is>
      </c>
      <c r="F2501" t="inlineStr">
        <is>
          <t>Holmen skog AB</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57535-2020</t>
        </is>
      </c>
      <c r="B2502" s="1" t="n">
        <v>44140</v>
      </c>
      <c r="C2502" s="1" t="n">
        <v>45587</v>
      </c>
      <c r="D2502" t="inlineStr">
        <is>
          <t>GÄVLEBORGS LÄN</t>
        </is>
      </c>
      <c r="E2502" t="inlineStr">
        <is>
          <t>GÄVLE</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57702-2020</t>
        </is>
      </c>
      <c r="B2503" s="1" t="n">
        <v>44140</v>
      </c>
      <c r="C2503" s="1" t="n">
        <v>45587</v>
      </c>
      <c r="D2503" t="inlineStr">
        <is>
          <t>GÄVLEBORGS LÄN</t>
        </is>
      </c>
      <c r="E2503" t="inlineStr">
        <is>
          <t>GÄVLE</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57706-2020</t>
        </is>
      </c>
      <c r="B2504" s="1" t="n">
        <v>44140</v>
      </c>
      <c r="C2504" s="1" t="n">
        <v>45587</v>
      </c>
      <c r="D2504" t="inlineStr">
        <is>
          <t>GÄVLEBORGS LÄN</t>
        </is>
      </c>
      <c r="E2504" t="inlineStr">
        <is>
          <t>GÄVLE</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57634-2020</t>
        </is>
      </c>
      <c r="B2505" s="1" t="n">
        <v>44140</v>
      </c>
      <c r="C2505" s="1" t="n">
        <v>45587</v>
      </c>
      <c r="D2505" t="inlineStr">
        <is>
          <t>GÄVLEBORGS LÄN</t>
        </is>
      </c>
      <c r="E2505" t="inlineStr">
        <is>
          <t>BOLLNÄS</t>
        </is>
      </c>
      <c r="F2505" t="inlineStr">
        <is>
          <t>Holmen skog AB</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57886-2020</t>
        </is>
      </c>
      <c r="B2506" s="1" t="n">
        <v>44140</v>
      </c>
      <c r="C2506" s="1" t="n">
        <v>45587</v>
      </c>
      <c r="D2506" t="inlineStr">
        <is>
          <t>GÄVLEBORGS LÄN</t>
        </is>
      </c>
      <c r="E2506" t="inlineStr">
        <is>
          <t>NORDANSTIG</t>
        </is>
      </c>
      <c r="G2506" t="n">
        <v>6.7</v>
      </c>
      <c r="H2506" t="n">
        <v>0</v>
      </c>
      <c r="I2506" t="n">
        <v>0</v>
      </c>
      <c r="J2506" t="n">
        <v>0</v>
      </c>
      <c r="K2506" t="n">
        <v>0</v>
      </c>
      <c r="L2506" t="n">
        <v>0</v>
      </c>
      <c r="M2506" t="n">
        <v>0</v>
      </c>
      <c r="N2506" t="n">
        <v>0</v>
      </c>
      <c r="O2506" t="n">
        <v>0</v>
      </c>
      <c r="P2506" t="n">
        <v>0</v>
      </c>
      <c r="Q2506" t="n">
        <v>0</v>
      </c>
      <c r="R2506" s="2" t="inlineStr"/>
    </row>
    <row r="2507" ht="15" customHeight="1">
      <c r="A2507" t="inlineStr">
        <is>
          <t>A 57826-2020</t>
        </is>
      </c>
      <c r="B2507" s="1" t="n">
        <v>44141</v>
      </c>
      <c r="C2507" s="1" t="n">
        <v>45587</v>
      </c>
      <c r="D2507" t="inlineStr">
        <is>
          <t>GÄVLEBORGS LÄN</t>
        </is>
      </c>
      <c r="E2507" t="inlineStr">
        <is>
          <t>LJUSDAL</t>
        </is>
      </c>
      <c r="F2507" t="inlineStr">
        <is>
          <t>Holmen skog AB</t>
        </is>
      </c>
      <c r="G2507" t="n">
        <v>16.8</v>
      </c>
      <c r="H2507" t="n">
        <v>0</v>
      </c>
      <c r="I2507" t="n">
        <v>0</v>
      </c>
      <c r="J2507" t="n">
        <v>0</v>
      </c>
      <c r="K2507" t="n">
        <v>0</v>
      </c>
      <c r="L2507" t="n">
        <v>0</v>
      </c>
      <c r="M2507" t="n">
        <v>0</v>
      </c>
      <c r="N2507" t="n">
        <v>0</v>
      </c>
      <c r="O2507" t="n">
        <v>0</v>
      </c>
      <c r="P2507" t="n">
        <v>0</v>
      </c>
      <c r="Q2507" t="n">
        <v>0</v>
      </c>
      <c r="R2507" s="2" t="inlineStr"/>
    </row>
    <row r="2508" ht="15" customHeight="1">
      <c r="A2508" t="inlineStr">
        <is>
          <t>A 57885-2020</t>
        </is>
      </c>
      <c r="B2508" s="1" t="n">
        <v>44141</v>
      </c>
      <c r="C2508" s="1" t="n">
        <v>45587</v>
      </c>
      <c r="D2508" t="inlineStr">
        <is>
          <t>GÄVLEBORGS LÄN</t>
        </is>
      </c>
      <c r="E2508" t="inlineStr">
        <is>
          <t>BOLLNÄS</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58001-2020</t>
        </is>
      </c>
      <c r="B2509" s="1" t="n">
        <v>44144</v>
      </c>
      <c r="C2509" s="1" t="n">
        <v>45587</v>
      </c>
      <c r="D2509" t="inlineStr">
        <is>
          <t>GÄVLEBORGS LÄN</t>
        </is>
      </c>
      <c r="E2509" t="inlineStr">
        <is>
          <t>BOLLNÄS</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58030-2020</t>
        </is>
      </c>
      <c r="B2510" s="1" t="n">
        <v>44144</v>
      </c>
      <c r="C2510" s="1" t="n">
        <v>45587</v>
      </c>
      <c r="D2510" t="inlineStr">
        <is>
          <t>GÄVLEBORGS LÄN</t>
        </is>
      </c>
      <c r="E2510" t="inlineStr">
        <is>
          <t>BOLLNÄS</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58189-2020</t>
        </is>
      </c>
      <c r="B2511" s="1" t="n">
        <v>44144</v>
      </c>
      <c r="C2511" s="1" t="n">
        <v>45587</v>
      </c>
      <c r="D2511" t="inlineStr">
        <is>
          <t>GÄVLEBORGS LÄN</t>
        </is>
      </c>
      <c r="E2511" t="inlineStr">
        <is>
          <t>GÄVLE</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58122-2020</t>
        </is>
      </c>
      <c r="B2512" s="1" t="n">
        <v>44144</v>
      </c>
      <c r="C2512" s="1" t="n">
        <v>45587</v>
      </c>
      <c r="D2512" t="inlineStr">
        <is>
          <t>GÄVLEBORGS LÄN</t>
        </is>
      </c>
      <c r="E2512" t="inlineStr">
        <is>
          <t>LJUSDAL</t>
        </is>
      </c>
      <c r="F2512" t="inlineStr">
        <is>
          <t>Bergvik skog väst AB</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58375-2020</t>
        </is>
      </c>
      <c r="B2513" s="1" t="n">
        <v>44144</v>
      </c>
      <c r="C2513" s="1" t="n">
        <v>45587</v>
      </c>
      <c r="D2513" t="inlineStr">
        <is>
          <t>GÄVLEBORGS LÄN</t>
        </is>
      </c>
      <c r="E2513" t="inlineStr">
        <is>
          <t>HUDIKSVALL</t>
        </is>
      </c>
      <c r="G2513" t="n">
        <v>5.4</v>
      </c>
      <c r="H2513" t="n">
        <v>0</v>
      </c>
      <c r="I2513" t="n">
        <v>0</v>
      </c>
      <c r="J2513" t="n">
        <v>0</v>
      </c>
      <c r="K2513" t="n">
        <v>0</v>
      </c>
      <c r="L2513" t="n">
        <v>0</v>
      </c>
      <c r="M2513" t="n">
        <v>0</v>
      </c>
      <c r="N2513" t="n">
        <v>0</v>
      </c>
      <c r="O2513" t="n">
        <v>0</v>
      </c>
      <c r="P2513" t="n">
        <v>0</v>
      </c>
      <c r="Q2513" t="n">
        <v>0</v>
      </c>
      <c r="R2513" s="2" t="inlineStr"/>
    </row>
    <row r="2514" ht="15" customHeight="1">
      <c r="A2514" t="inlineStr">
        <is>
          <t>A 58377-2020</t>
        </is>
      </c>
      <c r="B2514" s="1" t="n">
        <v>44144</v>
      </c>
      <c r="C2514" s="1" t="n">
        <v>45587</v>
      </c>
      <c r="D2514" t="inlineStr">
        <is>
          <t>GÄVLEBORGS LÄN</t>
        </is>
      </c>
      <c r="E2514" t="inlineStr">
        <is>
          <t>HUDIKSVALL</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58352-2020</t>
        </is>
      </c>
      <c r="B2515" s="1" t="n">
        <v>44145</v>
      </c>
      <c r="C2515" s="1" t="n">
        <v>45587</v>
      </c>
      <c r="D2515" t="inlineStr">
        <is>
          <t>GÄVLEBORGS LÄN</t>
        </is>
      </c>
      <c r="E2515" t="inlineStr">
        <is>
          <t>OVANÅKER</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58387-2020</t>
        </is>
      </c>
      <c r="B2516" s="1" t="n">
        <v>44145</v>
      </c>
      <c r="C2516" s="1" t="n">
        <v>45587</v>
      </c>
      <c r="D2516" t="inlineStr">
        <is>
          <t>GÄVLEBORGS LÄN</t>
        </is>
      </c>
      <c r="E2516" t="inlineStr">
        <is>
          <t>BOLLNÄS</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58322-2020</t>
        </is>
      </c>
      <c r="B2517" s="1" t="n">
        <v>44145</v>
      </c>
      <c r="C2517" s="1" t="n">
        <v>45587</v>
      </c>
      <c r="D2517" t="inlineStr">
        <is>
          <t>GÄVLEBORGS LÄN</t>
        </is>
      </c>
      <c r="E2517" t="inlineStr">
        <is>
          <t>HOFORS</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58341-2020</t>
        </is>
      </c>
      <c r="B2518" s="1" t="n">
        <v>44145</v>
      </c>
      <c r="C2518" s="1" t="n">
        <v>45587</v>
      </c>
      <c r="D2518" t="inlineStr">
        <is>
          <t>GÄVLEBORGS LÄN</t>
        </is>
      </c>
      <c r="E2518" t="inlineStr">
        <is>
          <t>OVANÅKER</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58398-2020</t>
        </is>
      </c>
      <c r="B2519" s="1" t="n">
        <v>44145</v>
      </c>
      <c r="C2519" s="1" t="n">
        <v>45587</v>
      </c>
      <c r="D2519" t="inlineStr">
        <is>
          <t>GÄVLEBORGS LÄN</t>
        </is>
      </c>
      <c r="E2519" t="inlineStr">
        <is>
          <t>BOLLNÄS</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58511-2020</t>
        </is>
      </c>
      <c r="B2520" s="1" t="n">
        <v>44145</v>
      </c>
      <c r="C2520" s="1" t="n">
        <v>45587</v>
      </c>
      <c r="D2520" t="inlineStr">
        <is>
          <t>GÄVLEBORGS LÄN</t>
        </is>
      </c>
      <c r="E2520" t="inlineStr">
        <is>
          <t>LJUSDAL</t>
        </is>
      </c>
      <c r="F2520" t="inlineStr">
        <is>
          <t>Holmen skog AB</t>
        </is>
      </c>
      <c r="G2520" t="n">
        <v>11.1</v>
      </c>
      <c r="H2520" t="n">
        <v>0</v>
      </c>
      <c r="I2520" t="n">
        <v>0</v>
      </c>
      <c r="J2520" t="n">
        <v>0</v>
      </c>
      <c r="K2520" t="n">
        <v>0</v>
      </c>
      <c r="L2520" t="n">
        <v>0</v>
      </c>
      <c r="M2520" t="n">
        <v>0</v>
      </c>
      <c r="N2520" t="n">
        <v>0</v>
      </c>
      <c r="O2520" t="n">
        <v>0</v>
      </c>
      <c r="P2520" t="n">
        <v>0</v>
      </c>
      <c r="Q2520" t="n">
        <v>0</v>
      </c>
      <c r="R2520" s="2" t="inlineStr"/>
    </row>
    <row r="2521" ht="15" customHeight="1">
      <c r="A2521" t="inlineStr">
        <is>
          <t>A 58338-2020</t>
        </is>
      </c>
      <c r="B2521" s="1" t="n">
        <v>44145</v>
      </c>
      <c r="C2521" s="1" t="n">
        <v>45587</v>
      </c>
      <c r="D2521" t="inlineStr">
        <is>
          <t>GÄVLEBORGS LÄN</t>
        </is>
      </c>
      <c r="E2521" t="inlineStr">
        <is>
          <t>HOFORS</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58684-2020</t>
        </is>
      </c>
      <c r="B2522" s="1" t="n">
        <v>44146</v>
      </c>
      <c r="C2522" s="1" t="n">
        <v>45587</v>
      </c>
      <c r="D2522" t="inlineStr">
        <is>
          <t>GÄVLEBORGS LÄN</t>
        </is>
      </c>
      <c r="E2522" t="inlineStr">
        <is>
          <t>LJUSDAL</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58690-2020</t>
        </is>
      </c>
      <c r="B2523" s="1" t="n">
        <v>44146</v>
      </c>
      <c r="C2523" s="1" t="n">
        <v>45587</v>
      </c>
      <c r="D2523" t="inlineStr">
        <is>
          <t>GÄVLEBORGS LÄN</t>
        </is>
      </c>
      <c r="E2523" t="inlineStr">
        <is>
          <t>GÄVLE</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58732-2020</t>
        </is>
      </c>
      <c r="B2524" s="1" t="n">
        <v>44146</v>
      </c>
      <c r="C2524" s="1" t="n">
        <v>45587</v>
      </c>
      <c r="D2524" t="inlineStr">
        <is>
          <t>GÄVLEBORGS LÄN</t>
        </is>
      </c>
      <c r="E2524" t="inlineStr">
        <is>
          <t>NORDANSTIG</t>
        </is>
      </c>
      <c r="F2524" t="inlineStr">
        <is>
          <t>Holmen skog AB</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58814-2020</t>
        </is>
      </c>
      <c r="B2525" s="1" t="n">
        <v>44146</v>
      </c>
      <c r="C2525" s="1" t="n">
        <v>45587</v>
      </c>
      <c r="D2525" t="inlineStr">
        <is>
          <t>GÄVLEBORGS LÄN</t>
        </is>
      </c>
      <c r="E2525" t="inlineStr">
        <is>
          <t>OVANÅKER</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58853-2020</t>
        </is>
      </c>
      <c r="B2526" s="1" t="n">
        <v>44146</v>
      </c>
      <c r="C2526" s="1" t="n">
        <v>45587</v>
      </c>
      <c r="D2526" t="inlineStr">
        <is>
          <t>GÄVLEBORGS LÄN</t>
        </is>
      </c>
      <c r="E2526" t="inlineStr">
        <is>
          <t>OVANÅKER</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58883-2020</t>
        </is>
      </c>
      <c r="B2527" s="1" t="n">
        <v>44146</v>
      </c>
      <c r="C2527" s="1" t="n">
        <v>45587</v>
      </c>
      <c r="D2527" t="inlineStr">
        <is>
          <t>GÄVLEBORGS LÄN</t>
        </is>
      </c>
      <c r="E2527" t="inlineStr">
        <is>
          <t>BOLLNÄS</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58841-2020</t>
        </is>
      </c>
      <c r="B2528" s="1" t="n">
        <v>44146</v>
      </c>
      <c r="C2528" s="1" t="n">
        <v>45587</v>
      </c>
      <c r="D2528" t="inlineStr">
        <is>
          <t>GÄVLEBORGS LÄN</t>
        </is>
      </c>
      <c r="E2528" t="inlineStr">
        <is>
          <t>OVANÅKER</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59057-2020</t>
        </is>
      </c>
      <c r="B2529" s="1" t="n">
        <v>44147</v>
      </c>
      <c r="C2529" s="1" t="n">
        <v>45587</v>
      </c>
      <c r="D2529" t="inlineStr">
        <is>
          <t>GÄVLEBORGS LÄN</t>
        </is>
      </c>
      <c r="E2529" t="inlineStr">
        <is>
          <t>LJUSDAL</t>
        </is>
      </c>
      <c r="F2529" t="inlineStr">
        <is>
          <t>Holmen skog AB</t>
        </is>
      </c>
      <c r="G2529" t="n">
        <v>8.300000000000001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59065-2020</t>
        </is>
      </c>
      <c r="B2530" s="1" t="n">
        <v>44147</v>
      </c>
      <c r="C2530" s="1" t="n">
        <v>45587</v>
      </c>
      <c r="D2530" t="inlineStr">
        <is>
          <t>GÄVLEBORGS LÄN</t>
        </is>
      </c>
      <c r="E2530" t="inlineStr">
        <is>
          <t>SANDVIKEN</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59107-2020</t>
        </is>
      </c>
      <c r="B2531" s="1" t="n">
        <v>44147</v>
      </c>
      <c r="C2531" s="1" t="n">
        <v>45587</v>
      </c>
      <c r="D2531" t="inlineStr">
        <is>
          <t>GÄVLEBORGS LÄN</t>
        </is>
      </c>
      <c r="E2531" t="inlineStr">
        <is>
          <t>BOLLNÄS</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59072-2020</t>
        </is>
      </c>
      <c r="B2532" s="1" t="n">
        <v>44147</v>
      </c>
      <c r="C2532" s="1" t="n">
        <v>45587</v>
      </c>
      <c r="D2532" t="inlineStr">
        <is>
          <t>GÄVLEBORGS LÄN</t>
        </is>
      </c>
      <c r="E2532" t="inlineStr">
        <is>
          <t>GÄVLE</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59159-2020</t>
        </is>
      </c>
      <c r="B2533" s="1" t="n">
        <v>44147</v>
      </c>
      <c r="C2533" s="1" t="n">
        <v>45587</v>
      </c>
      <c r="D2533" t="inlineStr">
        <is>
          <t>GÄVLEBORGS LÄN</t>
        </is>
      </c>
      <c r="E2533" t="inlineStr">
        <is>
          <t>BOLLNÄS</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59154-2020</t>
        </is>
      </c>
      <c r="B2534" s="1" t="n">
        <v>44147</v>
      </c>
      <c r="C2534" s="1" t="n">
        <v>45587</v>
      </c>
      <c r="D2534" t="inlineStr">
        <is>
          <t>GÄVLEBORGS LÄN</t>
        </is>
      </c>
      <c r="E2534" t="inlineStr">
        <is>
          <t>BOLLNÄS</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59235-2020</t>
        </is>
      </c>
      <c r="B2535" s="1" t="n">
        <v>44147</v>
      </c>
      <c r="C2535" s="1" t="n">
        <v>45587</v>
      </c>
      <c r="D2535" t="inlineStr">
        <is>
          <t>GÄVLEBORGS LÄN</t>
        </is>
      </c>
      <c r="E2535" t="inlineStr">
        <is>
          <t>SÖDERHAMN</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59161-2020</t>
        </is>
      </c>
      <c r="B2536" s="1" t="n">
        <v>44147</v>
      </c>
      <c r="C2536" s="1" t="n">
        <v>45587</v>
      </c>
      <c r="D2536" t="inlineStr">
        <is>
          <t>GÄVLEBORGS LÄN</t>
        </is>
      </c>
      <c r="E2536" t="inlineStr">
        <is>
          <t>BOLLNÄS</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59213-2020</t>
        </is>
      </c>
      <c r="B2537" s="1" t="n">
        <v>44147</v>
      </c>
      <c r="C2537" s="1" t="n">
        <v>45587</v>
      </c>
      <c r="D2537" t="inlineStr">
        <is>
          <t>GÄVLEBORGS LÄN</t>
        </is>
      </c>
      <c r="E2537" t="inlineStr">
        <is>
          <t>NORDANSTIG</t>
        </is>
      </c>
      <c r="F2537" t="inlineStr">
        <is>
          <t>Holmen skog AB</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59270-2020</t>
        </is>
      </c>
      <c r="B2538" s="1" t="n">
        <v>44147</v>
      </c>
      <c r="C2538" s="1" t="n">
        <v>45587</v>
      </c>
      <c r="D2538" t="inlineStr">
        <is>
          <t>GÄVLEBORGS LÄN</t>
        </is>
      </c>
      <c r="E2538" t="inlineStr">
        <is>
          <t>SÖDERHAMN</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59311-2020</t>
        </is>
      </c>
      <c r="B2539" s="1" t="n">
        <v>44147</v>
      </c>
      <c r="C2539" s="1" t="n">
        <v>45587</v>
      </c>
      <c r="D2539" t="inlineStr">
        <is>
          <t>GÄVLEBORGS LÄN</t>
        </is>
      </c>
      <c r="E2539" t="inlineStr">
        <is>
          <t>BOLLNÄS</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59271-2020</t>
        </is>
      </c>
      <c r="B2540" s="1" t="n">
        <v>44147</v>
      </c>
      <c r="C2540" s="1" t="n">
        <v>45587</v>
      </c>
      <c r="D2540" t="inlineStr">
        <is>
          <t>GÄVLEBORGS LÄN</t>
        </is>
      </c>
      <c r="E2540" t="inlineStr">
        <is>
          <t>SÖDERHAMN</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59348-2020</t>
        </is>
      </c>
      <c r="B2541" s="1" t="n">
        <v>44148</v>
      </c>
      <c r="C2541" s="1" t="n">
        <v>45587</v>
      </c>
      <c r="D2541" t="inlineStr">
        <is>
          <t>GÄVLEBORGS LÄN</t>
        </is>
      </c>
      <c r="E2541" t="inlineStr">
        <is>
          <t>LJUSDAL</t>
        </is>
      </c>
      <c r="F2541" t="inlineStr">
        <is>
          <t>Sveaskog</t>
        </is>
      </c>
      <c r="G2541" t="n">
        <v>20.4</v>
      </c>
      <c r="H2541" t="n">
        <v>0</v>
      </c>
      <c r="I2541" t="n">
        <v>0</v>
      </c>
      <c r="J2541" t="n">
        <v>0</v>
      </c>
      <c r="K2541" t="n">
        <v>0</v>
      </c>
      <c r="L2541" t="n">
        <v>0</v>
      </c>
      <c r="M2541" t="n">
        <v>0</v>
      </c>
      <c r="N2541" t="n">
        <v>0</v>
      </c>
      <c r="O2541" t="n">
        <v>0</v>
      </c>
      <c r="P2541" t="n">
        <v>0</v>
      </c>
      <c r="Q2541" t="n">
        <v>0</v>
      </c>
      <c r="R2541" s="2" t="inlineStr"/>
    </row>
    <row r="2542" ht="15" customHeight="1">
      <c r="A2542" t="inlineStr">
        <is>
          <t>A 59463-2020</t>
        </is>
      </c>
      <c r="B2542" s="1" t="n">
        <v>44148</v>
      </c>
      <c r="C2542" s="1" t="n">
        <v>45587</v>
      </c>
      <c r="D2542" t="inlineStr">
        <is>
          <t>GÄVLEBORGS LÄN</t>
        </is>
      </c>
      <c r="E2542" t="inlineStr">
        <is>
          <t>BOLLNÄS</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59573-2020</t>
        </is>
      </c>
      <c r="B2543" s="1" t="n">
        <v>44148</v>
      </c>
      <c r="C2543" s="1" t="n">
        <v>45587</v>
      </c>
      <c r="D2543" t="inlineStr">
        <is>
          <t>GÄVLEBORGS LÄN</t>
        </is>
      </c>
      <c r="E2543" t="inlineStr">
        <is>
          <t>BOLLNÄS</t>
        </is>
      </c>
      <c r="F2543" t="inlineStr">
        <is>
          <t>Bergvik skog väst AB</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59481-2020</t>
        </is>
      </c>
      <c r="B2544" s="1" t="n">
        <v>44148</v>
      </c>
      <c r="C2544" s="1" t="n">
        <v>45587</v>
      </c>
      <c r="D2544" t="inlineStr">
        <is>
          <t>GÄVLEBORGS LÄN</t>
        </is>
      </c>
      <c r="E2544" t="inlineStr">
        <is>
          <t>BOLLNÄS</t>
        </is>
      </c>
      <c r="G2544" t="n">
        <v>11.3</v>
      </c>
      <c r="H2544" t="n">
        <v>0</v>
      </c>
      <c r="I2544" t="n">
        <v>0</v>
      </c>
      <c r="J2544" t="n">
        <v>0</v>
      </c>
      <c r="K2544" t="n">
        <v>0</v>
      </c>
      <c r="L2544" t="n">
        <v>0</v>
      </c>
      <c r="M2544" t="n">
        <v>0</v>
      </c>
      <c r="N2544" t="n">
        <v>0</v>
      </c>
      <c r="O2544" t="n">
        <v>0</v>
      </c>
      <c r="P2544" t="n">
        <v>0</v>
      </c>
      <c r="Q2544" t="n">
        <v>0</v>
      </c>
      <c r="R2544" s="2" t="inlineStr"/>
    </row>
    <row r="2545" ht="15" customHeight="1">
      <c r="A2545" t="inlineStr">
        <is>
          <t>A 59581-2020</t>
        </is>
      </c>
      <c r="B2545" s="1" t="n">
        <v>44148</v>
      </c>
      <c r="C2545" s="1" t="n">
        <v>45587</v>
      </c>
      <c r="D2545" t="inlineStr">
        <is>
          <t>GÄVLEBORGS LÄN</t>
        </is>
      </c>
      <c r="E2545" t="inlineStr">
        <is>
          <t>SÖDERHAMN</t>
        </is>
      </c>
      <c r="F2545" t="inlineStr">
        <is>
          <t>Bergvik skog väst AB</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59803-2020</t>
        </is>
      </c>
      <c r="B2546" s="1" t="n">
        <v>44148</v>
      </c>
      <c r="C2546" s="1" t="n">
        <v>45587</v>
      </c>
      <c r="D2546" t="inlineStr">
        <is>
          <t>GÄVLEBORGS LÄN</t>
        </is>
      </c>
      <c r="E2546" t="inlineStr">
        <is>
          <t>LJUSDAL</t>
        </is>
      </c>
      <c r="F2546" t="inlineStr">
        <is>
          <t>Sveaskog</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59631-2020</t>
        </is>
      </c>
      <c r="B2547" s="1" t="n">
        <v>44150</v>
      </c>
      <c r="C2547" s="1" t="n">
        <v>45587</v>
      </c>
      <c r="D2547" t="inlineStr">
        <is>
          <t>GÄVLEBORGS LÄN</t>
        </is>
      </c>
      <c r="E2547" t="inlineStr">
        <is>
          <t>HUDIKSVALL</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59646-2020</t>
        </is>
      </c>
      <c r="B2548" s="1" t="n">
        <v>44150</v>
      </c>
      <c r="C2548" s="1" t="n">
        <v>45587</v>
      </c>
      <c r="D2548" t="inlineStr">
        <is>
          <t>GÄVLEBORGS LÄN</t>
        </is>
      </c>
      <c r="E2548" t="inlineStr">
        <is>
          <t>LJUSDAL</t>
        </is>
      </c>
      <c r="F2548" t="inlineStr">
        <is>
          <t>Bergvik skog väst AB</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59728-2020</t>
        </is>
      </c>
      <c r="B2549" s="1" t="n">
        <v>44151</v>
      </c>
      <c r="C2549" s="1" t="n">
        <v>45587</v>
      </c>
      <c r="D2549" t="inlineStr">
        <is>
          <t>GÄVLEBORGS LÄN</t>
        </is>
      </c>
      <c r="E2549" t="inlineStr">
        <is>
          <t>BOLLNÄS</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59690-2020</t>
        </is>
      </c>
      <c r="B2550" s="1" t="n">
        <v>44151</v>
      </c>
      <c r="C2550" s="1" t="n">
        <v>45587</v>
      </c>
      <c r="D2550" t="inlineStr">
        <is>
          <t>GÄVLEBORGS LÄN</t>
        </is>
      </c>
      <c r="E2550" t="inlineStr">
        <is>
          <t>BOLLNÄS</t>
        </is>
      </c>
      <c r="G2550" t="n">
        <v>4</v>
      </c>
      <c r="H2550" t="n">
        <v>0</v>
      </c>
      <c r="I2550" t="n">
        <v>0</v>
      </c>
      <c r="J2550" t="n">
        <v>0</v>
      </c>
      <c r="K2550" t="n">
        <v>0</v>
      </c>
      <c r="L2550" t="n">
        <v>0</v>
      </c>
      <c r="M2550" t="n">
        <v>0</v>
      </c>
      <c r="N2550" t="n">
        <v>0</v>
      </c>
      <c r="O2550" t="n">
        <v>0</v>
      </c>
      <c r="P2550" t="n">
        <v>0</v>
      </c>
      <c r="Q2550" t="n">
        <v>0</v>
      </c>
      <c r="R2550" s="2" t="inlineStr"/>
    </row>
    <row r="2551" ht="15" customHeight="1">
      <c r="A2551" t="inlineStr">
        <is>
          <t>A 59754-2020</t>
        </is>
      </c>
      <c r="B2551" s="1" t="n">
        <v>44151</v>
      </c>
      <c r="C2551" s="1" t="n">
        <v>45587</v>
      </c>
      <c r="D2551" t="inlineStr">
        <is>
          <t>GÄVLEBORGS LÄN</t>
        </is>
      </c>
      <c r="E2551" t="inlineStr">
        <is>
          <t>BOLLNÄS</t>
        </is>
      </c>
      <c r="G2551" t="n">
        <v>7.8</v>
      </c>
      <c r="H2551" t="n">
        <v>0</v>
      </c>
      <c r="I2551" t="n">
        <v>0</v>
      </c>
      <c r="J2551" t="n">
        <v>0</v>
      </c>
      <c r="K2551" t="n">
        <v>0</v>
      </c>
      <c r="L2551" t="n">
        <v>0</v>
      </c>
      <c r="M2551" t="n">
        <v>0</v>
      </c>
      <c r="N2551" t="n">
        <v>0</v>
      </c>
      <c r="O2551" t="n">
        <v>0</v>
      </c>
      <c r="P2551" t="n">
        <v>0</v>
      </c>
      <c r="Q2551" t="n">
        <v>0</v>
      </c>
      <c r="R2551" s="2" t="inlineStr"/>
    </row>
    <row r="2552" ht="15" customHeight="1">
      <c r="A2552" t="inlineStr">
        <is>
          <t>A 59659-2020</t>
        </is>
      </c>
      <c r="B2552" s="1" t="n">
        <v>44151</v>
      </c>
      <c r="C2552" s="1" t="n">
        <v>45587</v>
      </c>
      <c r="D2552" t="inlineStr">
        <is>
          <t>GÄVLEBORGS LÄN</t>
        </is>
      </c>
      <c r="E2552" t="inlineStr">
        <is>
          <t>HUDIKSVALL</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59723-2020</t>
        </is>
      </c>
      <c r="B2553" s="1" t="n">
        <v>44151</v>
      </c>
      <c r="C2553" s="1" t="n">
        <v>45587</v>
      </c>
      <c r="D2553" t="inlineStr">
        <is>
          <t>GÄVLEBORGS LÄN</t>
        </is>
      </c>
      <c r="E2553" t="inlineStr">
        <is>
          <t>BOLLNÄS</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59734-2020</t>
        </is>
      </c>
      <c r="B2554" s="1" t="n">
        <v>44151</v>
      </c>
      <c r="C2554" s="1" t="n">
        <v>45587</v>
      </c>
      <c r="D2554" t="inlineStr">
        <is>
          <t>GÄVLEBORGS LÄN</t>
        </is>
      </c>
      <c r="E2554" t="inlineStr">
        <is>
          <t>BOLLNÄS</t>
        </is>
      </c>
      <c r="G2554" t="n">
        <v>7.4</v>
      </c>
      <c r="H2554" t="n">
        <v>0</v>
      </c>
      <c r="I2554" t="n">
        <v>0</v>
      </c>
      <c r="J2554" t="n">
        <v>0</v>
      </c>
      <c r="K2554" t="n">
        <v>0</v>
      </c>
      <c r="L2554" t="n">
        <v>0</v>
      </c>
      <c r="M2554" t="n">
        <v>0</v>
      </c>
      <c r="N2554" t="n">
        <v>0</v>
      </c>
      <c r="O2554" t="n">
        <v>0</v>
      </c>
      <c r="P2554" t="n">
        <v>0</v>
      </c>
      <c r="Q2554" t="n">
        <v>0</v>
      </c>
      <c r="R2554" s="2" t="inlineStr"/>
    </row>
    <row r="2555" ht="15" customHeight="1">
      <c r="A2555" t="inlineStr">
        <is>
          <t>A 59910-2020</t>
        </is>
      </c>
      <c r="B2555" s="1" t="n">
        <v>44151</v>
      </c>
      <c r="C2555" s="1" t="n">
        <v>45587</v>
      </c>
      <c r="D2555" t="inlineStr">
        <is>
          <t>GÄVLEBORGS LÄN</t>
        </is>
      </c>
      <c r="E2555" t="inlineStr">
        <is>
          <t>BOLLNÄS</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60071-2020</t>
        </is>
      </c>
      <c r="B2556" s="1" t="n">
        <v>44151</v>
      </c>
      <c r="C2556" s="1" t="n">
        <v>45587</v>
      </c>
      <c r="D2556" t="inlineStr">
        <is>
          <t>GÄVLEBORGS LÄN</t>
        </is>
      </c>
      <c r="E2556" t="inlineStr">
        <is>
          <t>BOLLNÄS</t>
        </is>
      </c>
      <c r="F2556" t="inlineStr">
        <is>
          <t>Bergvik skog väst AB</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59924-2020</t>
        </is>
      </c>
      <c r="B2557" s="1" t="n">
        <v>44151</v>
      </c>
      <c r="C2557" s="1" t="n">
        <v>45587</v>
      </c>
      <c r="D2557" t="inlineStr">
        <is>
          <t>GÄVLEBORGS LÄN</t>
        </is>
      </c>
      <c r="E2557" t="inlineStr">
        <is>
          <t>LJUSDAL</t>
        </is>
      </c>
      <c r="F2557" t="inlineStr">
        <is>
          <t>Sveaskog</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60067-2020</t>
        </is>
      </c>
      <c r="B2558" s="1" t="n">
        <v>44151</v>
      </c>
      <c r="C2558" s="1" t="n">
        <v>45587</v>
      </c>
      <c r="D2558" t="inlineStr">
        <is>
          <t>GÄVLEBORGS LÄN</t>
        </is>
      </c>
      <c r="E2558" t="inlineStr">
        <is>
          <t>OCKELBO</t>
        </is>
      </c>
      <c r="F2558" t="inlineStr">
        <is>
          <t>Bergvik skog väst AB</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60085-2020</t>
        </is>
      </c>
      <c r="B2559" s="1" t="n">
        <v>44152</v>
      </c>
      <c r="C2559" s="1" t="n">
        <v>45587</v>
      </c>
      <c r="D2559" t="inlineStr">
        <is>
          <t>GÄVLEBORGS LÄN</t>
        </is>
      </c>
      <c r="E2559" t="inlineStr">
        <is>
          <t>NORDANSTIG</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60075-2020</t>
        </is>
      </c>
      <c r="B2560" s="1" t="n">
        <v>44152</v>
      </c>
      <c r="C2560" s="1" t="n">
        <v>45587</v>
      </c>
      <c r="D2560" t="inlineStr">
        <is>
          <t>GÄVLEBORGS LÄN</t>
        </is>
      </c>
      <c r="E2560" t="inlineStr">
        <is>
          <t>BOLLNÄS</t>
        </is>
      </c>
      <c r="F2560" t="inlineStr">
        <is>
          <t>Bergvik skog väst AB</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60249-2020</t>
        </is>
      </c>
      <c r="B2561" s="1" t="n">
        <v>44152</v>
      </c>
      <c r="C2561" s="1" t="n">
        <v>45587</v>
      </c>
      <c r="D2561" t="inlineStr">
        <is>
          <t>GÄVLEBORGS LÄN</t>
        </is>
      </c>
      <c r="E2561" t="inlineStr">
        <is>
          <t>GÄVLE</t>
        </is>
      </c>
      <c r="F2561" t="inlineStr">
        <is>
          <t>Bergvik skog öst AB</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60414-2020</t>
        </is>
      </c>
      <c r="B2562" s="1" t="n">
        <v>44153</v>
      </c>
      <c r="C2562" s="1" t="n">
        <v>45587</v>
      </c>
      <c r="D2562" t="inlineStr">
        <is>
          <t>GÄVLEBORGS LÄN</t>
        </is>
      </c>
      <c r="E2562" t="inlineStr">
        <is>
          <t>HUDIKSVALL</t>
        </is>
      </c>
      <c r="F2562" t="inlineStr">
        <is>
          <t>Holmen skog AB</t>
        </is>
      </c>
      <c r="G2562" t="n">
        <v>9.1</v>
      </c>
      <c r="H2562" t="n">
        <v>0</v>
      </c>
      <c r="I2562" t="n">
        <v>0</v>
      </c>
      <c r="J2562" t="n">
        <v>0</v>
      </c>
      <c r="K2562" t="n">
        <v>0</v>
      </c>
      <c r="L2562" t="n">
        <v>0</v>
      </c>
      <c r="M2562" t="n">
        <v>0</v>
      </c>
      <c r="N2562" t="n">
        <v>0</v>
      </c>
      <c r="O2562" t="n">
        <v>0</v>
      </c>
      <c r="P2562" t="n">
        <v>0</v>
      </c>
      <c r="Q2562" t="n">
        <v>0</v>
      </c>
      <c r="R2562" s="2" t="inlineStr"/>
    </row>
    <row r="2563" ht="15" customHeight="1">
      <c r="A2563" t="inlineStr">
        <is>
          <t>A 60720-2020</t>
        </is>
      </c>
      <c r="B2563" s="1" t="n">
        <v>44153</v>
      </c>
      <c r="C2563" s="1" t="n">
        <v>45587</v>
      </c>
      <c r="D2563" t="inlineStr">
        <is>
          <t>GÄVLEBORGS LÄN</t>
        </is>
      </c>
      <c r="E2563" t="inlineStr">
        <is>
          <t>BOLLNÄS</t>
        </is>
      </c>
      <c r="F2563" t="inlineStr">
        <is>
          <t>Kommuner</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60729-2020</t>
        </is>
      </c>
      <c r="B2564" s="1" t="n">
        <v>44153</v>
      </c>
      <c r="C2564" s="1" t="n">
        <v>45587</v>
      </c>
      <c r="D2564" t="inlineStr">
        <is>
          <t>GÄVLEBORGS LÄN</t>
        </is>
      </c>
      <c r="E2564" t="inlineStr">
        <is>
          <t>BOLLNÄS</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60737-2020</t>
        </is>
      </c>
      <c r="B2565" s="1" t="n">
        <v>44153</v>
      </c>
      <c r="C2565" s="1" t="n">
        <v>45587</v>
      </c>
      <c r="D2565" t="inlineStr">
        <is>
          <t>GÄVLEBORGS LÄN</t>
        </is>
      </c>
      <c r="E2565" t="inlineStr">
        <is>
          <t>HUDIKSVALL</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60726-2020</t>
        </is>
      </c>
      <c r="B2566" s="1" t="n">
        <v>44153</v>
      </c>
      <c r="C2566" s="1" t="n">
        <v>45587</v>
      </c>
      <c r="D2566" t="inlineStr">
        <is>
          <t>GÄVLEBORGS LÄN</t>
        </is>
      </c>
      <c r="E2566" t="inlineStr">
        <is>
          <t>BOLLNÄS</t>
        </is>
      </c>
      <c r="F2566" t="inlineStr">
        <is>
          <t>Kommuner</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60717-2020</t>
        </is>
      </c>
      <c r="B2567" s="1" t="n">
        <v>44153</v>
      </c>
      <c r="C2567" s="1" t="n">
        <v>45587</v>
      </c>
      <c r="D2567" t="inlineStr">
        <is>
          <t>GÄVLEBORGS LÄN</t>
        </is>
      </c>
      <c r="E2567" t="inlineStr">
        <is>
          <t>BOLLNÄS</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60743-2020</t>
        </is>
      </c>
      <c r="B2568" s="1" t="n">
        <v>44153</v>
      </c>
      <c r="C2568" s="1" t="n">
        <v>45587</v>
      </c>
      <c r="D2568" t="inlineStr">
        <is>
          <t>GÄVLEBORGS LÄN</t>
        </is>
      </c>
      <c r="E2568" t="inlineStr">
        <is>
          <t>OVANÅKER</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60908-2020</t>
        </is>
      </c>
      <c r="B2569" s="1" t="n">
        <v>44154</v>
      </c>
      <c r="C2569" s="1" t="n">
        <v>45587</v>
      </c>
      <c r="D2569" t="inlineStr">
        <is>
          <t>GÄVLEBORGS LÄN</t>
        </is>
      </c>
      <c r="E2569" t="inlineStr">
        <is>
          <t>NORDANSTIG</t>
        </is>
      </c>
      <c r="F2569" t="inlineStr">
        <is>
          <t>Holmen skog AB</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60951-2020</t>
        </is>
      </c>
      <c r="B2570" s="1" t="n">
        <v>44154</v>
      </c>
      <c r="C2570" s="1" t="n">
        <v>45587</v>
      </c>
      <c r="D2570" t="inlineStr">
        <is>
          <t>GÄVLEBORGS LÄN</t>
        </is>
      </c>
      <c r="E2570" t="inlineStr">
        <is>
          <t>GÄVLE</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60953-2020</t>
        </is>
      </c>
      <c r="B2571" s="1" t="n">
        <v>44154</v>
      </c>
      <c r="C2571" s="1" t="n">
        <v>45587</v>
      </c>
      <c r="D2571" t="inlineStr">
        <is>
          <t>GÄVLEBORGS LÄN</t>
        </is>
      </c>
      <c r="E2571" t="inlineStr">
        <is>
          <t>GÄVLE</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61313-2020</t>
        </is>
      </c>
      <c r="B2572" s="1" t="n">
        <v>44155</v>
      </c>
      <c r="C2572" s="1" t="n">
        <v>45587</v>
      </c>
      <c r="D2572" t="inlineStr">
        <is>
          <t>GÄVLEBORGS LÄN</t>
        </is>
      </c>
      <c r="E2572" t="inlineStr">
        <is>
          <t>SÖDERHAMN</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61668-2020</t>
        </is>
      </c>
      <c r="B2573" s="1" t="n">
        <v>44158</v>
      </c>
      <c r="C2573" s="1" t="n">
        <v>45587</v>
      </c>
      <c r="D2573" t="inlineStr">
        <is>
          <t>GÄVLEBORGS LÄN</t>
        </is>
      </c>
      <c r="E2573" t="inlineStr">
        <is>
          <t>HUDIKSVALL</t>
        </is>
      </c>
      <c r="F2573" t="inlineStr">
        <is>
          <t>Holmen skog AB</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61694-2020</t>
        </is>
      </c>
      <c r="B2574" s="1" t="n">
        <v>44158</v>
      </c>
      <c r="C2574" s="1" t="n">
        <v>45587</v>
      </c>
      <c r="D2574" t="inlineStr">
        <is>
          <t>GÄVLEBORGS LÄN</t>
        </is>
      </c>
      <c r="E2574" t="inlineStr">
        <is>
          <t>GÄVLE</t>
        </is>
      </c>
      <c r="G2574" t="n">
        <v>11.8</v>
      </c>
      <c r="H2574" t="n">
        <v>0</v>
      </c>
      <c r="I2574" t="n">
        <v>0</v>
      </c>
      <c r="J2574" t="n">
        <v>0</v>
      </c>
      <c r="K2574" t="n">
        <v>0</v>
      </c>
      <c r="L2574" t="n">
        <v>0</v>
      </c>
      <c r="M2574" t="n">
        <v>0</v>
      </c>
      <c r="N2574" t="n">
        <v>0</v>
      </c>
      <c r="O2574" t="n">
        <v>0</v>
      </c>
      <c r="P2574" t="n">
        <v>0</v>
      </c>
      <c r="Q2574" t="n">
        <v>0</v>
      </c>
      <c r="R2574" s="2" t="inlineStr"/>
    </row>
    <row r="2575" ht="15" customHeight="1">
      <c r="A2575" t="inlineStr">
        <is>
          <t>A 61704-2020</t>
        </is>
      </c>
      <c r="B2575" s="1" t="n">
        <v>44158</v>
      </c>
      <c r="C2575" s="1" t="n">
        <v>45587</v>
      </c>
      <c r="D2575" t="inlineStr">
        <is>
          <t>GÄVLEBORGS LÄN</t>
        </is>
      </c>
      <c r="E2575" t="inlineStr">
        <is>
          <t>GÄVLE</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61747-2020</t>
        </is>
      </c>
      <c r="B2576" s="1" t="n">
        <v>44158</v>
      </c>
      <c r="C2576" s="1" t="n">
        <v>45587</v>
      </c>
      <c r="D2576" t="inlineStr">
        <is>
          <t>GÄVLEBORGS LÄN</t>
        </is>
      </c>
      <c r="E2576" t="inlineStr">
        <is>
          <t>HUDIKSVALL</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61760-2020</t>
        </is>
      </c>
      <c r="B2577" s="1" t="n">
        <v>44158</v>
      </c>
      <c r="C2577" s="1" t="n">
        <v>45587</v>
      </c>
      <c r="D2577" t="inlineStr">
        <is>
          <t>GÄVLEBORGS LÄN</t>
        </is>
      </c>
      <c r="E2577" t="inlineStr">
        <is>
          <t>SANDVIKEN</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62044-2020</t>
        </is>
      </c>
      <c r="B2578" s="1" t="n">
        <v>44158</v>
      </c>
      <c r="C2578" s="1" t="n">
        <v>45587</v>
      </c>
      <c r="D2578" t="inlineStr">
        <is>
          <t>GÄVLEBORGS LÄN</t>
        </is>
      </c>
      <c r="E2578" t="inlineStr">
        <is>
          <t>SÖDERHAMN</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61836-2020</t>
        </is>
      </c>
      <c r="B2579" s="1" t="n">
        <v>44159</v>
      </c>
      <c r="C2579" s="1" t="n">
        <v>45587</v>
      </c>
      <c r="D2579" t="inlineStr">
        <is>
          <t>GÄVLEBORGS LÄN</t>
        </is>
      </c>
      <c r="E2579" t="inlineStr">
        <is>
          <t>HOFORS</t>
        </is>
      </c>
      <c r="G2579" t="n">
        <v>12.4</v>
      </c>
      <c r="H2579" t="n">
        <v>0</v>
      </c>
      <c r="I2579" t="n">
        <v>0</v>
      </c>
      <c r="J2579" t="n">
        <v>0</v>
      </c>
      <c r="K2579" t="n">
        <v>0</v>
      </c>
      <c r="L2579" t="n">
        <v>0</v>
      </c>
      <c r="M2579" t="n">
        <v>0</v>
      </c>
      <c r="N2579" t="n">
        <v>0</v>
      </c>
      <c r="O2579" t="n">
        <v>0</v>
      </c>
      <c r="P2579" t="n">
        <v>0</v>
      </c>
      <c r="Q2579" t="n">
        <v>0</v>
      </c>
      <c r="R2579" s="2" t="inlineStr"/>
    </row>
    <row r="2580" ht="15" customHeight="1">
      <c r="A2580" t="inlineStr">
        <is>
          <t>A 61835-2020</t>
        </is>
      </c>
      <c r="B2580" s="1" t="n">
        <v>44159</v>
      </c>
      <c r="C2580" s="1" t="n">
        <v>45587</v>
      </c>
      <c r="D2580" t="inlineStr">
        <is>
          <t>GÄVLEBORGS LÄN</t>
        </is>
      </c>
      <c r="E2580" t="inlineStr">
        <is>
          <t>HOFORS</t>
        </is>
      </c>
      <c r="G2580" t="n">
        <v>9.4</v>
      </c>
      <c r="H2580" t="n">
        <v>0</v>
      </c>
      <c r="I2580" t="n">
        <v>0</v>
      </c>
      <c r="J2580" t="n">
        <v>0</v>
      </c>
      <c r="K2580" t="n">
        <v>0</v>
      </c>
      <c r="L2580" t="n">
        <v>0</v>
      </c>
      <c r="M2580" t="n">
        <v>0</v>
      </c>
      <c r="N2580" t="n">
        <v>0</v>
      </c>
      <c r="O2580" t="n">
        <v>0</v>
      </c>
      <c r="P2580" t="n">
        <v>0</v>
      </c>
      <c r="Q2580" t="n">
        <v>0</v>
      </c>
      <c r="R2580" s="2" t="inlineStr"/>
    </row>
    <row r="2581" ht="15" customHeight="1">
      <c r="A2581" t="inlineStr">
        <is>
          <t>A 61984-2020</t>
        </is>
      </c>
      <c r="B2581" s="1" t="n">
        <v>44159</v>
      </c>
      <c r="C2581" s="1" t="n">
        <v>45587</v>
      </c>
      <c r="D2581" t="inlineStr">
        <is>
          <t>GÄVLEBORGS LÄN</t>
        </is>
      </c>
      <c r="E2581" t="inlineStr">
        <is>
          <t>OVANÅKER</t>
        </is>
      </c>
      <c r="F2581" t="inlineStr">
        <is>
          <t>Bergvik skog öst AB</t>
        </is>
      </c>
      <c r="G2581" t="n">
        <v>8.6</v>
      </c>
      <c r="H2581" t="n">
        <v>0</v>
      </c>
      <c r="I2581" t="n">
        <v>0</v>
      </c>
      <c r="J2581" t="n">
        <v>0</v>
      </c>
      <c r="K2581" t="n">
        <v>0</v>
      </c>
      <c r="L2581" t="n">
        <v>0</v>
      </c>
      <c r="M2581" t="n">
        <v>0</v>
      </c>
      <c r="N2581" t="n">
        <v>0</v>
      </c>
      <c r="O2581" t="n">
        <v>0</v>
      </c>
      <c r="P2581" t="n">
        <v>0</v>
      </c>
      <c r="Q2581" t="n">
        <v>0</v>
      </c>
      <c r="R2581" s="2" t="inlineStr"/>
    </row>
    <row r="2582" ht="15" customHeight="1">
      <c r="A2582" t="inlineStr">
        <is>
          <t>A 62033-2020</t>
        </is>
      </c>
      <c r="B2582" s="1" t="n">
        <v>44159</v>
      </c>
      <c r="C2582" s="1" t="n">
        <v>45587</v>
      </c>
      <c r="D2582" t="inlineStr">
        <is>
          <t>GÄVLEBORGS LÄN</t>
        </is>
      </c>
      <c r="E2582" t="inlineStr">
        <is>
          <t>OVANÅKER</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62146-2020</t>
        </is>
      </c>
      <c r="B2583" s="1" t="n">
        <v>44159</v>
      </c>
      <c r="C2583" s="1" t="n">
        <v>45587</v>
      </c>
      <c r="D2583" t="inlineStr">
        <is>
          <t>GÄVLEBORGS LÄN</t>
        </is>
      </c>
      <c r="E2583" t="inlineStr">
        <is>
          <t>SÖDERHAMN</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62191-2020</t>
        </is>
      </c>
      <c r="B2584" s="1" t="n">
        <v>44159</v>
      </c>
      <c r="C2584" s="1" t="n">
        <v>45587</v>
      </c>
      <c r="D2584" t="inlineStr">
        <is>
          <t>GÄVLEBORGS LÄN</t>
        </is>
      </c>
      <c r="E2584" t="inlineStr">
        <is>
          <t>LJUSDAL</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62426-2020</t>
        </is>
      </c>
      <c r="B2585" s="1" t="n">
        <v>44160</v>
      </c>
      <c r="C2585" s="1" t="n">
        <v>45587</v>
      </c>
      <c r="D2585" t="inlineStr">
        <is>
          <t>GÄVLEBORGS LÄN</t>
        </is>
      </c>
      <c r="E2585" t="inlineStr">
        <is>
          <t>LJUSDAL</t>
        </is>
      </c>
      <c r="F2585" t="inlineStr">
        <is>
          <t>Holmen skog AB</t>
        </is>
      </c>
      <c r="G2585" t="n">
        <v>14.7</v>
      </c>
      <c r="H2585" t="n">
        <v>0</v>
      </c>
      <c r="I2585" t="n">
        <v>0</v>
      </c>
      <c r="J2585" t="n">
        <v>0</v>
      </c>
      <c r="K2585" t="n">
        <v>0</v>
      </c>
      <c r="L2585" t="n">
        <v>0</v>
      </c>
      <c r="M2585" t="n">
        <v>0</v>
      </c>
      <c r="N2585" t="n">
        <v>0</v>
      </c>
      <c r="O2585" t="n">
        <v>0</v>
      </c>
      <c r="P2585" t="n">
        <v>0</v>
      </c>
      <c r="Q2585" t="n">
        <v>0</v>
      </c>
      <c r="R2585" s="2" t="inlineStr"/>
    </row>
    <row r="2586" ht="15" customHeight="1">
      <c r="A2586" t="inlineStr">
        <is>
          <t>A 62475-2020</t>
        </is>
      </c>
      <c r="B2586" s="1" t="n">
        <v>44160</v>
      </c>
      <c r="C2586" s="1" t="n">
        <v>45587</v>
      </c>
      <c r="D2586" t="inlineStr">
        <is>
          <t>GÄVLEBORGS LÄN</t>
        </is>
      </c>
      <c r="E2586" t="inlineStr">
        <is>
          <t>HOFORS</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62478-2020</t>
        </is>
      </c>
      <c r="B2587" s="1" t="n">
        <v>44160</v>
      </c>
      <c r="C2587" s="1" t="n">
        <v>45587</v>
      </c>
      <c r="D2587" t="inlineStr">
        <is>
          <t>GÄVLEBORGS LÄN</t>
        </is>
      </c>
      <c r="E2587" t="inlineStr">
        <is>
          <t>OVANÅKER</t>
        </is>
      </c>
      <c r="F2587" t="inlineStr">
        <is>
          <t>Bergvik skog väst AB</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62423-2020</t>
        </is>
      </c>
      <c r="B2588" s="1" t="n">
        <v>44160</v>
      </c>
      <c r="C2588" s="1" t="n">
        <v>45587</v>
      </c>
      <c r="D2588" t="inlineStr">
        <is>
          <t>GÄVLEBORGS LÄN</t>
        </is>
      </c>
      <c r="E2588" t="inlineStr">
        <is>
          <t>BOLLNÄS</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62495-2020</t>
        </is>
      </c>
      <c r="B2589" s="1" t="n">
        <v>44160</v>
      </c>
      <c r="C2589" s="1" t="n">
        <v>45587</v>
      </c>
      <c r="D2589" t="inlineStr">
        <is>
          <t>GÄVLEBORGS LÄN</t>
        </is>
      </c>
      <c r="E2589" t="inlineStr">
        <is>
          <t>GÄVLE</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62635-2020</t>
        </is>
      </c>
      <c r="B2590" s="1" t="n">
        <v>44161</v>
      </c>
      <c r="C2590" s="1" t="n">
        <v>45587</v>
      </c>
      <c r="D2590" t="inlineStr">
        <is>
          <t>GÄVLEBORGS LÄN</t>
        </is>
      </c>
      <c r="E2590" t="inlineStr">
        <is>
          <t>BOLLNÄS</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62654-2020</t>
        </is>
      </c>
      <c r="B2591" s="1" t="n">
        <v>44161</v>
      </c>
      <c r="C2591" s="1" t="n">
        <v>45587</v>
      </c>
      <c r="D2591" t="inlineStr">
        <is>
          <t>GÄVLEBORGS LÄN</t>
        </is>
      </c>
      <c r="E2591" t="inlineStr">
        <is>
          <t>GÄVLE</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62636-2020</t>
        </is>
      </c>
      <c r="B2592" s="1" t="n">
        <v>44161</v>
      </c>
      <c r="C2592" s="1" t="n">
        <v>45587</v>
      </c>
      <c r="D2592" t="inlineStr">
        <is>
          <t>GÄVLEBORGS LÄN</t>
        </is>
      </c>
      <c r="E2592" t="inlineStr">
        <is>
          <t>BOLLNÄS</t>
        </is>
      </c>
      <c r="F2592" t="inlineStr">
        <is>
          <t>Holmen skog AB</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62829-2020</t>
        </is>
      </c>
      <c r="B2593" s="1" t="n">
        <v>44161</v>
      </c>
      <c r="C2593" s="1" t="n">
        <v>45587</v>
      </c>
      <c r="D2593" t="inlineStr">
        <is>
          <t>GÄVLEBORGS LÄN</t>
        </is>
      </c>
      <c r="E2593" t="inlineStr">
        <is>
          <t>LJUSDAL</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62947-2020</t>
        </is>
      </c>
      <c r="B2594" s="1" t="n">
        <v>44162</v>
      </c>
      <c r="C2594" s="1" t="n">
        <v>45587</v>
      </c>
      <c r="D2594" t="inlineStr">
        <is>
          <t>GÄVLEBORGS LÄN</t>
        </is>
      </c>
      <c r="E2594" t="inlineStr">
        <is>
          <t>LJUSDAL</t>
        </is>
      </c>
      <c r="F2594" t="inlineStr">
        <is>
          <t>Holmen skog AB</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62986-2020</t>
        </is>
      </c>
      <c r="B2595" s="1" t="n">
        <v>44162</v>
      </c>
      <c r="C2595" s="1" t="n">
        <v>45587</v>
      </c>
      <c r="D2595" t="inlineStr">
        <is>
          <t>GÄVLEBORGS LÄN</t>
        </is>
      </c>
      <c r="E2595" t="inlineStr">
        <is>
          <t>GÄVLE</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63108-2020</t>
        </is>
      </c>
      <c r="B2596" s="1" t="n">
        <v>44162</v>
      </c>
      <c r="C2596" s="1" t="n">
        <v>45587</v>
      </c>
      <c r="D2596" t="inlineStr">
        <is>
          <t>GÄVLEBORGS LÄN</t>
        </is>
      </c>
      <c r="E2596" t="inlineStr">
        <is>
          <t>HUDIKSVALL</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62959-2020</t>
        </is>
      </c>
      <c r="B2597" s="1" t="n">
        <v>44162</v>
      </c>
      <c r="C2597" s="1" t="n">
        <v>45587</v>
      </c>
      <c r="D2597" t="inlineStr">
        <is>
          <t>GÄVLEBORGS LÄN</t>
        </is>
      </c>
      <c r="E2597" t="inlineStr">
        <is>
          <t>BOLLNÄS</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63128-2020</t>
        </is>
      </c>
      <c r="B2598" s="1" t="n">
        <v>44162</v>
      </c>
      <c r="C2598" s="1" t="n">
        <v>45587</v>
      </c>
      <c r="D2598" t="inlineStr">
        <is>
          <t>GÄVLEBORGS LÄN</t>
        </is>
      </c>
      <c r="E2598" t="inlineStr">
        <is>
          <t>OVANÅKER</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63081-2020</t>
        </is>
      </c>
      <c r="B2599" s="1" t="n">
        <v>44162</v>
      </c>
      <c r="C2599" s="1" t="n">
        <v>45587</v>
      </c>
      <c r="D2599" t="inlineStr">
        <is>
          <t>GÄVLEBORGS LÄN</t>
        </is>
      </c>
      <c r="E2599" t="inlineStr">
        <is>
          <t>LJUSDAL</t>
        </is>
      </c>
      <c r="F2599" t="inlineStr">
        <is>
          <t>Sveaskog</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63359-2020</t>
        </is>
      </c>
      <c r="B2600" s="1" t="n">
        <v>44165</v>
      </c>
      <c r="C2600" s="1" t="n">
        <v>45587</v>
      </c>
      <c r="D2600" t="inlineStr">
        <is>
          <t>GÄVLEBORGS LÄN</t>
        </is>
      </c>
      <c r="E2600" t="inlineStr">
        <is>
          <t>OCKELBO</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63370-2020</t>
        </is>
      </c>
      <c r="B2601" s="1" t="n">
        <v>44165</v>
      </c>
      <c r="C2601" s="1" t="n">
        <v>45587</v>
      </c>
      <c r="D2601" t="inlineStr">
        <is>
          <t>GÄVLEBORGS LÄN</t>
        </is>
      </c>
      <c r="E2601" t="inlineStr">
        <is>
          <t>OCKELBO</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63366-2020</t>
        </is>
      </c>
      <c r="B2602" s="1" t="n">
        <v>44165</v>
      </c>
      <c r="C2602" s="1" t="n">
        <v>45587</v>
      </c>
      <c r="D2602" t="inlineStr">
        <is>
          <t>GÄVLEBORGS LÄN</t>
        </is>
      </c>
      <c r="E2602" t="inlineStr">
        <is>
          <t>OCKELBO</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63361-2020</t>
        </is>
      </c>
      <c r="B2603" s="1" t="n">
        <v>44165</v>
      </c>
      <c r="C2603" s="1" t="n">
        <v>45587</v>
      </c>
      <c r="D2603" t="inlineStr">
        <is>
          <t>GÄVLEBORGS LÄN</t>
        </is>
      </c>
      <c r="E2603" t="inlineStr">
        <is>
          <t>BOLLNÄS</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63519-2020</t>
        </is>
      </c>
      <c r="B2604" s="1" t="n">
        <v>44165</v>
      </c>
      <c r="C2604" s="1" t="n">
        <v>45587</v>
      </c>
      <c r="D2604" t="inlineStr">
        <is>
          <t>GÄVLEBORGS LÄN</t>
        </is>
      </c>
      <c r="E2604" t="inlineStr">
        <is>
          <t>OCKELBO</t>
        </is>
      </c>
      <c r="F2604" t="inlineStr">
        <is>
          <t>Bergvik skog väst AB</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63877-2020</t>
        </is>
      </c>
      <c r="B2605" s="1" t="n">
        <v>44166</v>
      </c>
      <c r="C2605" s="1" t="n">
        <v>45587</v>
      </c>
      <c r="D2605" t="inlineStr">
        <is>
          <t>GÄVLEBORGS LÄN</t>
        </is>
      </c>
      <c r="E2605" t="inlineStr">
        <is>
          <t>BOLLNÄS</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63812-2020</t>
        </is>
      </c>
      <c r="B2606" s="1" t="n">
        <v>44166</v>
      </c>
      <c r="C2606" s="1" t="n">
        <v>45587</v>
      </c>
      <c r="D2606" t="inlineStr">
        <is>
          <t>GÄVLEBORGS LÄN</t>
        </is>
      </c>
      <c r="E2606" t="inlineStr">
        <is>
          <t>OCKELBO</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64307-2020</t>
        </is>
      </c>
      <c r="B2607" s="1" t="n">
        <v>44166</v>
      </c>
      <c r="C2607" s="1" t="n">
        <v>45587</v>
      </c>
      <c r="D2607" t="inlineStr">
        <is>
          <t>GÄVLEBORGS LÄN</t>
        </is>
      </c>
      <c r="E2607" t="inlineStr">
        <is>
          <t>LJUSDAL</t>
        </is>
      </c>
      <c r="G2607" t="n">
        <v>9.1</v>
      </c>
      <c r="H2607" t="n">
        <v>0</v>
      </c>
      <c r="I2607" t="n">
        <v>0</v>
      </c>
      <c r="J2607" t="n">
        <v>0</v>
      </c>
      <c r="K2607" t="n">
        <v>0</v>
      </c>
      <c r="L2607" t="n">
        <v>0</v>
      </c>
      <c r="M2607" t="n">
        <v>0</v>
      </c>
      <c r="N2607" t="n">
        <v>0</v>
      </c>
      <c r="O2607" t="n">
        <v>0</v>
      </c>
      <c r="P2607" t="n">
        <v>0</v>
      </c>
      <c r="Q2607" t="n">
        <v>0</v>
      </c>
      <c r="R2607" s="2" t="inlineStr"/>
    </row>
    <row r="2608" ht="15" customHeight="1">
      <c r="A2608" t="inlineStr">
        <is>
          <t>A 64088-2020</t>
        </is>
      </c>
      <c r="B2608" s="1" t="n">
        <v>44167</v>
      </c>
      <c r="C2608" s="1" t="n">
        <v>45587</v>
      </c>
      <c r="D2608" t="inlineStr">
        <is>
          <t>GÄVLEBORGS LÄN</t>
        </is>
      </c>
      <c r="E2608" t="inlineStr">
        <is>
          <t>OVANÅKER</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64117-2020</t>
        </is>
      </c>
      <c r="B2609" s="1" t="n">
        <v>44167</v>
      </c>
      <c r="C2609" s="1" t="n">
        <v>45587</v>
      </c>
      <c r="D2609" t="inlineStr">
        <is>
          <t>GÄVLEBORGS LÄN</t>
        </is>
      </c>
      <c r="E2609" t="inlineStr">
        <is>
          <t>OVANÅKER</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63951-2020</t>
        </is>
      </c>
      <c r="B2610" s="1" t="n">
        <v>44167</v>
      </c>
      <c r="C2610" s="1" t="n">
        <v>45587</v>
      </c>
      <c r="D2610" t="inlineStr">
        <is>
          <t>GÄVLEBORGS LÄN</t>
        </is>
      </c>
      <c r="E2610" t="inlineStr">
        <is>
          <t>HOFORS</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63963-2020</t>
        </is>
      </c>
      <c r="B2611" s="1" t="n">
        <v>44167</v>
      </c>
      <c r="C2611" s="1" t="n">
        <v>45587</v>
      </c>
      <c r="D2611" t="inlineStr">
        <is>
          <t>GÄVLEBORGS LÄN</t>
        </is>
      </c>
      <c r="E2611" t="inlineStr">
        <is>
          <t>OVANÅKER</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64008-2020</t>
        </is>
      </c>
      <c r="B2612" s="1" t="n">
        <v>44167</v>
      </c>
      <c r="C2612" s="1" t="n">
        <v>45587</v>
      </c>
      <c r="D2612" t="inlineStr">
        <is>
          <t>GÄVLEBORGS LÄN</t>
        </is>
      </c>
      <c r="E2612" t="inlineStr">
        <is>
          <t>OVANÅKER</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64044-2020</t>
        </is>
      </c>
      <c r="B2613" s="1" t="n">
        <v>44167</v>
      </c>
      <c r="C2613" s="1" t="n">
        <v>45587</v>
      </c>
      <c r="D2613" t="inlineStr">
        <is>
          <t>GÄVLEBORGS LÄN</t>
        </is>
      </c>
      <c r="E2613" t="inlineStr">
        <is>
          <t>OVANÅKER</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64010-2020</t>
        </is>
      </c>
      <c r="B2614" s="1" t="n">
        <v>44167</v>
      </c>
      <c r="C2614" s="1" t="n">
        <v>45587</v>
      </c>
      <c r="D2614" t="inlineStr">
        <is>
          <t>GÄVLEBORGS LÄN</t>
        </is>
      </c>
      <c r="E2614" t="inlineStr">
        <is>
          <t>OVANÅKER</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64040-2020</t>
        </is>
      </c>
      <c r="B2615" s="1" t="n">
        <v>44167</v>
      </c>
      <c r="C2615" s="1" t="n">
        <v>45587</v>
      </c>
      <c r="D2615" t="inlineStr">
        <is>
          <t>GÄVLEBORGS LÄN</t>
        </is>
      </c>
      <c r="E2615" t="inlineStr">
        <is>
          <t>LJUSDAL</t>
        </is>
      </c>
      <c r="F2615" t="inlineStr">
        <is>
          <t>Bergvik skog väst AB</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64175-2020</t>
        </is>
      </c>
      <c r="B2616" s="1" t="n">
        <v>44167</v>
      </c>
      <c r="C2616" s="1" t="n">
        <v>45587</v>
      </c>
      <c r="D2616" t="inlineStr">
        <is>
          <t>GÄVLEBORGS LÄN</t>
        </is>
      </c>
      <c r="E2616" t="inlineStr">
        <is>
          <t>BOLLNÄS</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64173-2020</t>
        </is>
      </c>
      <c r="B2617" s="1" t="n">
        <v>44167</v>
      </c>
      <c r="C2617" s="1" t="n">
        <v>45587</v>
      </c>
      <c r="D2617" t="inlineStr">
        <is>
          <t>GÄVLEBORGS LÄN</t>
        </is>
      </c>
      <c r="E2617" t="inlineStr">
        <is>
          <t>NORDANSTIG</t>
        </is>
      </c>
      <c r="F2617" t="inlineStr">
        <is>
          <t>Holmen skog AB</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64284-2020</t>
        </is>
      </c>
      <c r="B2618" s="1" t="n">
        <v>44168</v>
      </c>
      <c r="C2618" s="1" t="n">
        <v>45587</v>
      </c>
      <c r="D2618" t="inlineStr">
        <is>
          <t>GÄVLEBORGS LÄN</t>
        </is>
      </c>
      <c r="E2618" t="inlineStr">
        <is>
          <t>OCKELBO</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64289-2020</t>
        </is>
      </c>
      <c r="B2619" s="1" t="n">
        <v>44168</v>
      </c>
      <c r="C2619" s="1" t="n">
        <v>45587</v>
      </c>
      <c r="D2619" t="inlineStr">
        <is>
          <t>GÄVLEBORGS LÄN</t>
        </is>
      </c>
      <c r="E2619" t="inlineStr">
        <is>
          <t>OCKELBO</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64350-2020</t>
        </is>
      </c>
      <c r="B2620" s="1" t="n">
        <v>44168</v>
      </c>
      <c r="C2620" s="1" t="n">
        <v>45587</v>
      </c>
      <c r="D2620" t="inlineStr">
        <is>
          <t>GÄVLEBORGS LÄN</t>
        </is>
      </c>
      <c r="E2620" t="inlineStr">
        <is>
          <t>HUDIKSVALL</t>
        </is>
      </c>
      <c r="F2620" t="inlineStr">
        <is>
          <t>Holmen skog AB</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64387-2020</t>
        </is>
      </c>
      <c r="B2621" s="1" t="n">
        <v>44168</v>
      </c>
      <c r="C2621" s="1" t="n">
        <v>45587</v>
      </c>
      <c r="D2621" t="inlineStr">
        <is>
          <t>GÄVLEBORGS LÄN</t>
        </is>
      </c>
      <c r="E2621" t="inlineStr">
        <is>
          <t>SANDVIKEN</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64512-2020</t>
        </is>
      </c>
      <c r="B2622" s="1" t="n">
        <v>44168</v>
      </c>
      <c r="C2622" s="1" t="n">
        <v>45587</v>
      </c>
      <c r="D2622" t="inlineStr">
        <is>
          <t>GÄVLEBORGS LÄN</t>
        </is>
      </c>
      <c r="E2622" t="inlineStr">
        <is>
          <t>HUDIKSVALL</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64685-2020</t>
        </is>
      </c>
      <c r="B2623" s="1" t="n">
        <v>44169</v>
      </c>
      <c r="C2623" s="1" t="n">
        <v>45587</v>
      </c>
      <c r="D2623" t="inlineStr">
        <is>
          <t>GÄVLEBORGS LÄN</t>
        </is>
      </c>
      <c r="E2623" t="inlineStr">
        <is>
          <t>BOLLNÄS</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64654-2020</t>
        </is>
      </c>
      <c r="B2624" s="1" t="n">
        <v>44169</v>
      </c>
      <c r="C2624" s="1" t="n">
        <v>45587</v>
      </c>
      <c r="D2624" t="inlineStr">
        <is>
          <t>GÄVLEBORGS LÄN</t>
        </is>
      </c>
      <c r="E2624" t="inlineStr">
        <is>
          <t>OVANÅKER</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64730-2020</t>
        </is>
      </c>
      <c r="B2625" s="1" t="n">
        <v>44169</v>
      </c>
      <c r="C2625" s="1" t="n">
        <v>45587</v>
      </c>
      <c r="D2625" t="inlineStr">
        <is>
          <t>GÄVLEBORGS LÄN</t>
        </is>
      </c>
      <c r="E2625" t="inlineStr">
        <is>
          <t>OVANÅKER</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64860-2020</t>
        </is>
      </c>
      <c r="B2626" s="1" t="n">
        <v>44171</v>
      </c>
      <c r="C2626" s="1" t="n">
        <v>45587</v>
      </c>
      <c r="D2626" t="inlineStr">
        <is>
          <t>GÄVLEBORGS LÄN</t>
        </is>
      </c>
      <c r="E2626" t="inlineStr">
        <is>
          <t>SANDVIKEN</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64905-2020</t>
        </is>
      </c>
      <c r="B2627" s="1" t="n">
        <v>44172</v>
      </c>
      <c r="C2627" s="1" t="n">
        <v>45587</v>
      </c>
      <c r="D2627" t="inlineStr">
        <is>
          <t>GÄVLEBORGS LÄN</t>
        </is>
      </c>
      <c r="E2627" t="inlineStr">
        <is>
          <t>HUDIKSVALL</t>
        </is>
      </c>
      <c r="F2627" t="inlineStr">
        <is>
          <t>Holmen skog AB</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64967-2020</t>
        </is>
      </c>
      <c r="B2628" s="1" t="n">
        <v>44172</v>
      </c>
      <c r="C2628" s="1" t="n">
        <v>45587</v>
      </c>
      <c r="D2628" t="inlineStr">
        <is>
          <t>GÄVLEBORGS LÄN</t>
        </is>
      </c>
      <c r="E2628" t="inlineStr">
        <is>
          <t>HUDIKSVALL</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65221-2020</t>
        </is>
      </c>
      <c r="B2629" s="1" t="n">
        <v>44172</v>
      </c>
      <c r="C2629" s="1" t="n">
        <v>45587</v>
      </c>
      <c r="D2629" t="inlineStr">
        <is>
          <t>GÄVLEBORGS LÄN</t>
        </is>
      </c>
      <c r="E2629" t="inlineStr">
        <is>
          <t>SÖDERHAMN</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65025-2020</t>
        </is>
      </c>
      <c r="B2630" s="1" t="n">
        <v>44172</v>
      </c>
      <c r="C2630" s="1" t="n">
        <v>45587</v>
      </c>
      <c r="D2630" t="inlineStr">
        <is>
          <t>GÄVLEBORGS LÄN</t>
        </is>
      </c>
      <c r="E2630" t="inlineStr">
        <is>
          <t>SANDVIKEN</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65038-2020</t>
        </is>
      </c>
      <c r="B2631" s="1" t="n">
        <v>44172</v>
      </c>
      <c r="C2631" s="1" t="n">
        <v>45587</v>
      </c>
      <c r="D2631" t="inlineStr">
        <is>
          <t>GÄVLEBORGS LÄN</t>
        </is>
      </c>
      <c r="E2631" t="inlineStr">
        <is>
          <t>HUDIKSVALL</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65089-2020</t>
        </is>
      </c>
      <c r="B2632" s="1" t="n">
        <v>44172</v>
      </c>
      <c r="C2632" s="1" t="n">
        <v>45587</v>
      </c>
      <c r="D2632" t="inlineStr">
        <is>
          <t>GÄVLEBORGS LÄN</t>
        </is>
      </c>
      <c r="E2632" t="inlineStr">
        <is>
          <t>NORDANSTIG</t>
        </is>
      </c>
      <c r="F2632" t="inlineStr">
        <is>
          <t>Holmen skog AB</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65259-2020</t>
        </is>
      </c>
      <c r="B2633" s="1" t="n">
        <v>44172</v>
      </c>
      <c r="C2633" s="1" t="n">
        <v>45587</v>
      </c>
      <c r="D2633" t="inlineStr">
        <is>
          <t>GÄVLEBORGS LÄN</t>
        </is>
      </c>
      <c r="E2633" t="inlineStr">
        <is>
          <t>NORDANSTIG</t>
        </is>
      </c>
      <c r="F2633" t="inlineStr">
        <is>
          <t>SCA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65684-2020</t>
        </is>
      </c>
      <c r="B2634" s="1" t="n">
        <v>44172</v>
      </c>
      <c r="C2634" s="1" t="n">
        <v>45587</v>
      </c>
      <c r="D2634" t="inlineStr">
        <is>
          <t>GÄVLEBORGS LÄN</t>
        </is>
      </c>
      <c r="E2634" t="inlineStr">
        <is>
          <t>OCKELBO</t>
        </is>
      </c>
      <c r="G2634" t="n">
        <v>2.8</v>
      </c>
      <c r="H2634" t="n">
        <v>0</v>
      </c>
      <c r="I2634" t="n">
        <v>0</v>
      </c>
      <c r="J2634" t="n">
        <v>0</v>
      </c>
      <c r="K2634" t="n">
        <v>0</v>
      </c>
      <c r="L2634" t="n">
        <v>0</v>
      </c>
      <c r="M2634" t="n">
        <v>0</v>
      </c>
      <c r="N2634" t="n">
        <v>0</v>
      </c>
      <c r="O2634" t="n">
        <v>0</v>
      </c>
      <c r="P2634" t="n">
        <v>0</v>
      </c>
      <c r="Q2634" t="n">
        <v>0</v>
      </c>
      <c r="R2634" s="2" t="inlineStr"/>
      <c r="U2634">
        <f>HYPERLINK("https://klasma.github.io/Logging_2101/knärot/A 65684-2020 karta knärot.png", "A 65684-2020")</f>
        <v/>
      </c>
      <c r="V2634">
        <f>HYPERLINK("https://klasma.github.io/Logging_2101/klagomål/A 65684-2020 FSC-klagomål.docx", "A 65684-2020")</f>
        <v/>
      </c>
      <c r="W2634">
        <f>HYPERLINK("https://klasma.github.io/Logging_2101/klagomålsmail/A 65684-2020 FSC-klagomål mail.docx", "A 65684-2020")</f>
        <v/>
      </c>
      <c r="X2634">
        <f>HYPERLINK("https://klasma.github.io/Logging_2101/tillsyn/A 65684-2020 tillsynsbegäran.docx", "A 65684-2020")</f>
        <v/>
      </c>
      <c r="Y2634">
        <f>HYPERLINK("https://klasma.github.io/Logging_2101/tillsynsmail/A 65684-2020 tillsynsbegäran mail.docx", "A 65684-2020")</f>
        <v/>
      </c>
    </row>
    <row r="2635" ht="15" customHeight="1">
      <c r="A2635" t="inlineStr">
        <is>
          <t>A 65531-2020</t>
        </is>
      </c>
      <c r="B2635" s="1" t="n">
        <v>44173</v>
      </c>
      <c r="C2635" s="1" t="n">
        <v>45587</v>
      </c>
      <c r="D2635" t="inlineStr">
        <is>
          <t>GÄVLEBORGS LÄN</t>
        </is>
      </c>
      <c r="E2635" t="inlineStr">
        <is>
          <t>HUDIKSVALL</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65806-2020</t>
        </is>
      </c>
      <c r="B2636" s="1" t="n">
        <v>44174</v>
      </c>
      <c r="C2636" s="1" t="n">
        <v>45587</v>
      </c>
      <c r="D2636" t="inlineStr">
        <is>
          <t>GÄVLEBORGS LÄN</t>
        </is>
      </c>
      <c r="E2636" t="inlineStr">
        <is>
          <t>OVANÅKER</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65835-2020</t>
        </is>
      </c>
      <c r="B2637" s="1" t="n">
        <v>44174</v>
      </c>
      <c r="C2637" s="1" t="n">
        <v>45587</v>
      </c>
      <c r="D2637" t="inlineStr">
        <is>
          <t>GÄVLEBORGS LÄN</t>
        </is>
      </c>
      <c r="E2637" t="inlineStr">
        <is>
          <t>HUDIKSVALL</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65689-2020</t>
        </is>
      </c>
      <c r="B2638" s="1" t="n">
        <v>44174</v>
      </c>
      <c r="C2638" s="1" t="n">
        <v>45587</v>
      </c>
      <c r="D2638" t="inlineStr">
        <is>
          <t>GÄVLEBORGS LÄN</t>
        </is>
      </c>
      <c r="E2638" t="inlineStr">
        <is>
          <t>OVANÅKER</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65802-2020</t>
        </is>
      </c>
      <c r="B2639" s="1" t="n">
        <v>44174</v>
      </c>
      <c r="C2639" s="1" t="n">
        <v>45587</v>
      </c>
      <c r="D2639" t="inlineStr">
        <is>
          <t>GÄVLEBORGS LÄN</t>
        </is>
      </c>
      <c r="E2639" t="inlineStr">
        <is>
          <t>HUDIKSVALL</t>
        </is>
      </c>
      <c r="F2639" t="inlineStr">
        <is>
          <t>Holmen skog AB</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65837-2020</t>
        </is>
      </c>
      <c r="B2640" s="1" t="n">
        <v>44174</v>
      </c>
      <c r="C2640" s="1" t="n">
        <v>45587</v>
      </c>
      <c r="D2640" t="inlineStr">
        <is>
          <t>GÄVLEBORGS LÄN</t>
        </is>
      </c>
      <c r="E2640" t="inlineStr">
        <is>
          <t>HUDIKSVALL</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65862-2020</t>
        </is>
      </c>
      <c r="B2641" s="1" t="n">
        <v>44174</v>
      </c>
      <c r="C2641" s="1" t="n">
        <v>45587</v>
      </c>
      <c r="D2641" t="inlineStr">
        <is>
          <t>GÄVLEBORGS LÄN</t>
        </is>
      </c>
      <c r="E2641" t="inlineStr">
        <is>
          <t>LJUSDAL</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65842-2020</t>
        </is>
      </c>
      <c r="B2642" s="1" t="n">
        <v>44174</v>
      </c>
      <c r="C2642" s="1" t="n">
        <v>45587</v>
      </c>
      <c r="D2642" t="inlineStr">
        <is>
          <t>GÄVLEBORGS LÄN</t>
        </is>
      </c>
      <c r="E2642" t="inlineStr">
        <is>
          <t>NORDANSTIG</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65841-2020</t>
        </is>
      </c>
      <c r="B2643" s="1" t="n">
        <v>44174</v>
      </c>
      <c r="C2643" s="1" t="n">
        <v>45587</v>
      </c>
      <c r="D2643" t="inlineStr">
        <is>
          <t>GÄVLEBORGS LÄN</t>
        </is>
      </c>
      <c r="E2643" t="inlineStr">
        <is>
          <t>HUDIKSVALL</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65865-2020</t>
        </is>
      </c>
      <c r="B2644" s="1" t="n">
        <v>44174</v>
      </c>
      <c r="C2644" s="1" t="n">
        <v>45587</v>
      </c>
      <c r="D2644" t="inlineStr">
        <is>
          <t>GÄVLEBORGS LÄN</t>
        </is>
      </c>
      <c r="E2644" t="inlineStr">
        <is>
          <t>LJUSDAL</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66101-2020</t>
        </is>
      </c>
      <c r="B2645" s="1" t="n">
        <v>44175</v>
      </c>
      <c r="C2645" s="1" t="n">
        <v>45587</v>
      </c>
      <c r="D2645" t="inlineStr">
        <is>
          <t>GÄVLEBORGS LÄN</t>
        </is>
      </c>
      <c r="E2645" t="inlineStr">
        <is>
          <t>SÖDERHAMN</t>
        </is>
      </c>
      <c r="G2645" t="n">
        <v>7.2</v>
      </c>
      <c r="H2645" t="n">
        <v>0</v>
      </c>
      <c r="I2645" t="n">
        <v>0</v>
      </c>
      <c r="J2645" t="n">
        <v>0</v>
      </c>
      <c r="K2645" t="n">
        <v>0</v>
      </c>
      <c r="L2645" t="n">
        <v>0</v>
      </c>
      <c r="M2645" t="n">
        <v>0</v>
      </c>
      <c r="N2645" t="n">
        <v>0</v>
      </c>
      <c r="O2645" t="n">
        <v>0</v>
      </c>
      <c r="P2645" t="n">
        <v>0</v>
      </c>
      <c r="Q2645" t="n">
        <v>0</v>
      </c>
      <c r="R2645" s="2" t="inlineStr"/>
    </row>
    <row r="2646" ht="15" customHeight="1">
      <c r="A2646" t="inlineStr">
        <is>
          <t>A 66006-2020</t>
        </is>
      </c>
      <c r="B2646" s="1" t="n">
        <v>44175</v>
      </c>
      <c r="C2646" s="1" t="n">
        <v>45587</v>
      </c>
      <c r="D2646" t="inlineStr">
        <is>
          <t>GÄVLEBORGS LÄN</t>
        </is>
      </c>
      <c r="E2646" t="inlineStr">
        <is>
          <t>GÄVLE</t>
        </is>
      </c>
      <c r="F2646" t="inlineStr">
        <is>
          <t>Bergvik skog väst AB</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66346-2020</t>
        </is>
      </c>
      <c r="B2647" s="1" t="n">
        <v>44176</v>
      </c>
      <c r="C2647" s="1" t="n">
        <v>45587</v>
      </c>
      <c r="D2647" t="inlineStr">
        <is>
          <t>GÄVLEBORGS LÄN</t>
        </is>
      </c>
      <c r="E2647" t="inlineStr">
        <is>
          <t>GÄVLE</t>
        </is>
      </c>
      <c r="F2647" t="inlineStr">
        <is>
          <t>Bergvik skog öst AB</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66343-2020</t>
        </is>
      </c>
      <c r="B2648" s="1" t="n">
        <v>44176</v>
      </c>
      <c r="C2648" s="1" t="n">
        <v>45587</v>
      </c>
      <c r="D2648" t="inlineStr">
        <is>
          <t>GÄVLEBORGS LÄN</t>
        </is>
      </c>
      <c r="E2648" t="inlineStr">
        <is>
          <t>GÄVLE</t>
        </is>
      </c>
      <c r="F2648" t="inlineStr">
        <is>
          <t>Bergvik skog öst AB</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66442-2020</t>
        </is>
      </c>
      <c r="B2649" s="1" t="n">
        <v>44176</v>
      </c>
      <c r="C2649" s="1" t="n">
        <v>45587</v>
      </c>
      <c r="D2649" t="inlineStr">
        <is>
          <t>GÄVLEBORGS LÄN</t>
        </is>
      </c>
      <c r="E2649" t="inlineStr">
        <is>
          <t>OCKELBO</t>
        </is>
      </c>
      <c r="F2649" t="inlineStr">
        <is>
          <t>Bergvik skog väst AB</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66342-2020</t>
        </is>
      </c>
      <c r="B2650" s="1" t="n">
        <v>44176</v>
      </c>
      <c r="C2650" s="1" t="n">
        <v>45587</v>
      </c>
      <c r="D2650" t="inlineStr">
        <is>
          <t>GÄVLEBORGS LÄN</t>
        </is>
      </c>
      <c r="E2650" t="inlineStr">
        <is>
          <t>BOLLNÄS</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66279-2020</t>
        </is>
      </c>
      <c r="B2651" s="1" t="n">
        <v>44176</v>
      </c>
      <c r="C2651" s="1" t="n">
        <v>45587</v>
      </c>
      <c r="D2651" t="inlineStr">
        <is>
          <t>GÄVLEBORGS LÄN</t>
        </is>
      </c>
      <c r="E2651" t="inlineStr">
        <is>
          <t>LJUSDAL</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67015-2020</t>
        </is>
      </c>
      <c r="B2652" s="1" t="n">
        <v>44176</v>
      </c>
      <c r="C2652" s="1" t="n">
        <v>45587</v>
      </c>
      <c r="D2652" t="inlineStr">
        <is>
          <t>GÄVLEBORGS LÄN</t>
        </is>
      </c>
      <c r="E2652" t="inlineStr">
        <is>
          <t>OCKELBO</t>
        </is>
      </c>
      <c r="G2652" t="n">
        <v>21.8</v>
      </c>
      <c r="H2652" t="n">
        <v>0</v>
      </c>
      <c r="I2652" t="n">
        <v>0</v>
      </c>
      <c r="J2652" t="n">
        <v>0</v>
      </c>
      <c r="K2652" t="n">
        <v>0</v>
      </c>
      <c r="L2652" t="n">
        <v>0</v>
      </c>
      <c r="M2652" t="n">
        <v>0</v>
      </c>
      <c r="N2652" t="n">
        <v>0</v>
      </c>
      <c r="O2652" t="n">
        <v>0</v>
      </c>
      <c r="P2652" t="n">
        <v>0</v>
      </c>
      <c r="Q2652" t="n">
        <v>0</v>
      </c>
      <c r="R2652" s="2" t="inlineStr"/>
    </row>
    <row r="2653" ht="15" customHeight="1">
      <c r="A2653" t="inlineStr">
        <is>
          <t>A 66458-2020</t>
        </is>
      </c>
      <c r="B2653" s="1" t="n">
        <v>44176</v>
      </c>
      <c r="C2653" s="1" t="n">
        <v>45587</v>
      </c>
      <c r="D2653" t="inlineStr">
        <is>
          <t>GÄVLEBORGS LÄN</t>
        </is>
      </c>
      <c r="E2653" t="inlineStr">
        <is>
          <t>SÖDERHAMN</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66468-2020</t>
        </is>
      </c>
      <c r="B2654" s="1" t="n">
        <v>44176</v>
      </c>
      <c r="C2654" s="1" t="n">
        <v>45587</v>
      </c>
      <c r="D2654" t="inlineStr">
        <is>
          <t>GÄVLEBORGS LÄN</t>
        </is>
      </c>
      <c r="E2654" t="inlineStr">
        <is>
          <t>HUDIKSVALL</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66274-2020</t>
        </is>
      </c>
      <c r="B2655" s="1" t="n">
        <v>44176</v>
      </c>
      <c r="C2655" s="1" t="n">
        <v>45587</v>
      </c>
      <c r="D2655" t="inlineStr">
        <is>
          <t>GÄVLEBORGS LÄN</t>
        </is>
      </c>
      <c r="E2655" t="inlineStr">
        <is>
          <t>OCKELBO</t>
        </is>
      </c>
      <c r="G2655" t="n">
        <v>5.4</v>
      </c>
      <c r="H2655" t="n">
        <v>0</v>
      </c>
      <c r="I2655" t="n">
        <v>0</v>
      </c>
      <c r="J2655" t="n">
        <v>0</v>
      </c>
      <c r="K2655" t="n">
        <v>0</v>
      </c>
      <c r="L2655" t="n">
        <v>0</v>
      </c>
      <c r="M2655" t="n">
        <v>0</v>
      </c>
      <c r="N2655" t="n">
        <v>0</v>
      </c>
      <c r="O2655" t="n">
        <v>0</v>
      </c>
      <c r="P2655" t="n">
        <v>0</v>
      </c>
      <c r="Q2655" t="n">
        <v>0</v>
      </c>
      <c r="R2655" s="2" t="inlineStr"/>
    </row>
    <row r="2656" ht="15" customHeight="1">
      <c r="A2656" t="inlineStr">
        <is>
          <t>A 66490-2020</t>
        </is>
      </c>
      <c r="B2656" s="1" t="n">
        <v>44177</v>
      </c>
      <c r="C2656" s="1" t="n">
        <v>45587</v>
      </c>
      <c r="D2656" t="inlineStr">
        <is>
          <t>GÄVLEBORGS LÄN</t>
        </is>
      </c>
      <c r="E2656" t="inlineStr">
        <is>
          <t>HUDIKSVALL</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66491-2020</t>
        </is>
      </c>
      <c r="B2657" s="1" t="n">
        <v>44177</v>
      </c>
      <c r="C2657" s="1" t="n">
        <v>45587</v>
      </c>
      <c r="D2657" t="inlineStr">
        <is>
          <t>GÄVLEBORGS LÄN</t>
        </is>
      </c>
      <c r="E2657" t="inlineStr">
        <is>
          <t>HUDIKSVALL</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66577-2020</t>
        </is>
      </c>
      <c r="B2658" s="1" t="n">
        <v>44179</v>
      </c>
      <c r="C2658" s="1" t="n">
        <v>45587</v>
      </c>
      <c r="D2658" t="inlineStr">
        <is>
          <t>GÄVLEBORGS LÄN</t>
        </is>
      </c>
      <c r="E2658" t="inlineStr">
        <is>
          <t>HUDIKSVALL</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66584-2020</t>
        </is>
      </c>
      <c r="B2659" s="1" t="n">
        <v>44179</v>
      </c>
      <c r="C2659" s="1" t="n">
        <v>45587</v>
      </c>
      <c r="D2659" t="inlineStr">
        <is>
          <t>GÄVLEBORGS LÄN</t>
        </is>
      </c>
      <c r="E2659" t="inlineStr">
        <is>
          <t>HUDIKSVALL</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66611-2020</t>
        </is>
      </c>
      <c r="B2660" s="1" t="n">
        <v>44179</v>
      </c>
      <c r="C2660" s="1" t="n">
        <v>45587</v>
      </c>
      <c r="D2660" t="inlineStr">
        <is>
          <t>GÄVLEBORGS LÄN</t>
        </is>
      </c>
      <c r="E2660" t="inlineStr">
        <is>
          <t>OCKELBO</t>
        </is>
      </c>
      <c r="F2660" t="inlineStr">
        <is>
          <t>Bergvik skog väst AB</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66690-2020</t>
        </is>
      </c>
      <c r="B2661" s="1" t="n">
        <v>44179</v>
      </c>
      <c r="C2661" s="1" t="n">
        <v>45587</v>
      </c>
      <c r="D2661" t="inlineStr">
        <is>
          <t>GÄVLEBORGS LÄN</t>
        </is>
      </c>
      <c r="E2661" t="inlineStr">
        <is>
          <t>HUDIKSVALL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66735-2020</t>
        </is>
      </c>
      <c r="B2662" s="1" t="n">
        <v>44179</v>
      </c>
      <c r="C2662" s="1" t="n">
        <v>45587</v>
      </c>
      <c r="D2662" t="inlineStr">
        <is>
          <t>GÄVLEBORGS LÄN</t>
        </is>
      </c>
      <c r="E2662" t="inlineStr">
        <is>
          <t>LJUSDAL</t>
        </is>
      </c>
      <c r="F2662" t="inlineStr">
        <is>
          <t>Holmen skog AB</t>
        </is>
      </c>
      <c r="G2662" t="n">
        <v>12.6</v>
      </c>
      <c r="H2662" t="n">
        <v>0</v>
      </c>
      <c r="I2662" t="n">
        <v>0</v>
      </c>
      <c r="J2662" t="n">
        <v>0</v>
      </c>
      <c r="K2662" t="n">
        <v>0</v>
      </c>
      <c r="L2662" t="n">
        <v>0</v>
      </c>
      <c r="M2662" t="n">
        <v>0</v>
      </c>
      <c r="N2662" t="n">
        <v>0</v>
      </c>
      <c r="O2662" t="n">
        <v>0</v>
      </c>
      <c r="P2662" t="n">
        <v>0</v>
      </c>
      <c r="Q2662" t="n">
        <v>0</v>
      </c>
      <c r="R2662" s="2" t="inlineStr"/>
    </row>
    <row r="2663" ht="15" customHeight="1">
      <c r="A2663" t="inlineStr">
        <is>
          <t>A 66800-2020</t>
        </is>
      </c>
      <c r="B2663" s="1" t="n">
        <v>44179</v>
      </c>
      <c r="C2663" s="1" t="n">
        <v>45587</v>
      </c>
      <c r="D2663" t="inlineStr">
        <is>
          <t>GÄVLEBORGS LÄN</t>
        </is>
      </c>
      <c r="E2663" t="inlineStr">
        <is>
          <t>SÖDERHAMN</t>
        </is>
      </c>
      <c r="F2663" t="inlineStr">
        <is>
          <t>Bergvik skog väst AB</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67069-2020</t>
        </is>
      </c>
      <c r="B2664" s="1" t="n">
        <v>44180</v>
      </c>
      <c r="C2664" s="1" t="n">
        <v>45587</v>
      </c>
      <c r="D2664" t="inlineStr">
        <is>
          <t>GÄVLEBORGS LÄN</t>
        </is>
      </c>
      <c r="E2664" t="inlineStr">
        <is>
          <t>BOLLNÄS</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67128-2020</t>
        </is>
      </c>
      <c r="B2665" s="1" t="n">
        <v>44180</v>
      </c>
      <c r="C2665" s="1" t="n">
        <v>45587</v>
      </c>
      <c r="D2665" t="inlineStr">
        <is>
          <t>GÄVLEBORGS LÄN</t>
        </is>
      </c>
      <c r="E2665" t="inlineStr">
        <is>
          <t>BOLLNÄS</t>
        </is>
      </c>
      <c r="F2665" t="inlineStr">
        <is>
          <t>Sveaskog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66902-2020</t>
        </is>
      </c>
      <c r="B2666" s="1" t="n">
        <v>44180</v>
      </c>
      <c r="C2666" s="1" t="n">
        <v>45587</v>
      </c>
      <c r="D2666" t="inlineStr">
        <is>
          <t>GÄVLEBORGS LÄN</t>
        </is>
      </c>
      <c r="E2666" t="inlineStr">
        <is>
          <t>SANDVIKEN</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66980-2020</t>
        </is>
      </c>
      <c r="B2667" s="1" t="n">
        <v>44180</v>
      </c>
      <c r="C2667" s="1" t="n">
        <v>45587</v>
      </c>
      <c r="D2667" t="inlineStr">
        <is>
          <t>GÄVLEBORGS LÄN</t>
        </is>
      </c>
      <c r="E2667" t="inlineStr">
        <is>
          <t>BOLLNÄS</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66995-2020</t>
        </is>
      </c>
      <c r="B2668" s="1" t="n">
        <v>44180</v>
      </c>
      <c r="C2668" s="1" t="n">
        <v>45587</v>
      </c>
      <c r="D2668" t="inlineStr">
        <is>
          <t>GÄVLEBORGS LÄN</t>
        </is>
      </c>
      <c r="E2668" t="inlineStr">
        <is>
          <t>HUDIKSVALL</t>
        </is>
      </c>
      <c r="F2668" t="inlineStr">
        <is>
          <t>Holmen skog AB</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67064-2020</t>
        </is>
      </c>
      <c r="B2669" s="1" t="n">
        <v>44180</v>
      </c>
      <c r="C2669" s="1" t="n">
        <v>45587</v>
      </c>
      <c r="D2669" t="inlineStr">
        <is>
          <t>GÄVLEBORGS LÄN</t>
        </is>
      </c>
      <c r="E2669" t="inlineStr">
        <is>
          <t>BOLLNÄS</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67146-2020</t>
        </is>
      </c>
      <c r="B2670" s="1" t="n">
        <v>44180</v>
      </c>
      <c r="C2670" s="1" t="n">
        <v>45587</v>
      </c>
      <c r="D2670" t="inlineStr">
        <is>
          <t>GÄVLEBORGS LÄN</t>
        </is>
      </c>
      <c r="E2670" t="inlineStr">
        <is>
          <t>HUDIKSVALL</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67152-2020</t>
        </is>
      </c>
      <c r="B2671" s="1" t="n">
        <v>44180</v>
      </c>
      <c r="C2671" s="1" t="n">
        <v>45587</v>
      </c>
      <c r="D2671" t="inlineStr">
        <is>
          <t>GÄVLEBORGS LÄN</t>
        </is>
      </c>
      <c r="E2671" t="inlineStr">
        <is>
          <t>HUDIKSVALL</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67171-2020</t>
        </is>
      </c>
      <c r="B2672" s="1" t="n">
        <v>44180</v>
      </c>
      <c r="C2672" s="1" t="n">
        <v>45587</v>
      </c>
      <c r="D2672" t="inlineStr">
        <is>
          <t>GÄVLEBORGS LÄN</t>
        </is>
      </c>
      <c r="E2672" t="inlineStr">
        <is>
          <t>LJUSDAL</t>
        </is>
      </c>
      <c r="F2672" t="inlineStr">
        <is>
          <t>Sveaskog</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67475-2020</t>
        </is>
      </c>
      <c r="B2673" s="1" t="n">
        <v>44181</v>
      </c>
      <c r="C2673" s="1" t="n">
        <v>45587</v>
      </c>
      <c r="D2673" t="inlineStr">
        <is>
          <t>GÄVLEBORGS LÄN</t>
        </is>
      </c>
      <c r="E2673" t="inlineStr">
        <is>
          <t>OVANÅKER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67558-2020</t>
        </is>
      </c>
      <c r="B2674" s="1" t="n">
        <v>44181</v>
      </c>
      <c r="C2674" s="1" t="n">
        <v>45587</v>
      </c>
      <c r="D2674" t="inlineStr">
        <is>
          <t>GÄVLEBORGS LÄN</t>
        </is>
      </c>
      <c r="E2674" t="inlineStr">
        <is>
          <t>HUDIKSVALL</t>
        </is>
      </c>
      <c r="G2674" t="n">
        <v>0.1</v>
      </c>
      <c r="H2674" t="n">
        <v>0</v>
      </c>
      <c r="I2674" t="n">
        <v>0</v>
      </c>
      <c r="J2674" t="n">
        <v>0</v>
      </c>
      <c r="K2674" t="n">
        <v>0</v>
      </c>
      <c r="L2674" t="n">
        <v>0</v>
      </c>
      <c r="M2674" t="n">
        <v>0</v>
      </c>
      <c r="N2674" t="n">
        <v>0</v>
      </c>
      <c r="O2674" t="n">
        <v>0</v>
      </c>
      <c r="P2674" t="n">
        <v>0</v>
      </c>
      <c r="Q2674" t="n">
        <v>0</v>
      </c>
      <c r="R2674" s="2" t="inlineStr"/>
    </row>
    <row r="2675" ht="15" customHeight="1">
      <c r="A2675" t="inlineStr">
        <is>
          <t>A 67779-2020</t>
        </is>
      </c>
      <c r="B2675" s="1" t="n">
        <v>44182</v>
      </c>
      <c r="C2675" s="1" t="n">
        <v>45587</v>
      </c>
      <c r="D2675" t="inlineStr">
        <is>
          <t>GÄVLEBORGS LÄN</t>
        </is>
      </c>
      <c r="E2675" t="inlineStr">
        <is>
          <t>OCKELBO</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67761-2020</t>
        </is>
      </c>
      <c r="B2676" s="1" t="n">
        <v>44182</v>
      </c>
      <c r="C2676" s="1" t="n">
        <v>45587</v>
      </c>
      <c r="D2676" t="inlineStr">
        <is>
          <t>GÄVLEBORGS LÄN</t>
        </is>
      </c>
      <c r="E2676" t="inlineStr">
        <is>
          <t>OCKELBO</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68137-2020</t>
        </is>
      </c>
      <c r="B2677" s="1" t="n">
        <v>44183</v>
      </c>
      <c r="C2677" s="1" t="n">
        <v>45587</v>
      </c>
      <c r="D2677" t="inlineStr">
        <is>
          <t>GÄVLEBORGS LÄN</t>
        </is>
      </c>
      <c r="E2677" t="inlineStr">
        <is>
          <t>HUDIKSVALL</t>
        </is>
      </c>
      <c r="F2677" t="inlineStr">
        <is>
          <t>Holmen skog AB</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68228-2020</t>
        </is>
      </c>
      <c r="B2678" s="1" t="n">
        <v>44183</v>
      </c>
      <c r="C2678" s="1" t="n">
        <v>45587</v>
      </c>
      <c r="D2678" t="inlineStr">
        <is>
          <t>GÄVLEBORGS LÄN</t>
        </is>
      </c>
      <c r="E2678" t="inlineStr">
        <is>
          <t>OVANÅKER</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68382-2020</t>
        </is>
      </c>
      <c r="B2679" s="1" t="n">
        <v>44186</v>
      </c>
      <c r="C2679" s="1" t="n">
        <v>45587</v>
      </c>
      <c r="D2679" t="inlineStr">
        <is>
          <t>GÄVLEBORGS LÄN</t>
        </is>
      </c>
      <c r="E2679" t="inlineStr">
        <is>
          <t>BOLLNÄS</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68397-2020</t>
        </is>
      </c>
      <c r="B2680" s="1" t="n">
        <v>44186</v>
      </c>
      <c r="C2680" s="1" t="n">
        <v>45587</v>
      </c>
      <c r="D2680" t="inlineStr">
        <is>
          <t>GÄVLEBORGS LÄN</t>
        </is>
      </c>
      <c r="E2680" t="inlineStr">
        <is>
          <t>HOFORS</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68599-2020</t>
        </is>
      </c>
      <c r="B2681" s="1" t="n">
        <v>44186</v>
      </c>
      <c r="C2681" s="1" t="n">
        <v>45587</v>
      </c>
      <c r="D2681" t="inlineStr">
        <is>
          <t>GÄVLEBORGS LÄN</t>
        </is>
      </c>
      <c r="E2681" t="inlineStr">
        <is>
          <t>HUDIKSVALL</t>
        </is>
      </c>
      <c r="F2681" t="inlineStr">
        <is>
          <t>Kommuner</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68578-2020</t>
        </is>
      </c>
      <c r="B2682" s="1" t="n">
        <v>44186</v>
      </c>
      <c r="C2682" s="1" t="n">
        <v>45587</v>
      </c>
      <c r="D2682" t="inlineStr">
        <is>
          <t>GÄVLEBORGS LÄN</t>
        </is>
      </c>
      <c r="E2682" t="inlineStr">
        <is>
          <t>OCKELBO</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68574-2020</t>
        </is>
      </c>
      <c r="B2683" s="1" t="n">
        <v>44186</v>
      </c>
      <c r="C2683" s="1" t="n">
        <v>45587</v>
      </c>
      <c r="D2683" t="inlineStr">
        <is>
          <t>GÄVLEBORGS LÄN</t>
        </is>
      </c>
      <c r="E2683" t="inlineStr">
        <is>
          <t>OCKELBO</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68728-2020</t>
        </is>
      </c>
      <c r="B2684" s="1" t="n">
        <v>44187</v>
      </c>
      <c r="C2684" s="1" t="n">
        <v>45587</v>
      </c>
      <c r="D2684" t="inlineStr">
        <is>
          <t>GÄVLEBORGS LÄN</t>
        </is>
      </c>
      <c r="E2684" t="inlineStr">
        <is>
          <t>HUDIKSVALL</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68723-2020</t>
        </is>
      </c>
      <c r="B2685" s="1" t="n">
        <v>44187</v>
      </c>
      <c r="C2685" s="1" t="n">
        <v>45587</v>
      </c>
      <c r="D2685" t="inlineStr">
        <is>
          <t>GÄVLEBORGS LÄN</t>
        </is>
      </c>
      <c r="E2685" t="inlineStr">
        <is>
          <t>BOLLNÄS</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68735-2020</t>
        </is>
      </c>
      <c r="B2686" s="1" t="n">
        <v>44187</v>
      </c>
      <c r="C2686" s="1" t="n">
        <v>45587</v>
      </c>
      <c r="D2686" t="inlineStr">
        <is>
          <t>GÄVLEBORGS LÄN</t>
        </is>
      </c>
      <c r="E2686" t="inlineStr">
        <is>
          <t>BOLLNÄS</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68781-2020</t>
        </is>
      </c>
      <c r="B2687" s="1" t="n">
        <v>44187</v>
      </c>
      <c r="C2687" s="1" t="n">
        <v>45587</v>
      </c>
      <c r="D2687" t="inlineStr">
        <is>
          <t>GÄVLEBORGS LÄN</t>
        </is>
      </c>
      <c r="E2687" t="inlineStr">
        <is>
          <t>SÖDERHAMN</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68791-2020</t>
        </is>
      </c>
      <c r="B2688" s="1" t="n">
        <v>44187</v>
      </c>
      <c r="C2688" s="1" t="n">
        <v>45587</v>
      </c>
      <c r="D2688" t="inlineStr">
        <is>
          <t>GÄVLEBORGS LÄN</t>
        </is>
      </c>
      <c r="E2688" t="inlineStr">
        <is>
          <t>SANDVIKEN</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68734-2020</t>
        </is>
      </c>
      <c r="B2689" s="1" t="n">
        <v>44187</v>
      </c>
      <c r="C2689" s="1" t="n">
        <v>45587</v>
      </c>
      <c r="D2689" t="inlineStr">
        <is>
          <t>GÄVLEBORGS LÄN</t>
        </is>
      </c>
      <c r="E2689" t="inlineStr">
        <is>
          <t>BOLLNÄS</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68787-2020</t>
        </is>
      </c>
      <c r="B2690" s="1" t="n">
        <v>44187</v>
      </c>
      <c r="C2690" s="1" t="n">
        <v>45587</v>
      </c>
      <c r="D2690" t="inlineStr">
        <is>
          <t>GÄVLEBORGS LÄN</t>
        </is>
      </c>
      <c r="E2690" t="inlineStr">
        <is>
          <t>SANDVIKEN</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69304-2020</t>
        </is>
      </c>
      <c r="B2691" s="1" t="n">
        <v>44188</v>
      </c>
      <c r="C2691" s="1" t="n">
        <v>45587</v>
      </c>
      <c r="D2691" t="inlineStr">
        <is>
          <t>GÄVLEBORGS LÄN</t>
        </is>
      </c>
      <c r="E2691" t="inlineStr">
        <is>
          <t>OVANÅKER</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69010-2020</t>
        </is>
      </c>
      <c r="B2692" s="1" t="n">
        <v>44188</v>
      </c>
      <c r="C2692" s="1" t="n">
        <v>45587</v>
      </c>
      <c r="D2692" t="inlineStr">
        <is>
          <t>GÄVLEBORGS LÄN</t>
        </is>
      </c>
      <c r="E2692" t="inlineStr">
        <is>
          <t>OCKELBO</t>
        </is>
      </c>
      <c r="F2692" t="inlineStr">
        <is>
          <t>Bergvik skog väst AB</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69086-2020</t>
        </is>
      </c>
      <c r="B2693" s="1" t="n">
        <v>44188</v>
      </c>
      <c r="C2693" s="1" t="n">
        <v>45587</v>
      </c>
      <c r="D2693" t="inlineStr">
        <is>
          <t>GÄVLEBORGS LÄN</t>
        </is>
      </c>
      <c r="E2693" t="inlineStr">
        <is>
          <t>NORDANSTIG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68989-2020</t>
        </is>
      </c>
      <c r="B2694" s="1" t="n">
        <v>44188</v>
      </c>
      <c r="C2694" s="1" t="n">
        <v>45587</v>
      </c>
      <c r="D2694" t="inlineStr">
        <is>
          <t>GÄVLEBORGS LÄN</t>
        </is>
      </c>
      <c r="E2694" t="inlineStr">
        <is>
          <t>BOLLNÄS</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69185-2020</t>
        </is>
      </c>
      <c r="B2695" s="1" t="n">
        <v>44190</v>
      </c>
      <c r="C2695" s="1" t="n">
        <v>45587</v>
      </c>
      <c r="D2695" t="inlineStr">
        <is>
          <t>GÄVLEBORGS LÄN</t>
        </is>
      </c>
      <c r="E2695" t="inlineStr">
        <is>
          <t>NORDANSTIG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69186-2020</t>
        </is>
      </c>
      <c r="B2696" s="1" t="n">
        <v>44190</v>
      </c>
      <c r="C2696" s="1" t="n">
        <v>45587</v>
      </c>
      <c r="D2696" t="inlineStr">
        <is>
          <t>GÄVLEBORGS LÄN</t>
        </is>
      </c>
      <c r="E2696" t="inlineStr">
        <is>
          <t>NORDANSTIG</t>
        </is>
      </c>
      <c r="G2696" t="n">
        <v>5.1</v>
      </c>
      <c r="H2696" t="n">
        <v>0</v>
      </c>
      <c r="I2696" t="n">
        <v>0</v>
      </c>
      <c r="J2696" t="n">
        <v>0</v>
      </c>
      <c r="K2696" t="n">
        <v>0</v>
      </c>
      <c r="L2696" t="n">
        <v>0</v>
      </c>
      <c r="M2696" t="n">
        <v>0</v>
      </c>
      <c r="N2696" t="n">
        <v>0</v>
      </c>
      <c r="O2696" t="n">
        <v>0</v>
      </c>
      <c r="P2696" t="n">
        <v>0</v>
      </c>
      <c r="Q2696" t="n">
        <v>0</v>
      </c>
      <c r="R2696" s="2" t="inlineStr"/>
    </row>
    <row r="2697" ht="15" customHeight="1">
      <c r="A2697" t="inlineStr">
        <is>
          <t>A 69187-2020</t>
        </is>
      </c>
      <c r="B2697" s="1" t="n">
        <v>44190</v>
      </c>
      <c r="C2697" s="1" t="n">
        <v>45587</v>
      </c>
      <c r="D2697" t="inlineStr">
        <is>
          <t>GÄVLEBORGS LÄN</t>
        </is>
      </c>
      <c r="E2697" t="inlineStr">
        <is>
          <t>NORDANSTIG</t>
        </is>
      </c>
      <c r="G2697" t="n">
        <v>15.6</v>
      </c>
      <c r="H2697" t="n">
        <v>0</v>
      </c>
      <c r="I2697" t="n">
        <v>0</v>
      </c>
      <c r="J2697" t="n">
        <v>0</v>
      </c>
      <c r="K2697" t="n">
        <v>0</v>
      </c>
      <c r="L2697" t="n">
        <v>0</v>
      </c>
      <c r="M2697" t="n">
        <v>0</v>
      </c>
      <c r="N2697" t="n">
        <v>0</v>
      </c>
      <c r="O2697" t="n">
        <v>0</v>
      </c>
      <c r="P2697" t="n">
        <v>0</v>
      </c>
      <c r="Q2697" t="n">
        <v>0</v>
      </c>
      <c r="R2697" s="2" t="inlineStr"/>
    </row>
    <row r="2698" ht="15" customHeight="1">
      <c r="A2698" t="inlineStr">
        <is>
          <t>A 69184-2020</t>
        </is>
      </c>
      <c r="B2698" s="1" t="n">
        <v>44190</v>
      </c>
      <c r="C2698" s="1" t="n">
        <v>45587</v>
      </c>
      <c r="D2698" t="inlineStr">
        <is>
          <t>GÄVLEBORGS LÄN</t>
        </is>
      </c>
      <c r="E2698" t="inlineStr">
        <is>
          <t>NORDANSTIG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69210-2020</t>
        </is>
      </c>
      <c r="B2699" s="1" t="n">
        <v>44191</v>
      </c>
      <c r="C2699" s="1" t="n">
        <v>45587</v>
      </c>
      <c r="D2699" t="inlineStr">
        <is>
          <t>GÄVLEBORGS LÄN</t>
        </is>
      </c>
      <c r="E2699" t="inlineStr">
        <is>
          <t>GÄVLE</t>
        </is>
      </c>
      <c r="F2699" t="inlineStr">
        <is>
          <t>Kommuner</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69206-2020</t>
        </is>
      </c>
      <c r="B2700" s="1" t="n">
        <v>44191</v>
      </c>
      <c r="C2700" s="1" t="n">
        <v>45587</v>
      </c>
      <c r="D2700" t="inlineStr">
        <is>
          <t>GÄVLEBORGS LÄN</t>
        </is>
      </c>
      <c r="E2700" t="inlineStr">
        <is>
          <t>GÄVLE</t>
        </is>
      </c>
      <c r="F2700" t="inlineStr">
        <is>
          <t>Kommuner</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69216-2020</t>
        </is>
      </c>
      <c r="B2701" s="1" t="n">
        <v>44192</v>
      </c>
      <c r="C2701" s="1" t="n">
        <v>45587</v>
      </c>
      <c r="D2701" t="inlineStr">
        <is>
          <t>GÄVLEBORGS LÄN</t>
        </is>
      </c>
      <c r="E2701" t="inlineStr">
        <is>
          <t>GÄVLE</t>
        </is>
      </c>
      <c r="F2701" t="inlineStr">
        <is>
          <t>Kommuner</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69254-2020</t>
        </is>
      </c>
      <c r="B2702" s="1" t="n">
        <v>44192</v>
      </c>
      <c r="C2702" s="1" t="n">
        <v>45587</v>
      </c>
      <c r="D2702" t="inlineStr">
        <is>
          <t>GÄVLEBORGS LÄN</t>
        </is>
      </c>
      <c r="E2702" t="inlineStr">
        <is>
          <t>GÄVLE</t>
        </is>
      </c>
      <c r="F2702" t="inlineStr">
        <is>
          <t>Kommuner</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69252-2020</t>
        </is>
      </c>
      <c r="B2703" s="1" t="n">
        <v>44192</v>
      </c>
      <c r="C2703" s="1" t="n">
        <v>45587</v>
      </c>
      <c r="D2703" t="inlineStr">
        <is>
          <t>GÄVLEBORGS LÄN</t>
        </is>
      </c>
      <c r="E2703" t="inlineStr">
        <is>
          <t>GÄVLE</t>
        </is>
      </c>
      <c r="F2703" t="inlineStr">
        <is>
          <t>Kommuner</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69262-2020</t>
        </is>
      </c>
      <c r="B2704" s="1" t="n">
        <v>44192</v>
      </c>
      <c r="C2704" s="1" t="n">
        <v>45587</v>
      </c>
      <c r="D2704" t="inlineStr">
        <is>
          <t>GÄVLEBORGS LÄN</t>
        </is>
      </c>
      <c r="E2704" t="inlineStr">
        <is>
          <t>SÖDERHAMN</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69215-2020</t>
        </is>
      </c>
      <c r="B2705" s="1" t="n">
        <v>44192</v>
      </c>
      <c r="C2705" s="1" t="n">
        <v>45587</v>
      </c>
      <c r="D2705" t="inlineStr">
        <is>
          <t>GÄVLEBORGS LÄN</t>
        </is>
      </c>
      <c r="E2705" t="inlineStr">
        <is>
          <t>GÄVLE</t>
        </is>
      </c>
      <c r="F2705" t="inlineStr">
        <is>
          <t>Kommuner</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69253-2020</t>
        </is>
      </c>
      <c r="B2706" s="1" t="n">
        <v>44192</v>
      </c>
      <c r="C2706" s="1" t="n">
        <v>45587</v>
      </c>
      <c r="D2706" t="inlineStr">
        <is>
          <t>GÄVLEBORGS LÄN</t>
        </is>
      </c>
      <c r="E2706" t="inlineStr">
        <is>
          <t>GÄVLE</t>
        </is>
      </c>
      <c r="F2706" t="inlineStr">
        <is>
          <t>Kommuner</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69219-2020</t>
        </is>
      </c>
      <c r="B2707" s="1" t="n">
        <v>44192</v>
      </c>
      <c r="C2707" s="1" t="n">
        <v>45587</v>
      </c>
      <c r="D2707" t="inlineStr">
        <is>
          <t>GÄVLEBORGS LÄN</t>
        </is>
      </c>
      <c r="E2707" t="inlineStr">
        <is>
          <t>GÄVLE</t>
        </is>
      </c>
      <c r="F2707" t="inlineStr">
        <is>
          <t>Kommuner</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69251-2020</t>
        </is>
      </c>
      <c r="B2708" s="1" t="n">
        <v>44192</v>
      </c>
      <c r="C2708" s="1" t="n">
        <v>45587</v>
      </c>
      <c r="D2708" t="inlineStr">
        <is>
          <t>GÄVLEBORGS LÄN</t>
        </is>
      </c>
      <c r="E2708" t="inlineStr">
        <is>
          <t>GÄVLE</t>
        </is>
      </c>
      <c r="F2708" t="inlineStr">
        <is>
          <t>Kommuner</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69302-2020</t>
        </is>
      </c>
      <c r="B2709" s="1" t="n">
        <v>44193</v>
      </c>
      <c r="C2709" s="1" t="n">
        <v>45587</v>
      </c>
      <c r="D2709" t="inlineStr">
        <is>
          <t>GÄVLEBORGS LÄN</t>
        </is>
      </c>
      <c r="E2709" t="inlineStr">
        <is>
          <t>HUDIKSVALL</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69432-2020</t>
        </is>
      </c>
      <c r="B2710" s="1" t="n">
        <v>44194</v>
      </c>
      <c r="C2710" s="1" t="n">
        <v>45587</v>
      </c>
      <c r="D2710" t="inlineStr">
        <is>
          <t>GÄVLEBORGS LÄN</t>
        </is>
      </c>
      <c r="E2710" t="inlineStr">
        <is>
          <t>BOLLNÄS</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69571-2020</t>
        </is>
      </c>
      <c r="B2711" s="1" t="n">
        <v>44194</v>
      </c>
      <c r="C2711" s="1" t="n">
        <v>45587</v>
      </c>
      <c r="D2711" t="inlineStr">
        <is>
          <t>GÄVLEBORGS LÄN</t>
        </is>
      </c>
      <c r="E2711" t="inlineStr">
        <is>
          <t>LJUSDAL</t>
        </is>
      </c>
      <c r="G2711" t="n">
        <v>2.2</v>
      </c>
      <c r="H2711" t="n">
        <v>0</v>
      </c>
      <c r="I2711" t="n">
        <v>0</v>
      </c>
      <c r="J2711" t="n">
        <v>0</v>
      </c>
      <c r="K2711" t="n">
        <v>0</v>
      </c>
      <c r="L2711" t="n">
        <v>0</v>
      </c>
      <c r="M2711" t="n">
        <v>0</v>
      </c>
      <c r="N2711" t="n">
        <v>0</v>
      </c>
      <c r="O2711" t="n">
        <v>0</v>
      </c>
      <c r="P2711" t="n">
        <v>0</v>
      </c>
      <c r="Q2711" t="n">
        <v>0</v>
      </c>
      <c r="R2711" s="2" t="inlineStr"/>
      <c r="U2711">
        <f>HYPERLINK("https://klasma.github.io/Logging_2161/knärot/A 69571-2020 karta knärot.png", "A 69571-2020")</f>
        <v/>
      </c>
      <c r="V2711">
        <f>HYPERLINK("https://klasma.github.io/Logging_2161/klagomål/A 69571-2020 FSC-klagomål.docx", "A 69571-2020")</f>
        <v/>
      </c>
      <c r="W2711">
        <f>HYPERLINK("https://klasma.github.io/Logging_2161/klagomålsmail/A 69571-2020 FSC-klagomål mail.docx", "A 69571-2020")</f>
        <v/>
      </c>
      <c r="X2711">
        <f>HYPERLINK("https://klasma.github.io/Logging_2161/tillsyn/A 69571-2020 tillsynsbegäran.docx", "A 69571-2020")</f>
        <v/>
      </c>
      <c r="Y2711">
        <f>HYPERLINK("https://klasma.github.io/Logging_2161/tillsynsmail/A 69571-2020 tillsynsbegäran mail.docx", "A 69571-2020")</f>
        <v/>
      </c>
    </row>
    <row r="2712" ht="15" customHeight="1">
      <c r="A2712" t="inlineStr">
        <is>
          <t>A 69569-2020</t>
        </is>
      </c>
      <c r="B2712" s="1" t="n">
        <v>44194</v>
      </c>
      <c r="C2712" s="1" t="n">
        <v>45587</v>
      </c>
      <c r="D2712" t="inlineStr">
        <is>
          <t>GÄVLEBORGS LÄN</t>
        </is>
      </c>
      <c r="E2712" t="inlineStr">
        <is>
          <t>LJUSDAL</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69627-2020</t>
        </is>
      </c>
      <c r="B2713" s="1" t="n">
        <v>44195</v>
      </c>
      <c r="C2713" s="1" t="n">
        <v>45587</v>
      </c>
      <c r="D2713" t="inlineStr">
        <is>
          <t>GÄVLEBORGS LÄN</t>
        </is>
      </c>
      <c r="E2713" t="inlineStr">
        <is>
          <t>BOLLNÄS</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69656-2020</t>
        </is>
      </c>
      <c r="B2714" s="1" t="n">
        <v>44195</v>
      </c>
      <c r="C2714" s="1" t="n">
        <v>45587</v>
      </c>
      <c r="D2714" t="inlineStr">
        <is>
          <t>GÄVLEBORGS LÄN</t>
        </is>
      </c>
      <c r="E2714" t="inlineStr">
        <is>
          <t>HUDIKSVALL</t>
        </is>
      </c>
      <c r="F2714" t="inlineStr">
        <is>
          <t>Holmen skog AB</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69660-2020</t>
        </is>
      </c>
      <c r="B2715" s="1" t="n">
        <v>44195</v>
      </c>
      <c r="C2715" s="1" t="n">
        <v>45587</v>
      </c>
      <c r="D2715" t="inlineStr">
        <is>
          <t>GÄVLEBORGS LÄN</t>
        </is>
      </c>
      <c r="E2715" t="inlineStr">
        <is>
          <t>HUDIKSVALL</t>
        </is>
      </c>
      <c r="F2715" t="inlineStr">
        <is>
          <t>Holmen skog AB</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69675-2020</t>
        </is>
      </c>
      <c r="B2716" s="1" t="n">
        <v>44196</v>
      </c>
      <c r="C2716" s="1" t="n">
        <v>45587</v>
      </c>
      <c r="D2716" t="inlineStr">
        <is>
          <t>GÄVLEBORGS LÄN</t>
        </is>
      </c>
      <c r="E2716" t="inlineStr">
        <is>
          <t>GÄVLE</t>
        </is>
      </c>
      <c r="F2716" t="inlineStr">
        <is>
          <t>Bergvik skog öst AB</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54-2021</t>
        </is>
      </c>
      <c r="B2717" s="1" t="n">
        <v>44199</v>
      </c>
      <c r="C2717" s="1" t="n">
        <v>45587</v>
      </c>
      <c r="D2717" t="inlineStr">
        <is>
          <t>GÄVLEBORGS LÄN</t>
        </is>
      </c>
      <c r="E2717" t="inlineStr">
        <is>
          <t>LJUSDAL</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219-2021</t>
        </is>
      </c>
      <c r="B2718" s="1" t="n">
        <v>44200</v>
      </c>
      <c r="C2718" s="1" t="n">
        <v>45587</v>
      </c>
      <c r="D2718" t="inlineStr">
        <is>
          <t>GÄVLEBORGS LÄN</t>
        </is>
      </c>
      <c r="E2718" t="inlineStr">
        <is>
          <t>LJUSDAL</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237-2021</t>
        </is>
      </c>
      <c r="B2719" s="1" t="n">
        <v>44200</v>
      </c>
      <c r="C2719" s="1" t="n">
        <v>45587</v>
      </c>
      <c r="D2719" t="inlineStr">
        <is>
          <t>GÄVLEBORGS LÄN</t>
        </is>
      </c>
      <c r="E2719" t="inlineStr">
        <is>
          <t>SÖDERHAMN</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242-2021</t>
        </is>
      </c>
      <c r="B2720" s="1" t="n">
        <v>44200</v>
      </c>
      <c r="C2720" s="1" t="n">
        <v>45587</v>
      </c>
      <c r="D2720" t="inlineStr">
        <is>
          <t>GÄVLEBORGS LÄN</t>
        </is>
      </c>
      <c r="E2720" t="inlineStr">
        <is>
          <t>GÄVLE</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220-2021</t>
        </is>
      </c>
      <c r="B2721" s="1" t="n">
        <v>44200</v>
      </c>
      <c r="C2721" s="1" t="n">
        <v>45587</v>
      </c>
      <c r="D2721" t="inlineStr">
        <is>
          <t>GÄVLEBORGS LÄN</t>
        </is>
      </c>
      <c r="E2721" t="inlineStr">
        <is>
          <t>SANDVIKEN</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247-2021</t>
        </is>
      </c>
      <c r="B2722" s="1" t="n">
        <v>44200</v>
      </c>
      <c r="C2722" s="1" t="n">
        <v>45587</v>
      </c>
      <c r="D2722" t="inlineStr">
        <is>
          <t>GÄVLEBORGS LÄN</t>
        </is>
      </c>
      <c r="E2722" t="inlineStr">
        <is>
          <t>GÄVLE</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404-2021</t>
        </is>
      </c>
      <c r="B2723" s="1" t="n">
        <v>44201</v>
      </c>
      <c r="C2723" s="1" t="n">
        <v>45587</v>
      </c>
      <c r="D2723" t="inlineStr">
        <is>
          <t>GÄVLEBORGS LÄN</t>
        </is>
      </c>
      <c r="E2723" t="inlineStr">
        <is>
          <t>HUDIKSVALL</t>
        </is>
      </c>
      <c r="G2723" t="n">
        <v>5.3</v>
      </c>
      <c r="H2723" t="n">
        <v>0</v>
      </c>
      <c r="I2723" t="n">
        <v>0</v>
      </c>
      <c r="J2723" t="n">
        <v>0</v>
      </c>
      <c r="K2723" t="n">
        <v>0</v>
      </c>
      <c r="L2723" t="n">
        <v>0</v>
      </c>
      <c r="M2723" t="n">
        <v>0</v>
      </c>
      <c r="N2723" t="n">
        <v>0</v>
      </c>
      <c r="O2723" t="n">
        <v>0</v>
      </c>
      <c r="P2723" t="n">
        <v>0</v>
      </c>
      <c r="Q2723" t="n">
        <v>0</v>
      </c>
      <c r="R2723" s="2" t="inlineStr"/>
    </row>
    <row r="2724" ht="15" customHeight="1">
      <c r="A2724" t="inlineStr">
        <is>
          <t>A 399-2021</t>
        </is>
      </c>
      <c r="B2724" s="1" t="n">
        <v>44201</v>
      </c>
      <c r="C2724" s="1" t="n">
        <v>45587</v>
      </c>
      <c r="D2724" t="inlineStr">
        <is>
          <t>GÄVLEBORGS LÄN</t>
        </is>
      </c>
      <c r="E2724" t="inlineStr">
        <is>
          <t>SÖDERHAMN</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580-2021</t>
        </is>
      </c>
      <c r="B2725" s="1" t="n">
        <v>44201</v>
      </c>
      <c r="C2725" s="1" t="n">
        <v>45587</v>
      </c>
      <c r="D2725" t="inlineStr">
        <is>
          <t>GÄVLEBORGS LÄN</t>
        </is>
      </c>
      <c r="E2725" t="inlineStr">
        <is>
          <t>SÖDERHAMN</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541-2021</t>
        </is>
      </c>
      <c r="B2726" s="1" t="n">
        <v>44203</v>
      </c>
      <c r="C2726" s="1" t="n">
        <v>45587</v>
      </c>
      <c r="D2726" t="inlineStr">
        <is>
          <t>GÄVLEBORGS LÄN</t>
        </is>
      </c>
      <c r="E2726" t="inlineStr">
        <is>
          <t>BOLLNÄS</t>
        </is>
      </c>
      <c r="F2726" t="inlineStr">
        <is>
          <t>Bergvik skog väst AB</t>
        </is>
      </c>
      <c r="G2726" t="n">
        <v>14.5</v>
      </c>
      <c r="H2726" t="n">
        <v>0</v>
      </c>
      <c r="I2726" t="n">
        <v>0</v>
      </c>
      <c r="J2726" t="n">
        <v>0</v>
      </c>
      <c r="K2726" t="n">
        <v>0</v>
      </c>
      <c r="L2726" t="n">
        <v>0</v>
      </c>
      <c r="M2726" t="n">
        <v>0</v>
      </c>
      <c r="N2726" t="n">
        <v>0</v>
      </c>
      <c r="O2726" t="n">
        <v>0</v>
      </c>
      <c r="P2726" t="n">
        <v>0</v>
      </c>
      <c r="Q2726" t="n">
        <v>0</v>
      </c>
      <c r="R2726" s="2" t="inlineStr"/>
    </row>
    <row r="2727" ht="15" customHeight="1">
      <c r="A2727" t="inlineStr">
        <is>
          <t>A 605-2021</t>
        </is>
      </c>
      <c r="B2727" s="1" t="n">
        <v>44203</v>
      </c>
      <c r="C2727" s="1" t="n">
        <v>45587</v>
      </c>
      <c r="D2727" t="inlineStr">
        <is>
          <t>GÄVLEBORGS LÄN</t>
        </is>
      </c>
      <c r="E2727" t="inlineStr">
        <is>
          <t>NORDANSTIG</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629-2021</t>
        </is>
      </c>
      <c r="B2728" s="1" t="n">
        <v>44203</v>
      </c>
      <c r="C2728" s="1" t="n">
        <v>45587</v>
      </c>
      <c r="D2728" t="inlineStr">
        <is>
          <t>GÄVLEBORGS LÄN</t>
        </is>
      </c>
      <c r="E2728" t="inlineStr">
        <is>
          <t>BOLLNÄS</t>
        </is>
      </c>
      <c r="F2728" t="inlineStr">
        <is>
          <t>Bergvik skog väst AB</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545-2021</t>
        </is>
      </c>
      <c r="B2729" s="1" t="n">
        <v>44203</v>
      </c>
      <c r="C2729" s="1" t="n">
        <v>45587</v>
      </c>
      <c r="D2729" t="inlineStr">
        <is>
          <t>GÄVLEBORGS LÄN</t>
        </is>
      </c>
      <c r="E2729" t="inlineStr">
        <is>
          <t>BOLLNÄS</t>
        </is>
      </c>
      <c r="F2729" t="inlineStr">
        <is>
          <t>Bergvik skog väst AB</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652-2021</t>
        </is>
      </c>
      <c r="B2730" s="1" t="n">
        <v>44203</v>
      </c>
      <c r="C2730" s="1" t="n">
        <v>45587</v>
      </c>
      <c r="D2730" t="inlineStr">
        <is>
          <t>GÄVLEBORGS LÄN</t>
        </is>
      </c>
      <c r="E2730" t="inlineStr">
        <is>
          <t>BOLLNÄS</t>
        </is>
      </c>
      <c r="F2730" t="inlineStr">
        <is>
          <t>Bergvik skog väst AB</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546-2021</t>
        </is>
      </c>
      <c r="B2731" s="1" t="n">
        <v>44203</v>
      </c>
      <c r="C2731" s="1" t="n">
        <v>45587</v>
      </c>
      <c r="D2731" t="inlineStr">
        <is>
          <t>GÄVLEBORGS LÄN</t>
        </is>
      </c>
      <c r="E2731" t="inlineStr">
        <is>
          <t>BOLLNÄS</t>
        </is>
      </c>
      <c r="F2731" t="inlineStr">
        <is>
          <t>Bergvik skog väst AB</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783-2021</t>
        </is>
      </c>
      <c r="B2732" s="1" t="n">
        <v>44203</v>
      </c>
      <c r="C2732" s="1" t="n">
        <v>45587</v>
      </c>
      <c r="D2732" t="inlineStr">
        <is>
          <t>GÄVLEBORGS LÄN</t>
        </is>
      </c>
      <c r="E2732" t="inlineStr">
        <is>
          <t>LJUSDAL</t>
        </is>
      </c>
      <c r="F2732" t="inlineStr">
        <is>
          <t>Sveaskog</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777-2021</t>
        </is>
      </c>
      <c r="B2733" s="1" t="n">
        <v>44203</v>
      </c>
      <c r="C2733" s="1" t="n">
        <v>45587</v>
      </c>
      <c r="D2733" t="inlineStr">
        <is>
          <t>GÄVLEBORGS LÄN</t>
        </is>
      </c>
      <c r="E2733" t="inlineStr">
        <is>
          <t>HUDIKSVALL</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748-2021</t>
        </is>
      </c>
      <c r="B2734" s="1" t="n">
        <v>44204</v>
      </c>
      <c r="C2734" s="1" t="n">
        <v>45587</v>
      </c>
      <c r="D2734" t="inlineStr">
        <is>
          <t>GÄVLEBORGS LÄN</t>
        </is>
      </c>
      <c r="E2734" t="inlineStr">
        <is>
          <t>OVANÅKER</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795-2021</t>
        </is>
      </c>
      <c r="B2735" s="1" t="n">
        <v>44204</v>
      </c>
      <c r="C2735" s="1" t="n">
        <v>45587</v>
      </c>
      <c r="D2735" t="inlineStr">
        <is>
          <t>GÄVLEBORGS LÄN</t>
        </is>
      </c>
      <c r="E2735" t="inlineStr">
        <is>
          <t>GÄVLE</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730-2021</t>
        </is>
      </c>
      <c r="B2736" s="1" t="n">
        <v>44204</v>
      </c>
      <c r="C2736" s="1" t="n">
        <v>45587</v>
      </c>
      <c r="D2736" t="inlineStr">
        <is>
          <t>GÄVLEBORGS LÄN</t>
        </is>
      </c>
      <c r="E2736" t="inlineStr">
        <is>
          <t>BOLLNÄS</t>
        </is>
      </c>
      <c r="F2736" t="inlineStr">
        <is>
          <t>Bergvik skog väst AB</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840-2021</t>
        </is>
      </c>
      <c r="B2737" s="1" t="n">
        <v>44204</v>
      </c>
      <c r="C2737" s="1" t="n">
        <v>45587</v>
      </c>
      <c r="D2737" t="inlineStr">
        <is>
          <t>GÄVLEBORGS LÄN</t>
        </is>
      </c>
      <c r="E2737" t="inlineStr">
        <is>
          <t>BOLLNÄS</t>
        </is>
      </c>
      <c r="F2737" t="inlineStr">
        <is>
          <t>Bergvik skog väst AB</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955-2021</t>
        </is>
      </c>
      <c r="B2738" s="1" t="n">
        <v>44207</v>
      </c>
      <c r="C2738" s="1" t="n">
        <v>45587</v>
      </c>
      <c r="D2738" t="inlineStr">
        <is>
          <t>GÄVLEBORGS LÄN</t>
        </is>
      </c>
      <c r="E2738" t="inlineStr">
        <is>
          <t>BOLLNÄS</t>
        </is>
      </c>
      <c r="F2738" t="inlineStr">
        <is>
          <t>Bergvik skog väst AB</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1024-2021</t>
        </is>
      </c>
      <c r="B2739" s="1" t="n">
        <v>44207</v>
      </c>
      <c r="C2739" s="1" t="n">
        <v>45587</v>
      </c>
      <c r="D2739" t="inlineStr">
        <is>
          <t>GÄVLEBORGS LÄN</t>
        </is>
      </c>
      <c r="E2739" t="inlineStr">
        <is>
          <t>NORDANSTIG</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1081-2021</t>
        </is>
      </c>
      <c r="B2740" s="1" t="n">
        <v>44207</v>
      </c>
      <c r="C2740" s="1" t="n">
        <v>45587</v>
      </c>
      <c r="D2740" t="inlineStr">
        <is>
          <t>GÄVLEBORGS LÄN</t>
        </is>
      </c>
      <c r="E2740" t="inlineStr">
        <is>
          <t>BOLLNÄS</t>
        </is>
      </c>
      <c r="F2740" t="inlineStr">
        <is>
          <t>Bergvik skog väst AB</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1196-2021</t>
        </is>
      </c>
      <c r="B2741" s="1" t="n">
        <v>44208</v>
      </c>
      <c r="C2741" s="1" t="n">
        <v>45587</v>
      </c>
      <c r="D2741" t="inlineStr">
        <is>
          <t>GÄVLEBORGS LÄN</t>
        </is>
      </c>
      <c r="E2741" t="inlineStr">
        <is>
          <t>LJUSDAL</t>
        </is>
      </c>
      <c r="F2741" t="inlineStr">
        <is>
          <t>Holmen skog AB</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1236-2021</t>
        </is>
      </c>
      <c r="B2742" s="1" t="n">
        <v>44208</v>
      </c>
      <c r="C2742" s="1" t="n">
        <v>45587</v>
      </c>
      <c r="D2742" t="inlineStr">
        <is>
          <t>GÄVLEBORGS LÄN</t>
        </is>
      </c>
      <c r="E2742" t="inlineStr">
        <is>
          <t>NORDANSTIG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1204-2021</t>
        </is>
      </c>
      <c r="B2743" s="1" t="n">
        <v>44208</v>
      </c>
      <c r="C2743" s="1" t="n">
        <v>45587</v>
      </c>
      <c r="D2743" t="inlineStr">
        <is>
          <t>GÄVLEBORGS LÄN</t>
        </is>
      </c>
      <c r="E2743" t="inlineStr">
        <is>
          <t>BOLLNÄS</t>
        </is>
      </c>
      <c r="F2743" t="inlineStr">
        <is>
          <t>Bergvik skog väst AB</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1190-2021</t>
        </is>
      </c>
      <c r="B2744" s="1" t="n">
        <v>44208</v>
      </c>
      <c r="C2744" s="1" t="n">
        <v>45587</v>
      </c>
      <c r="D2744" t="inlineStr">
        <is>
          <t>GÄVLEBORGS LÄN</t>
        </is>
      </c>
      <c r="E2744" t="inlineStr">
        <is>
          <t>NORDANSTIG</t>
        </is>
      </c>
      <c r="F2744" t="inlineStr">
        <is>
          <t>Holmen skog AB</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1373-2021</t>
        </is>
      </c>
      <c r="B2745" s="1" t="n">
        <v>44208</v>
      </c>
      <c r="C2745" s="1" t="n">
        <v>45587</v>
      </c>
      <c r="D2745" t="inlineStr">
        <is>
          <t>GÄVLEBORGS LÄN</t>
        </is>
      </c>
      <c r="E2745" t="inlineStr">
        <is>
          <t>NORDANSTIG</t>
        </is>
      </c>
      <c r="F2745" t="inlineStr">
        <is>
          <t>Holmen skog AB</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1354-2021</t>
        </is>
      </c>
      <c r="B2746" s="1" t="n">
        <v>44208</v>
      </c>
      <c r="C2746" s="1" t="n">
        <v>45587</v>
      </c>
      <c r="D2746" t="inlineStr">
        <is>
          <t>GÄVLEBORGS LÄN</t>
        </is>
      </c>
      <c r="E2746" t="inlineStr">
        <is>
          <t>OCKELBO</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1408-2021</t>
        </is>
      </c>
      <c r="B2747" s="1" t="n">
        <v>44208</v>
      </c>
      <c r="C2747" s="1" t="n">
        <v>45587</v>
      </c>
      <c r="D2747" t="inlineStr">
        <is>
          <t>GÄVLEBORGS LÄN</t>
        </is>
      </c>
      <c r="E2747" t="inlineStr">
        <is>
          <t>BOLLNÄS</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1569-2021</t>
        </is>
      </c>
      <c r="B2748" s="1" t="n">
        <v>44208</v>
      </c>
      <c r="C2748" s="1" t="n">
        <v>45587</v>
      </c>
      <c r="D2748" t="inlineStr">
        <is>
          <t>GÄVLEBORGS LÄN</t>
        </is>
      </c>
      <c r="E2748" t="inlineStr">
        <is>
          <t>NORDANSTIG</t>
        </is>
      </c>
      <c r="F2748" t="inlineStr">
        <is>
          <t>Holmen skog AB</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1358-2021</t>
        </is>
      </c>
      <c r="B2749" s="1" t="n">
        <v>44208</v>
      </c>
      <c r="C2749" s="1" t="n">
        <v>45587</v>
      </c>
      <c r="D2749" t="inlineStr">
        <is>
          <t>GÄVLEBORGS LÄN</t>
        </is>
      </c>
      <c r="E2749" t="inlineStr">
        <is>
          <t>BOLLNÄS</t>
        </is>
      </c>
      <c r="F2749" t="inlineStr">
        <is>
          <t>Bergvik skog väst AB</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1509-2021</t>
        </is>
      </c>
      <c r="B2750" s="1" t="n">
        <v>44209</v>
      </c>
      <c r="C2750" s="1" t="n">
        <v>45587</v>
      </c>
      <c r="D2750" t="inlineStr">
        <is>
          <t>GÄVLEBORGS LÄN</t>
        </is>
      </c>
      <c r="E2750" t="inlineStr">
        <is>
          <t>SÖDERHAMN</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1520-2021</t>
        </is>
      </c>
      <c r="B2751" s="1" t="n">
        <v>44209</v>
      </c>
      <c r="C2751" s="1" t="n">
        <v>45587</v>
      </c>
      <c r="D2751" t="inlineStr">
        <is>
          <t>GÄVLEBORGS LÄN</t>
        </is>
      </c>
      <c r="E2751" t="inlineStr">
        <is>
          <t>BOLLNÄS</t>
        </is>
      </c>
      <c r="F2751" t="inlineStr">
        <is>
          <t>Bergvik skog väst AB</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1537-2021</t>
        </is>
      </c>
      <c r="B2752" s="1" t="n">
        <v>44209</v>
      </c>
      <c r="C2752" s="1" t="n">
        <v>45587</v>
      </c>
      <c r="D2752" t="inlineStr">
        <is>
          <t>GÄVLEBORGS LÄN</t>
        </is>
      </c>
      <c r="E2752" t="inlineStr">
        <is>
          <t>SÖDERHAMN</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1850-2021</t>
        </is>
      </c>
      <c r="B2753" s="1" t="n">
        <v>44210</v>
      </c>
      <c r="C2753" s="1" t="n">
        <v>45587</v>
      </c>
      <c r="D2753" t="inlineStr">
        <is>
          <t>GÄVLEBORGS LÄN</t>
        </is>
      </c>
      <c r="E2753" t="inlineStr">
        <is>
          <t>BOLLNÄS</t>
        </is>
      </c>
      <c r="F2753" t="inlineStr">
        <is>
          <t>Bergvik skog väst AB</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1842-2021</t>
        </is>
      </c>
      <c r="B2754" s="1" t="n">
        <v>44210</v>
      </c>
      <c r="C2754" s="1" t="n">
        <v>45587</v>
      </c>
      <c r="D2754" t="inlineStr">
        <is>
          <t>GÄVLEBORGS LÄN</t>
        </is>
      </c>
      <c r="E2754" t="inlineStr">
        <is>
          <t>HUDIKSVALL</t>
        </is>
      </c>
      <c r="F2754" t="inlineStr">
        <is>
          <t>Holmen skog AB</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2158-2021</t>
        </is>
      </c>
      <c r="B2755" s="1" t="n">
        <v>44211</v>
      </c>
      <c r="C2755" s="1" t="n">
        <v>45587</v>
      </c>
      <c r="D2755" t="inlineStr">
        <is>
          <t>GÄVLEBORGS LÄN</t>
        </is>
      </c>
      <c r="E2755" t="inlineStr">
        <is>
          <t>BOLLNÄS</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2152-2021</t>
        </is>
      </c>
      <c r="B2756" s="1" t="n">
        <v>44211</v>
      </c>
      <c r="C2756" s="1" t="n">
        <v>45587</v>
      </c>
      <c r="D2756" t="inlineStr">
        <is>
          <t>GÄVLEBORGS LÄN</t>
        </is>
      </c>
      <c r="E2756" t="inlineStr">
        <is>
          <t>HUDIKSVALL</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2167-2021</t>
        </is>
      </c>
      <c r="B2757" s="1" t="n">
        <v>44211</v>
      </c>
      <c r="C2757" s="1" t="n">
        <v>45587</v>
      </c>
      <c r="D2757" t="inlineStr">
        <is>
          <t>GÄVLEBORGS LÄN</t>
        </is>
      </c>
      <c r="E2757" t="inlineStr">
        <is>
          <t>BOLLNÄS</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2450-2021</t>
        </is>
      </c>
      <c r="B2758" s="1" t="n">
        <v>44214</v>
      </c>
      <c r="C2758" s="1" t="n">
        <v>45587</v>
      </c>
      <c r="D2758" t="inlineStr">
        <is>
          <t>GÄVLEBORGS LÄN</t>
        </is>
      </c>
      <c r="E2758" t="inlineStr">
        <is>
          <t>SÖDERHAMN</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2901-2021</t>
        </is>
      </c>
      <c r="B2759" s="1" t="n">
        <v>44216</v>
      </c>
      <c r="C2759" s="1" t="n">
        <v>45587</v>
      </c>
      <c r="D2759" t="inlineStr">
        <is>
          <t>GÄVLEBORGS LÄN</t>
        </is>
      </c>
      <c r="E2759" t="inlineStr">
        <is>
          <t>GÄVLE</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2993-2021</t>
        </is>
      </c>
      <c r="B2760" s="1" t="n">
        <v>44216</v>
      </c>
      <c r="C2760" s="1" t="n">
        <v>45587</v>
      </c>
      <c r="D2760" t="inlineStr">
        <is>
          <t>GÄVLEBORGS LÄN</t>
        </is>
      </c>
      <c r="E2760" t="inlineStr">
        <is>
          <t>HUDIKSVALL</t>
        </is>
      </c>
      <c r="F2760" t="inlineStr">
        <is>
          <t>Naturvårdsverket</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2994-2021</t>
        </is>
      </c>
      <c r="B2761" s="1" t="n">
        <v>44216</v>
      </c>
      <c r="C2761" s="1" t="n">
        <v>45587</v>
      </c>
      <c r="D2761" t="inlineStr">
        <is>
          <t>GÄVLEBORGS LÄN</t>
        </is>
      </c>
      <c r="E2761" t="inlineStr">
        <is>
          <t>HUDIKSVALL</t>
        </is>
      </c>
      <c r="F2761" t="inlineStr">
        <is>
          <t>Naturvårdsverket</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3121-2021</t>
        </is>
      </c>
      <c r="B2762" s="1" t="n">
        <v>44217</v>
      </c>
      <c r="C2762" s="1" t="n">
        <v>45587</v>
      </c>
      <c r="D2762" t="inlineStr">
        <is>
          <t>GÄVLEBORGS LÄN</t>
        </is>
      </c>
      <c r="E2762" t="inlineStr">
        <is>
          <t>SÖDERHAMN</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3207-2021</t>
        </is>
      </c>
      <c r="B2763" s="1" t="n">
        <v>44217</v>
      </c>
      <c r="C2763" s="1" t="n">
        <v>45587</v>
      </c>
      <c r="D2763" t="inlineStr">
        <is>
          <t>GÄVLEBORGS LÄN</t>
        </is>
      </c>
      <c r="E2763" t="inlineStr">
        <is>
          <t>LJUSDAL</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3136-2021</t>
        </is>
      </c>
      <c r="B2764" s="1" t="n">
        <v>44217</v>
      </c>
      <c r="C2764" s="1" t="n">
        <v>45587</v>
      </c>
      <c r="D2764" t="inlineStr">
        <is>
          <t>GÄVLEBORGS LÄN</t>
        </is>
      </c>
      <c r="E2764" t="inlineStr">
        <is>
          <t>SÖDERHAMN</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3400-2021</t>
        </is>
      </c>
      <c r="B2765" s="1" t="n">
        <v>44218</v>
      </c>
      <c r="C2765" s="1" t="n">
        <v>45587</v>
      </c>
      <c r="D2765" t="inlineStr">
        <is>
          <t>GÄVLEBORGS LÄN</t>
        </is>
      </c>
      <c r="E2765" t="inlineStr">
        <is>
          <t>BOLLNÄS</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3427-2021</t>
        </is>
      </c>
      <c r="B2766" s="1" t="n">
        <v>44218</v>
      </c>
      <c r="C2766" s="1" t="n">
        <v>45587</v>
      </c>
      <c r="D2766" t="inlineStr">
        <is>
          <t>GÄVLEBORGS LÄN</t>
        </is>
      </c>
      <c r="E2766" t="inlineStr">
        <is>
          <t>SÖDERHAMN</t>
        </is>
      </c>
      <c r="G2766" t="n">
        <v>5.9</v>
      </c>
      <c r="H2766" t="n">
        <v>0</v>
      </c>
      <c r="I2766" t="n">
        <v>0</v>
      </c>
      <c r="J2766" t="n">
        <v>0</v>
      </c>
      <c r="K2766" t="n">
        <v>0</v>
      </c>
      <c r="L2766" t="n">
        <v>0</v>
      </c>
      <c r="M2766" t="n">
        <v>0</v>
      </c>
      <c r="N2766" t="n">
        <v>0</v>
      </c>
      <c r="O2766" t="n">
        <v>0</v>
      </c>
      <c r="P2766" t="n">
        <v>0</v>
      </c>
      <c r="Q2766" t="n">
        <v>0</v>
      </c>
      <c r="R2766" s="2" t="inlineStr"/>
    </row>
    <row r="2767" ht="15" customHeight="1">
      <c r="A2767" t="inlineStr">
        <is>
          <t>A 3401-2021</t>
        </is>
      </c>
      <c r="B2767" s="1" t="n">
        <v>44218</v>
      </c>
      <c r="C2767" s="1" t="n">
        <v>45587</v>
      </c>
      <c r="D2767" t="inlineStr">
        <is>
          <t>GÄVLEBORGS LÄN</t>
        </is>
      </c>
      <c r="E2767" t="inlineStr">
        <is>
          <t>SÖDERHAMN</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3411-2021</t>
        </is>
      </c>
      <c r="B2768" s="1" t="n">
        <v>44218</v>
      </c>
      <c r="C2768" s="1" t="n">
        <v>45587</v>
      </c>
      <c r="D2768" t="inlineStr">
        <is>
          <t>GÄVLEBORGS LÄN</t>
        </is>
      </c>
      <c r="E2768" t="inlineStr">
        <is>
          <t>BOLLNÄS</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3418-2021</t>
        </is>
      </c>
      <c r="B2769" s="1" t="n">
        <v>44218</v>
      </c>
      <c r="C2769" s="1" t="n">
        <v>45587</v>
      </c>
      <c r="D2769" t="inlineStr">
        <is>
          <t>GÄVLEBORGS LÄN</t>
        </is>
      </c>
      <c r="E2769" t="inlineStr">
        <is>
          <t>SÖDERHAMN</t>
        </is>
      </c>
      <c r="G2769" t="n">
        <v>8.300000000000001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3456-2021</t>
        </is>
      </c>
      <c r="B2770" s="1" t="n">
        <v>44218</v>
      </c>
      <c r="C2770" s="1" t="n">
        <v>45587</v>
      </c>
      <c r="D2770" t="inlineStr">
        <is>
          <t>GÄVLEBORGS LÄN</t>
        </is>
      </c>
      <c r="E2770" t="inlineStr">
        <is>
          <t>NORDANSTIG</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3509-2021</t>
        </is>
      </c>
      <c r="B2771" s="1" t="n">
        <v>44218</v>
      </c>
      <c r="C2771" s="1" t="n">
        <v>45587</v>
      </c>
      <c r="D2771" t="inlineStr">
        <is>
          <t>GÄVLEBORGS LÄN</t>
        </is>
      </c>
      <c r="E2771" t="inlineStr">
        <is>
          <t>NORDANSTIG</t>
        </is>
      </c>
      <c r="F2771" t="inlineStr">
        <is>
          <t>Holmen skog AB</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4040-2021</t>
        </is>
      </c>
      <c r="B2772" s="1" t="n">
        <v>44218</v>
      </c>
      <c r="C2772" s="1" t="n">
        <v>45587</v>
      </c>
      <c r="D2772" t="inlineStr">
        <is>
          <t>GÄVLEBORGS LÄN</t>
        </is>
      </c>
      <c r="E2772" t="inlineStr">
        <is>
          <t>SÖDERHAMN</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4042-2021</t>
        </is>
      </c>
      <c r="B2773" s="1" t="n">
        <v>44218</v>
      </c>
      <c r="C2773" s="1" t="n">
        <v>45587</v>
      </c>
      <c r="D2773" t="inlineStr">
        <is>
          <t>GÄVLEBORGS LÄN</t>
        </is>
      </c>
      <c r="E2773" t="inlineStr">
        <is>
          <t>SÖDERHAMN</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4045-2021</t>
        </is>
      </c>
      <c r="B2774" s="1" t="n">
        <v>44218</v>
      </c>
      <c r="C2774" s="1" t="n">
        <v>45587</v>
      </c>
      <c r="D2774" t="inlineStr">
        <is>
          <t>GÄVLEBORGS LÄN</t>
        </is>
      </c>
      <c r="E2774" t="inlineStr">
        <is>
          <t>SÖDERHAMN</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4035-2021</t>
        </is>
      </c>
      <c r="B2775" s="1" t="n">
        <v>44218</v>
      </c>
      <c r="C2775" s="1" t="n">
        <v>45587</v>
      </c>
      <c r="D2775" t="inlineStr">
        <is>
          <t>GÄVLEBORGS LÄN</t>
        </is>
      </c>
      <c r="E2775" t="inlineStr">
        <is>
          <t>SÖDERHAMN</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4047-2021</t>
        </is>
      </c>
      <c r="B2776" s="1" t="n">
        <v>44218</v>
      </c>
      <c r="C2776" s="1" t="n">
        <v>45587</v>
      </c>
      <c r="D2776" t="inlineStr">
        <is>
          <t>GÄVLEBORGS LÄN</t>
        </is>
      </c>
      <c r="E2776" t="inlineStr">
        <is>
          <t>SÖDERHAMN</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3663-2021</t>
        </is>
      </c>
      <c r="B2777" s="1" t="n">
        <v>44221</v>
      </c>
      <c r="C2777" s="1" t="n">
        <v>45587</v>
      </c>
      <c r="D2777" t="inlineStr">
        <is>
          <t>GÄVLEBORGS LÄN</t>
        </is>
      </c>
      <c r="E2777" t="inlineStr">
        <is>
          <t>LJUSDAL</t>
        </is>
      </c>
      <c r="G2777" t="n">
        <v>6.8</v>
      </c>
      <c r="H2777" t="n">
        <v>0</v>
      </c>
      <c r="I2777" t="n">
        <v>0</v>
      </c>
      <c r="J2777" t="n">
        <v>0</v>
      </c>
      <c r="K2777" t="n">
        <v>0</v>
      </c>
      <c r="L2777" t="n">
        <v>0</v>
      </c>
      <c r="M2777" t="n">
        <v>0</v>
      </c>
      <c r="N2777" t="n">
        <v>0</v>
      </c>
      <c r="O2777" t="n">
        <v>0</v>
      </c>
      <c r="P2777" t="n">
        <v>0</v>
      </c>
      <c r="Q2777" t="n">
        <v>0</v>
      </c>
      <c r="R2777" s="2" t="inlineStr"/>
    </row>
    <row r="2778" ht="15" customHeight="1">
      <c r="A2778" t="inlineStr">
        <is>
          <t>A 3698-2021</t>
        </is>
      </c>
      <c r="B2778" s="1" t="n">
        <v>44221</v>
      </c>
      <c r="C2778" s="1" t="n">
        <v>45587</v>
      </c>
      <c r="D2778" t="inlineStr">
        <is>
          <t>GÄVLEBORGS LÄN</t>
        </is>
      </c>
      <c r="E2778" t="inlineStr">
        <is>
          <t>HUDIKSVALL</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3705-2021</t>
        </is>
      </c>
      <c r="B2779" s="1" t="n">
        <v>44221</v>
      </c>
      <c r="C2779" s="1" t="n">
        <v>45587</v>
      </c>
      <c r="D2779" t="inlineStr">
        <is>
          <t>GÄVLEBORGS LÄN</t>
        </is>
      </c>
      <c r="E2779" t="inlineStr">
        <is>
          <t>NORDANSTIG</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3802-2021</t>
        </is>
      </c>
      <c r="B2780" s="1" t="n">
        <v>44221</v>
      </c>
      <c r="C2780" s="1" t="n">
        <v>45587</v>
      </c>
      <c r="D2780" t="inlineStr">
        <is>
          <t>GÄVLEBORGS LÄN</t>
        </is>
      </c>
      <c r="E2780" t="inlineStr">
        <is>
          <t>HOFORS</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3828-2021</t>
        </is>
      </c>
      <c r="B2781" s="1" t="n">
        <v>44222</v>
      </c>
      <c r="C2781" s="1" t="n">
        <v>45587</v>
      </c>
      <c r="D2781" t="inlineStr">
        <is>
          <t>GÄVLEBORGS LÄN</t>
        </is>
      </c>
      <c r="E2781" t="inlineStr">
        <is>
          <t>OVANÅKER</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4287-2021</t>
        </is>
      </c>
      <c r="B2782" s="1" t="n">
        <v>44223</v>
      </c>
      <c r="C2782" s="1" t="n">
        <v>45587</v>
      </c>
      <c r="D2782" t="inlineStr">
        <is>
          <t>GÄVLEBORGS LÄN</t>
        </is>
      </c>
      <c r="E2782" t="inlineStr">
        <is>
          <t>OVANÅKER</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4137-2021</t>
        </is>
      </c>
      <c r="B2783" s="1" t="n">
        <v>44223</v>
      </c>
      <c r="C2783" s="1" t="n">
        <v>45587</v>
      </c>
      <c r="D2783" t="inlineStr">
        <is>
          <t>GÄVLEBORGS LÄN</t>
        </is>
      </c>
      <c r="E2783" t="inlineStr">
        <is>
          <t>HUDIKSVALL</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4341-2021</t>
        </is>
      </c>
      <c r="B2784" s="1" t="n">
        <v>44223</v>
      </c>
      <c r="C2784" s="1" t="n">
        <v>45587</v>
      </c>
      <c r="D2784" t="inlineStr">
        <is>
          <t>GÄVLEBORGS LÄN</t>
        </is>
      </c>
      <c r="E2784" t="inlineStr">
        <is>
          <t>LJUSDAL</t>
        </is>
      </c>
      <c r="F2784" t="inlineStr">
        <is>
          <t>Kommuner</t>
        </is>
      </c>
      <c r="G2784" t="n">
        <v>7.9</v>
      </c>
      <c r="H2784" t="n">
        <v>0</v>
      </c>
      <c r="I2784" t="n">
        <v>0</v>
      </c>
      <c r="J2784" t="n">
        <v>0</v>
      </c>
      <c r="K2784" t="n">
        <v>0</v>
      </c>
      <c r="L2784" t="n">
        <v>0</v>
      </c>
      <c r="M2784" t="n">
        <v>0</v>
      </c>
      <c r="N2784" t="n">
        <v>0</v>
      </c>
      <c r="O2784" t="n">
        <v>0</v>
      </c>
      <c r="P2784" t="n">
        <v>0</v>
      </c>
      <c r="Q2784" t="n">
        <v>0</v>
      </c>
      <c r="R2784" s="2" t="inlineStr"/>
    </row>
    <row r="2785" ht="15" customHeight="1">
      <c r="A2785" t="inlineStr">
        <is>
          <t>A 4277-2021</t>
        </is>
      </c>
      <c r="B2785" s="1" t="n">
        <v>44223</v>
      </c>
      <c r="C2785" s="1" t="n">
        <v>45587</v>
      </c>
      <c r="D2785" t="inlineStr">
        <is>
          <t>GÄVLEBORGS LÄN</t>
        </is>
      </c>
      <c r="E2785" t="inlineStr">
        <is>
          <t>GÄVLE</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4366-2021</t>
        </is>
      </c>
      <c r="B2786" s="1" t="n">
        <v>44223</v>
      </c>
      <c r="C2786" s="1" t="n">
        <v>45587</v>
      </c>
      <c r="D2786" t="inlineStr">
        <is>
          <t>GÄVLEBORGS LÄN</t>
        </is>
      </c>
      <c r="E2786" t="inlineStr">
        <is>
          <t>NORDANSTIG</t>
        </is>
      </c>
      <c r="F2786" t="inlineStr">
        <is>
          <t>Holmen skog AB</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4421-2021</t>
        </is>
      </c>
      <c r="B2787" s="1" t="n">
        <v>44224</v>
      </c>
      <c r="C2787" s="1" t="n">
        <v>45587</v>
      </c>
      <c r="D2787" t="inlineStr">
        <is>
          <t>GÄVLEBORGS LÄN</t>
        </is>
      </c>
      <c r="E2787" t="inlineStr">
        <is>
          <t>BOLLNÄS</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4866-2021</t>
        </is>
      </c>
      <c r="B2788" s="1" t="n">
        <v>44225</v>
      </c>
      <c r="C2788" s="1" t="n">
        <v>45587</v>
      </c>
      <c r="D2788" t="inlineStr">
        <is>
          <t>GÄVLEBORGS LÄN</t>
        </is>
      </c>
      <c r="E2788" t="inlineStr">
        <is>
          <t>HUDIKSVALL</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5029-2021</t>
        </is>
      </c>
      <c r="B2789" s="1" t="n">
        <v>44228</v>
      </c>
      <c r="C2789" s="1" t="n">
        <v>45587</v>
      </c>
      <c r="D2789" t="inlineStr">
        <is>
          <t>GÄVLEBORGS LÄN</t>
        </is>
      </c>
      <c r="E2789" t="inlineStr">
        <is>
          <t>LJUSDAL</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5035-2021</t>
        </is>
      </c>
      <c r="B2790" s="1" t="n">
        <v>44228</v>
      </c>
      <c r="C2790" s="1" t="n">
        <v>45587</v>
      </c>
      <c r="D2790" t="inlineStr">
        <is>
          <t>GÄVLEBORGS LÄN</t>
        </is>
      </c>
      <c r="E2790" t="inlineStr">
        <is>
          <t>SÖDERHAMN</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5207-2021</t>
        </is>
      </c>
      <c r="B2791" s="1" t="n">
        <v>44228</v>
      </c>
      <c r="C2791" s="1" t="n">
        <v>45587</v>
      </c>
      <c r="D2791" t="inlineStr">
        <is>
          <t>GÄVLEBORGS LÄN</t>
        </is>
      </c>
      <c r="E2791" t="inlineStr">
        <is>
          <t>GÄVLE</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4954-2021</t>
        </is>
      </c>
      <c r="B2792" s="1" t="n">
        <v>44228</v>
      </c>
      <c r="C2792" s="1" t="n">
        <v>45587</v>
      </c>
      <c r="D2792" t="inlineStr">
        <is>
          <t>GÄVLEBORGS LÄN</t>
        </is>
      </c>
      <c r="E2792" t="inlineStr">
        <is>
          <t>NORDANSTIG</t>
        </is>
      </c>
      <c r="F2792" t="inlineStr">
        <is>
          <t>Holmen skog AB</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5219-2021</t>
        </is>
      </c>
      <c r="B2793" s="1" t="n">
        <v>44229</v>
      </c>
      <c r="C2793" s="1" t="n">
        <v>45587</v>
      </c>
      <c r="D2793" t="inlineStr">
        <is>
          <t>GÄVLEBORGS LÄN</t>
        </is>
      </c>
      <c r="E2793" t="inlineStr">
        <is>
          <t>SÖDERHAMN</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5431-2021</t>
        </is>
      </c>
      <c r="B2794" s="1" t="n">
        <v>44229</v>
      </c>
      <c r="C2794" s="1" t="n">
        <v>45587</v>
      </c>
      <c r="D2794" t="inlineStr">
        <is>
          <t>GÄVLEBORGS LÄN</t>
        </is>
      </c>
      <c r="E2794" t="inlineStr">
        <is>
          <t>LJUSDAL</t>
        </is>
      </c>
      <c r="G2794" t="n">
        <v>5.8</v>
      </c>
      <c r="H2794" t="n">
        <v>0</v>
      </c>
      <c r="I2794" t="n">
        <v>0</v>
      </c>
      <c r="J2794" t="n">
        <v>0</v>
      </c>
      <c r="K2794" t="n">
        <v>0</v>
      </c>
      <c r="L2794" t="n">
        <v>0</v>
      </c>
      <c r="M2794" t="n">
        <v>0</v>
      </c>
      <c r="N2794" t="n">
        <v>0</v>
      </c>
      <c r="O2794" t="n">
        <v>0</v>
      </c>
      <c r="P2794" t="n">
        <v>0</v>
      </c>
      <c r="Q2794" t="n">
        <v>0</v>
      </c>
      <c r="R2794" s="2" t="inlineStr"/>
    </row>
    <row r="2795" ht="15" customHeight="1">
      <c r="A2795" t="inlineStr">
        <is>
          <t>A 5557-2021</t>
        </is>
      </c>
      <c r="B2795" s="1" t="n">
        <v>44230</v>
      </c>
      <c r="C2795" s="1" t="n">
        <v>45587</v>
      </c>
      <c r="D2795" t="inlineStr">
        <is>
          <t>GÄVLEBORGS LÄN</t>
        </is>
      </c>
      <c r="E2795" t="inlineStr">
        <is>
          <t>HOFORS</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5533-2021</t>
        </is>
      </c>
      <c r="B2796" s="1" t="n">
        <v>44230</v>
      </c>
      <c r="C2796" s="1" t="n">
        <v>45587</v>
      </c>
      <c r="D2796" t="inlineStr">
        <is>
          <t>GÄVLEBORGS LÄN</t>
        </is>
      </c>
      <c r="E2796" t="inlineStr">
        <is>
          <t>SANDVIKEN</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5843-2021</t>
        </is>
      </c>
      <c r="B2797" s="1" t="n">
        <v>44231</v>
      </c>
      <c r="C2797" s="1" t="n">
        <v>45587</v>
      </c>
      <c r="D2797" t="inlineStr">
        <is>
          <t>GÄVLEBORGS LÄN</t>
        </is>
      </c>
      <c r="E2797" t="inlineStr">
        <is>
          <t>NORDANSTIG</t>
        </is>
      </c>
      <c r="F2797" t="inlineStr">
        <is>
          <t>Holmen skog AB</t>
        </is>
      </c>
      <c r="G2797" t="n">
        <v>9.1</v>
      </c>
      <c r="H2797" t="n">
        <v>0</v>
      </c>
      <c r="I2797" t="n">
        <v>0</v>
      </c>
      <c r="J2797" t="n">
        <v>0</v>
      </c>
      <c r="K2797" t="n">
        <v>0</v>
      </c>
      <c r="L2797" t="n">
        <v>0</v>
      </c>
      <c r="M2797" t="n">
        <v>0</v>
      </c>
      <c r="N2797" t="n">
        <v>0</v>
      </c>
      <c r="O2797" t="n">
        <v>0</v>
      </c>
      <c r="P2797" t="n">
        <v>0</v>
      </c>
      <c r="Q2797" t="n">
        <v>0</v>
      </c>
      <c r="R2797" s="2" t="inlineStr"/>
    </row>
    <row r="2798" ht="15" customHeight="1">
      <c r="A2798" t="inlineStr">
        <is>
          <t>A 5903-2021</t>
        </is>
      </c>
      <c r="B2798" s="1" t="n">
        <v>44231</v>
      </c>
      <c r="C2798" s="1" t="n">
        <v>45587</v>
      </c>
      <c r="D2798" t="inlineStr">
        <is>
          <t>GÄVLEBORGS LÄN</t>
        </is>
      </c>
      <c r="E2798" t="inlineStr">
        <is>
          <t>OVANÅKER</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5924-2021</t>
        </is>
      </c>
      <c r="B2799" s="1" t="n">
        <v>44231</v>
      </c>
      <c r="C2799" s="1" t="n">
        <v>45587</v>
      </c>
      <c r="D2799" t="inlineStr">
        <is>
          <t>GÄVLEBORGS LÄN</t>
        </is>
      </c>
      <c r="E2799" t="inlineStr">
        <is>
          <t>SÖDERHAMN</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5916-2021</t>
        </is>
      </c>
      <c r="B2800" s="1" t="n">
        <v>44231</v>
      </c>
      <c r="C2800" s="1" t="n">
        <v>45587</v>
      </c>
      <c r="D2800" t="inlineStr">
        <is>
          <t>GÄVLEBORGS LÄN</t>
        </is>
      </c>
      <c r="E2800" t="inlineStr">
        <is>
          <t>NORDANSTIG</t>
        </is>
      </c>
      <c r="F2800" t="inlineStr">
        <is>
          <t>Holmen skog AB</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5841-2021</t>
        </is>
      </c>
      <c r="B2801" s="1" t="n">
        <v>44231</v>
      </c>
      <c r="C2801" s="1" t="n">
        <v>45587</v>
      </c>
      <c r="D2801" t="inlineStr">
        <is>
          <t>GÄVLEBORGS LÄN</t>
        </is>
      </c>
      <c r="E2801" t="inlineStr">
        <is>
          <t>HUDIKSVALL</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5949-2021</t>
        </is>
      </c>
      <c r="B2802" s="1" t="n">
        <v>44231</v>
      </c>
      <c r="C2802" s="1" t="n">
        <v>45587</v>
      </c>
      <c r="D2802" t="inlineStr">
        <is>
          <t>GÄVLEBORGS LÄN</t>
        </is>
      </c>
      <c r="E2802" t="inlineStr">
        <is>
          <t>NORDANSTIG</t>
        </is>
      </c>
      <c r="F2802" t="inlineStr">
        <is>
          <t>Holmen skog AB</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5972-2021</t>
        </is>
      </c>
      <c r="B2803" s="1" t="n">
        <v>44231</v>
      </c>
      <c r="C2803" s="1" t="n">
        <v>45587</v>
      </c>
      <c r="D2803" t="inlineStr">
        <is>
          <t>GÄVLEBORGS LÄN</t>
        </is>
      </c>
      <c r="E2803" t="inlineStr">
        <is>
          <t>GÄVLE</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6077-2021</t>
        </is>
      </c>
      <c r="B2804" s="1" t="n">
        <v>44232</v>
      </c>
      <c r="C2804" s="1" t="n">
        <v>45587</v>
      </c>
      <c r="D2804" t="inlineStr">
        <is>
          <t>GÄVLEBORGS LÄN</t>
        </is>
      </c>
      <c r="E2804" t="inlineStr">
        <is>
          <t>HUDIKSVALL</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6166-2021</t>
        </is>
      </c>
      <c r="B2805" s="1" t="n">
        <v>44232</v>
      </c>
      <c r="C2805" s="1" t="n">
        <v>45587</v>
      </c>
      <c r="D2805" t="inlineStr">
        <is>
          <t>GÄVLEBORGS LÄN</t>
        </is>
      </c>
      <c r="E2805" t="inlineStr">
        <is>
          <t>BOLLNÄS</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6349-2021</t>
        </is>
      </c>
      <c r="B2806" s="1" t="n">
        <v>44235</v>
      </c>
      <c r="C2806" s="1" t="n">
        <v>45587</v>
      </c>
      <c r="D2806" t="inlineStr">
        <is>
          <t>GÄVLEBORGS LÄN</t>
        </is>
      </c>
      <c r="E2806" t="inlineStr">
        <is>
          <t>SANDVIKEN</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6468-2021</t>
        </is>
      </c>
      <c r="B2807" s="1" t="n">
        <v>44235</v>
      </c>
      <c r="C2807" s="1" t="n">
        <v>45587</v>
      </c>
      <c r="D2807" t="inlineStr">
        <is>
          <t>GÄVLEBORGS LÄN</t>
        </is>
      </c>
      <c r="E2807" t="inlineStr">
        <is>
          <t>GÄVLE</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6344-2021</t>
        </is>
      </c>
      <c r="B2808" s="1" t="n">
        <v>44235</v>
      </c>
      <c r="C2808" s="1" t="n">
        <v>45587</v>
      </c>
      <c r="D2808" t="inlineStr">
        <is>
          <t>GÄVLEBORGS LÄN</t>
        </is>
      </c>
      <c r="E2808" t="inlineStr">
        <is>
          <t>NORDANSTIG</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6467-2021</t>
        </is>
      </c>
      <c r="B2809" s="1" t="n">
        <v>44235</v>
      </c>
      <c r="C2809" s="1" t="n">
        <v>45587</v>
      </c>
      <c r="D2809" t="inlineStr">
        <is>
          <t>GÄVLEBORGS LÄN</t>
        </is>
      </c>
      <c r="E2809" t="inlineStr">
        <is>
          <t>GÄVLE</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6587-2021</t>
        </is>
      </c>
      <c r="B2810" s="1" t="n">
        <v>44236</v>
      </c>
      <c r="C2810" s="1" t="n">
        <v>45587</v>
      </c>
      <c r="D2810" t="inlineStr">
        <is>
          <t>GÄVLEBORGS LÄN</t>
        </is>
      </c>
      <c r="E2810" t="inlineStr">
        <is>
          <t>LJUSDAL</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6512-2021</t>
        </is>
      </c>
      <c r="B2811" s="1" t="n">
        <v>44236</v>
      </c>
      <c r="C2811" s="1" t="n">
        <v>45587</v>
      </c>
      <c r="D2811" t="inlineStr">
        <is>
          <t>GÄVLEBORGS LÄN</t>
        </is>
      </c>
      <c r="E2811" t="inlineStr">
        <is>
          <t>HUDIKSVALL</t>
        </is>
      </c>
      <c r="G2811" t="n">
        <v>46.5</v>
      </c>
      <c r="H2811" t="n">
        <v>0</v>
      </c>
      <c r="I2811" t="n">
        <v>0</v>
      </c>
      <c r="J2811" t="n">
        <v>0</v>
      </c>
      <c r="K2811" t="n">
        <v>0</v>
      </c>
      <c r="L2811" t="n">
        <v>0</v>
      </c>
      <c r="M2811" t="n">
        <v>0</v>
      </c>
      <c r="N2811" t="n">
        <v>0</v>
      </c>
      <c r="O2811" t="n">
        <v>0</v>
      </c>
      <c r="P2811" t="n">
        <v>0</v>
      </c>
      <c r="Q2811" t="n">
        <v>0</v>
      </c>
      <c r="R2811" s="2" t="inlineStr"/>
    </row>
    <row r="2812" ht="15" customHeight="1">
      <c r="A2812" t="inlineStr">
        <is>
          <t>A 6529-2021</t>
        </is>
      </c>
      <c r="B2812" s="1" t="n">
        <v>44236</v>
      </c>
      <c r="C2812" s="1" t="n">
        <v>45587</v>
      </c>
      <c r="D2812" t="inlineStr">
        <is>
          <t>GÄVLEBORGS LÄN</t>
        </is>
      </c>
      <c r="E2812" t="inlineStr">
        <is>
          <t>NORDANSTIG</t>
        </is>
      </c>
      <c r="F2812" t="inlineStr">
        <is>
          <t>Holmen skog AB</t>
        </is>
      </c>
      <c r="G2812" t="n">
        <v>5.2</v>
      </c>
      <c r="H2812" t="n">
        <v>0</v>
      </c>
      <c r="I2812" t="n">
        <v>0</v>
      </c>
      <c r="J2812" t="n">
        <v>0</v>
      </c>
      <c r="K2812" t="n">
        <v>0</v>
      </c>
      <c r="L2812" t="n">
        <v>0</v>
      </c>
      <c r="M2812" t="n">
        <v>0</v>
      </c>
      <c r="N2812" t="n">
        <v>0</v>
      </c>
      <c r="O2812" t="n">
        <v>0</v>
      </c>
      <c r="P2812" t="n">
        <v>0</v>
      </c>
      <c r="Q2812" t="n">
        <v>0</v>
      </c>
      <c r="R2812" s="2" t="inlineStr"/>
    </row>
    <row r="2813" ht="15" customHeight="1">
      <c r="A2813" t="inlineStr">
        <is>
          <t>A 6561-2021</t>
        </is>
      </c>
      <c r="B2813" s="1" t="n">
        <v>44236</v>
      </c>
      <c r="C2813" s="1" t="n">
        <v>45587</v>
      </c>
      <c r="D2813" t="inlineStr">
        <is>
          <t>GÄVLEBORGS LÄN</t>
        </is>
      </c>
      <c r="E2813" t="inlineStr">
        <is>
          <t>NORDANSTIG</t>
        </is>
      </c>
      <c r="F2813" t="inlineStr">
        <is>
          <t>Holmen skog AB</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6673-2021</t>
        </is>
      </c>
      <c r="B2814" s="1" t="n">
        <v>44236</v>
      </c>
      <c r="C2814" s="1" t="n">
        <v>45587</v>
      </c>
      <c r="D2814" t="inlineStr">
        <is>
          <t>GÄVLEBORGS LÄN</t>
        </is>
      </c>
      <c r="E2814" t="inlineStr">
        <is>
          <t>SANDVIKEN</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6678-2021</t>
        </is>
      </c>
      <c r="B2815" s="1" t="n">
        <v>44236</v>
      </c>
      <c r="C2815" s="1" t="n">
        <v>45587</v>
      </c>
      <c r="D2815" t="inlineStr">
        <is>
          <t>GÄVLEBORGS LÄN</t>
        </is>
      </c>
      <c r="E2815" t="inlineStr">
        <is>
          <t>SANDVIKEN</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6718-2021</t>
        </is>
      </c>
      <c r="B2816" s="1" t="n">
        <v>44236</v>
      </c>
      <c r="C2816" s="1" t="n">
        <v>45587</v>
      </c>
      <c r="D2816" t="inlineStr">
        <is>
          <t>GÄVLEBORGS LÄN</t>
        </is>
      </c>
      <c r="E2816" t="inlineStr">
        <is>
          <t>NORDANSTIG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6816-2021</t>
        </is>
      </c>
      <c r="B2817" s="1" t="n">
        <v>44237</v>
      </c>
      <c r="C2817" s="1" t="n">
        <v>45587</v>
      </c>
      <c r="D2817" t="inlineStr">
        <is>
          <t>GÄVLEBORGS LÄN</t>
        </is>
      </c>
      <c r="E2817" t="inlineStr">
        <is>
          <t>SÖDERHAMN</t>
        </is>
      </c>
      <c r="F2817" t="inlineStr">
        <is>
          <t>Bergvik skog väst AB</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6983-2021</t>
        </is>
      </c>
      <c r="B2818" s="1" t="n">
        <v>44237</v>
      </c>
      <c r="C2818" s="1" t="n">
        <v>45587</v>
      </c>
      <c r="D2818" t="inlineStr">
        <is>
          <t>GÄVLEBORGS LÄN</t>
        </is>
      </c>
      <c r="E2818" t="inlineStr">
        <is>
          <t>NORDANSTIG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7080-2021</t>
        </is>
      </c>
      <c r="B2819" s="1" t="n">
        <v>44237</v>
      </c>
      <c r="C2819" s="1" t="n">
        <v>45587</v>
      </c>
      <c r="D2819" t="inlineStr">
        <is>
          <t>GÄVLEBORGS LÄN</t>
        </is>
      </c>
      <c r="E2819" t="inlineStr">
        <is>
          <t>NORDANSTIG</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6989-2021</t>
        </is>
      </c>
      <c r="B2820" s="1" t="n">
        <v>44237</v>
      </c>
      <c r="C2820" s="1" t="n">
        <v>45587</v>
      </c>
      <c r="D2820" t="inlineStr">
        <is>
          <t>GÄVLEBORGS LÄN</t>
        </is>
      </c>
      <c r="E2820" t="inlineStr">
        <is>
          <t>HUDIKSVALL</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7020-2021</t>
        </is>
      </c>
      <c r="B2821" s="1" t="n">
        <v>44237</v>
      </c>
      <c r="C2821" s="1" t="n">
        <v>45587</v>
      </c>
      <c r="D2821" t="inlineStr">
        <is>
          <t>GÄVLEBORGS LÄN</t>
        </is>
      </c>
      <c r="E2821" t="inlineStr">
        <is>
          <t>HUDIKSVALL</t>
        </is>
      </c>
      <c r="G2821" t="n">
        <v>12.8</v>
      </c>
      <c r="H2821" t="n">
        <v>0</v>
      </c>
      <c r="I2821" t="n">
        <v>0</v>
      </c>
      <c r="J2821" t="n">
        <v>0</v>
      </c>
      <c r="K2821" t="n">
        <v>0</v>
      </c>
      <c r="L2821" t="n">
        <v>0</v>
      </c>
      <c r="M2821" t="n">
        <v>0</v>
      </c>
      <c r="N2821" t="n">
        <v>0</v>
      </c>
      <c r="O2821" t="n">
        <v>0</v>
      </c>
      <c r="P2821" t="n">
        <v>0</v>
      </c>
      <c r="Q2821" t="n">
        <v>0</v>
      </c>
      <c r="R2821" s="2" t="inlineStr"/>
    </row>
    <row r="2822" ht="15" customHeight="1">
      <c r="A2822" t="inlineStr">
        <is>
          <t>A 7102-2021</t>
        </is>
      </c>
      <c r="B2822" s="1" t="n">
        <v>44238</v>
      </c>
      <c r="C2822" s="1" t="n">
        <v>45587</v>
      </c>
      <c r="D2822" t="inlineStr">
        <is>
          <t>GÄVLEBORGS LÄN</t>
        </is>
      </c>
      <c r="E2822" t="inlineStr">
        <is>
          <t>HUDIKSVALL</t>
        </is>
      </c>
      <c r="G2822" t="n">
        <v>23.6</v>
      </c>
      <c r="H2822" t="n">
        <v>0</v>
      </c>
      <c r="I2822" t="n">
        <v>0</v>
      </c>
      <c r="J2822" t="n">
        <v>0</v>
      </c>
      <c r="K2822" t="n">
        <v>0</v>
      </c>
      <c r="L2822" t="n">
        <v>0</v>
      </c>
      <c r="M2822" t="n">
        <v>0</v>
      </c>
      <c r="N2822" t="n">
        <v>0</v>
      </c>
      <c r="O2822" t="n">
        <v>0</v>
      </c>
      <c r="P2822" t="n">
        <v>0</v>
      </c>
      <c r="Q2822" t="n">
        <v>0</v>
      </c>
      <c r="R2822" s="2" t="inlineStr"/>
    </row>
    <row r="2823" ht="15" customHeight="1">
      <c r="A2823" t="inlineStr">
        <is>
          <t>A 7146-2021</t>
        </is>
      </c>
      <c r="B2823" s="1" t="n">
        <v>44238</v>
      </c>
      <c r="C2823" s="1" t="n">
        <v>45587</v>
      </c>
      <c r="D2823" t="inlineStr">
        <is>
          <t>GÄVLEBORGS LÄN</t>
        </is>
      </c>
      <c r="E2823" t="inlineStr">
        <is>
          <t>HUDIKSVALL</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7358-2021</t>
        </is>
      </c>
      <c r="B2824" s="1" t="n">
        <v>44239</v>
      </c>
      <c r="C2824" s="1" t="n">
        <v>45587</v>
      </c>
      <c r="D2824" t="inlineStr">
        <is>
          <t>GÄVLEBORGS LÄN</t>
        </is>
      </c>
      <c r="E2824" t="inlineStr">
        <is>
          <t>LJUSDAL</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7410-2021</t>
        </is>
      </c>
      <c r="B2825" s="1" t="n">
        <v>44239</v>
      </c>
      <c r="C2825" s="1" t="n">
        <v>45587</v>
      </c>
      <c r="D2825" t="inlineStr">
        <is>
          <t>GÄVLEBORGS LÄN</t>
        </is>
      </c>
      <c r="E2825" t="inlineStr">
        <is>
          <t>HUDIKSVALL</t>
        </is>
      </c>
      <c r="G2825" t="n">
        <v>10.8</v>
      </c>
      <c r="H2825" t="n">
        <v>0</v>
      </c>
      <c r="I2825" t="n">
        <v>0</v>
      </c>
      <c r="J2825" t="n">
        <v>0</v>
      </c>
      <c r="K2825" t="n">
        <v>0</v>
      </c>
      <c r="L2825" t="n">
        <v>0</v>
      </c>
      <c r="M2825" t="n">
        <v>0</v>
      </c>
      <c r="N2825" t="n">
        <v>0</v>
      </c>
      <c r="O2825" t="n">
        <v>0</v>
      </c>
      <c r="P2825" t="n">
        <v>0</v>
      </c>
      <c r="Q2825" t="n">
        <v>0</v>
      </c>
      <c r="R2825" s="2" t="inlineStr"/>
    </row>
    <row r="2826" ht="15" customHeight="1">
      <c r="A2826" t="inlineStr">
        <is>
          <t>A 7425-2021</t>
        </is>
      </c>
      <c r="B2826" s="1" t="n">
        <v>44239</v>
      </c>
      <c r="C2826" s="1" t="n">
        <v>45587</v>
      </c>
      <c r="D2826" t="inlineStr">
        <is>
          <t>GÄVLEBORGS LÄN</t>
        </is>
      </c>
      <c r="E2826" t="inlineStr">
        <is>
          <t>OCKELBO</t>
        </is>
      </c>
      <c r="F2826" t="inlineStr">
        <is>
          <t>Bergvik skog väst AB</t>
        </is>
      </c>
      <c r="G2826" t="n">
        <v>5.7</v>
      </c>
      <c r="H2826" t="n">
        <v>0</v>
      </c>
      <c r="I2826" t="n">
        <v>0</v>
      </c>
      <c r="J2826" t="n">
        <v>0</v>
      </c>
      <c r="K2826" t="n">
        <v>0</v>
      </c>
      <c r="L2826" t="n">
        <v>0</v>
      </c>
      <c r="M2826" t="n">
        <v>0</v>
      </c>
      <c r="N2826" t="n">
        <v>0</v>
      </c>
      <c r="O2826" t="n">
        <v>0</v>
      </c>
      <c r="P2826" t="n">
        <v>0</v>
      </c>
      <c r="Q2826" t="n">
        <v>0</v>
      </c>
      <c r="R2826" s="2" t="inlineStr"/>
    </row>
    <row r="2827" ht="15" customHeight="1">
      <c r="A2827" t="inlineStr">
        <is>
          <t>A 7504-2021</t>
        </is>
      </c>
      <c r="B2827" s="1" t="n">
        <v>44239</v>
      </c>
      <c r="C2827" s="1" t="n">
        <v>45587</v>
      </c>
      <c r="D2827" t="inlineStr">
        <is>
          <t>GÄVLEBORGS LÄN</t>
        </is>
      </c>
      <c r="E2827" t="inlineStr">
        <is>
          <t>HUDIKSVALL</t>
        </is>
      </c>
      <c r="G2827" t="n">
        <v>16.5</v>
      </c>
      <c r="H2827" t="n">
        <v>0</v>
      </c>
      <c r="I2827" t="n">
        <v>0</v>
      </c>
      <c r="J2827" t="n">
        <v>0</v>
      </c>
      <c r="K2827" t="n">
        <v>0</v>
      </c>
      <c r="L2827" t="n">
        <v>0</v>
      </c>
      <c r="M2827" t="n">
        <v>0</v>
      </c>
      <c r="N2827" t="n">
        <v>0</v>
      </c>
      <c r="O2827" t="n">
        <v>0</v>
      </c>
      <c r="P2827" t="n">
        <v>0</v>
      </c>
      <c r="Q2827" t="n">
        <v>0</v>
      </c>
      <c r="R2827" s="2" t="inlineStr"/>
    </row>
    <row r="2828" ht="15" customHeight="1">
      <c r="A2828" t="inlineStr">
        <is>
          <t>A 7356-2021</t>
        </is>
      </c>
      <c r="B2828" s="1" t="n">
        <v>44239</v>
      </c>
      <c r="C2828" s="1" t="n">
        <v>45587</v>
      </c>
      <c r="D2828" t="inlineStr">
        <is>
          <t>GÄVLEBORGS LÄN</t>
        </is>
      </c>
      <c r="E2828" t="inlineStr">
        <is>
          <t>SÖDERHAMN</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7420-2021</t>
        </is>
      </c>
      <c r="B2829" s="1" t="n">
        <v>44239</v>
      </c>
      <c r="C2829" s="1" t="n">
        <v>45587</v>
      </c>
      <c r="D2829" t="inlineStr">
        <is>
          <t>GÄVLEBORGS LÄN</t>
        </is>
      </c>
      <c r="E2829" t="inlineStr">
        <is>
          <t>OCKELBO</t>
        </is>
      </c>
      <c r="F2829" t="inlineStr">
        <is>
          <t>Bergvik skog väst AB</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7464-2021</t>
        </is>
      </c>
      <c r="B2830" s="1" t="n">
        <v>44239</v>
      </c>
      <c r="C2830" s="1" t="n">
        <v>45587</v>
      </c>
      <c r="D2830" t="inlineStr">
        <is>
          <t>GÄVLEBORGS LÄN</t>
        </is>
      </c>
      <c r="E2830" t="inlineStr">
        <is>
          <t>BOLLNÄS</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7344-2021</t>
        </is>
      </c>
      <c r="B2831" s="1" t="n">
        <v>44239</v>
      </c>
      <c r="C2831" s="1" t="n">
        <v>45587</v>
      </c>
      <c r="D2831" t="inlineStr">
        <is>
          <t>GÄVLEBORGS LÄN</t>
        </is>
      </c>
      <c r="E2831" t="inlineStr">
        <is>
          <t>OCKELBO</t>
        </is>
      </c>
      <c r="F2831" t="inlineStr">
        <is>
          <t>Bergvik skog väst AB</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7379-2021</t>
        </is>
      </c>
      <c r="B2832" s="1" t="n">
        <v>44239</v>
      </c>
      <c r="C2832" s="1" t="n">
        <v>45587</v>
      </c>
      <c r="D2832" t="inlineStr">
        <is>
          <t>GÄVLEBORGS LÄN</t>
        </is>
      </c>
      <c r="E2832" t="inlineStr">
        <is>
          <t>OCKELBO</t>
        </is>
      </c>
      <c r="F2832" t="inlineStr">
        <is>
          <t>Bergvik skog väst AB</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7461-2021</t>
        </is>
      </c>
      <c r="B2833" s="1" t="n">
        <v>44239</v>
      </c>
      <c r="C2833" s="1" t="n">
        <v>45587</v>
      </c>
      <c r="D2833" t="inlineStr">
        <is>
          <t>GÄVLEBORGS LÄN</t>
        </is>
      </c>
      <c r="E2833" t="inlineStr">
        <is>
          <t>BOLLNÄS</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7525-2021</t>
        </is>
      </c>
      <c r="B2834" s="1" t="n">
        <v>44239</v>
      </c>
      <c r="C2834" s="1" t="n">
        <v>45587</v>
      </c>
      <c r="D2834" t="inlineStr">
        <is>
          <t>GÄVLEBORGS LÄN</t>
        </is>
      </c>
      <c r="E2834" t="inlineStr">
        <is>
          <t>HUDIKSVALL</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7533-2021</t>
        </is>
      </c>
      <c r="B2835" s="1" t="n">
        <v>44239</v>
      </c>
      <c r="C2835" s="1" t="n">
        <v>45587</v>
      </c>
      <c r="D2835" t="inlineStr">
        <is>
          <t>GÄVLEBORGS LÄN</t>
        </is>
      </c>
      <c r="E2835" t="inlineStr">
        <is>
          <t>HUDIKSVALL</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7529-2021</t>
        </is>
      </c>
      <c r="B2836" s="1" t="n">
        <v>44239</v>
      </c>
      <c r="C2836" s="1" t="n">
        <v>45587</v>
      </c>
      <c r="D2836" t="inlineStr">
        <is>
          <t>GÄVLEBORGS LÄN</t>
        </is>
      </c>
      <c r="E2836" t="inlineStr">
        <is>
          <t>HUDIKSVALL</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7801-2021</t>
        </is>
      </c>
      <c r="B2837" s="1" t="n">
        <v>44242</v>
      </c>
      <c r="C2837" s="1" t="n">
        <v>45587</v>
      </c>
      <c r="D2837" t="inlineStr">
        <is>
          <t>GÄVLEBORGS LÄN</t>
        </is>
      </c>
      <c r="E2837" t="inlineStr">
        <is>
          <t>BOLLNÄS</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7767-2021</t>
        </is>
      </c>
      <c r="B2838" s="1" t="n">
        <v>44242</v>
      </c>
      <c r="C2838" s="1" t="n">
        <v>45587</v>
      </c>
      <c r="D2838" t="inlineStr">
        <is>
          <t>GÄVLEBORGS LÄN</t>
        </is>
      </c>
      <c r="E2838" t="inlineStr">
        <is>
          <t>BOLLNÄS</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7804-2021</t>
        </is>
      </c>
      <c r="B2839" s="1" t="n">
        <v>44242</v>
      </c>
      <c r="C2839" s="1" t="n">
        <v>45587</v>
      </c>
      <c r="D2839" t="inlineStr">
        <is>
          <t>GÄVLEBORGS LÄN</t>
        </is>
      </c>
      <c r="E2839" t="inlineStr">
        <is>
          <t>NORDANSTIG</t>
        </is>
      </c>
      <c r="F2839" t="inlineStr">
        <is>
          <t>Holmen skog AB</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7925-2021</t>
        </is>
      </c>
      <c r="B2840" s="1" t="n">
        <v>44243</v>
      </c>
      <c r="C2840" s="1" t="n">
        <v>45587</v>
      </c>
      <c r="D2840" t="inlineStr">
        <is>
          <t>GÄVLEBORGS LÄN</t>
        </is>
      </c>
      <c r="E2840" t="inlineStr">
        <is>
          <t>LJUSDAL</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8038-2021</t>
        </is>
      </c>
      <c r="B2841" s="1" t="n">
        <v>44243</v>
      </c>
      <c r="C2841" s="1" t="n">
        <v>45587</v>
      </c>
      <c r="D2841" t="inlineStr">
        <is>
          <t>GÄVLEBORGS LÄN</t>
        </is>
      </c>
      <c r="E2841" t="inlineStr">
        <is>
          <t>BOLLNÄS</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8031-2021</t>
        </is>
      </c>
      <c r="B2842" s="1" t="n">
        <v>44243</v>
      </c>
      <c r="C2842" s="1" t="n">
        <v>45587</v>
      </c>
      <c r="D2842" t="inlineStr">
        <is>
          <t>GÄVLEBORGS LÄN</t>
        </is>
      </c>
      <c r="E2842" t="inlineStr">
        <is>
          <t>BOLLNÄS</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8039-2021</t>
        </is>
      </c>
      <c r="B2843" s="1" t="n">
        <v>44243</v>
      </c>
      <c r="C2843" s="1" t="n">
        <v>45587</v>
      </c>
      <c r="D2843" t="inlineStr">
        <is>
          <t>GÄVLEBORGS LÄN</t>
        </is>
      </c>
      <c r="E2843" t="inlineStr">
        <is>
          <t>NORDANSTIG</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8572-2021</t>
        </is>
      </c>
      <c r="B2844" s="1" t="n">
        <v>44244</v>
      </c>
      <c r="C2844" s="1" t="n">
        <v>45587</v>
      </c>
      <c r="D2844" t="inlineStr">
        <is>
          <t>GÄVLEBORGS LÄN</t>
        </is>
      </c>
      <c r="E2844" t="inlineStr">
        <is>
          <t>HUDIKSVALL</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8570-2021</t>
        </is>
      </c>
      <c r="B2845" s="1" t="n">
        <v>44244</v>
      </c>
      <c r="C2845" s="1" t="n">
        <v>45587</v>
      </c>
      <c r="D2845" t="inlineStr">
        <is>
          <t>GÄVLEBORGS LÄN</t>
        </is>
      </c>
      <c r="E2845" t="inlineStr">
        <is>
          <t>HUDIKSVALL</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8569-2021</t>
        </is>
      </c>
      <c r="B2846" s="1" t="n">
        <v>44245</v>
      </c>
      <c r="C2846" s="1" t="n">
        <v>45587</v>
      </c>
      <c r="D2846" t="inlineStr">
        <is>
          <t>GÄVLEBORGS LÄN</t>
        </is>
      </c>
      <c r="E2846" t="inlineStr">
        <is>
          <t>HUDIKSVALL</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8432-2021</t>
        </is>
      </c>
      <c r="B2847" s="1" t="n">
        <v>44245</v>
      </c>
      <c r="C2847" s="1" t="n">
        <v>45587</v>
      </c>
      <c r="D2847" t="inlineStr">
        <is>
          <t>GÄVLEBORGS LÄN</t>
        </is>
      </c>
      <c r="E2847" t="inlineStr">
        <is>
          <t>OVANÅKER</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8881-2021</t>
        </is>
      </c>
      <c r="B2848" s="1" t="n">
        <v>44247</v>
      </c>
      <c r="C2848" s="1" t="n">
        <v>45587</v>
      </c>
      <c r="D2848" t="inlineStr">
        <is>
          <t>GÄVLEBORGS LÄN</t>
        </is>
      </c>
      <c r="E2848" t="inlineStr">
        <is>
          <t>SANDVIKEN</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8942-2021</t>
        </is>
      </c>
      <c r="B2849" s="1" t="n">
        <v>44249</v>
      </c>
      <c r="C2849" s="1" t="n">
        <v>45587</v>
      </c>
      <c r="D2849" t="inlineStr">
        <is>
          <t>GÄVLEBORGS LÄN</t>
        </is>
      </c>
      <c r="E2849" t="inlineStr">
        <is>
          <t>NORDANSTIG</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8924-2021</t>
        </is>
      </c>
      <c r="B2850" s="1" t="n">
        <v>44249</v>
      </c>
      <c r="C2850" s="1" t="n">
        <v>45587</v>
      </c>
      <c r="D2850" t="inlineStr">
        <is>
          <t>GÄVLEBORGS LÄN</t>
        </is>
      </c>
      <c r="E2850" t="inlineStr">
        <is>
          <t>NORDANSTIG</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9094-2021</t>
        </is>
      </c>
      <c r="B2851" s="1" t="n">
        <v>44249</v>
      </c>
      <c r="C2851" s="1" t="n">
        <v>45587</v>
      </c>
      <c r="D2851" t="inlineStr">
        <is>
          <t>GÄVLEBORGS LÄN</t>
        </is>
      </c>
      <c r="E2851" t="inlineStr">
        <is>
          <t>HUDIKSVALL</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9288-2021</t>
        </is>
      </c>
      <c r="B2852" s="1" t="n">
        <v>44250</v>
      </c>
      <c r="C2852" s="1" t="n">
        <v>45587</v>
      </c>
      <c r="D2852" t="inlineStr">
        <is>
          <t>GÄVLEBORGS LÄN</t>
        </is>
      </c>
      <c r="E2852" t="inlineStr">
        <is>
          <t>LJUSDAL</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9287-2021</t>
        </is>
      </c>
      <c r="B2853" s="1" t="n">
        <v>44250</v>
      </c>
      <c r="C2853" s="1" t="n">
        <v>45587</v>
      </c>
      <c r="D2853" t="inlineStr">
        <is>
          <t>GÄVLEBORGS LÄN</t>
        </is>
      </c>
      <c r="E2853" t="inlineStr">
        <is>
          <t>OCKELBO</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9540-2021</t>
        </is>
      </c>
      <c r="B2854" s="1" t="n">
        <v>44251</v>
      </c>
      <c r="C2854" s="1" t="n">
        <v>45587</v>
      </c>
      <c r="D2854" t="inlineStr">
        <is>
          <t>GÄVLEBORGS LÄN</t>
        </is>
      </c>
      <c r="E2854" t="inlineStr">
        <is>
          <t>LJUSDAL</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9506-2021</t>
        </is>
      </c>
      <c r="B2855" s="1" t="n">
        <v>44251</v>
      </c>
      <c r="C2855" s="1" t="n">
        <v>45587</v>
      </c>
      <c r="D2855" t="inlineStr">
        <is>
          <t>GÄVLEBORGS LÄN</t>
        </is>
      </c>
      <c r="E2855" t="inlineStr">
        <is>
          <t>OVANÅKER</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9714-2021</t>
        </is>
      </c>
      <c r="B2856" s="1" t="n">
        <v>44252</v>
      </c>
      <c r="C2856" s="1" t="n">
        <v>45587</v>
      </c>
      <c r="D2856" t="inlineStr">
        <is>
          <t>GÄVLEBORGS LÄN</t>
        </is>
      </c>
      <c r="E2856" t="inlineStr">
        <is>
          <t>LJUSDAL</t>
        </is>
      </c>
      <c r="F2856" t="inlineStr">
        <is>
          <t>Bergvik skog väst AB</t>
        </is>
      </c>
      <c r="G2856" t="n">
        <v>20.7</v>
      </c>
      <c r="H2856" t="n">
        <v>0</v>
      </c>
      <c r="I2856" t="n">
        <v>0</v>
      </c>
      <c r="J2856" t="n">
        <v>0</v>
      </c>
      <c r="K2856" t="n">
        <v>0</v>
      </c>
      <c r="L2856" t="n">
        <v>0</v>
      </c>
      <c r="M2856" t="n">
        <v>0</v>
      </c>
      <c r="N2856" t="n">
        <v>0</v>
      </c>
      <c r="O2856" t="n">
        <v>0</v>
      </c>
      <c r="P2856" t="n">
        <v>0</v>
      </c>
      <c r="Q2856" t="n">
        <v>0</v>
      </c>
      <c r="R2856" s="2" t="inlineStr"/>
    </row>
    <row r="2857" ht="15" customHeight="1">
      <c r="A2857" t="inlineStr">
        <is>
          <t>A 9738-2021</t>
        </is>
      </c>
      <c r="B2857" s="1" t="n">
        <v>44252</v>
      </c>
      <c r="C2857" s="1" t="n">
        <v>45587</v>
      </c>
      <c r="D2857" t="inlineStr">
        <is>
          <t>GÄVLEBORGS LÄN</t>
        </is>
      </c>
      <c r="E2857" t="inlineStr">
        <is>
          <t>GÄVLE</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9736-2021</t>
        </is>
      </c>
      <c r="B2858" s="1" t="n">
        <v>44252</v>
      </c>
      <c r="C2858" s="1" t="n">
        <v>45587</v>
      </c>
      <c r="D2858" t="inlineStr">
        <is>
          <t>GÄVLEBORGS LÄN</t>
        </is>
      </c>
      <c r="E2858" t="inlineStr">
        <is>
          <t>SANDVIKEN</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9733-2021</t>
        </is>
      </c>
      <c r="B2859" s="1" t="n">
        <v>44252</v>
      </c>
      <c r="C2859" s="1" t="n">
        <v>45587</v>
      </c>
      <c r="D2859" t="inlineStr">
        <is>
          <t>GÄVLEBORGS LÄN</t>
        </is>
      </c>
      <c r="E2859" t="inlineStr">
        <is>
          <t>GÄVLE</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9982-2021</t>
        </is>
      </c>
      <c r="B2860" s="1" t="n">
        <v>44253</v>
      </c>
      <c r="C2860" s="1" t="n">
        <v>45587</v>
      </c>
      <c r="D2860" t="inlineStr">
        <is>
          <t>GÄVLEBORGS LÄN</t>
        </is>
      </c>
      <c r="E2860" t="inlineStr">
        <is>
          <t>LJUSDAL</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10030-2021</t>
        </is>
      </c>
      <c r="B2861" s="1" t="n">
        <v>44256</v>
      </c>
      <c r="C2861" s="1" t="n">
        <v>45587</v>
      </c>
      <c r="D2861" t="inlineStr">
        <is>
          <t>GÄVLEBORGS LÄN</t>
        </is>
      </c>
      <c r="E2861" t="inlineStr">
        <is>
          <t>HUDIKSVALL</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10100-2021</t>
        </is>
      </c>
      <c r="B2862" s="1" t="n">
        <v>44256</v>
      </c>
      <c r="C2862" s="1" t="n">
        <v>45587</v>
      </c>
      <c r="D2862" t="inlineStr">
        <is>
          <t>GÄVLEBORGS LÄN</t>
        </is>
      </c>
      <c r="E2862" t="inlineStr">
        <is>
          <t>OCKELBO</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10542-2021</t>
        </is>
      </c>
      <c r="B2863" s="1" t="n">
        <v>44258</v>
      </c>
      <c r="C2863" s="1" t="n">
        <v>45587</v>
      </c>
      <c r="D2863" t="inlineStr">
        <is>
          <t>GÄVLEBORGS LÄN</t>
        </is>
      </c>
      <c r="E2863" t="inlineStr">
        <is>
          <t>OVANÅKER</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10548-2021</t>
        </is>
      </c>
      <c r="B2864" s="1" t="n">
        <v>44258</v>
      </c>
      <c r="C2864" s="1" t="n">
        <v>45587</v>
      </c>
      <c r="D2864" t="inlineStr">
        <is>
          <t>GÄVLEBORGS LÄN</t>
        </is>
      </c>
      <c r="E2864" t="inlineStr">
        <is>
          <t>NORDANSTIG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10632-2021</t>
        </is>
      </c>
      <c r="B2865" s="1" t="n">
        <v>44258</v>
      </c>
      <c r="C2865" s="1" t="n">
        <v>45587</v>
      </c>
      <c r="D2865" t="inlineStr">
        <is>
          <t>GÄVLEBORGS LÄN</t>
        </is>
      </c>
      <c r="E2865" t="inlineStr">
        <is>
          <t>OVANÅKER</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10612-2021</t>
        </is>
      </c>
      <c r="B2866" s="1" t="n">
        <v>44258</v>
      </c>
      <c r="C2866" s="1" t="n">
        <v>45587</v>
      </c>
      <c r="D2866" t="inlineStr">
        <is>
          <t>GÄVLEBORGS LÄN</t>
        </is>
      </c>
      <c r="E2866" t="inlineStr">
        <is>
          <t>NORDANSTIG</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10641-2021</t>
        </is>
      </c>
      <c r="B2867" s="1" t="n">
        <v>44258</v>
      </c>
      <c r="C2867" s="1" t="n">
        <v>45587</v>
      </c>
      <c r="D2867" t="inlineStr">
        <is>
          <t>GÄVLEBORGS LÄN</t>
        </is>
      </c>
      <c r="E2867" t="inlineStr">
        <is>
          <t>OVANÅKER</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10708-2021</t>
        </is>
      </c>
      <c r="B2868" s="1" t="n">
        <v>44258</v>
      </c>
      <c r="C2868" s="1" t="n">
        <v>45587</v>
      </c>
      <c r="D2868" t="inlineStr">
        <is>
          <t>GÄVLEBORGS LÄN</t>
        </is>
      </c>
      <c r="E2868" t="inlineStr">
        <is>
          <t>OVANÅKER</t>
        </is>
      </c>
      <c r="G2868" t="n">
        <v>22.6</v>
      </c>
      <c r="H2868" t="n">
        <v>0</v>
      </c>
      <c r="I2868" t="n">
        <v>0</v>
      </c>
      <c r="J2868" t="n">
        <v>0</v>
      </c>
      <c r="K2868" t="n">
        <v>0</v>
      </c>
      <c r="L2868" t="n">
        <v>0</v>
      </c>
      <c r="M2868" t="n">
        <v>0</v>
      </c>
      <c r="N2868" t="n">
        <v>0</v>
      </c>
      <c r="O2868" t="n">
        <v>0</v>
      </c>
      <c r="P2868" t="n">
        <v>0</v>
      </c>
      <c r="Q2868" t="n">
        <v>0</v>
      </c>
      <c r="R2868" s="2" t="inlineStr"/>
    </row>
    <row r="2869" ht="15" customHeight="1">
      <c r="A2869" t="inlineStr">
        <is>
          <t>A 10704-2021</t>
        </is>
      </c>
      <c r="B2869" s="1" t="n">
        <v>44258</v>
      </c>
      <c r="C2869" s="1" t="n">
        <v>45587</v>
      </c>
      <c r="D2869" t="inlineStr">
        <is>
          <t>GÄVLEBORGS LÄN</t>
        </is>
      </c>
      <c r="E2869" t="inlineStr">
        <is>
          <t>GÄVLE</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10683-2021</t>
        </is>
      </c>
      <c r="B2870" s="1" t="n">
        <v>44258</v>
      </c>
      <c r="C2870" s="1" t="n">
        <v>45587</v>
      </c>
      <c r="D2870" t="inlineStr">
        <is>
          <t>GÄVLEBORGS LÄN</t>
        </is>
      </c>
      <c r="E2870" t="inlineStr">
        <is>
          <t>HUDIKSVALL</t>
        </is>
      </c>
      <c r="F2870" t="inlineStr">
        <is>
          <t>Holmen skog AB</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10709-2021</t>
        </is>
      </c>
      <c r="B2871" s="1" t="n">
        <v>44258</v>
      </c>
      <c r="C2871" s="1" t="n">
        <v>45587</v>
      </c>
      <c r="D2871" t="inlineStr">
        <is>
          <t>GÄVLEBORGS LÄN</t>
        </is>
      </c>
      <c r="E2871" t="inlineStr">
        <is>
          <t>GÄVLE</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10781-2021</t>
        </is>
      </c>
      <c r="B2872" s="1" t="n">
        <v>44259</v>
      </c>
      <c r="C2872" s="1" t="n">
        <v>45587</v>
      </c>
      <c r="D2872" t="inlineStr">
        <is>
          <t>GÄVLEBORGS LÄN</t>
        </is>
      </c>
      <c r="E2872" t="inlineStr">
        <is>
          <t>SÖDERHAMN</t>
        </is>
      </c>
      <c r="F2872" t="inlineStr">
        <is>
          <t>Bergvik skog väst AB</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10851-2021</t>
        </is>
      </c>
      <c r="B2873" s="1" t="n">
        <v>44259</v>
      </c>
      <c r="C2873" s="1" t="n">
        <v>45587</v>
      </c>
      <c r="D2873" t="inlineStr">
        <is>
          <t>GÄVLEBORGS LÄN</t>
        </is>
      </c>
      <c r="E2873" t="inlineStr">
        <is>
          <t>HUDIKSVALL</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10883-2021</t>
        </is>
      </c>
      <c r="B2874" s="1" t="n">
        <v>44259</v>
      </c>
      <c r="C2874" s="1" t="n">
        <v>45587</v>
      </c>
      <c r="D2874" t="inlineStr">
        <is>
          <t>GÄVLEBORGS LÄN</t>
        </is>
      </c>
      <c r="E2874" t="inlineStr">
        <is>
          <t>LJUSDAL</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11020-2021</t>
        </is>
      </c>
      <c r="B2875" s="1" t="n">
        <v>44260</v>
      </c>
      <c r="C2875" s="1" t="n">
        <v>45587</v>
      </c>
      <c r="D2875" t="inlineStr">
        <is>
          <t>GÄVLEBORGS LÄN</t>
        </is>
      </c>
      <c r="E2875" t="inlineStr">
        <is>
          <t>GÄVLE</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11051-2021</t>
        </is>
      </c>
      <c r="B2876" s="1" t="n">
        <v>44260</v>
      </c>
      <c r="C2876" s="1" t="n">
        <v>45587</v>
      </c>
      <c r="D2876" t="inlineStr">
        <is>
          <t>GÄVLEBORGS LÄN</t>
        </is>
      </c>
      <c r="E2876" t="inlineStr">
        <is>
          <t>HUDIKSVALL</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11214-2021</t>
        </is>
      </c>
      <c r="B2877" s="1" t="n">
        <v>44263</v>
      </c>
      <c r="C2877" s="1" t="n">
        <v>45587</v>
      </c>
      <c r="D2877" t="inlineStr">
        <is>
          <t>GÄVLEBORGS LÄN</t>
        </is>
      </c>
      <c r="E2877" t="inlineStr">
        <is>
          <t>NORDANSTIG</t>
        </is>
      </c>
      <c r="F2877" t="inlineStr">
        <is>
          <t>Holmen skog AB</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11188-2021</t>
        </is>
      </c>
      <c r="B2878" s="1" t="n">
        <v>44263</v>
      </c>
      <c r="C2878" s="1" t="n">
        <v>45587</v>
      </c>
      <c r="D2878" t="inlineStr">
        <is>
          <t>GÄVLEBORGS LÄN</t>
        </is>
      </c>
      <c r="E2878" t="inlineStr">
        <is>
          <t>GÄVLE</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11393-2021</t>
        </is>
      </c>
      <c r="B2879" s="1" t="n">
        <v>44263</v>
      </c>
      <c r="C2879" s="1" t="n">
        <v>45587</v>
      </c>
      <c r="D2879" t="inlineStr">
        <is>
          <t>GÄVLEBORGS LÄN</t>
        </is>
      </c>
      <c r="E2879" t="inlineStr">
        <is>
          <t>BOLLNÄS</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11190-2021</t>
        </is>
      </c>
      <c r="B2880" s="1" t="n">
        <v>44263</v>
      </c>
      <c r="C2880" s="1" t="n">
        <v>45587</v>
      </c>
      <c r="D2880" t="inlineStr">
        <is>
          <t>GÄVLEBORGS LÄN</t>
        </is>
      </c>
      <c r="E2880" t="inlineStr">
        <is>
          <t>GÄVLE</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11308-2021</t>
        </is>
      </c>
      <c r="B2881" s="1" t="n">
        <v>44263</v>
      </c>
      <c r="C2881" s="1" t="n">
        <v>45587</v>
      </c>
      <c r="D2881" t="inlineStr">
        <is>
          <t>GÄVLEBORGS LÄN</t>
        </is>
      </c>
      <c r="E2881" t="inlineStr">
        <is>
          <t>NORDANSTIG</t>
        </is>
      </c>
      <c r="G2881" t="n">
        <v>15.6</v>
      </c>
      <c r="H2881" t="n">
        <v>0</v>
      </c>
      <c r="I2881" t="n">
        <v>0</v>
      </c>
      <c r="J2881" t="n">
        <v>0</v>
      </c>
      <c r="K2881" t="n">
        <v>0</v>
      </c>
      <c r="L2881" t="n">
        <v>0</v>
      </c>
      <c r="M2881" t="n">
        <v>0</v>
      </c>
      <c r="N2881" t="n">
        <v>0</v>
      </c>
      <c r="O2881" t="n">
        <v>0</v>
      </c>
      <c r="P2881" t="n">
        <v>0</v>
      </c>
      <c r="Q2881" t="n">
        <v>0</v>
      </c>
      <c r="R2881" s="2" t="inlineStr"/>
    </row>
    <row r="2882" ht="15" customHeight="1">
      <c r="A2882" t="inlineStr">
        <is>
          <t>A 11366-2021</t>
        </is>
      </c>
      <c r="B2882" s="1" t="n">
        <v>44263</v>
      </c>
      <c r="C2882" s="1" t="n">
        <v>45587</v>
      </c>
      <c r="D2882" t="inlineStr">
        <is>
          <t>GÄVLEBORGS LÄN</t>
        </is>
      </c>
      <c r="E2882" t="inlineStr">
        <is>
          <t>NORDANSTIG</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11423-2021</t>
        </is>
      </c>
      <c r="B2883" s="1" t="n">
        <v>44263</v>
      </c>
      <c r="C2883" s="1" t="n">
        <v>45587</v>
      </c>
      <c r="D2883" t="inlineStr">
        <is>
          <t>GÄVLEBORGS LÄN</t>
        </is>
      </c>
      <c r="E2883" t="inlineStr">
        <is>
          <t>HUDIKSVALL</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11422-2021</t>
        </is>
      </c>
      <c r="B2884" s="1" t="n">
        <v>44263</v>
      </c>
      <c r="C2884" s="1" t="n">
        <v>45587</v>
      </c>
      <c r="D2884" t="inlineStr">
        <is>
          <t>GÄVLEBORGS LÄN</t>
        </is>
      </c>
      <c r="E2884" t="inlineStr">
        <is>
          <t>HUDIKSVALL</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11533-2021</t>
        </is>
      </c>
      <c r="B2885" s="1" t="n">
        <v>44264</v>
      </c>
      <c r="C2885" s="1" t="n">
        <v>45587</v>
      </c>
      <c r="D2885" t="inlineStr">
        <is>
          <t>GÄVLEBORGS LÄN</t>
        </is>
      </c>
      <c r="E2885" t="inlineStr">
        <is>
          <t>OVANÅKER</t>
        </is>
      </c>
      <c r="G2885" t="n">
        <v>0</v>
      </c>
      <c r="H2885" t="n">
        <v>0</v>
      </c>
      <c r="I2885" t="n">
        <v>0</v>
      </c>
      <c r="J2885" t="n">
        <v>0</v>
      </c>
      <c r="K2885" t="n">
        <v>0</v>
      </c>
      <c r="L2885" t="n">
        <v>0</v>
      </c>
      <c r="M2885" t="n">
        <v>0</v>
      </c>
      <c r="N2885" t="n">
        <v>0</v>
      </c>
      <c r="O2885" t="n">
        <v>0</v>
      </c>
      <c r="P2885" t="n">
        <v>0</v>
      </c>
      <c r="Q2885" t="n">
        <v>0</v>
      </c>
      <c r="R2885" s="2" t="inlineStr"/>
    </row>
    <row r="2886" ht="15" customHeight="1">
      <c r="A2886" t="inlineStr">
        <is>
          <t>A 11543-2021</t>
        </is>
      </c>
      <c r="B2886" s="1" t="n">
        <v>44264</v>
      </c>
      <c r="C2886" s="1" t="n">
        <v>45587</v>
      </c>
      <c r="D2886" t="inlineStr">
        <is>
          <t>GÄVLEBORGS LÄN</t>
        </is>
      </c>
      <c r="E2886" t="inlineStr">
        <is>
          <t>OVANÅKER</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11540-2021</t>
        </is>
      </c>
      <c r="B2887" s="1" t="n">
        <v>44264</v>
      </c>
      <c r="C2887" s="1" t="n">
        <v>45587</v>
      </c>
      <c r="D2887" t="inlineStr">
        <is>
          <t>GÄVLEBORGS LÄN</t>
        </is>
      </c>
      <c r="E2887" t="inlineStr">
        <is>
          <t>OVANÅKER</t>
        </is>
      </c>
      <c r="G2887" t="n">
        <v>0</v>
      </c>
      <c r="H2887" t="n">
        <v>0</v>
      </c>
      <c r="I2887" t="n">
        <v>0</v>
      </c>
      <c r="J2887" t="n">
        <v>0</v>
      </c>
      <c r="K2887" t="n">
        <v>0</v>
      </c>
      <c r="L2887" t="n">
        <v>0</v>
      </c>
      <c r="M2887" t="n">
        <v>0</v>
      </c>
      <c r="N2887" t="n">
        <v>0</v>
      </c>
      <c r="O2887" t="n">
        <v>0</v>
      </c>
      <c r="P2887" t="n">
        <v>0</v>
      </c>
      <c r="Q2887" t="n">
        <v>0</v>
      </c>
      <c r="R2887" s="2" t="inlineStr"/>
    </row>
    <row r="2888" ht="15" customHeight="1">
      <c r="A2888" t="inlineStr">
        <is>
          <t>A 11536-2021</t>
        </is>
      </c>
      <c r="B2888" s="1" t="n">
        <v>44264</v>
      </c>
      <c r="C2888" s="1" t="n">
        <v>45587</v>
      </c>
      <c r="D2888" t="inlineStr">
        <is>
          <t>GÄVLEBORGS LÄN</t>
        </is>
      </c>
      <c r="E2888" t="inlineStr">
        <is>
          <t>OVANÅKER</t>
        </is>
      </c>
      <c r="G2888" t="n">
        <v>0.1</v>
      </c>
      <c r="H2888" t="n">
        <v>0</v>
      </c>
      <c r="I2888" t="n">
        <v>0</v>
      </c>
      <c r="J2888" t="n">
        <v>0</v>
      </c>
      <c r="K2888" t="n">
        <v>0</v>
      </c>
      <c r="L2888" t="n">
        <v>0</v>
      </c>
      <c r="M2888" t="n">
        <v>0</v>
      </c>
      <c r="N2888" t="n">
        <v>0</v>
      </c>
      <c r="O2888" t="n">
        <v>0</v>
      </c>
      <c r="P2888" t="n">
        <v>0</v>
      </c>
      <c r="Q2888" t="n">
        <v>0</v>
      </c>
      <c r="R2888" s="2" t="inlineStr"/>
    </row>
    <row r="2889" ht="15" customHeight="1">
      <c r="A2889" t="inlineStr">
        <is>
          <t>A 11586-2021</t>
        </is>
      </c>
      <c r="B2889" s="1" t="n">
        <v>44264</v>
      </c>
      <c r="C2889" s="1" t="n">
        <v>45587</v>
      </c>
      <c r="D2889" t="inlineStr">
        <is>
          <t>GÄVLEBORGS LÄN</t>
        </is>
      </c>
      <c r="E2889" t="inlineStr">
        <is>
          <t>SÖDERHAMN</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11766-2021</t>
        </is>
      </c>
      <c r="B2890" s="1" t="n">
        <v>44265</v>
      </c>
      <c r="C2890" s="1" t="n">
        <v>45587</v>
      </c>
      <c r="D2890" t="inlineStr">
        <is>
          <t>GÄVLEBORGS LÄN</t>
        </is>
      </c>
      <c r="E2890" t="inlineStr">
        <is>
          <t>LJUSDAL</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11770-2021</t>
        </is>
      </c>
      <c r="B2891" s="1" t="n">
        <v>44265</v>
      </c>
      <c r="C2891" s="1" t="n">
        <v>45587</v>
      </c>
      <c r="D2891" t="inlineStr">
        <is>
          <t>GÄVLEBORGS LÄN</t>
        </is>
      </c>
      <c r="E2891" t="inlineStr">
        <is>
          <t>LJUSDAL</t>
        </is>
      </c>
      <c r="G2891" t="n">
        <v>5.9</v>
      </c>
      <c r="H2891" t="n">
        <v>0</v>
      </c>
      <c r="I2891" t="n">
        <v>0</v>
      </c>
      <c r="J2891" t="n">
        <v>0</v>
      </c>
      <c r="K2891" t="n">
        <v>0</v>
      </c>
      <c r="L2891" t="n">
        <v>0</v>
      </c>
      <c r="M2891" t="n">
        <v>0</v>
      </c>
      <c r="N2891" t="n">
        <v>0</v>
      </c>
      <c r="O2891" t="n">
        <v>0</v>
      </c>
      <c r="P2891" t="n">
        <v>0</v>
      </c>
      <c r="Q2891" t="n">
        <v>0</v>
      </c>
      <c r="R2891" s="2" t="inlineStr"/>
    </row>
    <row r="2892" ht="15" customHeight="1">
      <c r="A2892" t="inlineStr">
        <is>
          <t>A 11828-2021</t>
        </is>
      </c>
      <c r="B2892" s="1" t="n">
        <v>44265</v>
      </c>
      <c r="C2892" s="1" t="n">
        <v>45587</v>
      </c>
      <c r="D2892" t="inlineStr">
        <is>
          <t>GÄVLEBORGS LÄN</t>
        </is>
      </c>
      <c r="E2892" t="inlineStr">
        <is>
          <t>SANDVIKEN</t>
        </is>
      </c>
      <c r="F2892" t="inlineStr">
        <is>
          <t>Bergvik skog öst AB</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11795-2021</t>
        </is>
      </c>
      <c r="B2893" s="1" t="n">
        <v>44265</v>
      </c>
      <c r="C2893" s="1" t="n">
        <v>45587</v>
      </c>
      <c r="D2893" t="inlineStr">
        <is>
          <t>GÄVLEBORGS LÄN</t>
        </is>
      </c>
      <c r="E2893" t="inlineStr">
        <is>
          <t>NORDANSTIG</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11821-2021</t>
        </is>
      </c>
      <c r="B2894" s="1" t="n">
        <v>44265</v>
      </c>
      <c r="C2894" s="1" t="n">
        <v>45587</v>
      </c>
      <c r="D2894" t="inlineStr">
        <is>
          <t>GÄVLEBORGS LÄN</t>
        </is>
      </c>
      <c r="E2894" t="inlineStr">
        <is>
          <t>SÖDERHAMN</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11826-2021</t>
        </is>
      </c>
      <c r="B2895" s="1" t="n">
        <v>44265</v>
      </c>
      <c r="C2895" s="1" t="n">
        <v>45587</v>
      </c>
      <c r="D2895" t="inlineStr">
        <is>
          <t>GÄVLEBORGS LÄN</t>
        </is>
      </c>
      <c r="E2895" t="inlineStr">
        <is>
          <t>SÖDERHAMN</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12012-2021</t>
        </is>
      </c>
      <c r="B2896" s="1" t="n">
        <v>44266</v>
      </c>
      <c r="C2896" s="1" t="n">
        <v>45587</v>
      </c>
      <c r="D2896" t="inlineStr">
        <is>
          <t>GÄVLEBORGS LÄN</t>
        </is>
      </c>
      <c r="E2896" t="inlineStr">
        <is>
          <t>LJUSDAL</t>
        </is>
      </c>
      <c r="F2896" t="inlineStr">
        <is>
          <t>Bergvik skog väst AB</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12057-2021</t>
        </is>
      </c>
      <c r="B2897" s="1" t="n">
        <v>44266</v>
      </c>
      <c r="C2897" s="1" t="n">
        <v>45587</v>
      </c>
      <c r="D2897" t="inlineStr">
        <is>
          <t>GÄVLEBORGS LÄN</t>
        </is>
      </c>
      <c r="E2897" t="inlineStr">
        <is>
          <t>HOFORS</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12142-2021</t>
        </is>
      </c>
      <c r="B2898" s="1" t="n">
        <v>44266</v>
      </c>
      <c r="C2898" s="1" t="n">
        <v>45587</v>
      </c>
      <c r="D2898" t="inlineStr">
        <is>
          <t>GÄVLEBORGS LÄN</t>
        </is>
      </c>
      <c r="E2898" t="inlineStr">
        <is>
          <t>HUDIKSVALL</t>
        </is>
      </c>
      <c r="F2898" t="inlineStr">
        <is>
          <t>Holmen skog AB</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12196-2021</t>
        </is>
      </c>
      <c r="B2899" s="1" t="n">
        <v>44266</v>
      </c>
      <c r="C2899" s="1" t="n">
        <v>45587</v>
      </c>
      <c r="D2899" t="inlineStr">
        <is>
          <t>GÄVLEBORGS LÄN</t>
        </is>
      </c>
      <c r="E2899" t="inlineStr">
        <is>
          <t>OVANÅKER</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12139-2021</t>
        </is>
      </c>
      <c r="B2900" s="1" t="n">
        <v>44266</v>
      </c>
      <c r="C2900" s="1" t="n">
        <v>45587</v>
      </c>
      <c r="D2900" t="inlineStr">
        <is>
          <t>GÄVLEBORGS LÄN</t>
        </is>
      </c>
      <c r="E2900" t="inlineStr">
        <is>
          <t>OVANÅKER</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12146-2021</t>
        </is>
      </c>
      <c r="B2901" s="1" t="n">
        <v>44266</v>
      </c>
      <c r="C2901" s="1" t="n">
        <v>45587</v>
      </c>
      <c r="D2901" t="inlineStr">
        <is>
          <t>GÄVLEBORGS LÄN</t>
        </is>
      </c>
      <c r="E2901" t="inlineStr">
        <is>
          <t>OVANÅKER</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12226-2021</t>
        </is>
      </c>
      <c r="B2902" s="1" t="n">
        <v>44266</v>
      </c>
      <c r="C2902" s="1" t="n">
        <v>45587</v>
      </c>
      <c r="D2902" t="inlineStr">
        <is>
          <t>GÄVLEBORGS LÄN</t>
        </is>
      </c>
      <c r="E2902" t="inlineStr">
        <is>
          <t>BOLLNÄS</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12265-2021</t>
        </is>
      </c>
      <c r="B2903" s="1" t="n">
        <v>44266</v>
      </c>
      <c r="C2903" s="1" t="n">
        <v>45587</v>
      </c>
      <c r="D2903" t="inlineStr">
        <is>
          <t>GÄVLEBORGS LÄN</t>
        </is>
      </c>
      <c r="E2903" t="inlineStr">
        <is>
          <t>SÖDERHAMN</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12140-2021</t>
        </is>
      </c>
      <c r="B2904" s="1" t="n">
        <v>44266</v>
      </c>
      <c r="C2904" s="1" t="n">
        <v>45587</v>
      </c>
      <c r="D2904" t="inlineStr">
        <is>
          <t>GÄVLEBORGS LÄN</t>
        </is>
      </c>
      <c r="E2904" t="inlineStr">
        <is>
          <t>OVANÅKER</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12207-2021</t>
        </is>
      </c>
      <c r="B2905" s="1" t="n">
        <v>44266</v>
      </c>
      <c r="C2905" s="1" t="n">
        <v>45587</v>
      </c>
      <c r="D2905" t="inlineStr">
        <is>
          <t>GÄVLEBORGS LÄN</t>
        </is>
      </c>
      <c r="E2905" t="inlineStr">
        <is>
          <t>OVANÅKER</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12229-2021</t>
        </is>
      </c>
      <c r="B2906" s="1" t="n">
        <v>44266</v>
      </c>
      <c r="C2906" s="1" t="n">
        <v>45587</v>
      </c>
      <c r="D2906" t="inlineStr">
        <is>
          <t>GÄVLEBORGS LÄN</t>
        </is>
      </c>
      <c r="E2906" t="inlineStr">
        <is>
          <t>BOLLNÄS</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12330-2021</t>
        </is>
      </c>
      <c r="B2907" s="1" t="n">
        <v>44267</v>
      </c>
      <c r="C2907" s="1" t="n">
        <v>45587</v>
      </c>
      <c r="D2907" t="inlineStr">
        <is>
          <t>GÄVLEBORGS LÄN</t>
        </is>
      </c>
      <c r="E2907" t="inlineStr">
        <is>
          <t>LJUSDAL</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12300-2021</t>
        </is>
      </c>
      <c r="B2908" s="1" t="n">
        <v>44267</v>
      </c>
      <c r="C2908" s="1" t="n">
        <v>45587</v>
      </c>
      <c r="D2908" t="inlineStr">
        <is>
          <t>GÄVLEBORGS LÄN</t>
        </is>
      </c>
      <c r="E2908" t="inlineStr">
        <is>
          <t>LJUSDAL</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12371-2021</t>
        </is>
      </c>
      <c r="B2909" s="1" t="n">
        <v>44267</v>
      </c>
      <c r="C2909" s="1" t="n">
        <v>45587</v>
      </c>
      <c r="D2909" t="inlineStr">
        <is>
          <t>GÄVLEBORGS LÄN</t>
        </is>
      </c>
      <c r="E2909" t="inlineStr">
        <is>
          <t>OCKELBO</t>
        </is>
      </c>
      <c r="F2909" t="inlineStr">
        <is>
          <t>Bergvik skog väst AB</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12390-2021</t>
        </is>
      </c>
      <c r="B2910" s="1" t="n">
        <v>44267</v>
      </c>
      <c r="C2910" s="1" t="n">
        <v>45587</v>
      </c>
      <c r="D2910" t="inlineStr">
        <is>
          <t>GÄVLEBORGS LÄN</t>
        </is>
      </c>
      <c r="E2910" t="inlineStr">
        <is>
          <t>LJUSDAL</t>
        </is>
      </c>
      <c r="F2910" t="inlineStr">
        <is>
          <t>Bergvik skog väst AB</t>
        </is>
      </c>
      <c r="G2910" t="n">
        <v>6</v>
      </c>
      <c r="H2910" t="n">
        <v>0</v>
      </c>
      <c r="I2910" t="n">
        <v>0</v>
      </c>
      <c r="J2910" t="n">
        <v>0</v>
      </c>
      <c r="K2910" t="n">
        <v>0</v>
      </c>
      <c r="L2910" t="n">
        <v>0</v>
      </c>
      <c r="M2910" t="n">
        <v>0</v>
      </c>
      <c r="N2910" t="n">
        <v>0</v>
      </c>
      <c r="O2910" t="n">
        <v>0</v>
      </c>
      <c r="P2910" t="n">
        <v>0</v>
      </c>
      <c r="Q2910" t="n">
        <v>0</v>
      </c>
      <c r="R2910" s="2" t="inlineStr"/>
    </row>
    <row r="2911" ht="15" customHeight="1">
      <c r="A2911" t="inlineStr">
        <is>
          <t>A 12358-2021</t>
        </is>
      </c>
      <c r="B2911" s="1" t="n">
        <v>44267</v>
      </c>
      <c r="C2911" s="1" t="n">
        <v>45587</v>
      </c>
      <c r="D2911" t="inlineStr">
        <is>
          <t>GÄVLEBORGS LÄN</t>
        </is>
      </c>
      <c r="E2911" t="inlineStr">
        <is>
          <t>SÖDERHAMN</t>
        </is>
      </c>
      <c r="F2911" t="inlineStr">
        <is>
          <t>Bergvik skog väst AB</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12399-2021</t>
        </is>
      </c>
      <c r="B2912" s="1" t="n">
        <v>44267</v>
      </c>
      <c r="C2912" s="1" t="n">
        <v>45587</v>
      </c>
      <c r="D2912" t="inlineStr">
        <is>
          <t>GÄVLEBORGS LÄN</t>
        </is>
      </c>
      <c r="E2912" t="inlineStr">
        <is>
          <t>HOFORS</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12391-2021</t>
        </is>
      </c>
      <c r="B2913" s="1" t="n">
        <v>44267</v>
      </c>
      <c r="C2913" s="1" t="n">
        <v>45587</v>
      </c>
      <c r="D2913" t="inlineStr">
        <is>
          <t>GÄVLEBORGS LÄN</t>
        </is>
      </c>
      <c r="E2913" t="inlineStr">
        <is>
          <t>LJUSDAL</t>
        </is>
      </c>
      <c r="F2913" t="inlineStr">
        <is>
          <t>Bergvik skog väst AB</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12469-2021</t>
        </is>
      </c>
      <c r="B2914" s="1" t="n">
        <v>44267</v>
      </c>
      <c r="C2914" s="1" t="n">
        <v>45587</v>
      </c>
      <c r="D2914" t="inlineStr">
        <is>
          <t>GÄVLEBORGS LÄN</t>
        </is>
      </c>
      <c r="E2914" t="inlineStr">
        <is>
          <t>SÖDERHAMN</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12474-2021</t>
        </is>
      </c>
      <c r="B2915" s="1" t="n">
        <v>44267</v>
      </c>
      <c r="C2915" s="1" t="n">
        <v>45587</v>
      </c>
      <c r="D2915" t="inlineStr">
        <is>
          <t>GÄVLEBORGS LÄN</t>
        </is>
      </c>
      <c r="E2915" t="inlineStr">
        <is>
          <t>BOLLNÄS</t>
        </is>
      </c>
      <c r="G2915" t="n">
        <v>0.1</v>
      </c>
      <c r="H2915" t="n">
        <v>0</v>
      </c>
      <c r="I2915" t="n">
        <v>0</v>
      </c>
      <c r="J2915" t="n">
        <v>0</v>
      </c>
      <c r="K2915" t="n">
        <v>0</v>
      </c>
      <c r="L2915" t="n">
        <v>0</v>
      </c>
      <c r="M2915" t="n">
        <v>0</v>
      </c>
      <c r="N2915" t="n">
        <v>0</v>
      </c>
      <c r="O2915" t="n">
        <v>0</v>
      </c>
      <c r="P2915" t="n">
        <v>0</v>
      </c>
      <c r="Q2915" t="n">
        <v>0</v>
      </c>
      <c r="R2915" s="2" t="inlineStr"/>
    </row>
    <row r="2916" ht="15" customHeight="1">
      <c r="A2916" t="inlineStr">
        <is>
          <t>A 12476-2021</t>
        </is>
      </c>
      <c r="B2916" s="1" t="n">
        <v>44267</v>
      </c>
      <c r="C2916" s="1" t="n">
        <v>45587</v>
      </c>
      <c r="D2916" t="inlineStr">
        <is>
          <t>GÄVLEBORGS LÄN</t>
        </is>
      </c>
      <c r="E2916" t="inlineStr">
        <is>
          <t>BOLLNÄS</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12480-2021</t>
        </is>
      </c>
      <c r="B2917" s="1" t="n">
        <v>44267</v>
      </c>
      <c r="C2917" s="1" t="n">
        <v>45587</v>
      </c>
      <c r="D2917" t="inlineStr">
        <is>
          <t>GÄVLEBORGS LÄN</t>
        </is>
      </c>
      <c r="E2917" t="inlineStr">
        <is>
          <t>OCKELBO</t>
        </is>
      </c>
      <c r="F2917" t="inlineStr">
        <is>
          <t>Bergvik skog väst AB</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12648-2021</t>
        </is>
      </c>
      <c r="B2918" s="1" t="n">
        <v>44270</v>
      </c>
      <c r="C2918" s="1" t="n">
        <v>45587</v>
      </c>
      <c r="D2918" t="inlineStr">
        <is>
          <t>GÄVLEBORGS LÄN</t>
        </is>
      </c>
      <c r="E2918" t="inlineStr">
        <is>
          <t>LJUSDAL</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12723-2021</t>
        </is>
      </c>
      <c r="B2919" s="1" t="n">
        <v>44270</v>
      </c>
      <c r="C2919" s="1" t="n">
        <v>45587</v>
      </c>
      <c r="D2919" t="inlineStr">
        <is>
          <t>GÄVLEBORGS LÄN</t>
        </is>
      </c>
      <c r="E2919" t="inlineStr">
        <is>
          <t>BOLLNÄS</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12775-2021</t>
        </is>
      </c>
      <c r="B2920" s="1" t="n">
        <v>44270</v>
      </c>
      <c r="C2920" s="1" t="n">
        <v>45587</v>
      </c>
      <c r="D2920" t="inlineStr">
        <is>
          <t>GÄVLEBORGS LÄN</t>
        </is>
      </c>
      <c r="E2920" t="inlineStr">
        <is>
          <t>GÄVLE</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12825-2021</t>
        </is>
      </c>
      <c r="B2921" s="1" t="n">
        <v>44270</v>
      </c>
      <c r="C2921" s="1" t="n">
        <v>45587</v>
      </c>
      <c r="D2921" t="inlineStr">
        <is>
          <t>GÄVLEBORGS LÄN</t>
        </is>
      </c>
      <c r="E2921" t="inlineStr">
        <is>
          <t>OVANÅKER</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12824-2021</t>
        </is>
      </c>
      <c r="B2922" s="1" t="n">
        <v>44271</v>
      </c>
      <c r="C2922" s="1" t="n">
        <v>45587</v>
      </c>
      <c r="D2922" t="inlineStr">
        <is>
          <t>GÄVLEBORGS LÄN</t>
        </is>
      </c>
      <c r="E2922" t="inlineStr">
        <is>
          <t>OVANÅKER</t>
        </is>
      </c>
      <c r="F2922" t="inlineStr">
        <is>
          <t>Bergvik skog väst AB</t>
        </is>
      </c>
      <c r="G2922" t="n">
        <v>11.5</v>
      </c>
      <c r="H2922" t="n">
        <v>0</v>
      </c>
      <c r="I2922" t="n">
        <v>0</v>
      </c>
      <c r="J2922" t="n">
        <v>0</v>
      </c>
      <c r="K2922" t="n">
        <v>0</v>
      </c>
      <c r="L2922" t="n">
        <v>0</v>
      </c>
      <c r="M2922" t="n">
        <v>0</v>
      </c>
      <c r="N2922" t="n">
        <v>0</v>
      </c>
      <c r="O2922" t="n">
        <v>0</v>
      </c>
      <c r="P2922" t="n">
        <v>0</v>
      </c>
      <c r="Q2922" t="n">
        <v>0</v>
      </c>
      <c r="R2922" s="2" t="inlineStr"/>
    </row>
    <row r="2923" ht="15" customHeight="1">
      <c r="A2923" t="inlineStr">
        <is>
          <t>A 12841-2021</t>
        </is>
      </c>
      <c r="B2923" s="1" t="n">
        <v>44271</v>
      </c>
      <c r="C2923" s="1" t="n">
        <v>45587</v>
      </c>
      <c r="D2923" t="inlineStr">
        <is>
          <t>GÄVLEBORGS LÄN</t>
        </is>
      </c>
      <c r="E2923" t="inlineStr">
        <is>
          <t>GÄVLE</t>
        </is>
      </c>
      <c r="F2923" t="inlineStr">
        <is>
          <t>Bergvik skog öst AB</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12971-2021</t>
        </is>
      </c>
      <c r="B2924" s="1" t="n">
        <v>44271</v>
      </c>
      <c r="C2924" s="1" t="n">
        <v>45587</v>
      </c>
      <c r="D2924" t="inlineStr">
        <is>
          <t>GÄVLEBORGS LÄN</t>
        </is>
      </c>
      <c r="E2924" t="inlineStr">
        <is>
          <t>SANDVIKEN</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13030-2021</t>
        </is>
      </c>
      <c r="B2925" s="1" t="n">
        <v>44271</v>
      </c>
      <c r="C2925" s="1" t="n">
        <v>45587</v>
      </c>
      <c r="D2925" t="inlineStr">
        <is>
          <t>GÄVLEBORGS LÄN</t>
        </is>
      </c>
      <c r="E2925" t="inlineStr">
        <is>
          <t>GÄVLE</t>
        </is>
      </c>
      <c r="F2925" t="inlineStr">
        <is>
          <t>Bergvik skog öst AB</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13084-2021</t>
        </is>
      </c>
      <c r="B2926" s="1" t="n">
        <v>44272</v>
      </c>
      <c r="C2926" s="1" t="n">
        <v>45587</v>
      </c>
      <c r="D2926" t="inlineStr">
        <is>
          <t>GÄVLEBORGS LÄN</t>
        </is>
      </c>
      <c r="E2926" t="inlineStr">
        <is>
          <t>SANDVIKEN</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13276-2021</t>
        </is>
      </c>
      <c r="B2927" s="1" t="n">
        <v>44272</v>
      </c>
      <c r="C2927" s="1" t="n">
        <v>45587</v>
      </c>
      <c r="D2927" t="inlineStr">
        <is>
          <t>GÄVLEBORGS LÄN</t>
        </is>
      </c>
      <c r="E2927" t="inlineStr">
        <is>
          <t>OVANÅKER</t>
        </is>
      </c>
      <c r="G2927" t="n">
        <v>7.7</v>
      </c>
      <c r="H2927" t="n">
        <v>0</v>
      </c>
      <c r="I2927" t="n">
        <v>0</v>
      </c>
      <c r="J2927" t="n">
        <v>0</v>
      </c>
      <c r="K2927" t="n">
        <v>0</v>
      </c>
      <c r="L2927" t="n">
        <v>0</v>
      </c>
      <c r="M2927" t="n">
        <v>0</v>
      </c>
      <c r="N2927" t="n">
        <v>0</v>
      </c>
      <c r="O2927" t="n">
        <v>0</v>
      </c>
      <c r="P2927" t="n">
        <v>0</v>
      </c>
      <c r="Q2927" t="n">
        <v>0</v>
      </c>
      <c r="R2927" s="2" t="inlineStr"/>
    </row>
    <row r="2928" ht="15" customHeight="1">
      <c r="A2928" t="inlineStr">
        <is>
          <t>A 13297-2021</t>
        </is>
      </c>
      <c r="B2928" s="1" t="n">
        <v>44272</v>
      </c>
      <c r="C2928" s="1" t="n">
        <v>45587</v>
      </c>
      <c r="D2928" t="inlineStr">
        <is>
          <t>GÄVLEBORGS LÄN</t>
        </is>
      </c>
      <c r="E2928" t="inlineStr">
        <is>
          <t>GÄVLE</t>
        </is>
      </c>
      <c r="F2928" t="inlineStr">
        <is>
          <t>Bergvik skog öst AB</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13259-2021</t>
        </is>
      </c>
      <c r="B2929" s="1" t="n">
        <v>44272</v>
      </c>
      <c r="C2929" s="1" t="n">
        <v>45587</v>
      </c>
      <c r="D2929" t="inlineStr">
        <is>
          <t>GÄVLEBORGS LÄN</t>
        </is>
      </c>
      <c r="E2929" t="inlineStr">
        <is>
          <t>GÄVLE</t>
        </is>
      </c>
      <c r="F2929" t="inlineStr">
        <is>
          <t>Bergvik skog öst AB</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13404-2021</t>
        </is>
      </c>
      <c r="B2930" s="1" t="n">
        <v>44273</v>
      </c>
      <c r="C2930" s="1" t="n">
        <v>45587</v>
      </c>
      <c r="D2930" t="inlineStr">
        <is>
          <t>GÄVLEBORGS LÄN</t>
        </is>
      </c>
      <c r="E2930" t="inlineStr">
        <is>
          <t>OVANÅKER</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13348-2021</t>
        </is>
      </c>
      <c r="B2931" s="1" t="n">
        <v>44273</v>
      </c>
      <c r="C2931" s="1" t="n">
        <v>45587</v>
      </c>
      <c r="D2931" t="inlineStr">
        <is>
          <t>GÄVLEBORGS LÄN</t>
        </is>
      </c>
      <c r="E2931" t="inlineStr">
        <is>
          <t>SANDVIKEN</t>
        </is>
      </c>
      <c r="F2931" t="inlineStr">
        <is>
          <t>Bergvik skog öst AB</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13369-2021</t>
        </is>
      </c>
      <c r="B2932" s="1" t="n">
        <v>44273</v>
      </c>
      <c r="C2932" s="1" t="n">
        <v>45587</v>
      </c>
      <c r="D2932" t="inlineStr">
        <is>
          <t>GÄVLEBORGS LÄN</t>
        </is>
      </c>
      <c r="E2932" t="inlineStr">
        <is>
          <t>LJUSDAL</t>
        </is>
      </c>
      <c r="G2932" t="n">
        <v>8.699999999999999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13519-2021</t>
        </is>
      </c>
      <c r="B2933" s="1" t="n">
        <v>44273</v>
      </c>
      <c r="C2933" s="1" t="n">
        <v>45587</v>
      </c>
      <c r="D2933" t="inlineStr">
        <is>
          <t>GÄVLEBORGS LÄN</t>
        </is>
      </c>
      <c r="E2933" t="inlineStr">
        <is>
          <t>LJUSDAL</t>
        </is>
      </c>
      <c r="F2933" t="inlineStr">
        <is>
          <t>Sveaskog</t>
        </is>
      </c>
      <c r="G2933" t="n">
        <v>17.2</v>
      </c>
      <c r="H2933" t="n">
        <v>0</v>
      </c>
      <c r="I2933" t="n">
        <v>0</v>
      </c>
      <c r="J2933" t="n">
        <v>0</v>
      </c>
      <c r="K2933" t="n">
        <v>0</v>
      </c>
      <c r="L2933" t="n">
        <v>0</v>
      </c>
      <c r="M2933" t="n">
        <v>0</v>
      </c>
      <c r="N2933" t="n">
        <v>0</v>
      </c>
      <c r="O2933" t="n">
        <v>0</v>
      </c>
      <c r="P2933" t="n">
        <v>0</v>
      </c>
      <c r="Q2933" t="n">
        <v>0</v>
      </c>
      <c r="R2933" s="2" t="inlineStr"/>
    </row>
    <row r="2934" ht="15" customHeight="1">
      <c r="A2934" t="inlineStr">
        <is>
          <t>A 13521-2021</t>
        </is>
      </c>
      <c r="B2934" s="1" t="n">
        <v>44273</v>
      </c>
      <c r="C2934" s="1" t="n">
        <v>45587</v>
      </c>
      <c r="D2934" t="inlineStr">
        <is>
          <t>GÄVLEBORGS LÄN</t>
        </is>
      </c>
      <c r="E2934" t="inlineStr">
        <is>
          <t>LJUSDAL</t>
        </is>
      </c>
      <c r="F2934" t="inlineStr">
        <is>
          <t>Sveaskog</t>
        </is>
      </c>
      <c r="G2934" t="n">
        <v>11.6</v>
      </c>
      <c r="H2934" t="n">
        <v>0</v>
      </c>
      <c r="I2934" t="n">
        <v>0</v>
      </c>
      <c r="J2934" t="n">
        <v>0</v>
      </c>
      <c r="K2934" t="n">
        <v>0</v>
      </c>
      <c r="L2934" t="n">
        <v>0</v>
      </c>
      <c r="M2934" t="n">
        <v>0</v>
      </c>
      <c r="N2934" t="n">
        <v>0</v>
      </c>
      <c r="O2934" t="n">
        <v>0</v>
      </c>
      <c r="P2934" t="n">
        <v>0</v>
      </c>
      <c r="Q2934" t="n">
        <v>0</v>
      </c>
      <c r="R2934" s="2" t="inlineStr"/>
    </row>
    <row r="2935" ht="15" customHeight="1">
      <c r="A2935" t="inlineStr">
        <is>
          <t>A 13531-2021</t>
        </is>
      </c>
      <c r="B2935" s="1" t="n">
        <v>44273</v>
      </c>
      <c r="C2935" s="1" t="n">
        <v>45587</v>
      </c>
      <c r="D2935" t="inlineStr">
        <is>
          <t>GÄVLEBORGS LÄN</t>
        </is>
      </c>
      <c r="E2935" t="inlineStr">
        <is>
          <t>SANDVIKEN</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13581-2021</t>
        </is>
      </c>
      <c r="B2936" s="1" t="n">
        <v>44274</v>
      </c>
      <c r="C2936" s="1" t="n">
        <v>45587</v>
      </c>
      <c r="D2936" t="inlineStr">
        <is>
          <t>GÄVLEBORGS LÄN</t>
        </is>
      </c>
      <c r="E2936" t="inlineStr">
        <is>
          <t>SÖDERHAMN</t>
        </is>
      </c>
      <c r="F2936" t="inlineStr">
        <is>
          <t>Bergvik skog väst AB</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13594-2021</t>
        </is>
      </c>
      <c r="B2937" s="1" t="n">
        <v>44274</v>
      </c>
      <c r="C2937" s="1" t="n">
        <v>45587</v>
      </c>
      <c r="D2937" t="inlineStr">
        <is>
          <t>GÄVLEBORGS LÄN</t>
        </is>
      </c>
      <c r="E2937" t="inlineStr">
        <is>
          <t>GÄVLE</t>
        </is>
      </c>
      <c r="F2937" t="inlineStr">
        <is>
          <t>Bergvik skog öst AB</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13600-2021</t>
        </is>
      </c>
      <c r="B2938" s="1" t="n">
        <v>44274</v>
      </c>
      <c r="C2938" s="1" t="n">
        <v>45587</v>
      </c>
      <c r="D2938" t="inlineStr">
        <is>
          <t>GÄVLEBORGS LÄN</t>
        </is>
      </c>
      <c r="E2938" t="inlineStr">
        <is>
          <t>GÄVLE</t>
        </is>
      </c>
      <c r="F2938" t="inlineStr">
        <is>
          <t>Bergvik skog öst AB</t>
        </is>
      </c>
      <c r="G2938" t="n">
        <v>4.6</v>
      </c>
      <c r="H2938" t="n">
        <v>0</v>
      </c>
      <c r="I2938" t="n">
        <v>0</v>
      </c>
      <c r="J2938" t="n">
        <v>0</v>
      </c>
      <c r="K2938" t="n">
        <v>0</v>
      </c>
      <c r="L2938" t="n">
        <v>0</v>
      </c>
      <c r="M2938" t="n">
        <v>0</v>
      </c>
      <c r="N2938" t="n">
        <v>0</v>
      </c>
      <c r="O2938" t="n">
        <v>0</v>
      </c>
      <c r="P2938" t="n">
        <v>0</v>
      </c>
      <c r="Q2938" t="n">
        <v>0</v>
      </c>
      <c r="R2938" s="2" t="inlineStr"/>
    </row>
    <row r="2939" ht="15" customHeight="1">
      <c r="A2939" t="inlineStr">
        <is>
          <t>A 13582-2021</t>
        </is>
      </c>
      <c r="B2939" s="1" t="n">
        <v>44274</v>
      </c>
      <c r="C2939" s="1" t="n">
        <v>45587</v>
      </c>
      <c r="D2939" t="inlineStr">
        <is>
          <t>GÄVLEBORGS LÄN</t>
        </is>
      </c>
      <c r="E2939" t="inlineStr">
        <is>
          <t>SÖDERHAMN</t>
        </is>
      </c>
      <c r="F2939" t="inlineStr">
        <is>
          <t>Bergvik skog väst AB</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13901-2021</t>
        </is>
      </c>
      <c r="B2940" s="1" t="n">
        <v>44277</v>
      </c>
      <c r="C2940" s="1" t="n">
        <v>45587</v>
      </c>
      <c r="D2940" t="inlineStr">
        <is>
          <t>GÄVLEBORGS LÄN</t>
        </is>
      </c>
      <c r="E2940" t="inlineStr">
        <is>
          <t>OVANÅKER</t>
        </is>
      </c>
      <c r="F2940" t="inlineStr">
        <is>
          <t>Bergvik skog väst AB</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13838-2021</t>
        </is>
      </c>
      <c r="B2941" s="1" t="n">
        <v>44277</v>
      </c>
      <c r="C2941" s="1" t="n">
        <v>45587</v>
      </c>
      <c r="D2941" t="inlineStr">
        <is>
          <t>GÄVLEBORGS LÄN</t>
        </is>
      </c>
      <c r="E2941" t="inlineStr">
        <is>
          <t>HUDIKSVALL</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14057-2021</t>
        </is>
      </c>
      <c r="B2942" s="1" t="n">
        <v>44277</v>
      </c>
      <c r="C2942" s="1" t="n">
        <v>45587</v>
      </c>
      <c r="D2942" t="inlineStr">
        <is>
          <t>GÄVLEBORGS LÄN</t>
        </is>
      </c>
      <c r="E2942" t="inlineStr">
        <is>
          <t>LJUSDAL</t>
        </is>
      </c>
      <c r="G2942" t="n">
        <v>7.4</v>
      </c>
      <c r="H2942" t="n">
        <v>0</v>
      </c>
      <c r="I2942" t="n">
        <v>0</v>
      </c>
      <c r="J2942" t="n">
        <v>0</v>
      </c>
      <c r="K2942" t="n">
        <v>0</v>
      </c>
      <c r="L2942" t="n">
        <v>0</v>
      </c>
      <c r="M2942" t="n">
        <v>0</v>
      </c>
      <c r="N2942" t="n">
        <v>0</v>
      </c>
      <c r="O2942" t="n">
        <v>0</v>
      </c>
      <c r="P2942" t="n">
        <v>0</v>
      </c>
      <c r="Q2942" t="n">
        <v>0</v>
      </c>
      <c r="R2942" s="2" t="inlineStr"/>
    </row>
    <row r="2943" ht="15" customHeight="1">
      <c r="A2943" t="inlineStr">
        <is>
          <t>A 14056-2021</t>
        </is>
      </c>
      <c r="B2943" s="1" t="n">
        <v>44277</v>
      </c>
      <c r="C2943" s="1" t="n">
        <v>45587</v>
      </c>
      <c r="D2943" t="inlineStr">
        <is>
          <t>GÄVLEBORGS LÄN</t>
        </is>
      </c>
      <c r="E2943" t="inlineStr">
        <is>
          <t>LJUSDAL</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14032-2021</t>
        </is>
      </c>
      <c r="B2944" s="1" t="n">
        <v>44277</v>
      </c>
      <c r="C2944" s="1" t="n">
        <v>45587</v>
      </c>
      <c r="D2944" t="inlineStr">
        <is>
          <t>GÄVLEBORGS LÄN</t>
        </is>
      </c>
      <c r="E2944" t="inlineStr">
        <is>
          <t>GÄVLE</t>
        </is>
      </c>
      <c r="F2944" t="inlineStr">
        <is>
          <t>Bergvik skog öst AB</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14118-2021</t>
        </is>
      </c>
      <c r="B2945" s="1" t="n">
        <v>44278</v>
      </c>
      <c r="C2945" s="1" t="n">
        <v>45587</v>
      </c>
      <c r="D2945" t="inlineStr">
        <is>
          <t>GÄVLEBORGS LÄN</t>
        </is>
      </c>
      <c r="E2945" t="inlineStr">
        <is>
          <t>BOLLNÄS</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14261-2021</t>
        </is>
      </c>
      <c r="B2946" s="1" t="n">
        <v>44278</v>
      </c>
      <c r="C2946" s="1" t="n">
        <v>45587</v>
      </c>
      <c r="D2946" t="inlineStr">
        <is>
          <t>GÄVLEBORGS LÄN</t>
        </is>
      </c>
      <c r="E2946" t="inlineStr">
        <is>
          <t>OVANÅKER</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14119-2021</t>
        </is>
      </c>
      <c r="B2947" s="1" t="n">
        <v>44278</v>
      </c>
      <c r="C2947" s="1" t="n">
        <v>45587</v>
      </c>
      <c r="D2947" t="inlineStr">
        <is>
          <t>GÄVLEBORGS LÄN</t>
        </is>
      </c>
      <c r="E2947" t="inlineStr">
        <is>
          <t>BOLLNÄS</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14212-2021</t>
        </is>
      </c>
      <c r="B2948" s="1" t="n">
        <v>44278</v>
      </c>
      <c r="C2948" s="1" t="n">
        <v>45587</v>
      </c>
      <c r="D2948" t="inlineStr">
        <is>
          <t>GÄVLEBORGS LÄN</t>
        </is>
      </c>
      <c r="E2948" t="inlineStr">
        <is>
          <t>GÄVLE</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14277-2021</t>
        </is>
      </c>
      <c r="B2949" s="1" t="n">
        <v>44278</v>
      </c>
      <c r="C2949" s="1" t="n">
        <v>45587</v>
      </c>
      <c r="D2949" t="inlineStr">
        <is>
          <t>GÄVLEBORGS LÄN</t>
        </is>
      </c>
      <c r="E2949" t="inlineStr">
        <is>
          <t>SANDVIKEN</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14449-2021</t>
        </is>
      </c>
      <c r="B2950" s="1" t="n">
        <v>44279</v>
      </c>
      <c r="C2950" s="1" t="n">
        <v>45587</v>
      </c>
      <c r="D2950" t="inlineStr">
        <is>
          <t>GÄVLEBORGS LÄN</t>
        </is>
      </c>
      <c r="E2950" t="inlineStr">
        <is>
          <t>GÄVLE</t>
        </is>
      </c>
      <c r="F2950" t="inlineStr">
        <is>
          <t>Bergvik skog öst AB</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14462-2021</t>
        </is>
      </c>
      <c r="B2951" s="1" t="n">
        <v>44279</v>
      </c>
      <c r="C2951" s="1" t="n">
        <v>45587</v>
      </c>
      <c r="D2951" t="inlineStr">
        <is>
          <t>GÄVLEBORGS LÄN</t>
        </is>
      </c>
      <c r="E2951" t="inlineStr">
        <is>
          <t>BOLLNÄS</t>
        </is>
      </c>
      <c r="F2951" t="inlineStr">
        <is>
          <t>Kommuner</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14413-2021</t>
        </is>
      </c>
      <c r="B2952" s="1" t="n">
        <v>44279</v>
      </c>
      <c r="C2952" s="1" t="n">
        <v>45587</v>
      </c>
      <c r="D2952" t="inlineStr">
        <is>
          <t>GÄVLEBORGS LÄN</t>
        </is>
      </c>
      <c r="E2952" t="inlineStr">
        <is>
          <t>OVANÅKER</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14463-2021</t>
        </is>
      </c>
      <c r="B2953" s="1" t="n">
        <v>44279</v>
      </c>
      <c r="C2953" s="1" t="n">
        <v>45587</v>
      </c>
      <c r="D2953" t="inlineStr">
        <is>
          <t>GÄVLEBORGS LÄN</t>
        </is>
      </c>
      <c r="E2953" t="inlineStr">
        <is>
          <t>OCKELBO</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14500-2021</t>
        </is>
      </c>
      <c r="B2954" s="1" t="n">
        <v>44279</v>
      </c>
      <c r="C2954" s="1" t="n">
        <v>45587</v>
      </c>
      <c r="D2954" t="inlineStr">
        <is>
          <t>GÄVLEBORGS LÄN</t>
        </is>
      </c>
      <c r="E2954" t="inlineStr">
        <is>
          <t>OVANÅKER</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14482-2021</t>
        </is>
      </c>
      <c r="B2955" s="1" t="n">
        <v>44279</v>
      </c>
      <c r="C2955" s="1" t="n">
        <v>45587</v>
      </c>
      <c r="D2955" t="inlineStr">
        <is>
          <t>GÄVLEBORGS LÄN</t>
        </is>
      </c>
      <c r="E2955" t="inlineStr">
        <is>
          <t>BOLLNÄS</t>
        </is>
      </c>
      <c r="F2955" t="inlineStr">
        <is>
          <t>Kommuner</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14470-2021</t>
        </is>
      </c>
      <c r="B2956" s="1" t="n">
        <v>44279</v>
      </c>
      <c r="C2956" s="1" t="n">
        <v>45587</v>
      </c>
      <c r="D2956" t="inlineStr">
        <is>
          <t>GÄVLEBORGS LÄN</t>
        </is>
      </c>
      <c r="E2956" t="inlineStr">
        <is>
          <t>BOLLNÄS</t>
        </is>
      </c>
      <c r="F2956" t="inlineStr">
        <is>
          <t>Kommuner</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14498-2021</t>
        </is>
      </c>
      <c r="B2957" s="1" t="n">
        <v>44279</v>
      </c>
      <c r="C2957" s="1" t="n">
        <v>45587</v>
      </c>
      <c r="D2957" t="inlineStr">
        <is>
          <t>GÄVLEBORGS LÄN</t>
        </is>
      </c>
      <c r="E2957" t="inlineStr">
        <is>
          <t>SANDVIKEN</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14594-2021</t>
        </is>
      </c>
      <c r="B2958" s="1" t="n">
        <v>44279</v>
      </c>
      <c r="C2958" s="1" t="n">
        <v>45587</v>
      </c>
      <c r="D2958" t="inlineStr">
        <is>
          <t>GÄVLEBORGS LÄN</t>
        </is>
      </c>
      <c r="E2958" t="inlineStr">
        <is>
          <t>GÄVLE</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15047-2021</t>
        </is>
      </c>
      <c r="B2959" s="1" t="n">
        <v>44281</v>
      </c>
      <c r="C2959" s="1" t="n">
        <v>45587</v>
      </c>
      <c r="D2959" t="inlineStr">
        <is>
          <t>GÄVLEBORGS LÄN</t>
        </is>
      </c>
      <c r="E2959" t="inlineStr">
        <is>
          <t>GÄVLE</t>
        </is>
      </c>
      <c r="F2959" t="inlineStr">
        <is>
          <t>Bergvik skog öst AB</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15173-2021</t>
        </is>
      </c>
      <c r="B2960" s="1" t="n">
        <v>44284</v>
      </c>
      <c r="C2960" s="1" t="n">
        <v>45587</v>
      </c>
      <c r="D2960" t="inlineStr">
        <is>
          <t>GÄVLEBORGS LÄN</t>
        </is>
      </c>
      <c r="E2960" t="inlineStr">
        <is>
          <t>NORDANSTIG</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15292-2021</t>
        </is>
      </c>
      <c r="B2961" s="1" t="n">
        <v>44284</v>
      </c>
      <c r="C2961" s="1" t="n">
        <v>45587</v>
      </c>
      <c r="D2961" t="inlineStr">
        <is>
          <t>GÄVLEBORGS LÄN</t>
        </is>
      </c>
      <c r="E2961" t="inlineStr">
        <is>
          <t>NORDANSTIG</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15304-2021</t>
        </is>
      </c>
      <c r="B2962" s="1" t="n">
        <v>44284</v>
      </c>
      <c r="C2962" s="1" t="n">
        <v>45587</v>
      </c>
      <c r="D2962" t="inlineStr">
        <is>
          <t>GÄVLEBORGS LÄN</t>
        </is>
      </c>
      <c r="E2962" t="inlineStr">
        <is>
          <t>NORDANSTIG</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15280-2021</t>
        </is>
      </c>
      <c r="B2963" s="1" t="n">
        <v>44284</v>
      </c>
      <c r="C2963" s="1" t="n">
        <v>45587</v>
      </c>
      <c r="D2963" t="inlineStr">
        <is>
          <t>GÄVLEBORGS LÄN</t>
        </is>
      </c>
      <c r="E2963" t="inlineStr">
        <is>
          <t>GÄVLE</t>
        </is>
      </c>
      <c r="F2963" t="inlineStr">
        <is>
          <t>Bergvik skog öst AB</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15372-2021</t>
        </is>
      </c>
      <c r="B2964" s="1" t="n">
        <v>44284</v>
      </c>
      <c r="C2964" s="1" t="n">
        <v>45587</v>
      </c>
      <c r="D2964" t="inlineStr">
        <is>
          <t>GÄVLEBORGS LÄN</t>
        </is>
      </c>
      <c r="E2964" t="inlineStr">
        <is>
          <t>GÄVLE</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15615-2021</t>
        </is>
      </c>
      <c r="B2965" s="1" t="n">
        <v>44285</v>
      </c>
      <c r="C2965" s="1" t="n">
        <v>45587</v>
      </c>
      <c r="D2965" t="inlineStr">
        <is>
          <t>GÄVLEBORGS LÄN</t>
        </is>
      </c>
      <c r="E2965" t="inlineStr">
        <is>
          <t>HUDIKSVALL</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15534-2021</t>
        </is>
      </c>
      <c r="B2966" s="1" t="n">
        <v>44285</v>
      </c>
      <c r="C2966" s="1" t="n">
        <v>45587</v>
      </c>
      <c r="D2966" t="inlineStr">
        <is>
          <t>GÄVLEBORGS LÄN</t>
        </is>
      </c>
      <c r="E2966" t="inlineStr">
        <is>
          <t>OVANÅKER</t>
        </is>
      </c>
      <c r="F2966" t="inlineStr">
        <is>
          <t>Bergvik skog väst AB</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15763-2021</t>
        </is>
      </c>
      <c r="B2967" s="1" t="n">
        <v>44286</v>
      </c>
      <c r="C2967" s="1" t="n">
        <v>45587</v>
      </c>
      <c r="D2967" t="inlineStr">
        <is>
          <t>GÄVLEBORGS LÄN</t>
        </is>
      </c>
      <c r="E2967" t="inlineStr">
        <is>
          <t>GÄVLE</t>
        </is>
      </c>
      <c r="F2967" t="inlineStr">
        <is>
          <t>Bergvik skog väst AB</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15824-2021</t>
        </is>
      </c>
      <c r="B2968" s="1" t="n">
        <v>44286</v>
      </c>
      <c r="C2968" s="1" t="n">
        <v>45587</v>
      </c>
      <c r="D2968" t="inlineStr">
        <is>
          <t>GÄVLEBORGS LÄN</t>
        </is>
      </c>
      <c r="E2968" t="inlineStr">
        <is>
          <t>GÄVLE</t>
        </is>
      </c>
      <c r="F2968" t="inlineStr">
        <is>
          <t>Bergvik skog väst AB</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15738-2021</t>
        </is>
      </c>
      <c r="B2969" s="1" t="n">
        <v>44286</v>
      </c>
      <c r="C2969" s="1" t="n">
        <v>45587</v>
      </c>
      <c r="D2969" t="inlineStr">
        <is>
          <t>GÄVLEBORGS LÄN</t>
        </is>
      </c>
      <c r="E2969" t="inlineStr">
        <is>
          <t>GÄVLE</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15904-2021</t>
        </is>
      </c>
      <c r="B2970" s="1" t="n">
        <v>44286</v>
      </c>
      <c r="C2970" s="1" t="n">
        <v>45587</v>
      </c>
      <c r="D2970" t="inlineStr">
        <is>
          <t>GÄVLEBORGS LÄN</t>
        </is>
      </c>
      <c r="E2970" t="inlineStr">
        <is>
          <t>GÄVLE</t>
        </is>
      </c>
      <c r="F2970" t="inlineStr">
        <is>
          <t>Bergvik skog väst AB</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15982-2021</t>
        </is>
      </c>
      <c r="B2971" s="1" t="n">
        <v>44287</v>
      </c>
      <c r="C2971" s="1" t="n">
        <v>45587</v>
      </c>
      <c r="D2971" t="inlineStr">
        <is>
          <t>GÄVLEBORGS LÄN</t>
        </is>
      </c>
      <c r="E2971" t="inlineStr">
        <is>
          <t>NORDANSTIG</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15902-2021</t>
        </is>
      </c>
      <c r="B2972" s="1" t="n">
        <v>44287</v>
      </c>
      <c r="C2972" s="1" t="n">
        <v>45587</v>
      </c>
      <c r="D2972" t="inlineStr">
        <is>
          <t>GÄVLEBORGS LÄN</t>
        </is>
      </c>
      <c r="E2972" t="inlineStr">
        <is>
          <t>OVANÅKER</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15929-2021</t>
        </is>
      </c>
      <c r="B2973" s="1" t="n">
        <v>44287</v>
      </c>
      <c r="C2973" s="1" t="n">
        <v>45587</v>
      </c>
      <c r="D2973" t="inlineStr">
        <is>
          <t>GÄVLEBORGS LÄN</t>
        </is>
      </c>
      <c r="E2973" t="inlineStr">
        <is>
          <t>SÖDERHAMN</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16154-2021</t>
        </is>
      </c>
      <c r="B2974" s="1" t="n">
        <v>44292</v>
      </c>
      <c r="C2974" s="1" t="n">
        <v>45587</v>
      </c>
      <c r="D2974" t="inlineStr">
        <is>
          <t>GÄVLEBORGS LÄN</t>
        </is>
      </c>
      <c r="E2974" t="inlineStr">
        <is>
          <t>LJUSDAL</t>
        </is>
      </c>
      <c r="F2974" t="inlineStr">
        <is>
          <t>Holmen skog AB</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16307-2021</t>
        </is>
      </c>
      <c r="B2975" s="1" t="n">
        <v>44292</v>
      </c>
      <c r="C2975" s="1" t="n">
        <v>45587</v>
      </c>
      <c r="D2975" t="inlineStr">
        <is>
          <t>GÄVLEBORGS LÄN</t>
        </is>
      </c>
      <c r="E2975" t="inlineStr">
        <is>
          <t>SÖDERHAMN</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16312-2021</t>
        </is>
      </c>
      <c r="B2976" s="1" t="n">
        <v>44292</v>
      </c>
      <c r="C2976" s="1" t="n">
        <v>45587</v>
      </c>
      <c r="D2976" t="inlineStr">
        <is>
          <t>GÄVLEBORGS LÄN</t>
        </is>
      </c>
      <c r="E2976" t="inlineStr">
        <is>
          <t>SÖDERHAMN</t>
        </is>
      </c>
      <c r="G2976" t="n">
        <v>6.4</v>
      </c>
      <c r="H2976" t="n">
        <v>0</v>
      </c>
      <c r="I2976" t="n">
        <v>0</v>
      </c>
      <c r="J2976" t="n">
        <v>0</v>
      </c>
      <c r="K2976" t="n">
        <v>0</v>
      </c>
      <c r="L2976" t="n">
        <v>0</v>
      </c>
      <c r="M2976" t="n">
        <v>0</v>
      </c>
      <c r="N2976" t="n">
        <v>0</v>
      </c>
      <c r="O2976" t="n">
        <v>0</v>
      </c>
      <c r="P2976" t="n">
        <v>0</v>
      </c>
      <c r="Q2976" t="n">
        <v>0</v>
      </c>
      <c r="R2976" s="2" t="inlineStr"/>
    </row>
    <row r="2977" ht="15" customHeight="1">
      <c r="A2977" t="inlineStr">
        <is>
          <t>A 16305-2021</t>
        </is>
      </c>
      <c r="B2977" s="1" t="n">
        <v>44292</v>
      </c>
      <c r="C2977" s="1" t="n">
        <v>45587</v>
      </c>
      <c r="D2977" t="inlineStr">
        <is>
          <t>GÄVLEBORGS LÄN</t>
        </is>
      </c>
      <c r="E2977" t="inlineStr">
        <is>
          <t>SÖDERHAMN</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16532-2021</t>
        </is>
      </c>
      <c r="B2978" s="1" t="n">
        <v>44293</v>
      </c>
      <c r="C2978" s="1" t="n">
        <v>45587</v>
      </c>
      <c r="D2978" t="inlineStr">
        <is>
          <t>GÄVLEBORGS LÄN</t>
        </is>
      </c>
      <c r="E2978" t="inlineStr">
        <is>
          <t>SÖDERHAMN</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16559-2021</t>
        </is>
      </c>
      <c r="B2979" s="1" t="n">
        <v>44294</v>
      </c>
      <c r="C2979" s="1" t="n">
        <v>45587</v>
      </c>
      <c r="D2979" t="inlineStr">
        <is>
          <t>GÄVLEBORGS LÄN</t>
        </is>
      </c>
      <c r="E2979" t="inlineStr">
        <is>
          <t>HUDIKSVALL</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16584-2021</t>
        </is>
      </c>
      <c r="B2980" s="1" t="n">
        <v>44293</v>
      </c>
      <c r="C2980" s="1" t="n">
        <v>45587</v>
      </c>
      <c r="D2980" t="inlineStr">
        <is>
          <t>GÄVLEBORGS LÄN</t>
        </is>
      </c>
      <c r="E2980" t="inlineStr">
        <is>
          <t>SANDVIKEN</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16574-2021</t>
        </is>
      </c>
      <c r="B2981" s="1" t="n">
        <v>44294</v>
      </c>
      <c r="C2981" s="1" t="n">
        <v>45587</v>
      </c>
      <c r="D2981" t="inlineStr">
        <is>
          <t>GÄVLEBORGS LÄN</t>
        </is>
      </c>
      <c r="E2981" t="inlineStr">
        <is>
          <t>GÄVLE</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16699-2021</t>
        </is>
      </c>
      <c r="B2982" s="1" t="n">
        <v>44294</v>
      </c>
      <c r="C2982" s="1" t="n">
        <v>45587</v>
      </c>
      <c r="D2982" t="inlineStr">
        <is>
          <t>GÄVLEBORGS LÄN</t>
        </is>
      </c>
      <c r="E2982" t="inlineStr">
        <is>
          <t>LJUSDAL</t>
        </is>
      </c>
      <c r="F2982" t="inlineStr">
        <is>
          <t>Kyrkan</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16717-2021</t>
        </is>
      </c>
      <c r="B2983" s="1" t="n">
        <v>44294</v>
      </c>
      <c r="C2983" s="1" t="n">
        <v>45587</v>
      </c>
      <c r="D2983" t="inlineStr">
        <is>
          <t>GÄVLEBORGS LÄN</t>
        </is>
      </c>
      <c r="E2983" t="inlineStr">
        <is>
          <t>OCKELBO</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16709-2021</t>
        </is>
      </c>
      <c r="B2984" s="1" t="n">
        <v>44294</v>
      </c>
      <c r="C2984" s="1" t="n">
        <v>45587</v>
      </c>
      <c r="D2984" t="inlineStr">
        <is>
          <t>GÄVLEBORGS LÄN</t>
        </is>
      </c>
      <c r="E2984" t="inlineStr">
        <is>
          <t>LJUSDAL</t>
        </is>
      </c>
      <c r="F2984" t="inlineStr">
        <is>
          <t>Kyrkan</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16581-2021</t>
        </is>
      </c>
      <c r="B2985" s="1" t="n">
        <v>44294</v>
      </c>
      <c r="C2985" s="1" t="n">
        <v>45587</v>
      </c>
      <c r="D2985" t="inlineStr">
        <is>
          <t>GÄVLEBORGS LÄN</t>
        </is>
      </c>
      <c r="E2985" t="inlineStr">
        <is>
          <t>GÄVLE</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16713-2021</t>
        </is>
      </c>
      <c r="B2986" s="1" t="n">
        <v>44294</v>
      </c>
      <c r="C2986" s="1" t="n">
        <v>45587</v>
      </c>
      <c r="D2986" t="inlineStr">
        <is>
          <t>GÄVLEBORGS LÄN</t>
        </is>
      </c>
      <c r="E2986" t="inlineStr">
        <is>
          <t>GÄVLE</t>
        </is>
      </c>
      <c r="F2986" t="inlineStr">
        <is>
          <t>Bergvik skog öst AB</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16714-2021</t>
        </is>
      </c>
      <c r="B2987" s="1" t="n">
        <v>44294</v>
      </c>
      <c r="C2987" s="1" t="n">
        <v>45587</v>
      </c>
      <c r="D2987" t="inlineStr">
        <is>
          <t>GÄVLEBORGS LÄN</t>
        </is>
      </c>
      <c r="E2987" t="inlineStr">
        <is>
          <t>HUDIKSVALL</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16980-2021</t>
        </is>
      </c>
      <c r="B2988" s="1" t="n">
        <v>44295</v>
      </c>
      <c r="C2988" s="1" t="n">
        <v>45587</v>
      </c>
      <c r="D2988" t="inlineStr">
        <is>
          <t>GÄVLEBORGS LÄN</t>
        </is>
      </c>
      <c r="E2988" t="inlineStr">
        <is>
          <t>BOLLNÄS</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16925-2021</t>
        </is>
      </c>
      <c r="B2989" s="1" t="n">
        <v>44295</v>
      </c>
      <c r="C2989" s="1" t="n">
        <v>45587</v>
      </c>
      <c r="D2989" t="inlineStr">
        <is>
          <t>GÄVLEBORGS LÄN</t>
        </is>
      </c>
      <c r="E2989" t="inlineStr">
        <is>
          <t>LJUSDAL</t>
        </is>
      </c>
      <c r="F2989" t="inlineStr">
        <is>
          <t>Bergvik skog väst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16931-2021</t>
        </is>
      </c>
      <c r="B2990" s="1" t="n">
        <v>44295</v>
      </c>
      <c r="C2990" s="1" t="n">
        <v>45587</v>
      </c>
      <c r="D2990" t="inlineStr">
        <is>
          <t>GÄVLEBORGS LÄN</t>
        </is>
      </c>
      <c r="E2990" t="inlineStr">
        <is>
          <t>GÄVLE</t>
        </is>
      </c>
      <c r="F2990" t="inlineStr">
        <is>
          <t>Kyrkan</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16985-2021</t>
        </is>
      </c>
      <c r="B2991" s="1" t="n">
        <v>44295</v>
      </c>
      <c r="C2991" s="1" t="n">
        <v>45587</v>
      </c>
      <c r="D2991" t="inlineStr">
        <is>
          <t>GÄVLEBORGS LÄN</t>
        </is>
      </c>
      <c r="E2991" t="inlineStr">
        <is>
          <t>HOFORS</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16913-2021</t>
        </is>
      </c>
      <c r="B2992" s="1" t="n">
        <v>44295</v>
      </c>
      <c r="C2992" s="1" t="n">
        <v>45587</v>
      </c>
      <c r="D2992" t="inlineStr">
        <is>
          <t>GÄVLEBORGS LÄN</t>
        </is>
      </c>
      <c r="E2992" t="inlineStr">
        <is>
          <t>HUDIKSVALL</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17064-2021</t>
        </is>
      </c>
      <c r="B2993" s="1" t="n">
        <v>44297</v>
      </c>
      <c r="C2993" s="1" t="n">
        <v>45587</v>
      </c>
      <c r="D2993" t="inlineStr">
        <is>
          <t>GÄVLEBORGS LÄN</t>
        </is>
      </c>
      <c r="E2993" t="inlineStr">
        <is>
          <t>BOLLNÄS</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17114-2021</t>
        </is>
      </c>
      <c r="B2994" s="1" t="n">
        <v>44298</v>
      </c>
      <c r="C2994" s="1" t="n">
        <v>45587</v>
      </c>
      <c r="D2994" t="inlineStr">
        <is>
          <t>GÄVLEBORGS LÄN</t>
        </is>
      </c>
      <c r="E2994" t="inlineStr">
        <is>
          <t>LJUSDAL</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17215-2021</t>
        </is>
      </c>
      <c r="B2995" s="1" t="n">
        <v>44298</v>
      </c>
      <c r="C2995" s="1" t="n">
        <v>45587</v>
      </c>
      <c r="D2995" t="inlineStr">
        <is>
          <t>GÄVLEBORGS LÄN</t>
        </is>
      </c>
      <c r="E2995" t="inlineStr">
        <is>
          <t>OVANÅKER</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17236-2021</t>
        </is>
      </c>
      <c r="B2996" s="1" t="n">
        <v>44298</v>
      </c>
      <c r="C2996" s="1" t="n">
        <v>45587</v>
      </c>
      <c r="D2996" t="inlineStr">
        <is>
          <t>GÄVLEBORGS LÄN</t>
        </is>
      </c>
      <c r="E2996" t="inlineStr">
        <is>
          <t>BOLLNÄS</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17290-2021</t>
        </is>
      </c>
      <c r="B2997" s="1" t="n">
        <v>44298</v>
      </c>
      <c r="C2997" s="1" t="n">
        <v>45587</v>
      </c>
      <c r="D2997" t="inlineStr">
        <is>
          <t>GÄVLEBORGS LÄN</t>
        </is>
      </c>
      <c r="E2997" t="inlineStr">
        <is>
          <t>OVANÅKER</t>
        </is>
      </c>
      <c r="G2997" t="n">
        <v>5.4</v>
      </c>
      <c r="H2997" t="n">
        <v>0</v>
      </c>
      <c r="I2997" t="n">
        <v>0</v>
      </c>
      <c r="J2997" t="n">
        <v>0</v>
      </c>
      <c r="K2997" t="n">
        <v>0</v>
      </c>
      <c r="L2997" t="n">
        <v>0</v>
      </c>
      <c r="M2997" t="n">
        <v>0</v>
      </c>
      <c r="N2997" t="n">
        <v>0</v>
      </c>
      <c r="O2997" t="n">
        <v>0</v>
      </c>
      <c r="P2997" t="n">
        <v>0</v>
      </c>
      <c r="Q2997" t="n">
        <v>0</v>
      </c>
      <c r="R2997" s="2" t="inlineStr"/>
    </row>
    <row r="2998" ht="15" customHeight="1">
      <c r="A2998" t="inlineStr">
        <is>
          <t>A 17172-2021</t>
        </is>
      </c>
      <c r="B2998" s="1" t="n">
        <v>44298</v>
      </c>
      <c r="C2998" s="1" t="n">
        <v>45587</v>
      </c>
      <c r="D2998" t="inlineStr">
        <is>
          <t>GÄVLEBORGS LÄN</t>
        </is>
      </c>
      <c r="E2998" t="inlineStr">
        <is>
          <t>SÖDERHAMN</t>
        </is>
      </c>
      <c r="F2998" t="inlineStr">
        <is>
          <t>Bergvik skog väst AB</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17117-2021</t>
        </is>
      </c>
      <c r="B2999" s="1" t="n">
        <v>44298</v>
      </c>
      <c r="C2999" s="1" t="n">
        <v>45587</v>
      </c>
      <c r="D2999" t="inlineStr">
        <is>
          <t>GÄVLEBORGS LÄN</t>
        </is>
      </c>
      <c r="E2999" t="inlineStr">
        <is>
          <t>LJUSDAL</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17557-2021</t>
        </is>
      </c>
      <c r="B3000" s="1" t="n">
        <v>44299</v>
      </c>
      <c r="C3000" s="1" t="n">
        <v>45587</v>
      </c>
      <c r="D3000" t="inlineStr">
        <is>
          <t>GÄVLEBORGS LÄN</t>
        </is>
      </c>
      <c r="E3000" t="inlineStr">
        <is>
          <t>BOLLNÄS</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17544-2021</t>
        </is>
      </c>
      <c r="B3001" s="1" t="n">
        <v>44299</v>
      </c>
      <c r="C3001" s="1" t="n">
        <v>45587</v>
      </c>
      <c r="D3001" t="inlineStr">
        <is>
          <t>GÄVLEBORGS LÄN</t>
        </is>
      </c>
      <c r="E3001" t="inlineStr">
        <is>
          <t>SANDVIKEN</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17555-2021</t>
        </is>
      </c>
      <c r="B3002" s="1" t="n">
        <v>44299</v>
      </c>
      <c r="C3002" s="1" t="n">
        <v>45587</v>
      </c>
      <c r="D3002" t="inlineStr">
        <is>
          <t>GÄVLEBORGS LÄN</t>
        </is>
      </c>
      <c r="E3002" t="inlineStr">
        <is>
          <t>BOLLNÄS</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17593-2021</t>
        </is>
      </c>
      <c r="B3003" s="1" t="n">
        <v>44300</v>
      </c>
      <c r="C3003" s="1" t="n">
        <v>45587</v>
      </c>
      <c r="D3003" t="inlineStr">
        <is>
          <t>GÄVLEBORGS LÄN</t>
        </is>
      </c>
      <c r="E3003" t="inlineStr">
        <is>
          <t>GÄVLE</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17656-2021</t>
        </is>
      </c>
      <c r="B3004" s="1" t="n">
        <v>44300</v>
      </c>
      <c r="C3004" s="1" t="n">
        <v>45587</v>
      </c>
      <c r="D3004" t="inlineStr">
        <is>
          <t>GÄVLEBORGS LÄN</t>
        </is>
      </c>
      <c r="E3004" t="inlineStr">
        <is>
          <t>GÄVLE</t>
        </is>
      </c>
      <c r="F3004" t="inlineStr">
        <is>
          <t>Bergvik skog väst AB</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17834-2021</t>
        </is>
      </c>
      <c r="B3005" s="1" t="n">
        <v>44300</v>
      </c>
      <c r="C3005" s="1" t="n">
        <v>45587</v>
      </c>
      <c r="D3005" t="inlineStr">
        <is>
          <t>GÄVLEBORGS LÄN</t>
        </is>
      </c>
      <c r="E3005" t="inlineStr">
        <is>
          <t>GÄVLE</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17935-2021</t>
        </is>
      </c>
      <c r="B3006" s="1" t="n">
        <v>44301</v>
      </c>
      <c r="C3006" s="1" t="n">
        <v>45587</v>
      </c>
      <c r="D3006" t="inlineStr">
        <is>
          <t>GÄVLEBORGS LÄN</t>
        </is>
      </c>
      <c r="E3006" t="inlineStr">
        <is>
          <t>BOLLNÄS</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17959-2021</t>
        </is>
      </c>
      <c r="B3007" s="1" t="n">
        <v>44301</v>
      </c>
      <c r="C3007" s="1" t="n">
        <v>45587</v>
      </c>
      <c r="D3007" t="inlineStr">
        <is>
          <t>GÄVLEBORGS LÄN</t>
        </is>
      </c>
      <c r="E3007" t="inlineStr">
        <is>
          <t>OVANÅKER</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17983-2021</t>
        </is>
      </c>
      <c r="B3008" s="1" t="n">
        <v>44301</v>
      </c>
      <c r="C3008" s="1" t="n">
        <v>45587</v>
      </c>
      <c r="D3008" t="inlineStr">
        <is>
          <t>GÄVLEBORGS LÄN</t>
        </is>
      </c>
      <c r="E3008" t="inlineStr">
        <is>
          <t>NORDANSTIG</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18082-2021</t>
        </is>
      </c>
      <c r="B3009" s="1" t="n">
        <v>44302</v>
      </c>
      <c r="C3009" s="1" t="n">
        <v>45587</v>
      </c>
      <c r="D3009" t="inlineStr">
        <is>
          <t>GÄVLEBORGS LÄN</t>
        </is>
      </c>
      <c r="E3009" t="inlineStr">
        <is>
          <t>HUDIKSVALL</t>
        </is>
      </c>
      <c r="G3009" t="n">
        <v>5</v>
      </c>
      <c r="H3009" t="n">
        <v>0</v>
      </c>
      <c r="I3009" t="n">
        <v>0</v>
      </c>
      <c r="J3009" t="n">
        <v>0</v>
      </c>
      <c r="K3009" t="n">
        <v>0</v>
      </c>
      <c r="L3009" t="n">
        <v>0</v>
      </c>
      <c r="M3009" t="n">
        <v>0</v>
      </c>
      <c r="N3009" t="n">
        <v>0</v>
      </c>
      <c r="O3009" t="n">
        <v>0</v>
      </c>
      <c r="P3009" t="n">
        <v>0</v>
      </c>
      <c r="Q3009" t="n">
        <v>0</v>
      </c>
      <c r="R3009" s="2" t="inlineStr"/>
    </row>
    <row r="3010" ht="15" customHeight="1">
      <c r="A3010" t="inlineStr">
        <is>
          <t>A 18096-2021</t>
        </is>
      </c>
      <c r="B3010" s="1" t="n">
        <v>44302</v>
      </c>
      <c r="C3010" s="1" t="n">
        <v>45587</v>
      </c>
      <c r="D3010" t="inlineStr">
        <is>
          <t>GÄVLEBORGS LÄN</t>
        </is>
      </c>
      <c r="E3010" t="inlineStr">
        <is>
          <t>LJUSDAL</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18108-2021</t>
        </is>
      </c>
      <c r="B3011" s="1" t="n">
        <v>44302</v>
      </c>
      <c r="C3011" s="1" t="n">
        <v>45587</v>
      </c>
      <c r="D3011" t="inlineStr">
        <is>
          <t>GÄVLEBORGS LÄN</t>
        </is>
      </c>
      <c r="E3011" t="inlineStr">
        <is>
          <t>LJUSDAL</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18151-2021</t>
        </is>
      </c>
      <c r="B3012" s="1" t="n">
        <v>44302</v>
      </c>
      <c r="C3012" s="1" t="n">
        <v>45587</v>
      </c>
      <c r="D3012" t="inlineStr">
        <is>
          <t>GÄVLEBORGS LÄN</t>
        </is>
      </c>
      <c r="E3012" t="inlineStr">
        <is>
          <t>LJUSDAL</t>
        </is>
      </c>
      <c r="F3012" t="inlineStr">
        <is>
          <t>Sveaskog</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18078-2021</t>
        </is>
      </c>
      <c r="B3013" s="1" t="n">
        <v>44302</v>
      </c>
      <c r="C3013" s="1" t="n">
        <v>45587</v>
      </c>
      <c r="D3013" t="inlineStr">
        <is>
          <t>GÄVLEBORGS LÄN</t>
        </is>
      </c>
      <c r="E3013" t="inlineStr">
        <is>
          <t>LJUSDAL</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18084-2021</t>
        </is>
      </c>
      <c r="B3014" s="1" t="n">
        <v>44302</v>
      </c>
      <c r="C3014" s="1" t="n">
        <v>45587</v>
      </c>
      <c r="D3014" t="inlineStr">
        <is>
          <t>GÄVLEBORGS LÄN</t>
        </is>
      </c>
      <c r="E3014" t="inlineStr">
        <is>
          <t>HUDIKSVALL</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18112-2021</t>
        </is>
      </c>
      <c r="B3015" s="1" t="n">
        <v>44302</v>
      </c>
      <c r="C3015" s="1" t="n">
        <v>45587</v>
      </c>
      <c r="D3015" t="inlineStr">
        <is>
          <t>GÄVLEBORGS LÄN</t>
        </is>
      </c>
      <c r="E3015" t="inlineStr">
        <is>
          <t>SÖDERHAMN</t>
        </is>
      </c>
      <c r="F3015" t="inlineStr">
        <is>
          <t>Kyrkan</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18176-2021</t>
        </is>
      </c>
      <c r="B3016" s="1" t="n">
        <v>44302</v>
      </c>
      <c r="C3016" s="1" t="n">
        <v>45587</v>
      </c>
      <c r="D3016" t="inlineStr">
        <is>
          <t>GÄVLEBORGS LÄN</t>
        </is>
      </c>
      <c r="E3016" t="inlineStr">
        <is>
          <t>HUDIKSVALL</t>
        </is>
      </c>
      <c r="F3016" t="inlineStr">
        <is>
          <t>Holmen skog AB</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18039-2021</t>
        </is>
      </c>
      <c r="B3017" s="1" t="n">
        <v>44302</v>
      </c>
      <c r="C3017" s="1" t="n">
        <v>45587</v>
      </c>
      <c r="D3017" t="inlineStr">
        <is>
          <t>GÄVLEBORGS LÄN</t>
        </is>
      </c>
      <c r="E3017" t="inlineStr">
        <is>
          <t>LJUSDAL</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18350-2021</t>
        </is>
      </c>
      <c r="B3018" s="1" t="n">
        <v>44305</v>
      </c>
      <c r="C3018" s="1" t="n">
        <v>45587</v>
      </c>
      <c r="D3018" t="inlineStr">
        <is>
          <t>GÄVLEBORGS LÄN</t>
        </is>
      </c>
      <c r="E3018" t="inlineStr">
        <is>
          <t>OVANÅKER</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18417-2021</t>
        </is>
      </c>
      <c r="B3019" s="1" t="n">
        <v>44305</v>
      </c>
      <c r="C3019" s="1" t="n">
        <v>45587</v>
      </c>
      <c r="D3019" t="inlineStr">
        <is>
          <t>GÄVLEBORGS LÄN</t>
        </is>
      </c>
      <c r="E3019" t="inlineStr">
        <is>
          <t>HUDIKSVALL</t>
        </is>
      </c>
      <c r="F3019" t="inlineStr">
        <is>
          <t>Kommuner</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18264-2021</t>
        </is>
      </c>
      <c r="B3020" s="1" t="n">
        <v>44305</v>
      </c>
      <c r="C3020" s="1" t="n">
        <v>45587</v>
      </c>
      <c r="D3020" t="inlineStr">
        <is>
          <t>GÄVLEBORGS LÄN</t>
        </is>
      </c>
      <c r="E3020" t="inlineStr">
        <is>
          <t>LJUSDAL</t>
        </is>
      </c>
      <c r="F3020" t="inlineStr">
        <is>
          <t>Bergvik skog väst AB</t>
        </is>
      </c>
      <c r="G3020" t="n">
        <v>8.5</v>
      </c>
      <c r="H3020" t="n">
        <v>0</v>
      </c>
      <c r="I3020" t="n">
        <v>0</v>
      </c>
      <c r="J3020" t="n">
        <v>0</v>
      </c>
      <c r="K3020" t="n">
        <v>0</v>
      </c>
      <c r="L3020" t="n">
        <v>0</v>
      </c>
      <c r="M3020" t="n">
        <v>0</v>
      </c>
      <c r="N3020" t="n">
        <v>0</v>
      </c>
      <c r="O3020" t="n">
        <v>0</v>
      </c>
      <c r="P3020" t="n">
        <v>0</v>
      </c>
      <c r="Q3020" t="n">
        <v>0</v>
      </c>
      <c r="R3020" s="2" t="inlineStr"/>
    </row>
    <row r="3021" ht="15" customHeight="1">
      <c r="A3021" t="inlineStr">
        <is>
          <t>A 18431-2021</t>
        </is>
      </c>
      <c r="B3021" s="1" t="n">
        <v>44305</v>
      </c>
      <c r="C3021" s="1" t="n">
        <v>45587</v>
      </c>
      <c r="D3021" t="inlineStr">
        <is>
          <t>GÄVLEBORGS LÄN</t>
        </is>
      </c>
      <c r="E3021" t="inlineStr">
        <is>
          <t>GÄVLE</t>
        </is>
      </c>
      <c r="F3021" t="inlineStr">
        <is>
          <t>Bergvik skog öst AB</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18398-2021</t>
        </is>
      </c>
      <c r="B3022" s="1" t="n">
        <v>44305</v>
      </c>
      <c r="C3022" s="1" t="n">
        <v>45587</v>
      </c>
      <c r="D3022" t="inlineStr">
        <is>
          <t>GÄVLEBORGS LÄN</t>
        </is>
      </c>
      <c r="E3022" t="inlineStr">
        <is>
          <t>NORDANSTIG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18430-2021</t>
        </is>
      </c>
      <c r="B3023" s="1" t="n">
        <v>44305</v>
      </c>
      <c r="C3023" s="1" t="n">
        <v>45587</v>
      </c>
      <c r="D3023" t="inlineStr">
        <is>
          <t>GÄVLEBORGS LÄN</t>
        </is>
      </c>
      <c r="E3023" t="inlineStr">
        <is>
          <t>NORDANSTIG</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18394-2021</t>
        </is>
      </c>
      <c r="B3024" s="1" t="n">
        <v>44305</v>
      </c>
      <c r="C3024" s="1" t="n">
        <v>45587</v>
      </c>
      <c r="D3024" t="inlineStr">
        <is>
          <t>GÄVLEBORGS LÄN</t>
        </is>
      </c>
      <c r="E3024" t="inlineStr">
        <is>
          <t>NORDANSTIG</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18483-2021</t>
        </is>
      </c>
      <c r="B3025" s="1" t="n">
        <v>44306</v>
      </c>
      <c r="C3025" s="1" t="n">
        <v>45587</v>
      </c>
      <c r="D3025" t="inlineStr">
        <is>
          <t>GÄVLEBORGS LÄN</t>
        </is>
      </c>
      <c r="E3025" t="inlineStr">
        <is>
          <t>SANDVIKEN</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18496-2021</t>
        </is>
      </c>
      <c r="B3026" s="1" t="n">
        <v>44306</v>
      </c>
      <c r="C3026" s="1" t="n">
        <v>45587</v>
      </c>
      <c r="D3026" t="inlineStr">
        <is>
          <t>GÄVLEBORGS LÄN</t>
        </is>
      </c>
      <c r="E3026" t="inlineStr">
        <is>
          <t>SANDVIKEN</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18818-2021</t>
        </is>
      </c>
      <c r="B3027" s="1" t="n">
        <v>44307</v>
      </c>
      <c r="C3027" s="1" t="n">
        <v>45587</v>
      </c>
      <c r="D3027" t="inlineStr">
        <is>
          <t>GÄVLEBORGS LÄN</t>
        </is>
      </c>
      <c r="E3027" t="inlineStr">
        <is>
          <t>HUDIKSVALL</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18786-2021</t>
        </is>
      </c>
      <c r="B3028" s="1" t="n">
        <v>44307</v>
      </c>
      <c r="C3028" s="1" t="n">
        <v>45587</v>
      </c>
      <c r="D3028" t="inlineStr">
        <is>
          <t>GÄVLEBORGS LÄN</t>
        </is>
      </c>
      <c r="E3028" t="inlineStr">
        <is>
          <t>LJUSDAL</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18827-2021</t>
        </is>
      </c>
      <c r="B3029" s="1" t="n">
        <v>44307</v>
      </c>
      <c r="C3029" s="1" t="n">
        <v>45587</v>
      </c>
      <c r="D3029" t="inlineStr">
        <is>
          <t>GÄVLEBORGS LÄN</t>
        </is>
      </c>
      <c r="E3029" t="inlineStr">
        <is>
          <t>GÄVLE</t>
        </is>
      </c>
      <c r="F3029" t="inlineStr">
        <is>
          <t>Bergvik skog öst AB</t>
        </is>
      </c>
      <c r="G3029" t="n">
        <v>7.5</v>
      </c>
      <c r="H3029" t="n">
        <v>0</v>
      </c>
      <c r="I3029" t="n">
        <v>0</v>
      </c>
      <c r="J3029" t="n">
        <v>0</v>
      </c>
      <c r="K3029" t="n">
        <v>0</v>
      </c>
      <c r="L3029" t="n">
        <v>0</v>
      </c>
      <c r="M3029" t="n">
        <v>0</v>
      </c>
      <c r="N3029" t="n">
        <v>0</v>
      </c>
      <c r="O3029" t="n">
        <v>0</v>
      </c>
      <c r="P3029" t="n">
        <v>0</v>
      </c>
      <c r="Q3029" t="n">
        <v>0</v>
      </c>
      <c r="R3029" s="2" t="inlineStr"/>
    </row>
    <row r="3030" ht="15" customHeight="1">
      <c r="A3030" t="inlineStr">
        <is>
          <t>A 19100-2021</t>
        </is>
      </c>
      <c r="B3030" s="1" t="n">
        <v>44308</v>
      </c>
      <c r="C3030" s="1" t="n">
        <v>45587</v>
      </c>
      <c r="D3030" t="inlineStr">
        <is>
          <t>GÄVLEBORGS LÄN</t>
        </is>
      </c>
      <c r="E3030" t="inlineStr">
        <is>
          <t>HUDIKSVALL</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18983-2021</t>
        </is>
      </c>
      <c r="B3031" s="1" t="n">
        <v>44308</v>
      </c>
      <c r="C3031" s="1" t="n">
        <v>45587</v>
      </c>
      <c r="D3031" t="inlineStr">
        <is>
          <t>GÄVLEBORGS LÄN</t>
        </is>
      </c>
      <c r="E3031" t="inlineStr">
        <is>
          <t>OCKELBO</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19129-2021</t>
        </is>
      </c>
      <c r="B3032" s="1" t="n">
        <v>44308</v>
      </c>
      <c r="C3032" s="1" t="n">
        <v>45587</v>
      </c>
      <c r="D3032" t="inlineStr">
        <is>
          <t>GÄVLEBORGS LÄN</t>
        </is>
      </c>
      <c r="E3032" t="inlineStr">
        <is>
          <t>LJUSDAL</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19117-2021</t>
        </is>
      </c>
      <c r="B3033" s="1" t="n">
        <v>44308</v>
      </c>
      <c r="C3033" s="1" t="n">
        <v>45587</v>
      </c>
      <c r="D3033" t="inlineStr">
        <is>
          <t>GÄVLEBORGS LÄN</t>
        </is>
      </c>
      <c r="E3033" t="inlineStr">
        <is>
          <t>LJUSDAL</t>
        </is>
      </c>
      <c r="F3033" t="inlineStr">
        <is>
          <t>Bergvik skog väst AB</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19180-2021</t>
        </is>
      </c>
      <c r="B3034" s="1" t="n">
        <v>44308</v>
      </c>
      <c r="C3034" s="1" t="n">
        <v>45587</v>
      </c>
      <c r="D3034" t="inlineStr">
        <is>
          <t>GÄVLEBORGS LÄN</t>
        </is>
      </c>
      <c r="E3034" t="inlineStr">
        <is>
          <t>GÄVLE</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19109-2021</t>
        </is>
      </c>
      <c r="B3035" s="1" t="n">
        <v>44308</v>
      </c>
      <c r="C3035" s="1" t="n">
        <v>45587</v>
      </c>
      <c r="D3035" t="inlineStr">
        <is>
          <t>GÄVLEBORGS LÄN</t>
        </is>
      </c>
      <c r="E3035" t="inlineStr">
        <is>
          <t>HUDIKSVALL</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19178-2021</t>
        </is>
      </c>
      <c r="B3036" s="1" t="n">
        <v>44308</v>
      </c>
      <c r="C3036" s="1" t="n">
        <v>45587</v>
      </c>
      <c r="D3036" t="inlineStr">
        <is>
          <t>GÄVLEBORGS LÄN</t>
        </is>
      </c>
      <c r="E3036" t="inlineStr">
        <is>
          <t>GÄVLE</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19241-2021</t>
        </is>
      </c>
      <c r="B3037" s="1" t="n">
        <v>44309</v>
      </c>
      <c r="C3037" s="1" t="n">
        <v>45587</v>
      </c>
      <c r="D3037" t="inlineStr">
        <is>
          <t>GÄVLEBORGS LÄN</t>
        </is>
      </c>
      <c r="E3037" t="inlineStr">
        <is>
          <t>OCKELBO</t>
        </is>
      </c>
      <c r="F3037" t="inlineStr">
        <is>
          <t>Bergvik skog väst AB</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19264-2021</t>
        </is>
      </c>
      <c r="B3038" s="1" t="n">
        <v>44309</v>
      </c>
      <c r="C3038" s="1" t="n">
        <v>45587</v>
      </c>
      <c r="D3038" t="inlineStr">
        <is>
          <t>GÄVLEBORGS LÄN</t>
        </is>
      </c>
      <c r="E3038" t="inlineStr">
        <is>
          <t>NORDANSTIG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19279-2021</t>
        </is>
      </c>
      <c r="B3039" s="1" t="n">
        <v>44309</v>
      </c>
      <c r="C3039" s="1" t="n">
        <v>45587</v>
      </c>
      <c r="D3039" t="inlineStr">
        <is>
          <t>GÄVLEBORGS LÄN</t>
        </is>
      </c>
      <c r="E3039" t="inlineStr">
        <is>
          <t>SANDVIKEN</t>
        </is>
      </c>
      <c r="F3039" t="inlineStr">
        <is>
          <t>Bergvik skog öst AB</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19405-2021</t>
        </is>
      </c>
      <c r="B3040" s="1" t="n">
        <v>44309</v>
      </c>
      <c r="C3040" s="1" t="n">
        <v>45587</v>
      </c>
      <c r="D3040" t="inlineStr">
        <is>
          <t>GÄVLEBORGS LÄN</t>
        </is>
      </c>
      <c r="E3040" t="inlineStr">
        <is>
          <t>LJUSDAL</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19441-2021</t>
        </is>
      </c>
      <c r="B3041" s="1" t="n">
        <v>44310</v>
      </c>
      <c r="C3041" s="1" t="n">
        <v>45587</v>
      </c>
      <c r="D3041" t="inlineStr">
        <is>
          <t>GÄVLEBORGS LÄN</t>
        </is>
      </c>
      <c r="E3041" t="inlineStr">
        <is>
          <t>OVANÅKER</t>
        </is>
      </c>
      <c r="F3041" t="inlineStr">
        <is>
          <t>Bergvik skog väst AB</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19442-2021</t>
        </is>
      </c>
      <c r="B3042" s="1" t="n">
        <v>44310</v>
      </c>
      <c r="C3042" s="1" t="n">
        <v>45587</v>
      </c>
      <c r="D3042" t="inlineStr">
        <is>
          <t>GÄVLEBORGS LÄN</t>
        </is>
      </c>
      <c r="E3042" t="inlineStr">
        <is>
          <t>OVANÅKER</t>
        </is>
      </c>
      <c r="F3042" t="inlineStr">
        <is>
          <t>Bergvik skog väst AB</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19496-2021</t>
        </is>
      </c>
      <c r="B3043" s="1" t="n">
        <v>44312</v>
      </c>
      <c r="C3043" s="1" t="n">
        <v>45587</v>
      </c>
      <c r="D3043" t="inlineStr">
        <is>
          <t>GÄVLEBORGS LÄN</t>
        </is>
      </c>
      <c r="E3043" t="inlineStr">
        <is>
          <t>NORDANSTIG</t>
        </is>
      </c>
      <c r="G3043" t="n">
        <v>5.5</v>
      </c>
      <c r="H3043" t="n">
        <v>0</v>
      </c>
      <c r="I3043" t="n">
        <v>0</v>
      </c>
      <c r="J3043" t="n">
        <v>0</v>
      </c>
      <c r="K3043" t="n">
        <v>0</v>
      </c>
      <c r="L3043" t="n">
        <v>0</v>
      </c>
      <c r="M3043" t="n">
        <v>0</v>
      </c>
      <c r="N3043" t="n">
        <v>0</v>
      </c>
      <c r="O3043" t="n">
        <v>0</v>
      </c>
      <c r="P3043" t="n">
        <v>0</v>
      </c>
      <c r="Q3043" t="n">
        <v>0</v>
      </c>
      <c r="R3043" s="2" t="inlineStr"/>
    </row>
    <row r="3044" ht="15" customHeight="1">
      <c r="A3044" t="inlineStr">
        <is>
          <t>A 19655-2021</t>
        </is>
      </c>
      <c r="B3044" s="1" t="n">
        <v>44312</v>
      </c>
      <c r="C3044" s="1" t="n">
        <v>45587</v>
      </c>
      <c r="D3044" t="inlineStr">
        <is>
          <t>GÄVLEBORGS LÄN</t>
        </is>
      </c>
      <c r="E3044" t="inlineStr">
        <is>
          <t>HUDIKSVALL</t>
        </is>
      </c>
      <c r="F3044" t="inlineStr">
        <is>
          <t>Holmen skog AB</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19728-2021</t>
        </is>
      </c>
      <c r="B3045" s="1" t="n">
        <v>44313</v>
      </c>
      <c r="C3045" s="1" t="n">
        <v>45587</v>
      </c>
      <c r="D3045" t="inlineStr">
        <is>
          <t>GÄVLEBORGS LÄN</t>
        </is>
      </c>
      <c r="E3045" t="inlineStr">
        <is>
          <t>NORDANSTIG</t>
        </is>
      </c>
      <c r="G3045" t="n">
        <v>69.09999999999999</v>
      </c>
      <c r="H3045" t="n">
        <v>0</v>
      </c>
      <c r="I3045" t="n">
        <v>0</v>
      </c>
      <c r="J3045" t="n">
        <v>0</v>
      </c>
      <c r="K3045" t="n">
        <v>0</v>
      </c>
      <c r="L3045" t="n">
        <v>0</v>
      </c>
      <c r="M3045" t="n">
        <v>0</v>
      </c>
      <c r="N3045" t="n">
        <v>0</v>
      </c>
      <c r="O3045" t="n">
        <v>0</v>
      </c>
      <c r="P3045" t="n">
        <v>0</v>
      </c>
      <c r="Q3045" t="n">
        <v>0</v>
      </c>
      <c r="R3045" s="2" t="inlineStr"/>
    </row>
    <row r="3046" ht="15" customHeight="1">
      <c r="A3046" t="inlineStr">
        <is>
          <t>A 19661-2021</t>
        </is>
      </c>
      <c r="B3046" s="1" t="n">
        <v>44312</v>
      </c>
      <c r="C3046" s="1" t="n">
        <v>45587</v>
      </c>
      <c r="D3046" t="inlineStr">
        <is>
          <t>GÄVLEBORGS LÄN</t>
        </is>
      </c>
      <c r="E3046" t="inlineStr">
        <is>
          <t>OVANÅKER</t>
        </is>
      </c>
      <c r="F3046" t="inlineStr">
        <is>
          <t>Bergvik skog väst AB</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19919-2021</t>
        </is>
      </c>
      <c r="B3047" s="1" t="n">
        <v>44313</v>
      </c>
      <c r="C3047" s="1" t="n">
        <v>45587</v>
      </c>
      <c r="D3047" t="inlineStr">
        <is>
          <t>GÄVLEBORGS LÄN</t>
        </is>
      </c>
      <c r="E3047" t="inlineStr">
        <is>
          <t>OVANÅKER</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19775-2021</t>
        </is>
      </c>
      <c r="B3048" s="1" t="n">
        <v>44313</v>
      </c>
      <c r="C3048" s="1" t="n">
        <v>45587</v>
      </c>
      <c r="D3048" t="inlineStr">
        <is>
          <t>GÄVLEBORGS LÄN</t>
        </is>
      </c>
      <c r="E3048" t="inlineStr">
        <is>
          <t>BOLLNÄS</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19995-2021</t>
        </is>
      </c>
      <c r="B3049" s="1" t="n">
        <v>44313</v>
      </c>
      <c r="C3049" s="1" t="n">
        <v>45587</v>
      </c>
      <c r="D3049" t="inlineStr">
        <is>
          <t>GÄVLEBORGS LÄN</t>
        </is>
      </c>
      <c r="E3049" t="inlineStr">
        <is>
          <t>HUDIKSVALL</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19973-2021</t>
        </is>
      </c>
      <c r="B3050" s="1" t="n">
        <v>44313</v>
      </c>
      <c r="C3050" s="1" t="n">
        <v>45587</v>
      </c>
      <c r="D3050" t="inlineStr">
        <is>
          <t>GÄVLEBORGS LÄN</t>
        </is>
      </c>
      <c r="E3050" t="inlineStr">
        <is>
          <t>LJUSDAL</t>
        </is>
      </c>
      <c r="F3050" t="inlineStr">
        <is>
          <t>Sveaskog</t>
        </is>
      </c>
      <c r="G3050" t="n">
        <v>38.9</v>
      </c>
      <c r="H3050" t="n">
        <v>0</v>
      </c>
      <c r="I3050" t="n">
        <v>0</v>
      </c>
      <c r="J3050" t="n">
        <v>0</v>
      </c>
      <c r="K3050" t="n">
        <v>0</v>
      </c>
      <c r="L3050" t="n">
        <v>0</v>
      </c>
      <c r="M3050" t="n">
        <v>0</v>
      </c>
      <c r="N3050" t="n">
        <v>0</v>
      </c>
      <c r="O3050" t="n">
        <v>0</v>
      </c>
      <c r="P3050" t="n">
        <v>0</v>
      </c>
      <c r="Q3050" t="n">
        <v>0</v>
      </c>
      <c r="R3050" s="2" t="inlineStr"/>
    </row>
    <row r="3051" ht="15" customHeight="1">
      <c r="A3051" t="inlineStr">
        <is>
          <t>A 19976-2021</t>
        </is>
      </c>
      <c r="B3051" s="1" t="n">
        <v>44313</v>
      </c>
      <c r="C3051" s="1" t="n">
        <v>45587</v>
      </c>
      <c r="D3051" t="inlineStr">
        <is>
          <t>GÄVLEBORGS LÄN</t>
        </is>
      </c>
      <c r="E3051" t="inlineStr">
        <is>
          <t>LJUSDAL</t>
        </is>
      </c>
      <c r="F3051" t="inlineStr">
        <is>
          <t>Sveaskog</t>
        </is>
      </c>
      <c r="G3051" t="n">
        <v>40.1</v>
      </c>
      <c r="H3051" t="n">
        <v>0</v>
      </c>
      <c r="I3051" t="n">
        <v>0</v>
      </c>
      <c r="J3051" t="n">
        <v>0</v>
      </c>
      <c r="K3051" t="n">
        <v>0</v>
      </c>
      <c r="L3051" t="n">
        <v>0</v>
      </c>
      <c r="M3051" t="n">
        <v>0</v>
      </c>
      <c r="N3051" t="n">
        <v>0</v>
      </c>
      <c r="O3051" t="n">
        <v>0</v>
      </c>
      <c r="P3051" t="n">
        <v>0</v>
      </c>
      <c r="Q3051" t="n">
        <v>0</v>
      </c>
      <c r="R3051" s="2" t="inlineStr"/>
    </row>
    <row r="3052" ht="15" customHeight="1">
      <c r="A3052" t="inlineStr">
        <is>
          <t>A 20119-2021</t>
        </is>
      </c>
      <c r="B3052" s="1" t="n">
        <v>44314</v>
      </c>
      <c r="C3052" s="1" t="n">
        <v>45587</v>
      </c>
      <c r="D3052" t="inlineStr">
        <is>
          <t>GÄVLEBORGS LÄN</t>
        </is>
      </c>
      <c r="E3052" t="inlineStr">
        <is>
          <t>HOFORS</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20021-2021</t>
        </is>
      </c>
      <c r="B3053" s="1" t="n">
        <v>44314</v>
      </c>
      <c r="C3053" s="1" t="n">
        <v>45587</v>
      </c>
      <c r="D3053" t="inlineStr">
        <is>
          <t>GÄVLEBORGS LÄN</t>
        </is>
      </c>
      <c r="E3053" t="inlineStr">
        <is>
          <t>BOLLNÄS</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20058-2021</t>
        </is>
      </c>
      <c r="B3054" s="1" t="n">
        <v>44314</v>
      </c>
      <c r="C3054" s="1" t="n">
        <v>45587</v>
      </c>
      <c r="D3054" t="inlineStr">
        <is>
          <t>GÄVLEBORGS LÄN</t>
        </is>
      </c>
      <c r="E3054" t="inlineStr">
        <is>
          <t>LJUSDAL</t>
        </is>
      </c>
      <c r="F3054" t="inlineStr">
        <is>
          <t>Sveaskog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20089-2021</t>
        </is>
      </c>
      <c r="B3055" s="1" t="n">
        <v>44314</v>
      </c>
      <c r="C3055" s="1" t="n">
        <v>45587</v>
      </c>
      <c r="D3055" t="inlineStr">
        <is>
          <t>GÄVLEBORGS LÄN</t>
        </is>
      </c>
      <c r="E3055" t="inlineStr">
        <is>
          <t>OVANÅKER</t>
        </is>
      </c>
      <c r="F3055" t="inlineStr">
        <is>
          <t>Sveaskog</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20112-2021</t>
        </is>
      </c>
      <c r="B3056" s="1" t="n">
        <v>44314</v>
      </c>
      <c r="C3056" s="1" t="n">
        <v>45587</v>
      </c>
      <c r="D3056" t="inlineStr">
        <is>
          <t>GÄVLEBORGS LÄN</t>
        </is>
      </c>
      <c r="E3056" t="inlineStr">
        <is>
          <t>LJUSDAL</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20205-2021</t>
        </is>
      </c>
      <c r="B3057" s="1" t="n">
        <v>44314</v>
      </c>
      <c r="C3057" s="1" t="n">
        <v>45587</v>
      </c>
      <c r="D3057" t="inlineStr">
        <is>
          <t>GÄVLEBORGS LÄN</t>
        </is>
      </c>
      <c r="E3057" t="inlineStr">
        <is>
          <t>BOLLNÄS</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20018-2021</t>
        </is>
      </c>
      <c r="B3058" s="1" t="n">
        <v>44314</v>
      </c>
      <c r="C3058" s="1" t="n">
        <v>45587</v>
      </c>
      <c r="D3058" t="inlineStr">
        <is>
          <t>GÄVLEBORGS LÄN</t>
        </is>
      </c>
      <c r="E3058" t="inlineStr">
        <is>
          <t>BOLLNÄS</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20101-2021</t>
        </is>
      </c>
      <c r="B3059" s="1" t="n">
        <v>44314</v>
      </c>
      <c r="C3059" s="1" t="n">
        <v>45587</v>
      </c>
      <c r="D3059" t="inlineStr">
        <is>
          <t>GÄVLEBORGS LÄN</t>
        </is>
      </c>
      <c r="E3059" t="inlineStr">
        <is>
          <t>OVANÅKER</t>
        </is>
      </c>
      <c r="F3059" t="inlineStr">
        <is>
          <t>Sveaskog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20017-2021</t>
        </is>
      </c>
      <c r="B3060" s="1" t="n">
        <v>44314</v>
      </c>
      <c r="C3060" s="1" t="n">
        <v>45587</v>
      </c>
      <c r="D3060" t="inlineStr">
        <is>
          <t>GÄVLEBORGS LÄN</t>
        </is>
      </c>
      <c r="E3060" t="inlineStr">
        <is>
          <t>BOLLNÄS</t>
        </is>
      </c>
      <c r="G3060" t="n">
        <v>6.8</v>
      </c>
      <c r="H3060" t="n">
        <v>0</v>
      </c>
      <c r="I3060" t="n">
        <v>0</v>
      </c>
      <c r="J3060" t="n">
        <v>0</v>
      </c>
      <c r="K3060" t="n">
        <v>0</v>
      </c>
      <c r="L3060" t="n">
        <v>0</v>
      </c>
      <c r="M3060" t="n">
        <v>0</v>
      </c>
      <c r="N3060" t="n">
        <v>0</v>
      </c>
      <c r="O3060" t="n">
        <v>0</v>
      </c>
      <c r="P3060" t="n">
        <v>0</v>
      </c>
      <c r="Q3060" t="n">
        <v>0</v>
      </c>
      <c r="R3060" s="2" t="inlineStr"/>
    </row>
    <row r="3061" ht="15" customHeight="1">
      <c r="A3061" t="inlineStr">
        <is>
          <t>A 20095-2021</t>
        </is>
      </c>
      <c r="B3061" s="1" t="n">
        <v>44314</v>
      </c>
      <c r="C3061" s="1" t="n">
        <v>45587</v>
      </c>
      <c r="D3061" t="inlineStr">
        <is>
          <t>GÄVLEBORGS LÄN</t>
        </is>
      </c>
      <c r="E3061" t="inlineStr">
        <is>
          <t>OVANÅKER</t>
        </is>
      </c>
      <c r="F3061" t="inlineStr">
        <is>
          <t>Sveaskog</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20108-2021</t>
        </is>
      </c>
      <c r="B3062" s="1" t="n">
        <v>44314</v>
      </c>
      <c r="C3062" s="1" t="n">
        <v>45587</v>
      </c>
      <c r="D3062" t="inlineStr">
        <is>
          <t>GÄVLEBORGS LÄN</t>
        </is>
      </c>
      <c r="E3062" t="inlineStr">
        <is>
          <t>OVANÅKER</t>
        </is>
      </c>
      <c r="F3062" t="inlineStr">
        <is>
          <t>Sveaskog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20193-2021</t>
        </is>
      </c>
      <c r="B3063" s="1" t="n">
        <v>44314</v>
      </c>
      <c r="C3063" s="1" t="n">
        <v>45587</v>
      </c>
      <c r="D3063" t="inlineStr">
        <is>
          <t>GÄVLEBORGS LÄN</t>
        </is>
      </c>
      <c r="E3063" t="inlineStr">
        <is>
          <t>BOLLNÄS</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20020-2021</t>
        </is>
      </c>
      <c r="B3064" s="1" t="n">
        <v>44314</v>
      </c>
      <c r="C3064" s="1" t="n">
        <v>45587</v>
      </c>
      <c r="D3064" t="inlineStr">
        <is>
          <t>GÄVLEBORGS LÄN</t>
        </is>
      </c>
      <c r="E3064" t="inlineStr">
        <is>
          <t>BOLLNÄS</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20409-2021</t>
        </is>
      </c>
      <c r="B3065" s="1" t="n">
        <v>44315</v>
      </c>
      <c r="C3065" s="1" t="n">
        <v>45587</v>
      </c>
      <c r="D3065" t="inlineStr">
        <is>
          <t>GÄVLEBORGS LÄN</t>
        </is>
      </c>
      <c r="E3065" t="inlineStr">
        <is>
          <t>HUDIKSVALL</t>
        </is>
      </c>
      <c r="F3065" t="inlineStr">
        <is>
          <t>Holmen skog AB</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20356-2021</t>
        </is>
      </c>
      <c r="B3066" s="1" t="n">
        <v>44315</v>
      </c>
      <c r="C3066" s="1" t="n">
        <v>45587</v>
      </c>
      <c r="D3066" t="inlineStr">
        <is>
          <t>GÄVLEBORGS LÄN</t>
        </is>
      </c>
      <c r="E3066" t="inlineStr">
        <is>
          <t>OVANÅKER</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20632-2021</t>
        </is>
      </c>
      <c r="B3067" s="1" t="n">
        <v>44316</v>
      </c>
      <c r="C3067" s="1" t="n">
        <v>45587</v>
      </c>
      <c r="D3067" t="inlineStr">
        <is>
          <t>GÄVLEBORGS LÄN</t>
        </is>
      </c>
      <c r="E3067" t="inlineStr">
        <is>
          <t>GÄVLE</t>
        </is>
      </c>
      <c r="F3067" t="inlineStr">
        <is>
          <t>Kyrkan</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20616-2021</t>
        </is>
      </c>
      <c r="B3068" s="1" t="n">
        <v>44316</v>
      </c>
      <c r="C3068" s="1" t="n">
        <v>45587</v>
      </c>
      <c r="D3068" t="inlineStr">
        <is>
          <t>GÄVLEBORGS LÄN</t>
        </is>
      </c>
      <c r="E3068" t="inlineStr">
        <is>
          <t>HUDIKSVALL</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20657-2021</t>
        </is>
      </c>
      <c r="B3069" s="1" t="n">
        <v>44316</v>
      </c>
      <c r="C3069" s="1" t="n">
        <v>45587</v>
      </c>
      <c r="D3069" t="inlineStr">
        <is>
          <t>GÄVLEBORGS LÄN</t>
        </is>
      </c>
      <c r="E3069" t="inlineStr">
        <is>
          <t>GÄVLE</t>
        </is>
      </c>
      <c r="F3069" t="inlineStr">
        <is>
          <t>Kyrkan</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20643-2021</t>
        </is>
      </c>
      <c r="B3070" s="1" t="n">
        <v>44316</v>
      </c>
      <c r="C3070" s="1" t="n">
        <v>45587</v>
      </c>
      <c r="D3070" t="inlineStr">
        <is>
          <t>GÄVLEBORGS LÄN</t>
        </is>
      </c>
      <c r="E3070" t="inlineStr">
        <is>
          <t>BOLLNÄS</t>
        </is>
      </c>
      <c r="F3070" t="inlineStr">
        <is>
          <t>Sveaskog</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20647-2021</t>
        </is>
      </c>
      <c r="B3071" s="1" t="n">
        <v>44316</v>
      </c>
      <c r="C3071" s="1" t="n">
        <v>45587</v>
      </c>
      <c r="D3071" t="inlineStr">
        <is>
          <t>GÄVLEBORGS LÄN</t>
        </is>
      </c>
      <c r="E3071" t="inlineStr">
        <is>
          <t>BOLLNÄS</t>
        </is>
      </c>
      <c r="F3071" t="inlineStr">
        <is>
          <t>Sveaskog</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20708-2021</t>
        </is>
      </c>
      <c r="B3072" s="1" t="n">
        <v>44316</v>
      </c>
      <c r="C3072" s="1" t="n">
        <v>45587</v>
      </c>
      <c r="D3072" t="inlineStr">
        <is>
          <t>GÄVLEBORGS LÄN</t>
        </is>
      </c>
      <c r="E3072" t="inlineStr">
        <is>
          <t>HUDIKSVALL</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20780-2021</t>
        </is>
      </c>
      <c r="B3073" s="1" t="n">
        <v>44316</v>
      </c>
      <c r="C3073" s="1" t="n">
        <v>45587</v>
      </c>
      <c r="D3073" t="inlineStr">
        <is>
          <t>GÄVLEBORGS LÄN</t>
        </is>
      </c>
      <c r="E3073" t="inlineStr">
        <is>
          <t>SANDVIKEN</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20742-2021</t>
        </is>
      </c>
      <c r="B3074" s="1" t="n">
        <v>44316</v>
      </c>
      <c r="C3074" s="1" t="n">
        <v>45587</v>
      </c>
      <c r="D3074" t="inlineStr">
        <is>
          <t>GÄVLEBORGS LÄN</t>
        </is>
      </c>
      <c r="E3074" t="inlineStr">
        <is>
          <t>BOLLNÄS</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21004-2021</t>
        </is>
      </c>
      <c r="B3075" s="1" t="n">
        <v>44319</v>
      </c>
      <c r="C3075" s="1" t="n">
        <v>45587</v>
      </c>
      <c r="D3075" t="inlineStr">
        <is>
          <t>GÄVLEBORGS LÄN</t>
        </is>
      </c>
      <c r="E3075" t="inlineStr">
        <is>
          <t>GÄVLE</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20906-2021</t>
        </is>
      </c>
      <c r="B3076" s="1" t="n">
        <v>44319</v>
      </c>
      <c r="C3076" s="1" t="n">
        <v>45587</v>
      </c>
      <c r="D3076" t="inlineStr">
        <is>
          <t>GÄVLEBORGS LÄN</t>
        </is>
      </c>
      <c r="E3076" t="inlineStr">
        <is>
          <t>BOLLNÄS</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20934-2021</t>
        </is>
      </c>
      <c r="B3077" s="1" t="n">
        <v>44319</v>
      </c>
      <c r="C3077" s="1" t="n">
        <v>45587</v>
      </c>
      <c r="D3077" t="inlineStr">
        <is>
          <t>GÄVLEBORGS LÄN</t>
        </is>
      </c>
      <c r="E3077" t="inlineStr">
        <is>
          <t>SANDVIKEN</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20995-2021</t>
        </is>
      </c>
      <c r="B3078" s="1" t="n">
        <v>44319</v>
      </c>
      <c r="C3078" s="1" t="n">
        <v>45587</v>
      </c>
      <c r="D3078" t="inlineStr">
        <is>
          <t>GÄVLEBORGS LÄN</t>
        </is>
      </c>
      <c r="E3078" t="inlineStr">
        <is>
          <t>NORDANSTIG</t>
        </is>
      </c>
      <c r="F3078" t="inlineStr">
        <is>
          <t>Holmen skog AB</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21175-2021</t>
        </is>
      </c>
      <c r="B3079" s="1" t="n">
        <v>44320</v>
      </c>
      <c r="C3079" s="1" t="n">
        <v>45587</v>
      </c>
      <c r="D3079" t="inlineStr">
        <is>
          <t>GÄVLEBORGS LÄN</t>
        </is>
      </c>
      <c r="E3079" t="inlineStr">
        <is>
          <t>NORDANSTIG</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21259-2021</t>
        </is>
      </c>
      <c r="B3080" s="1" t="n">
        <v>44320</v>
      </c>
      <c r="C3080" s="1" t="n">
        <v>45587</v>
      </c>
      <c r="D3080" t="inlineStr">
        <is>
          <t>GÄVLEBORGS LÄN</t>
        </is>
      </c>
      <c r="E3080" t="inlineStr">
        <is>
          <t>LJUSDAL</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21552-2021</t>
        </is>
      </c>
      <c r="B3081" s="1" t="n">
        <v>44321</v>
      </c>
      <c r="C3081" s="1" t="n">
        <v>45587</v>
      </c>
      <c r="D3081" t="inlineStr">
        <is>
          <t>GÄVLEBORGS LÄN</t>
        </is>
      </c>
      <c r="E3081" t="inlineStr">
        <is>
          <t>GÄVLE</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21547-2021</t>
        </is>
      </c>
      <c r="B3082" s="1" t="n">
        <v>44321</v>
      </c>
      <c r="C3082" s="1" t="n">
        <v>45587</v>
      </c>
      <c r="D3082" t="inlineStr">
        <is>
          <t>GÄVLEBORGS LÄN</t>
        </is>
      </c>
      <c r="E3082" t="inlineStr">
        <is>
          <t>BOLLNÄS</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21557-2021</t>
        </is>
      </c>
      <c r="B3083" s="1" t="n">
        <v>44321</v>
      </c>
      <c r="C3083" s="1" t="n">
        <v>45587</v>
      </c>
      <c r="D3083" t="inlineStr">
        <is>
          <t>GÄVLEBORGS LÄN</t>
        </is>
      </c>
      <c r="E3083" t="inlineStr">
        <is>
          <t>GÄVLE</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21610-2021</t>
        </is>
      </c>
      <c r="B3084" s="1" t="n">
        <v>44321</v>
      </c>
      <c r="C3084" s="1" t="n">
        <v>45587</v>
      </c>
      <c r="D3084" t="inlineStr">
        <is>
          <t>GÄVLEBORGS LÄN</t>
        </is>
      </c>
      <c r="E3084" t="inlineStr">
        <is>
          <t>SANDVIKEN</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21697-2021</t>
        </is>
      </c>
      <c r="B3085" s="1" t="n">
        <v>44322</v>
      </c>
      <c r="C3085" s="1" t="n">
        <v>45587</v>
      </c>
      <c r="D3085" t="inlineStr">
        <is>
          <t>GÄVLEBORGS LÄN</t>
        </is>
      </c>
      <c r="E3085" t="inlineStr">
        <is>
          <t>SANDVIKEN</t>
        </is>
      </c>
      <c r="F3085" t="inlineStr">
        <is>
          <t>Bergvik skog öst AB</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21709-2021</t>
        </is>
      </c>
      <c r="B3086" s="1" t="n">
        <v>44322</v>
      </c>
      <c r="C3086" s="1" t="n">
        <v>45587</v>
      </c>
      <c r="D3086" t="inlineStr">
        <is>
          <t>GÄVLEBORGS LÄN</t>
        </is>
      </c>
      <c r="E3086" t="inlineStr">
        <is>
          <t>OVANÅKER</t>
        </is>
      </c>
      <c r="F3086" t="inlineStr">
        <is>
          <t>Bergvik skog väst AB</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21720-2021</t>
        </is>
      </c>
      <c r="B3087" s="1" t="n">
        <v>44322</v>
      </c>
      <c r="C3087" s="1" t="n">
        <v>45587</v>
      </c>
      <c r="D3087" t="inlineStr">
        <is>
          <t>GÄVLEBORGS LÄN</t>
        </is>
      </c>
      <c r="E3087" t="inlineStr">
        <is>
          <t>LJUSDAL</t>
        </is>
      </c>
      <c r="F3087" t="inlineStr">
        <is>
          <t>Sveaskog</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21751-2021</t>
        </is>
      </c>
      <c r="B3088" s="1" t="n">
        <v>44322</v>
      </c>
      <c r="C3088" s="1" t="n">
        <v>45587</v>
      </c>
      <c r="D3088" t="inlineStr">
        <is>
          <t>GÄVLEBORGS LÄN</t>
        </is>
      </c>
      <c r="E3088" t="inlineStr">
        <is>
          <t>LJUSDAL</t>
        </is>
      </c>
      <c r="F3088" t="inlineStr">
        <is>
          <t>Bergvik skog väst AB</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21781-2021</t>
        </is>
      </c>
      <c r="B3089" s="1" t="n">
        <v>44322</v>
      </c>
      <c r="C3089" s="1" t="n">
        <v>45587</v>
      </c>
      <c r="D3089" t="inlineStr">
        <is>
          <t>GÄVLEBORGS LÄN</t>
        </is>
      </c>
      <c r="E3089" t="inlineStr">
        <is>
          <t>LJUSDAL</t>
        </is>
      </c>
      <c r="F3089" t="inlineStr">
        <is>
          <t>Sveaskog</t>
        </is>
      </c>
      <c r="G3089" t="n">
        <v>6.2</v>
      </c>
      <c r="H3089" t="n">
        <v>0</v>
      </c>
      <c r="I3089" t="n">
        <v>0</v>
      </c>
      <c r="J3089" t="n">
        <v>0</v>
      </c>
      <c r="K3089" t="n">
        <v>0</v>
      </c>
      <c r="L3089" t="n">
        <v>0</v>
      </c>
      <c r="M3089" t="n">
        <v>0</v>
      </c>
      <c r="N3089" t="n">
        <v>0</v>
      </c>
      <c r="O3089" t="n">
        <v>0</v>
      </c>
      <c r="P3089" t="n">
        <v>0</v>
      </c>
      <c r="Q3089" t="n">
        <v>0</v>
      </c>
      <c r="R3089" s="2" t="inlineStr"/>
    </row>
    <row r="3090" ht="15" customHeight="1">
      <c r="A3090" t="inlineStr">
        <is>
          <t>A 21659-2021</t>
        </is>
      </c>
      <c r="B3090" s="1" t="n">
        <v>44322</v>
      </c>
      <c r="C3090" s="1" t="n">
        <v>45587</v>
      </c>
      <c r="D3090" t="inlineStr">
        <is>
          <t>GÄVLEBORGS LÄN</t>
        </is>
      </c>
      <c r="E3090" t="inlineStr">
        <is>
          <t>SÖDERHAMN</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21688-2021</t>
        </is>
      </c>
      <c r="B3091" s="1" t="n">
        <v>44322</v>
      </c>
      <c r="C3091" s="1" t="n">
        <v>45587</v>
      </c>
      <c r="D3091" t="inlineStr">
        <is>
          <t>GÄVLEBORGS LÄN</t>
        </is>
      </c>
      <c r="E3091" t="inlineStr">
        <is>
          <t>HUDIKSVALL</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21696-2021</t>
        </is>
      </c>
      <c r="B3092" s="1" t="n">
        <v>44322</v>
      </c>
      <c r="C3092" s="1" t="n">
        <v>45587</v>
      </c>
      <c r="D3092" t="inlineStr">
        <is>
          <t>GÄVLEBORGS LÄN</t>
        </is>
      </c>
      <c r="E3092" t="inlineStr">
        <is>
          <t>LJUSDAL</t>
        </is>
      </c>
      <c r="F3092" t="inlineStr">
        <is>
          <t>Sveaskog</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21708-2021</t>
        </is>
      </c>
      <c r="B3093" s="1" t="n">
        <v>44322</v>
      </c>
      <c r="C3093" s="1" t="n">
        <v>45587</v>
      </c>
      <c r="D3093" t="inlineStr">
        <is>
          <t>GÄVLEBORGS LÄN</t>
        </is>
      </c>
      <c r="E3093" t="inlineStr">
        <is>
          <t>LJUSDAL</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21750-2021</t>
        </is>
      </c>
      <c r="B3094" s="1" t="n">
        <v>44322</v>
      </c>
      <c r="C3094" s="1" t="n">
        <v>45587</v>
      </c>
      <c r="D3094" t="inlineStr">
        <is>
          <t>GÄVLEBORGS LÄN</t>
        </is>
      </c>
      <c r="E3094" t="inlineStr">
        <is>
          <t>LJUSDAL</t>
        </is>
      </c>
      <c r="F3094" t="inlineStr">
        <is>
          <t>Bergvik skog väst AB</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21724-2021</t>
        </is>
      </c>
      <c r="B3095" s="1" t="n">
        <v>44322</v>
      </c>
      <c r="C3095" s="1" t="n">
        <v>45587</v>
      </c>
      <c r="D3095" t="inlineStr">
        <is>
          <t>GÄVLEBORGS LÄN</t>
        </is>
      </c>
      <c r="E3095" t="inlineStr">
        <is>
          <t>LJUSDAL</t>
        </is>
      </c>
      <c r="F3095" t="inlineStr">
        <is>
          <t>Sveaskog</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22012-2021</t>
        </is>
      </c>
      <c r="B3096" s="1" t="n">
        <v>44323</v>
      </c>
      <c r="C3096" s="1" t="n">
        <v>45587</v>
      </c>
      <c r="D3096" t="inlineStr">
        <is>
          <t>GÄVLEBORGS LÄN</t>
        </is>
      </c>
      <c r="E3096" t="inlineStr">
        <is>
          <t>LJUSDAL</t>
        </is>
      </c>
      <c r="F3096" t="inlineStr">
        <is>
          <t>Sveaskog</t>
        </is>
      </c>
      <c r="G3096" t="n">
        <v>8.1</v>
      </c>
      <c r="H3096" t="n">
        <v>0</v>
      </c>
      <c r="I3096" t="n">
        <v>0</v>
      </c>
      <c r="J3096" t="n">
        <v>0</v>
      </c>
      <c r="K3096" t="n">
        <v>0</v>
      </c>
      <c r="L3096" t="n">
        <v>0</v>
      </c>
      <c r="M3096" t="n">
        <v>0</v>
      </c>
      <c r="N3096" t="n">
        <v>0</v>
      </c>
      <c r="O3096" t="n">
        <v>0</v>
      </c>
      <c r="P3096" t="n">
        <v>0</v>
      </c>
      <c r="Q3096" t="n">
        <v>0</v>
      </c>
      <c r="R3096" s="2" t="inlineStr"/>
    </row>
    <row r="3097" ht="15" customHeight="1">
      <c r="A3097" t="inlineStr">
        <is>
          <t>A 22013-2021</t>
        </is>
      </c>
      <c r="B3097" s="1" t="n">
        <v>44323</v>
      </c>
      <c r="C3097" s="1" t="n">
        <v>45587</v>
      </c>
      <c r="D3097" t="inlineStr">
        <is>
          <t>GÄVLEBORGS LÄN</t>
        </is>
      </c>
      <c r="E3097" t="inlineStr">
        <is>
          <t>LJUSDAL</t>
        </is>
      </c>
      <c r="F3097" t="inlineStr">
        <is>
          <t>Sveaskog</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21984-2021</t>
        </is>
      </c>
      <c r="B3098" s="1" t="n">
        <v>44323</v>
      </c>
      <c r="C3098" s="1" t="n">
        <v>45587</v>
      </c>
      <c r="D3098" t="inlineStr">
        <is>
          <t>GÄVLEBORGS LÄN</t>
        </is>
      </c>
      <c r="E3098" t="inlineStr">
        <is>
          <t>LJUSDAL</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22040-2021</t>
        </is>
      </c>
      <c r="B3099" s="1" t="n">
        <v>44323</v>
      </c>
      <c r="C3099" s="1" t="n">
        <v>45587</v>
      </c>
      <c r="D3099" t="inlineStr">
        <is>
          <t>GÄVLEBORGS LÄN</t>
        </is>
      </c>
      <c r="E3099" t="inlineStr">
        <is>
          <t>OCKELBO</t>
        </is>
      </c>
      <c r="F3099" t="inlineStr">
        <is>
          <t>Bergvik skog väst AB</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22304-2021</t>
        </is>
      </c>
      <c r="B3100" s="1" t="n">
        <v>44326</v>
      </c>
      <c r="C3100" s="1" t="n">
        <v>45587</v>
      </c>
      <c r="D3100" t="inlineStr">
        <is>
          <t>GÄVLEBORGS LÄN</t>
        </is>
      </c>
      <c r="E3100" t="inlineStr">
        <is>
          <t>LJUSDAL</t>
        </is>
      </c>
      <c r="F3100" t="inlineStr">
        <is>
          <t>Holmen skog AB</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22354-2021</t>
        </is>
      </c>
      <c r="B3101" s="1" t="n">
        <v>44326</v>
      </c>
      <c r="C3101" s="1" t="n">
        <v>45587</v>
      </c>
      <c r="D3101" t="inlineStr">
        <is>
          <t>GÄVLEBORGS LÄN</t>
        </is>
      </c>
      <c r="E3101" t="inlineStr">
        <is>
          <t>SÖDERHAMN</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22206-2021</t>
        </is>
      </c>
      <c r="B3102" s="1" t="n">
        <v>44326</v>
      </c>
      <c r="C3102" s="1" t="n">
        <v>45587</v>
      </c>
      <c r="D3102" t="inlineStr">
        <is>
          <t>GÄVLEBORGS LÄN</t>
        </is>
      </c>
      <c r="E3102" t="inlineStr">
        <is>
          <t>LJUSDAL</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22262-2021</t>
        </is>
      </c>
      <c r="B3103" s="1" t="n">
        <v>44326</v>
      </c>
      <c r="C3103" s="1" t="n">
        <v>45587</v>
      </c>
      <c r="D3103" t="inlineStr">
        <is>
          <t>GÄVLEBORGS LÄN</t>
        </is>
      </c>
      <c r="E3103" t="inlineStr">
        <is>
          <t>SÖDERHAMN</t>
        </is>
      </c>
      <c r="F3103" t="inlineStr">
        <is>
          <t>Bergvik skog väst AB</t>
        </is>
      </c>
      <c r="G3103" t="n">
        <v>7.5</v>
      </c>
      <c r="H3103" t="n">
        <v>0</v>
      </c>
      <c r="I3103" t="n">
        <v>0</v>
      </c>
      <c r="J3103" t="n">
        <v>0</v>
      </c>
      <c r="K3103" t="n">
        <v>0</v>
      </c>
      <c r="L3103" t="n">
        <v>0</v>
      </c>
      <c r="M3103" t="n">
        <v>0</v>
      </c>
      <c r="N3103" t="n">
        <v>0</v>
      </c>
      <c r="O3103" t="n">
        <v>0</v>
      </c>
      <c r="P3103" t="n">
        <v>0</v>
      </c>
      <c r="Q3103" t="n">
        <v>0</v>
      </c>
      <c r="R3103" s="2" t="inlineStr"/>
    </row>
    <row r="3104" ht="15" customHeight="1">
      <c r="A3104" t="inlineStr">
        <is>
          <t>A 22334-2021</t>
        </is>
      </c>
      <c r="B3104" s="1" t="n">
        <v>44326</v>
      </c>
      <c r="C3104" s="1" t="n">
        <v>45587</v>
      </c>
      <c r="D3104" t="inlineStr">
        <is>
          <t>GÄVLEBORGS LÄN</t>
        </is>
      </c>
      <c r="E3104" t="inlineStr">
        <is>
          <t>BOLLNÄS</t>
        </is>
      </c>
      <c r="F3104" t="inlineStr">
        <is>
          <t>Sveaskog</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22239-2021</t>
        </is>
      </c>
      <c r="B3105" s="1" t="n">
        <v>44326</v>
      </c>
      <c r="C3105" s="1" t="n">
        <v>45587</v>
      </c>
      <c r="D3105" t="inlineStr">
        <is>
          <t>GÄVLEBORGS LÄN</t>
        </is>
      </c>
      <c r="E3105" t="inlineStr">
        <is>
          <t>LJUSDAL</t>
        </is>
      </c>
      <c r="G3105" t="n">
        <v>13.9</v>
      </c>
      <c r="H3105" t="n">
        <v>0</v>
      </c>
      <c r="I3105" t="n">
        <v>0</v>
      </c>
      <c r="J3105" t="n">
        <v>0</v>
      </c>
      <c r="K3105" t="n">
        <v>0</v>
      </c>
      <c r="L3105" t="n">
        <v>0</v>
      </c>
      <c r="M3105" t="n">
        <v>0</v>
      </c>
      <c r="N3105" t="n">
        <v>0</v>
      </c>
      <c r="O3105" t="n">
        <v>0</v>
      </c>
      <c r="P3105" t="n">
        <v>0</v>
      </c>
      <c r="Q3105" t="n">
        <v>0</v>
      </c>
      <c r="R3105" s="2" t="inlineStr"/>
    </row>
    <row r="3106" ht="15" customHeight="1">
      <c r="A3106" t="inlineStr">
        <is>
          <t>A 22442-2021</t>
        </is>
      </c>
      <c r="B3106" s="1" t="n">
        <v>44326</v>
      </c>
      <c r="C3106" s="1" t="n">
        <v>45587</v>
      </c>
      <c r="D3106" t="inlineStr">
        <is>
          <t>GÄVLEBORGS LÄN</t>
        </is>
      </c>
      <c r="E3106" t="inlineStr">
        <is>
          <t>HUDIKSVALL</t>
        </is>
      </c>
      <c r="F3106" t="inlineStr">
        <is>
          <t>Holmen skog AB</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22465-2021</t>
        </is>
      </c>
      <c r="B3107" s="1" t="n">
        <v>44326</v>
      </c>
      <c r="C3107" s="1" t="n">
        <v>45587</v>
      </c>
      <c r="D3107" t="inlineStr">
        <is>
          <t>GÄVLEBORGS LÄN</t>
        </is>
      </c>
      <c r="E3107" t="inlineStr">
        <is>
          <t>HUDIKSVALL</t>
        </is>
      </c>
      <c r="F3107" t="inlineStr">
        <is>
          <t>Holmen skog AB</t>
        </is>
      </c>
      <c r="G3107" t="n">
        <v>8</v>
      </c>
      <c r="H3107" t="n">
        <v>0</v>
      </c>
      <c r="I3107" t="n">
        <v>0</v>
      </c>
      <c r="J3107" t="n">
        <v>0</v>
      </c>
      <c r="K3107" t="n">
        <v>0</v>
      </c>
      <c r="L3107" t="n">
        <v>0</v>
      </c>
      <c r="M3107" t="n">
        <v>0</v>
      </c>
      <c r="N3107" t="n">
        <v>0</v>
      </c>
      <c r="O3107" t="n">
        <v>0</v>
      </c>
      <c r="P3107" t="n">
        <v>0</v>
      </c>
      <c r="Q3107" t="n">
        <v>0</v>
      </c>
      <c r="R3107" s="2" t="inlineStr"/>
    </row>
    <row r="3108" ht="15" customHeight="1">
      <c r="A3108" t="inlineStr">
        <is>
          <t>A 22440-2021</t>
        </is>
      </c>
      <c r="B3108" s="1" t="n">
        <v>44326</v>
      </c>
      <c r="C3108" s="1" t="n">
        <v>45587</v>
      </c>
      <c r="D3108" t="inlineStr">
        <is>
          <t>GÄVLEBORGS LÄN</t>
        </is>
      </c>
      <c r="E3108" t="inlineStr">
        <is>
          <t>SÖDERHAMN</t>
        </is>
      </c>
      <c r="G3108" t="n">
        <v>5.8</v>
      </c>
      <c r="H3108" t="n">
        <v>0</v>
      </c>
      <c r="I3108" t="n">
        <v>0</v>
      </c>
      <c r="J3108" t="n">
        <v>0</v>
      </c>
      <c r="K3108" t="n">
        <v>0</v>
      </c>
      <c r="L3108" t="n">
        <v>0</v>
      </c>
      <c r="M3108" t="n">
        <v>0</v>
      </c>
      <c r="N3108" t="n">
        <v>0</v>
      </c>
      <c r="O3108" t="n">
        <v>0</v>
      </c>
      <c r="P3108" t="n">
        <v>0</v>
      </c>
      <c r="Q3108" t="n">
        <v>0</v>
      </c>
      <c r="R3108" s="2" t="inlineStr"/>
    </row>
    <row r="3109" ht="15" customHeight="1">
      <c r="A3109" t="inlineStr">
        <is>
          <t>A 22422-2021</t>
        </is>
      </c>
      <c r="B3109" s="1" t="n">
        <v>44326</v>
      </c>
      <c r="C3109" s="1" t="n">
        <v>45587</v>
      </c>
      <c r="D3109" t="inlineStr">
        <is>
          <t>GÄVLEBORGS LÄN</t>
        </is>
      </c>
      <c r="E3109" t="inlineStr">
        <is>
          <t>GÄVLE</t>
        </is>
      </c>
      <c r="F3109" t="inlineStr">
        <is>
          <t>Bergvik skog öst AB</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22416-2021</t>
        </is>
      </c>
      <c r="B3110" s="1" t="n">
        <v>44326</v>
      </c>
      <c r="C3110" s="1" t="n">
        <v>45587</v>
      </c>
      <c r="D3110" t="inlineStr">
        <is>
          <t>GÄVLEBORGS LÄN</t>
        </is>
      </c>
      <c r="E3110" t="inlineStr">
        <is>
          <t>OVANÅKER</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22581-2021</t>
        </is>
      </c>
      <c r="B3111" s="1" t="n">
        <v>44327</v>
      </c>
      <c r="C3111" s="1" t="n">
        <v>45587</v>
      </c>
      <c r="D3111" t="inlineStr">
        <is>
          <t>GÄVLEBORGS LÄN</t>
        </is>
      </c>
      <c r="E3111" t="inlineStr">
        <is>
          <t>OCKELBO</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22587-2021</t>
        </is>
      </c>
      <c r="B3112" s="1" t="n">
        <v>44327</v>
      </c>
      <c r="C3112" s="1" t="n">
        <v>45587</v>
      </c>
      <c r="D3112" t="inlineStr">
        <is>
          <t>GÄVLEBORGS LÄN</t>
        </is>
      </c>
      <c r="E3112" t="inlineStr">
        <is>
          <t>OCKELBO</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22756-2021</t>
        </is>
      </c>
      <c r="B3113" s="1" t="n">
        <v>44327</v>
      </c>
      <c r="C3113" s="1" t="n">
        <v>45587</v>
      </c>
      <c r="D3113" t="inlineStr">
        <is>
          <t>GÄVLEBORGS LÄN</t>
        </is>
      </c>
      <c r="E3113" t="inlineStr">
        <is>
          <t>LJUSDAL</t>
        </is>
      </c>
      <c r="F3113" t="inlineStr">
        <is>
          <t>Sveaskog</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22583-2021</t>
        </is>
      </c>
      <c r="B3114" s="1" t="n">
        <v>44327</v>
      </c>
      <c r="C3114" s="1" t="n">
        <v>45587</v>
      </c>
      <c r="D3114" t="inlineStr">
        <is>
          <t>GÄVLEBORGS LÄN</t>
        </is>
      </c>
      <c r="E3114" t="inlineStr">
        <is>
          <t>OCKELBO</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22758-2021</t>
        </is>
      </c>
      <c r="B3115" s="1" t="n">
        <v>44327</v>
      </c>
      <c r="C3115" s="1" t="n">
        <v>45587</v>
      </c>
      <c r="D3115" t="inlineStr">
        <is>
          <t>GÄVLEBORGS LÄN</t>
        </is>
      </c>
      <c r="E3115" t="inlineStr">
        <is>
          <t>LJUSDAL</t>
        </is>
      </c>
      <c r="F3115" t="inlineStr">
        <is>
          <t>Sveaskog</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22580-2021</t>
        </is>
      </c>
      <c r="B3116" s="1" t="n">
        <v>44327</v>
      </c>
      <c r="C3116" s="1" t="n">
        <v>45587</v>
      </c>
      <c r="D3116" t="inlineStr">
        <is>
          <t>GÄVLEBORGS LÄN</t>
        </is>
      </c>
      <c r="E3116" t="inlineStr">
        <is>
          <t>OCKELBO</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22585-2021</t>
        </is>
      </c>
      <c r="B3117" s="1" t="n">
        <v>44327</v>
      </c>
      <c r="C3117" s="1" t="n">
        <v>45587</v>
      </c>
      <c r="D3117" t="inlineStr">
        <is>
          <t>GÄVLEBORGS LÄN</t>
        </is>
      </c>
      <c r="E3117" t="inlineStr">
        <is>
          <t>OCKELBO</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22834-2021</t>
        </is>
      </c>
      <c r="B3118" s="1" t="n">
        <v>44328</v>
      </c>
      <c r="C3118" s="1" t="n">
        <v>45587</v>
      </c>
      <c r="D3118" t="inlineStr">
        <is>
          <t>GÄVLEBORGS LÄN</t>
        </is>
      </c>
      <c r="E3118" t="inlineStr">
        <is>
          <t>BOLLNÄS</t>
        </is>
      </c>
      <c r="G3118" t="n">
        <v>11.8</v>
      </c>
      <c r="H3118" t="n">
        <v>0</v>
      </c>
      <c r="I3118" t="n">
        <v>0</v>
      </c>
      <c r="J3118" t="n">
        <v>0</v>
      </c>
      <c r="K3118" t="n">
        <v>0</v>
      </c>
      <c r="L3118" t="n">
        <v>0</v>
      </c>
      <c r="M3118" t="n">
        <v>0</v>
      </c>
      <c r="N3118" t="n">
        <v>0</v>
      </c>
      <c r="O3118" t="n">
        <v>0</v>
      </c>
      <c r="P3118" t="n">
        <v>0</v>
      </c>
      <c r="Q3118" t="n">
        <v>0</v>
      </c>
      <c r="R3118" s="2" t="inlineStr"/>
    </row>
    <row r="3119" ht="15" customHeight="1">
      <c r="A3119" t="inlineStr">
        <is>
          <t>A 22945-2021</t>
        </is>
      </c>
      <c r="B3119" s="1" t="n">
        <v>44328</v>
      </c>
      <c r="C3119" s="1" t="n">
        <v>45587</v>
      </c>
      <c r="D3119" t="inlineStr">
        <is>
          <t>GÄVLEBORGS LÄN</t>
        </is>
      </c>
      <c r="E3119" t="inlineStr">
        <is>
          <t>OVANÅKER</t>
        </is>
      </c>
      <c r="F3119" t="inlineStr">
        <is>
          <t>Bergvik skog väst AB</t>
        </is>
      </c>
      <c r="G3119" t="n">
        <v>7</v>
      </c>
      <c r="H3119" t="n">
        <v>0</v>
      </c>
      <c r="I3119" t="n">
        <v>0</v>
      </c>
      <c r="J3119" t="n">
        <v>0</v>
      </c>
      <c r="K3119" t="n">
        <v>0</v>
      </c>
      <c r="L3119" t="n">
        <v>0</v>
      </c>
      <c r="M3119" t="n">
        <v>0</v>
      </c>
      <c r="N3119" t="n">
        <v>0</v>
      </c>
      <c r="O3119" t="n">
        <v>0</v>
      </c>
      <c r="P3119" t="n">
        <v>0</v>
      </c>
      <c r="Q3119" t="n">
        <v>0</v>
      </c>
      <c r="R3119" s="2" t="inlineStr"/>
    </row>
    <row r="3120" ht="15" customHeight="1">
      <c r="A3120" t="inlineStr">
        <is>
          <t>A 23066-2021</t>
        </is>
      </c>
      <c r="B3120" s="1" t="n">
        <v>44329</v>
      </c>
      <c r="C3120" s="1" t="n">
        <v>45587</v>
      </c>
      <c r="D3120" t="inlineStr">
        <is>
          <t>GÄVLEBORGS LÄN</t>
        </is>
      </c>
      <c r="E3120" t="inlineStr">
        <is>
          <t>NORDANSTIG</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23125-2021</t>
        </is>
      </c>
      <c r="B3121" s="1" t="n">
        <v>44330</v>
      </c>
      <c r="C3121" s="1" t="n">
        <v>45587</v>
      </c>
      <c r="D3121" t="inlineStr">
        <is>
          <t>GÄVLEBORGS LÄN</t>
        </is>
      </c>
      <c r="E3121" t="inlineStr">
        <is>
          <t>SÖDERHAMN</t>
        </is>
      </c>
      <c r="G3121" t="n">
        <v>9.5</v>
      </c>
      <c r="H3121" t="n">
        <v>0</v>
      </c>
      <c r="I3121" t="n">
        <v>0</v>
      </c>
      <c r="J3121" t="n">
        <v>0</v>
      </c>
      <c r="K3121" t="n">
        <v>0</v>
      </c>
      <c r="L3121" t="n">
        <v>0</v>
      </c>
      <c r="M3121" t="n">
        <v>0</v>
      </c>
      <c r="N3121" t="n">
        <v>0</v>
      </c>
      <c r="O3121" t="n">
        <v>0</v>
      </c>
      <c r="P3121" t="n">
        <v>0</v>
      </c>
      <c r="Q3121" t="n">
        <v>0</v>
      </c>
      <c r="R3121" s="2" t="inlineStr"/>
    </row>
    <row r="3122" ht="15" customHeight="1">
      <c r="A3122" t="inlineStr">
        <is>
          <t>A 23134-2021</t>
        </is>
      </c>
      <c r="B3122" s="1" t="n">
        <v>44330</v>
      </c>
      <c r="C3122" s="1" t="n">
        <v>45587</v>
      </c>
      <c r="D3122" t="inlineStr">
        <is>
          <t>GÄVLEBORGS LÄN</t>
        </is>
      </c>
      <c r="E3122" t="inlineStr">
        <is>
          <t>NORDANSTIG</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23179-2021</t>
        </is>
      </c>
      <c r="B3123" s="1" t="n">
        <v>44333</v>
      </c>
      <c r="C3123" s="1" t="n">
        <v>45587</v>
      </c>
      <c r="D3123" t="inlineStr">
        <is>
          <t>GÄVLEBORGS LÄN</t>
        </is>
      </c>
      <c r="E3123" t="inlineStr">
        <is>
          <t>BOLLNÄS</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23282-2021</t>
        </is>
      </c>
      <c r="B3124" s="1" t="n">
        <v>44333</v>
      </c>
      <c r="C3124" s="1" t="n">
        <v>45587</v>
      </c>
      <c r="D3124" t="inlineStr">
        <is>
          <t>GÄVLEBORGS LÄN</t>
        </is>
      </c>
      <c r="E3124" t="inlineStr">
        <is>
          <t>BOLLNÄS</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23246-2021</t>
        </is>
      </c>
      <c r="B3125" s="1" t="n">
        <v>44333</v>
      </c>
      <c r="C3125" s="1" t="n">
        <v>45587</v>
      </c>
      <c r="D3125" t="inlineStr">
        <is>
          <t>GÄVLEBORGS LÄN</t>
        </is>
      </c>
      <c r="E3125" t="inlineStr">
        <is>
          <t>GÄVLE</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23329-2021</t>
        </is>
      </c>
      <c r="B3126" s="1" t="n">
        <v>44333</v>
      </c>
      <c r="C3126" s="1" t="n">
        <v>45587</v>
      </c>
      <c r="D3126" t="inlineStr">
        <is>
          <t>GÄVLEBORGS LÄN</t>
        </is>
      </c>
      <c r="E3126" t="inlineStr">
        <is>
          <t>LJUSDAL</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23357-2021</t>
        </is>
      </c>
      <c r="B3127" s="1" t="n">
        <v>44333</v>
      </c>
      <c r="C3127" s="1" t="n">
        <v>45587</v>
      </c>
      <c r="D3127" t="inlineStr">
        <is>
          <t>GÄVLEBORGS LÄN</t>
        </is>
      </c>
      <c r="E3127" t="inlineStr">
        <is>
          <t>SÖDERHAMN</t>
        </is>
      </c>
      <c r="F3127" t="inlineStr">
        <is>
          <t>Bergvik skog väst AB</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23395-2021</t>
        </is>
      </c>
      <c r="B3128" s="1" t="n">
        <v>44333</v>
      </c>
      <c r="C3128" s="1" t="n">
        <v>45587</v>
      </c>
      <c r="D3128" t="inlineStr">
        <is>
          <t>GÄVLEBORGS LÄN</t>
        </is>
      </c>
      <c r="E3128" t="inlineStr">
        <is>
          <t>LJUSDAL</t>
        </is>
      </c>
      <c r="F3128" t="inlineStr">
        <is>
          <t>Sveaskog</t>
        </is>
      </c>
      <c r="G3128" t="n">
        <v>5.5</v>
      </c>
      <c r="H3128" t="n">
        <v>0</v>
      </c>
      <c r="I3128" t="n">
        <v>0</v>
      </c>
      <c r="J3128" t="n">
        <v>0</v>
      </c>
      <c r="K3128" t="n">
        <v>0</v>
      </c>
      <c r="L3128" t="n">
        <v>0</v>
      </c>
      <c r="M3128" t="n">
        <v>0</v>
      </c>
      <c r="N3128" t="n">
        <v>0</v>
      </c>
      <c r="O3128" t="n">
        <v>0</v>
      </c>
      <c r="P3128" t="n">
        <v>0</v>
      </c>
      <c r="Q3128" t="n">
        <v>0</v>
      </c>
      <c r="R3128" s="2" t="inlineStr"/>
    </row>
    <row r="3129" ht="15" customHeight="1">
      <c r="A3129" t="inlineStr">
        <is>
          <t>A 23418-2021</t>
        </is>
      </c>
      <c r="B3129" s="1" t="n">
        <v>44333</v>
      </c>
      <c r="C3129" s="1" t="n">
        <v>45587</v>
      </c>
      <c r="D3129" t="inlineStr">
        <is>
          <t>GÄVLEBORGS LÄN</t>
        </is>
      </c>
      <c r="E3129" t="inlineStr">
        <is>
          <t>LJUSDAL</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23277-2021</t>
        </is>
      </c>
      <c r="B3130" s="1" t="n">
        <v>44333</v>
      </c>
      <c r="C3130" s="1" t="n">
        <v>45587</v>
      </c>
      <c r="D3130" t="inlineStr">
        <is>
          <t>GÄVLEBORGS LÄN</t>
        </is>
      </c>
      <c r="E3130" t="inlineStr">
        <is>
          <t>HUDIKSVALL</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23360-2021</t>
        </is>
      </c>
      <c r="B3131" s="1" t="n">
        <v>44333</v>
      </c>
      <c r="C3131" s="1" t="n">
        <v>45587</v>
      </c>
      <c r="D3131" t="inlineStr">
        <is>
          <t>GÄVLEBORGS LÄN</t>
        </is>
      </c>
      <c r="E3131" t="inlineStr">
        <is>
          <t>SÖDERHAMN</t>
        </is>
      </c>
      <c r="F3131" t="inlineStr">
        <is>
          <t>Bergvik skog väst AB</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23396-2021</t>
        </is>
      </c>
      <c r="B3132" s="1" t="n">
        <v>44333</v>
      </c>
      <c r="C3132" s="1" t="n">
        <v>45587</v>
      </c>
      <c r="D3132" t="inlineStr">
        <is>
          <t>GÄVLEBORGS LÄN</t>
        </is>
      </c>
      <c r="E3132" t="inlineStr">
        <is>
          <t>LJUSDAL</t>
        </is>
      </c>
      <c r="F3132" t="inlineStr">
        <is>
          <t>Sveaskog</t>
        </is>
      </c>
      <c r="G3132" t="n">
        <v>6.8</v>
      </c>
      <c r="H3132" t="n">
        <v>0</v>
      </c>
      <c r="I3132" t="n">
        <v>0</v>
      </c>
      <c r="J3132" t="n">
        <v>0</v>
      </c>
      <c r="K3132" t="n">
        <v>0</v>
      </c>
      <c r="L3132" t="n">
        <v>0</v>
      </c>
      <c r="M3132" t="n">
        <v>0</v>
      </c>
      <c r="N3132" t="n">
        <v>0</v>
      </c>
      <c r="O3132" t="n">
        <v>0</v>
      </c>
      <c r="P3132" t="n">
        <v>0</v>
      </c>
      <c r="Q3132" t="n">
        <v>0</v>
      </c>
      <c r="R3132" s="2" t="inlineStr"/>
    </row>
    <row r="3133" ht="15" customHeight="1">
      <c r="A3133" t="inlineStr">
        <is>
          <t>A 23547-2021</t>
        </is>
      </c>
      <c r="B3133" s="1" t="n">
        <v>44334</v>
      </c>
      <c r="C3133" s="1" t="n">
        <v>45587</v>
      </c>
      <c r="D3133" t="inlineStr">
        <is>
          <t>GÄVLEBORGS LÄN</t>
        </is>
      </c>
      <c r="E3133" t="inlineStr">
        <is>
          <t>OCKELBO</t>
        </is>
      </c>
      <c r="F3133" t="inlineStr">
        <is>
          <t>Bergvik skog väst AB</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23629-2021</t>
        </is>
      </c>
      <c r="B3134" s="1" t="n">
        <v>44334</v>
      </c>
      <c r="C3134" s="1" t="n">
        <v>45587</v>
      </c>
      <c r="D3134" t="inlineStr">
        <is>
          <t>GÄVLEBORGS LÄN</t>
        </is>
      </c>
      <c r="E3134" t="inlineStr">
        <is>
          <t>OCKELBO</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23649-2021</t>
        </is>
      </c>
      <c r="B3135" s="1" t="n">
        <v>44334</v>
      </c>
      <c r="C3135" s="1" t="n">
        <v>45587</v>
      </c>
      <c r="D3135" t="inlineStr">
        <is>
          <t>GÄVLEBORGS LÄN</t>
        </is>
      </c>
      <c r="E3135" t="inlineStr">
        <is>
          <t>GÄVLE</t>
        </is>
      </c>
      <c r="F3135" t="inlineStr">
        <is>
          <t>Bergvik skog öst AB</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23707-2021</t>
        </is>
      </c>
      <c r="B3136" s="1" t="n">
        <v>44334</v>
      </c>
      <c r="C3136" s="1" t="n">
        <v>45587</v>
      </c>
      <c r="D3136" t="inlineStr">
        <is>
          <t>GÄVLEBORGS LÄN</t>
        </is>
      </c>
      <c r="E3136" t="inlineStr">
        <is>
          <t>OCKELBO</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23854-2021</t>
        </is>
      </c>
      <c r="B3137" s="1" t="n">
        <v>44335</v>
      </c>
      <c r="C3137" s="1" t="n">
        <v>45587</v>
      </c>
      <c r="D3137" t="inlineStr">
        <is>
          <t>GÄVLEBORGS LÄN</t>
        </is>
      </c>
      <c r="E3137" t="inlineStr">
        <is>
          <t>SANDVIKEN</t>
        </is>
      </c>
      <c r="G3137" t="n">
        <v>5.4</v>
      </c>
      <c r="H3137" t="n">
        <v>0</v>
      </c>
      <c r="I3137" t="n">
        <v>0</v>
      </c>
      <c r="J3137" t="n">
        <v>0</v>
      </c>
      <c r="K3137" t="n">
        <v>0</v>
      </c>
      <c r="L3137" t="n">
        <v>0</v>
      </c>
      <c r="M3137" t="n">
        <v>0</v>
      </c>
      <c r="N3137" t="n">
        <v>0</v>
      </c>
      <c r="O3137" t="n">
        <v>0</v>
      </c>
      <c r="P3137" t="n">
        <v>0</v>
      </c>
      <c r="Q3137" t="n">
        <v>0</v>
      </c>
      <c r="R3137" s="2" t="inlineStr"/>
    </row>
    <row r="3138" ht="15" customHeight="1">
      <c r="A3138" t="inlineStr">
        <is>
          <t>A 23904-2021</t>
        </is>
      </c>
      <c r="B3138" s="1" t="n">
        <v>44335</v>
      </c>
      <c r="C3138" s="1" t="n">
        <v>45587</v>
      </c>
      <c r="D3138" t="inlineStr">
        <is>
          <t>GÄVLEBORGS LÄN</t>
        </is>
      </c>
      <c r="E3138" t="inlineStr">
        <is>
          <t>HUDIKSVALL</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23908-2021</t>
        </is>
      </c>
      <c r="B3139" s="1" t="n">
        <v>44335</v>
      </c>
      <c r="C3139" s="1" t="n">
        <v>45587</v>
      </c>
      <c r="D3139" t="inlineStr">
        <is>
          <t>GÄVLEBORGS LÄN</t>
        </is>
      </c>
      <c r="E3139" t="inlineStr">
        <is>
          <t>HUDIKSVALL</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23930-2021</t>
        </is>
      </c>
      <c r="B3140" s="1" t="n">
        <v>44335</v>
      </c>
      <c r="C3140" s="1" t="n">
        <v>45587</v>
      </c>
      <c r="D3140" t="inlineStr">
        <is>
          <t>GÄVLEBORGS LÄN</t>
        </is>
      </c>
      <c r="E3140" t="inlineStr">
        <is>
          <t>HUDIKSVALL</t>
        </is>
      </c>
      <c r="G3140" t="n">
        <v>0.1</v>
      </c>
      <c r="H3140" t="n">
        <v>0</v>
      </c>
      <c r="I3140" t="n">
        <v>0</v>
      </c>
      <c r="J3140" t="n">
        <v>0</v>
      </c>
      <c r="K3140" t="n">
        <v>0</v>
      </c>
      <c r="L3140" t="n">
        <v>0</v>
      </c>
      <c r="M3140" t="n">
        <v>0</v>
      </c>
      <c r="N3140" t="n">
        <v>0</v>
      </c>
      <c r="O3140" t="n">
        <v>0</v>
      </c>
      <c r="P3140" t="n">
        <v>0</v>
      </c>
      <c r="Q3140" t="n">
        <v>0</v>
      </c>
      <c r="R3140" s="2" t="inlineStr"/>
    </row>
    <row r="3141" ht="15" customHeight="1">
      <c r="A3141" t="inlineStr">
        <is>
          <t>A 23955-2021</t>
        </is>
      </c>
      <c r="B3141" s="1" t="n">
        <v>44335</v>
      </c>
      <c r="C3141" s="1" t="n">
        <v>45587</v>
      </c>
      <c r="D3141" t="inlineStr">
        <is>
          <t>GÄVLEBORGS LÄN</t>
        </is>
      </c>
      <c r="E3141" t="inlineStr">
        <is>
          <t>LJUSDAL</t>
        </is>
      </c>
      <c r="F3141" t="inlineStr">
        <is>
          <t>Holmen skog AB</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23889-2021</t>
        </is>
      </c>
      <c r="B3142" s="1" t="n">
        <v>44335</v>
      </c>
      <c r="C3142" s="1" t="n">
        <v>45587</v>
      </c>
      <c r="D3142" t="inlineStr">
        <is>
          <t>GÄVLEBORGS LÄN</t>
        </is>
      </c>
      <c r="E3142" t="inlineStr">
        <is>
          <t>BOLLNÄS</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23925-2021</t>
        </is>
      </c>
      <c r="B3143" s="1" t="n">
        <v>44335</v>
      </c>
      <c r="C3143" s="1" t="n">
        <v>45587</v>
      </c>
      <c r="D3143" t="inlineStr">
        <is>
          <t>GÄVLEBORGS LÄN</t>
        </is>
      </c>
      <c r="E3143" t="inlineStr">
        <is>
          <t>HUDIKSVALL</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23966-2021</t>
        </is>
      </c>
      <c r="B3144" s="1" t="n">
        <v>44335</v>
      </c>
      <c r="C3144" s="1" t="n">
        <v>45587</v>
      </c>
      <c r="D3144" t="inlineStr">
        <is>
          <t>GÄVLEBORGS LÄN</t>
        </is>
      </c>
      <c r="E3144" t="inlineStr">
        <is>
          <t>LJUSDAL</t>
        </is>
      </c>
      <c r="F3144" t="inlineStr">
        <is>
          <t>Holmen skog AB</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24153-2021</t>
        </is>
      </c>
      <c r="B3145" s="1" t="n">
        <v>44336</v>
      </c>
      <c r="C3145" s="1" t="n">
        <v>45587</v>
      </c>
      <c r="D3145" t="inlineStr">
        <is>
          <t>GÄVLEBORGS LÄN</t>
        </is>
      </c>
      <c r="E3145" t="inlineStr">
        <is>
          <t>SÖDERHAMN</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24075-2021</t>
        </is>
      </c>
      <c r="B3146" s="1" t="n">
        <v>44336</v>
      </c>
      <c r="C3146" s="1" t="n">
        <v>45587</v>
      </c>
      <c r="D3146" t="inlineStr">
        <is>
          <t>GÄVLEBORGS LÄN</t>
        </is>
      </c>
      <c r="E3146" t="inlineStr">
        <is>
          <t>OVANÅKER</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24158-2021</t>
        </is>
      </c>
      <c r="B3147" s="1" t="n">
        <v>44336</v>
      </c>
      <c r="C3147" s="1" t="n">
        <v>45587</v>
      </c>
      <c r="D3147" t="inlineStr">
        <is>
          <t>GÄVLEBORGS LÄN</t>
        </is>
      </c>
      <c r="E3147" t="inlineStr">
        <is>
          <t>LJUSDAL</t>
        </is>
      </c>
      <c r="G3147" t="n">
        <v>9</v>
      </c>
      <c r="H3147" t="n">
        <v>0</v>
      </c>
      <c r="I3147" t="n">
        <v>0</v>
      </c>
      <c r="J3147" t="n">
        <v>0</v>
      </c>
      <c r="K3147" t="n">
        <v>0</v>
      </c>
      <c r="L3147" t="n">
        <v>0</v>
      </c>
      <c r="M3147" t="n">
        <v>0</v>
      </c>
      <c r="N3147" t="n">
        <v>0</v>
      </c>
      <c r="O3147" t="n">
        <v>0</v>
      </c>
      <c r="P3147" t="n">
        <v>0</v>
      </c>
      <c r="Q3147" t="n">
        <v>0</v>
      </c>
      <c r="R3147" s="2" t="inlineStr"/>
    </row>
    <row r="3148" ht="15" customHeight="1">
      <c r="A3148" t="inlineStr">
        <is>
          <t>A 24088-2021</t>
        </is>
      </c>
      <c r="B3148" s="1" t="n">
        <v>44336</v>
      </c>
      <c r="C3148" s="1" t="n">
        <v>45587</v>
      </c>
      <c r="D3148" t="inlineStr">
        <is>
          <t>GÄVLEBORGS LÄN</t>
        </is>
      </c>
      <c r="E3148" t="inlineStr">
        <is>
          <t>SANDVIKEN</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24161-2021</t>
        </is>
      </c>
      <c r="B3149" s="1" t="n">
        <v>44336</v>
      </c>
      <c r="C3149" s="1" t="n">
        <v>45587</v>
      </c>
      <c r="D3149" t="inlineStr">
        <is>
          <t>GÄVLEBORGS LÄN</t>
        </is>
      </c>
      <c r="E3149" t="inlineStr">
        <is>
          <t>SÖDERHAMN</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24162-2021</t>
        </is>
      </c>
      <c r="B3150" s="1" t="n">
        <v>44336</v>
      </c>
      <c r="C3150" s="1" t="n">
        <v>45587</v>
      </c>
      <c r="D3150" t="inlineStr">
        <is>
          <t>GÄVLEBORGS LÄN</t>
        </is>
      </c>
      <c r="E3150" t="inlineStr">
        <is>
          <t>HUDIKSVALL</t>
        </is>
      </c>
      <c r="F3150" t="inlineStr">
        <is>
          <t>Holmen skog AB</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24173-2021</t>
        </is>
      </c>
      <c r="B3151" s="1" t="n">
        <v>44336</v>
      </c>
      <c r="C3151" s="1" t="n">
        <v>45587</v>
      </c>
      <c r="D3151" t="inlineStr">
        <is>
          <t>GÄVLEBORGS LÄN</t>
        </is>
      </c>
      <c r="E3151" t="inlineStr">
        <is>
          <t>GÄVLE</t>
        </is>
      </c>
      <c r="F3151" t="inlineStr">
        <is>
          <t>Bergvik skog väst AB</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24230-2021</t>
        </is>
      </c>
      <c r="B3152" s="1" t="n">
        <v>44336</v>
      </c>
      <c r="C3152" s="1" t="n">
        <v>45587</v>
      </c>
      <c r="D3152" t="inlineStr">
        <is>
          <t>GÄVLEBORGS LÄN</t>
        </is>
      </c>
      <c r="E3152" t="inlineStr">
        <is>
          <t>BOLLNÄS</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24344-2021</t>
        </is>
      </c>
      <c r="B3153" s="1" t="n">
        <v>44337</v>
      </c>
      <c r="C3153" s="1" t="n">
        <v>45587</v>
      </c>
      <c r="D3153" t="inlineStr">
        <is>
          <t>GÄVLEBORGS LÄN</t>
        </is>
      </c>
      <c r="E3153" t="inlineStr">
        <is>
          <t>OVANÅKER</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24367-2021</t>
        </is>
      </c>
      <c r="B3154" s="1" t="n">
        <v>44337</v>
      </c>
      <c r="C3154" s="1" t="n">
        <v>45587</v>
      </c>
      <c r="D3154" t="inlineStr">
        <is>
          <t>GÄVLEBORGS LÄN</t>
        </is>
      </c>
      <c r="E3154" t="inlineStr">
        <is>
          <t>HUDIKSVALL</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24477-2021</t>
        </is>
      </c>
      <c r="B3155" s="1" t="n">
        <v>44337</v>
      </c>
      <c r="C3155" s="1" t="n">
        <v>45587</v>
      </c>
      <c r="D3155" t="inlineStr">
        <is>
          <t>GÄVLEBORGS LÄN</t>
        </is>
      </c>
      <c r="E3155" t="inlineStr">
        <is>
          <t>OCKELBO</t>
        </is>
      </c>
      <c r="F3155" t="inlineStr">
        <is>
          <t>Bergvik skog öst AB</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24380-2021</t>
        </is>
      </c>
      <c r="B3156" s="1" t="n">
        <v>44337</v>
      </c>
      <c r="C3156" s="1" t="n">
        <v>45587</v>
      </c>
      <c r="D3156" t="inlineStr">
        <is>
          <t>GÄVLEBORGS LÄN</t>
        </is>
      </c>
      <c r="E3156" t="inlineStr">
        <is>
          <t>OCKELBO</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24424-2021</t>
        </is>
      </c>
      <c r="B3157" s="1" t="n">
        <v>44337</v>
      </c>
      <c r="C3157" s="1" t="n">
        <v>45587</v>
      </c>
      <c r="D3157" t="inlineStr">
        <is>
          <t>GÄVLEBORGS LÄN</t>
        </is>
      </c>
      <c r="E3157" t="inlineStr">
        <is>
          <t>NORDANSTIG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24597-2021</t>
        </is>
      </c>
      <c r="B3158" s="1" t="n">
        <v>44340</v>
      </c>
      <c r="C3158" s="1" t="n">
        <v>45587</v>
      </c>
      <c r="D3158" t="inlineStr">
        <is>
          <t>GÄVLEBORGS LÄN</t>
        </is>
      </c>
      <c r="E3158" t="inlineStr">
        <is>
          <t>SÖDERHAMN</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24627-2021</t>
        </is>
      </c>
      <c r="B3159" s="1" t="n">
        <v>44340</v>
      </c>
      <c r="C3159" s="1" t="n">
        <v>45587</v>
      </c>
      <c r="D3159" t="inlineStr">
        <is>
          <t>GÄVLEBORGS LÄN</t>
        </is>
      </c>
      <c r="E3159" t="inlineStr">
        <is>
          <t>LJUSDAL</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24665-2021</t>
        </is>
      </c>
      <c r="B3160" s="1" t="n">
        <v>44340</v>
      </c>
      <c r="C3160" s="1" t="n">
        <v>45587</v>
      </c>
      <c r="D3160" t="inlineStr">
        <is>
          <t>GÄVLEBORGS LÄN</t>
        </is>
      </c>
      <c r="E3160" t="inlineStr">
        <is>
          <t>OVANÅKER</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24745-2021</t>
        </is>
      </c>
      <c r="B3161" s="1" t="n">
        <v>44340</v>
      </c>
      <c r="C3161" s="1" t="n">
        <v>45587</v>
      </c>
      <c r="D3161" t="inlineStr">
        <is>
          <t>GÄVLEBORGS LÄN</t>
        </is>
      </c>
      <c r="E3161" t="inlineStr">
        <is>
          <t>HUDIKSVALL</t>
        </is>
      </c>
      <c r="F3161" t="inlineStr">
        <is>
          <t>Holmen skog AB</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24663-2021</t>
        </is>
      </c>
      <c r="B3162" s="1" t="n">
        <v>44340</v>
      </c>
      <c r="C3162" s="1" t="n">
        <v>45587</v>
      </c>
      <c r="D3162" t="inlineStr">
        <is>
          <t>GÄVLEBORGS LÄN</t>
        </is>
      </c>
      <c r="E3162" t="inlineStr">
        <is>
          <t>HUDIKSVALL</t>
        </is>
      </c>
      <c r="F3162" t="inlineStr">
        <is>
          <t>Holmen skog AB</t>
        </is>
      </c>
      <c r="G3162" t="n">
        <v>7</v>
      </c>
      <c r="H3162" t="n">
        <v>0</v>
      </c>
      <c r="I3162" t="n">
        <v>0</v>
      </c>
      <c r="J3162" t="n">
        <v>0</v>
      </c>
      <c r="K3162" t="n">
        <v>0</v>
      </c>
      <c r="L3162" t="n">
        <v>0</v>
      </c>
      <c r="M3162" t="n">
        <v>0</v>
      </c>
      <c r="N3162" t="n">
        <v>0</v>
      </c>
      <c r="O3162" t="n">
        <v>0</v>
      </c>
      <c r="P3162" t="n">
        <v>0</v>
      </c>
      <c r="Q3162" t="n">
        <v>0</v>
      </c>
      <c r="R3162" s="2" t="inlineStr"/>
    </row>
    <row r="3163" ht="15" customHeight="1">
      <c r="A3163" t="inlineStr">
        <is>
          <t>A 24761-2021</t>
        </is>
      </c>
      <c r="B3163" s="1" t="n">
        <v>44340</v>
      </c>
      <c r="C3163" s="1" t="n">
        <v>45587</v>
      </c>
      <c r="D3163" t="inlineStr">
        <is>
          <t>GÄVLEBORGS LÄN</t>
        </is>
      </c>
      <c r="E3163" t="inlineStr">
        <is>
          <t>OCKELBO</t>
        </is>
      </c>
      <c r="G3163" t="n">
        <v>1.4</v>
      </c>
      <c r="H3163" t="n">
        <v>0</v>
      </c>
      <c r="I3163" t="n">
        <v>0</v>
      </c>
      <c r="J3163" t="n">
        <v>0</v>
      </c>
      <c r="K3163" t="n">
        <v>0</v>
      </c>
      <c r="L3163" t="n">
        <v>0</v>
      </c>
      <c r="M3163" t="n">
        <v>0</v>
      </c>
      <c r="N3163" t="n">
        <v>0</v>
      </c>
      <c r="O3163" t="n">
        <v>0</v>
      </c>
      <c r="P3163" t="n">
        <v>0</v>
      </c>
      <c r="Q3163" t="n">
        <v>0</v>
      </c>
      <c r="R3163" s="2" t="inlineStr"/>
      <c r="U3163">
        <f>HYPERLINK("https://klasma.github.io/Logging_2101/knärot/A 24761-2021 karta knärot.png", "A 24761-2021")</f>
        <v/>
      </c>
      <c r="V3163">
        <f>HYPERLINK("https://klasma.github.io/Logging_2101/klagomål/A 24761-2021 FSC-klagomål.docx", "A 24761-2021")</f>
        <v/>
      </c>
      <c r="W3163">
        <f>HYPERLINK("https://klasma.github.io/Logging_2101/klagomålsmail/A 24761-2021 FSC-klagomål mail.docx", "A 24761-2021")</f>
        <v/>
      </c>
      <c r="X3163">
        <f>HYPERLINK("https://klasma.github.io/Logging_2101/tillsyn/A 24761-2021 tillsynsbegäran.docx", "A 24761-2021")</f>
        <v/>
      </c>
      <c r="Y3163">
        <f>HYPERLINK("https://klasma.github.io/Logging_2101/tillsynsmail/A 24761-2021 tillsynsbegäran mail.docx", "A 24761-2021")</f>
        <v/>
      </c>
    </row>
    <row r="3164" ht="15" customHeight="1">
      <c r="A3164" t="inlineStr">
        <is>
          <t>A 24803-2021</t>
        </is>
      </c>
      <c r="B3164" s="1" t="n">
        <v>44340</v>
      </c>
      <c r="C3164" s="1" t="n">
        <v>45587</v>
      </c>
      <c r="D3164" t="inlineStr">
        <is>
          <t>GÄVLEBORGS LÄN</t>
        </is>
      </c>
      <c r="E3164" t="inlineStr">
        <is>
          <t>OCKELBO</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24851-2021</t>
        </is>
      </c>
      <c r="B3165" s="1" t="n">
        <v>44340</v>
      </c>
      <c r="C3165" s="1" t="n">
        <v>45587</v>
      </c>
      <c r="D3165" t="inlineStr">
        <is>
          <t>GÄVLEBORGS LÄN</t>
        </is>
      </c>
      <c r="E3165" t="inlineStr">
        <is>
          <t>HOFORS</t>
        </is>
      </c>
      <c r="F3165" t="inlineStr">
        <is>
          <t>Sveaskog</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24894-2021</t>
        </is>
      </c>
      <c r="B3166" s="1" t="n">
        <v>44341</v>
      </c>
      <c r="C3166" s="1" t="n">
        <v>45587</v>
      </c>
      <c r="D3166" t="inlineStr">
        <is>
          <t>GÄVLEBORGS LÄN</t>
        </is>
      </c>
      <c r="E3166" t="inlineStr">
        <is>
          <t>LJUSDAL</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24881-2021</t>
        </is>
      </c>
      <c r="B3167" s="1" t="n">
        <v>44341</v>
      </c>
      <c r="C3167" s="1" t="n">
        <v>45587</v>
      </c>
      <c r="D3167" t="inlineStr">
        <is>
          <t>GÄVLEBORGS LÄN</t>
        </is>
      </c>
      <c r="E3167" t="inlineStr">
        <is>
          <t>LJUSDAL</t>
        </is>
      </c>
      <c r="F3167" t="inlineStr">
        <is>
          <t>Kommuner</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24899-2021</t>
        </is>
      </c>
      <c r="B3168" s="1" t="n">
        <v>44341</v>
      </c>
      <c r="C3168" s="1" t="n">
        <v>45587</v>
      </c>
      <c r="D3168" t="inlineStr">
        <is>
          <t>GÄVLEBORGS LÄN</t>
        </is>
      </c>
      <c r="E3168" t="inlineStr">
        <is>
          <t>LJUSDAL</t>
        </is>
      </c>
      <c r="F3168" t="inlineStr">
        <is>
          <t>Holmen skog AB</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25056-2021</t>
        </is>
      </c>
      <c r="B3169" s="1" t="n">
        <v>44341</v>
      </c>
      <c r="C3169" s="1" t="n">
        <v>45587</v>
      </c>
      <c r="D3169" t="inlineStr">
        <is>
          <t>GÄVLEBORGS LÄN</t>
        </is>
      </c>
      <c r="E3169" t="inlineStr">
        <is>
          <t>SANDVIKEN</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25144-2021</t>
        </is>
      </c>
      <c r="B3170" s="1" t="n">
        <v>44341</v>
      </c>
      <c r="C3170" s="1" t="n">
        <v>45587</v>
      </c>
      <c r="D3170" t="inlineStr">
        <is>
          <t>GÄVLEBORGS LÄN</t>
        </is>
      </c>
      <c r="E3170" t="inlineStr">
        <is>
          <t>LJUSDAL</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25149-2021</t>
        </is>
      </c>
      <c r="B3171" s="1" t="n">
        <v>44342</v>
      </c>
      <c r="C3171" s="1" t="n">
        <v>45587</v>
      </c>
      <c r="D3171" t="inlineStr">
        <is>
          <t>GÄVLEBORGS LÄN</t>
        </is>
      </c>
      <c r="E3171" t="inlineStr">
        <is>
          <t>HUDIKSVALL</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25169-2021</t>
        </is>
      </c>
      <c r="B3172" s="1" t="n">
        <v>44342</v>
      </c>
      <c r="C3172" s="1" t="n">
        <v>45587</v>
      </c>
      <c r="D3172" t="inlineStr">
        <is>
          <t>GÄVLEBORGS LÄN</t>
        </is>
      </c>
      <c r="E3172" t="inlineStr">
        <is>
          <t>LJUSDAL</t>
        </is>
      </c>
      <c r="F3172" t="inlineStr">
        <is>
          <t>Sveaskog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25304-2021</t>
        </is>
      </c>
      <c r="B3173" s="1" t="n">
        <v>44342</v>
      </c>
      <c r="C3173" s="1" t="n">
        <v>45587</v>
      </c>
      <c r="D3173" t="inlineStr">
        <is>
          <t>GÄVLEBORGS LÄN</t>
        </is>
      </c>
      <c r="E3173" t="inlineStr">
        <is>
          <t>SANDVIKEN</t>
        </is>
      </c>
      <c r="F3173" t="inlineStr">
        <is>
          <t>Sveaskog</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25315-2021</t>
        </is>
      </c>
      <c r="B3174" s="1" t="n">
        <v>44342</v>
      </c>
      <c r="C3174" s="1" t="n">
        <v>45587</v>
      </c>
      <c r="D3174" t="inlineStr">
        <is>
          <t>GÄVLEBORGS LÄN</t>
        </is>
      </c>
      <c r="E3174" t="inlineStr">
        <is>
          <t>NORDANSTIG</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25170-2021</t>
        </is>
      </c>
      <c r="B3175" s="1" t="n">
        <v>44342</v>
      </c>
      <c r="C3175" s="1" t="n">
        <v>45587</v>
      </c>
      <c r="D3175" t="inlineStr">
        <is>
          <t>GÄVLEBORGS LÄN</t>
        </is>
      </c>
      <c r="E3175" t="inlineStr">
        <is>
          <t>LJUSDAL</t>
        </is>
      </c>
      <c r="F3175" t="inlineStr">
        <is>
          <t>Sveaskog</t>
        </is>
      </c>
      <c r="G3175" t="n">
        <v>11.8</v>
      </c>
      <c r="H3175" t="n">
        <v>0</v>
      </c>
      <c r="I3175" t="n">
        <v>0</v>
      </c>
      <c r="J3175" t="n">
        <v>0</v>
      </c>
      <c r="K3175" t="n">
        <v>0</v>
      </c>
      <c r="L3175" t="n">
        <v>0</v>
      </c>
      <c r="M3175" t="n">
        <v>0</v>
      </c>
      <c r="N3175" t="n">
        <v>0</v>
      </c>
      <c r="O3175" t="n">
        <v>0</v>
      </c>
      <c r="P3175" t="n">
        <v>0</v>
      </c>
      <c r="Q3175" t="n">
        <v>0</v>
      </c>
      <c r="R3175" s="2" t="inlineStr"/>
    </row>
    <row r="3176" ht="15" customHeight="1">
      <c r="A3176" t="inlineStr">
        <is>
          <t>A 25168-2021</t>
        </is>
      </c>
      <c r="B3176" s="1" t="n">
        <v>44342</v>
      </c>
      <c r="C3176" s="1" t="n">
        <v>45587</v>
      </c>
      <c r="D3176" t="inlineStr">
        <is>
          <t>GÄVLEBORGS LÄN</t>
        </is>
      </c>
      <c r="E3176" t="inlineStr">
        <is>
          <t>LJUSDAL</t>
        </is>
      </c>
      <c r="F3176" t="inlineStr">
        <is>
          <t>Sveaskog</t>
        </is>
      </c>
      <c r="G3176" t="n">
        <v>5.4</v>
      </c>
      <c r="H3176" t="n">
        <v>0</v>
      </c>
      <c r="I3176" t="n">
        <v>0</v>
      </c>
      <c r="J3176" t="n">
        <v>0</v>
      </c>
      <c r="K3176" t="n">
        <v>0</v>
      </c>
      <c r="L3176" t="n">
        <v>0</v>
      </c>
      <c r="M3176" t="n">
        <v>0</v>
      </c>
      <c r="N3176" t="n">
        <v>0</v>
      </c>
      <c r="O3176" t="n">
        <v>0</v>
      </c>
      <c r="P3176" t="n">
        <v>0</v>
      </c>
      <c r="Q3176" t="n">
        <v>0</v>
      </c>
      <c r="R3176" s="2" t="inlineStr"/>
    </row>
    <row r="3177" ht="15" customHeight="1">
      <c r="A3177" t="inlineStr">
        <is>
          <t>A 25312-2021</t>
        </is>
      </c>
      <c r="B3177" s="1" t="n">
        <v>44342</v>
      </c>
      <c r="C3177" s="1" t="n">
        <v>45587</v>
      </c>
      <c r="D3177" t="inlineStr">
        <is>
          <t>GÄVLEBORGS LÄN</t>
        </is>
      </c>
      <c r="E3177" t="inlineStr">
        <is>
          <t>GÄVLE</t>
        </is>
      </c>
      <c r="F3177" t="inlineStr">
        <is>
          <t>Bergvik skog öst AB</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25318-2021</t>
        </is>
      </c>
      <c r="B3178" s="1" t="n">
        <v>44342</v>
      </c>
      <c r="C3178" s="1" t="n">
        <v>45587</v>
      </c>
      <c r="D3178" t="inlineStr">
        <is>
          <t>GÄVLEBORGS LÄN</t>
        </is>
      </c>
      <c r="E3178" t="inlineStr">
        <is>
          <t>OCKELBO</t>
        </is>
      </c>
      <c r="G3178" t="n">
        <v>9.9</v>
      </c>
      <c r="H3178" t="n">
        <v>0</v>
      </c>
      <c r="I3178" t="n">
        <v>0</v>
      </c>
      <c r="J3178" t="n">
        <v>0</v>
      </c>
      <c r="K3178" t="n">
        <v>0</v>
      </c>
      <c r="L3178" t="n">
        <v>0</v>
      </c>
      <c r="M3178" t="n">
        <v>0</v>
      </c>
      <c r="N3178" t="n">
        <v>0</v>
      </c>
      <c r="O3178" t="n">
        <v>0</v>
      </c>
      <c r="P3178" t="n">
        <v>0</v>
      </c>
      <c r="Q3178" t="n">
        <v>0</v>
      </c>
      <c r="R3178" s="2" t="inlineStr"/>
    </row>
    <row r="3179" ht="15" customHeight="1">
      <c r="A3179" t="inlineStr">
        <is>
          <t>A 25335-2021</t>
        </is>
      </c>
      <c r="B3179" s="1" t="n">
        <v>44342</v>
      </c>
      <c r="C3179" s="1" t="n">
        <v>45587</v>
      </c>
      <c r="D3179" t="inlineStr">
        <is>
          <t>GÄVLEBORGS LÄN</t>
        </is>
      </c>
      <c r="E3179" t="inlineStr">
        <is>
          <t>GÄVLE</t>
        </is>
      </c>
      <c r="F3179" t="inlineStr">
        <is>
          <t>Kyrkan</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25446-2021</t>
        </is>
      </c>
      <c r="B3180" s="1" t="n">
        <v>44342</v>
      </c>
      <c r="C3180" s="1" t="n">
        <v>45587</v>
      </c>
      <c r="D3180" t="inlineStr">
        <is>
          <t>GÄVLEBORGS LÄN</t>
        </is>
      </c>
      <c r="E3180" t="inlineStr">
        <is>
          <t>GÄVLE</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25494-2021</t>
        </is>
      </c>
      <c r="B3181" s="1" t="n">
        <v>44343</v>
      </c>
      <c r="C3181" s="1" t="n">
        <v>45587</v>
      </c>
      <c r="D3181" t="inlineStr">
        <is>
          <t>GÄVLEBORGS LÄN</t>
        </is>
      </c>
      <c r="E3181" t="inlineStr">
        <is>
          <t>LJUSDAL</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25547-2021</t>
        </is>
      </c>
      <c r="B3182" s="1" t="n">
        <v>44343</v>
      </c>
      <c r="C3182" s="1" t="n">
        <v>45587</v>
      </c>
      <c r="D3182" t="inlineStr">
        <is>
          <t>GÄVLEBORGS LÄN</t>
        </is>
      </c>
      <c r="E3182" t="inlineStr">
        <is>
          <t>GÄVLE</t>
        </is>
      </c>
      <c r="F3182" t="inlineStr">
        <is>
          <t>Bergvik skog öst AB</t>
        </is>
      </c>
      <c r="G3182" t="n">
        <v>14.2</v>
      </c>
      <c r="H3182" t="n">
        <v>0</v>
      </c>
      <c r="I3182" t="n">
        <v>0</v>
      </c>
      <c r="J3182" t="n">
        <v>0</v>
      </c>
      <c r="K3182" t="n">
        <v>0</v>
      </c>
      <c r="L3182" t="n">
        <v>0</v>
      </c>
      <c r="M3182" t="n">
        <v>0</v>
      </c>
      <c r="N3182" t="n">
        <v>0</v>
      </c>
      <c r="O3182" t="n">
        <v>0</v>
      </c>
      <c r="P3182" t="n">
        <v>0</v>
      </c>
      <c r="Q3182" t="n">
        <v>0</v>
      </c>
      <c r="R3182" s="2" t="inlineStr"/>
    </row>
    <row r="3183" ht="15" customHeight="1">
      <c r="A3183" t="inlineStr">
        <is>
          <t>A 25583-2021</t>
        </is>
      </c>
      <c r="B3183" s="1" t="n">
        <v>44343</v>
      </c>
      <c r="C3183" s="1" t="n">
        <v>45587</v>
      </c>
      <c r="D3183" t="inlineStr">
        <is>
          <t>GÄVLEBORGS LÄN</t>
        </is>
      </c>
      <c r="E3183" t="inlineStr">
        <is>
          <t>OCKELBO</t>
        </is>
      </c>
      <c r="F3183" t="inlineStr">
        <is>
          <t>Bergvik skog väst AB</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25939-2021</t>
        </is>
      </c>
      <c r="B3184" s="1" t="n">
        <v>44344</v>
      </c>
      <c r="C3184" s="1" t="n">
        <v>45587</v>
      </c>
      <c r="D3184" t="inlineStr">
        <is>
          <t>GÄVLEBORGS LÄN</t>
        </is>
      </c>
      <c r="E3184" t="inlineStr">
        <is>
          <t>OVANÅKER</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26182-2021</t>
        </is>
      </c>
      <c r="B3185" s="1" t="n">
        <v>44347</v>
      </c>
      <c r="C3185" s="1" t="n">
        <v>45587</v>
      </c>
      <c r="D3185" t="inlineStr">
        <is>
          <t>GÄVLEBORGS LÄN</t>
        </is>
      </c>
      <c r="E3185" t="inlineStr">
        <is>
          <t>BOLLNÄS</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26236-2021</t>
        </is>
      </c>
      <c r="B3186" s="1" t="n">
        <v>44347</v>
      </c>
      <c r="C3186" s="1" t="n">
        <v>45587</v>
      </c>
      <c r="D3186" t="inlineStr">
        <is>
          <t>GÄVLEBORGS LÄN</t>
        </is>
      </c>
      <c r="E3186" t="inlineStr">
        <is>
          <t>LJUSDAL</t>
        </is>
      </c>
      <c r="F3186" t="inlineStr">
        <is>
          <t>Bergvik skog väst AB</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26158-2021</t>
        </is>
      </c>
      <c r="B3187" s="1" t="n">
        <v>44347</v>
      </c>
      <c r="C3187" s="1" t="n">
        <v>45587</v>
      </c>
      <c r="D3187" t="inlineStr">
        <is>
          <t>GÄVLEBORGS LÄN</t>
        </is>
      </c>
      <c r="E3187" t="inlineStr">
        <is>
          <t>BOLLNÄS</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26171-2021</t>
        </is>
      </c>
      <c r="B3188" s="1" t="n">
        <v>44347</v>
      </c>
      <c r="C3188" s="1" t="n">
        <v>45587</v>
      </c>
      <c r="D3188" t="inlineStr">
        <is>
          <t>GÄVLEBORGS LÄN</t>
        </is>
      </c>
      <c r="E3188" t="inlineStr">
        <is>
          <t>BOLLNÄS</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26269-2021</t>
        </is>
      </c>
      <c r="B3189" s="1" t="n">
        <v>44347</v>
      </c>
      <c r="C3189" s="1" t="n">
        <v>45587</v>
      </c>
      <c r="D3189" t="inlineStr">
        <is>
          <t>GÄVLEBORGS LÄN</t>
        </is>
      </c>
      <c r="E3189" t="inlineStr">
        <is>
          <t>OVANÅKER</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26323-2021</t>
        </is>
      </c>
      <c r="B3190" s="1" t="n">
        <v>44347</v>
      </c>
      <c r="C3190" s="1" t="n">
        <v>45587</v>
      </c>
      <c r="D3190" t="inlineStr">
        <is>
          <t>GÄVLEBORGS LÄN</t>
        </is>
      </c>
      <c r="E3190" t="inlineStr">
        <is>
          <t>GÄVLE</t>
        </is>
      </c>
      <c r="F3190" t="inlineStr">
        <is>
          <t>Bergvik skog väst AB</t>
        </is>
      </c>
      <c r="G3190" t="n">
        <v>7</v>
      </c>
      <c r="H3190" t="n">
        <v>0</v>
      </c>
      <c r="I3190" t="n">
        <v>0</v>
      </c>
      <c r="J3190" t="n">
        <v>0</v>
      </c>
      <c r="K3190" t="n">
        <v>0</v>
      </c>
      <c r="L3190" t="n">
        <v>0</v>
      </c>
      <c r="M3190" t="n">
        <v>0</v>
      </c>
      <c r="N3190" t="n">
        <v>0</v>
      </c>
      <c r="O3190" t="n">
        <v>0</v>
      </c>
      <c r="P3190" t="n">
        <v>0</v>
      </c>
      <c r="Q3190" t="n">
        <v>0</v>
      </c>
      <c r="R3190" s="2" t="inlineStr"/>
    </row>
    <row r="3191" ht="15" customHeight="1">
      <c r="A3191" t="inlineStr">
        <is>
          <t>A 26336-2021</t>
        </is>
      </c>
      <c r="B3191" s="1" t="n">
        <v>44347</v>
      </c>
      <c r="C3191" s="1" t="n">
        <v>45587</v>
      </c>
      <c r="D3191" t="inlineStr">
        <is>
          <t>GÄVLEBORGS LÄN</t>
        </is>
      </c>
      <c r="E3191" t="inlineStr">
        <is>
          <t>LJUSDAL</t>
        </is>
      </c>
      <c r="F3191" t="inlineStr">
        <is>
          <t>Sveaskog</t>
        </is>
      </c>
      <c r="G3191" t="n">
        <v>8.300000000000001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26365-2021</t>
        </is>
      </c>
      <c r="B3192" s="1" t="n">
        <v>44347</v>
      </c>
      <c r="C3192" s="1" t="n">
        <v>45587</v>
      </c>
      <c r="D3192" t="inlineStr">
        <is>
          <t>GÄVLEBORGS LÄN</t>
        </is>
      </c>
      <c r="E3192" t="inlineStr">
        <is>
          <t>OVANÅKER</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26318-2021</t>
        </is>
      </c>
      <c r="B3193" s="1" t="n">
        <v>44347</v>
      </c>
      <c r="C3193" s="1" t="n">
        <v>45587</v>
      </c>
      <c r="D3193" t="inlineStr">
        <is>
          <t>GÄVLEBORGS LÄN</t>
        </is>
      </c>
      <c r="E3193" t="inlineStr">
        <is>
          <t>HUDIKSVALL</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26355-2021</t>
        </is>
      </c>
      <c r="B3194" s="1" t="n">
        <v>44347</v>
      </c>
      <c r="C3194" s="1" t="n">
        <v>45587</v>
      </c>
      <c r="D3194" t="inlineStr">
        <is>
          <t>GÄVLEBORGS LÄN</t>
        </is>
      </c>
      <c r="E3194" t="inlineStr">
        <is>
          <t>SANDVIKEN</t>
        </is>
      </c>
      <c r="F3194" t="inlineStr">
        <is>
          <t>Bergvik skog väst AB</t>
        </is>
      </c>
      <c r="G3194" t="n">
        <v>10.1</v>
      </c>
      <c r="H3194" t="n">
        <v>0</v>
      </c>
      <c r="I3194" t="n">
        <v>0</v>
      </c>
      <c r="J3194" t="n">
        <v>0</v>
      </c>
      <c r="K3194" t="n">
        <v>0</v>
      </c>
      <c r="L3194" t="n">
        <v>0</v>
      </c>
      <c r="M3194" t="n">
        <v>0</v>
      </c>
      <c r="N3194" t="n">
        <v>0</v>
      </c>
      <c r="O3194" t="n">
        <v>0</v>
      </c>
      <c r="P3194" t="n">
        <v>0</v>
      </c>
      <c r="Q3194" t="n">
        <v>0</v>
      </c>
      <c r="R3194" s="2" t="inlineStr"/>
    </row>
    <row r="3195" ht="15" customHeight="1">
      <c r="A3195" t="inlineStr">
        <is>
          <t>A 26373-2021</t>
        </is>
      </c>
      <c r="B3195" s="1" t="n">
        <v>44347</v>
      </c>
      <c r="C3195" s="1" t="n">
        <v>45587</v>
      </c>
      <c r="D3195" t="inlineStr">
        <is>
          <t>GÄVLEBORGS LÄN</t>
        </is>
      </c>
      <c r="E3195" t="inlineStr">
        <is>
          <t>SANDVIKEN</t>
        </is>
      </c>
      <c r="F3195" t="inlineStr">
        <is>
          <t>Bergvik skog väst AB</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26499-2021</t>
        </is>
      </c>
      <c r="B3196" s="1" t="n">
        <v>44348</v>
      </c>
      <c r="C3196" s="1" t="n">
        <v>45587</v>
      </c>
      <c r="D3196" t="inlineStr">
        <is>
          <t>GÄVLEBORGS LÄN</t>
        </is>
      </c>
      <c r="E3196" t="inlineStr">
        <is>
          <t>OCKELBO</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26573-2021</t>
        </is>
      </c>
      <c r="B3197" s="1" t="n">
        <v>44348</v>
      </c>
      <c r="C3197" s="1" t="n">
        <v>45587</v>
      </c>
      <c r="D3197" t="inlineStr">
        <is>
          <t>GÄVLEBORGS LÄN</t>
        </is>
      </c>
      <c r="E3197" t="inlineStr">
        <is>
          <t>NORDANSTIG</t>
        </is>
      </c>
      <c r="F3197" t="inlineStr">
        <is>
          <t>Holmen skog AB</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26503-2021</t>
        </is>
      </c>
      <c r="B3198" s="1" t="n">
        <v>44348</v>
      </c>
      <c r="C3198" s="1" t="n">
        <v>45587</v>
      </c>
      <c r="D3198" t="inlineStr">
        <is>
          <t>GÄVLEBORGS LÄN</t>
        </is>
      </c>
      <c r="E3198" t="inlineStr">
        <is>
          <t>NORDANSTIG</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26501-2021</t>
        </is>
      </c>
      <c r="B3199" s="1" t="n">
        <v>44348</v>
      </c>
      <c r="C3199" s="1" t="n">
        <v>45587</v>
      </c>
      <c r="D3199" t="inlineStr">
        <is>
          <t>GÄVLEBORGS LÄN</t>
        </is>
      </c>
      <c r="E3199" t="inlineStr">
        <is>
          <t>NORDANSTIG</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26531-2021</t>
        </is>
      </c>
      <c r="B3200" s="1" t="n">
        <v>44348</v>
      </c>
      <c r="C3200" s="1" t="n">
        <v>45587</v>
      </c>
      <c r="D3200" t="inlineStr">
        <is>
          <t>GÄVLEBORGS LÄN</t>
        </is>
      </c>
      <c r="E3200" t="inlineStr">
        <is>
          <t>SÖDERHAMN</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26539-2021</t>
        </is>
      </c>
      <c r="B3201" s="1" t="n">
        <v>44348</v>
      </c>
      <c r="C3201" s="1" t="n">
        <v>45587</v>
      </c>
      <c r="D3201" t="inlineStr">
        <is>
          <t>GÄVLEBORGS LÄN</t>
        </is>
      </c>
      <c r="E3201" t="inlineStr">
        <is>
          <t>SÖDERHAMN</t>
        </is>
      </c>
      <c r="G3201" t="n">
        <v>5.7</v>
      </c>
      <c r="H3201" t="n">
        <v>0</v>
      </c>
      <c r="I3201" t="n">
        <v>0</v>
      </c>
      <c r="J3201" t="n">
        <v>0</v>
      </c>
      <c r="K3201" t="n">
        <v>0</v>
      </c>
      <c r="L3201" t="n">
        <v>0</v>
      </c>
      <c r="M3201" t="n">
        <v>0</v>
      </c>
      <c r="N3201" t="n">
        <v>0</v>
      </c>
      <c r="O3201" t="n">
        <v>0</v>
      </c>
      <c r="P3201" t="n">
        <v>0</v>
      </c>
      <c r="Q3201" t="n">
        <v>0</v>
      </c>
      <c r="R3201" s="2" t="inlineStr"/>
    </row>
    <row r="3202" ht="15" customHeight="1">
      <c r="A3202" t="inlineStr">
        <is>
          <t>A 26533-2021</t>
        </is>
      </c>
      <c r="B3202" s="1" t="n">
        <v>44348</v>
      </c>
      <c r="C3202" s="1" t="n">
        <v>45587</v>
      </c>
      <c r="D3202" t="inlineStr">
        <is>
          <t>GÄVLEBORGS LÄN</t>
        </is>
      </c>
      <c r="E3202" t="inlineStr">
        <is>
          <t>SÖDERHAMN</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26584-2021</t>
        </is>
      </c>
      <c r="B3203" s="1" t="n">
        <v>44348</v>
      </c>
      <c r="C3203" s="1" t="n">
        <v>45587</v>
      </c>
      <c r="D3203" t="inlineStr">
        <is>
          <t>GÄVLEBORGS LÄN</t>
        </is>
      </c>
      <c r="E3203" t="inlineStr">
        <is>
          <t>BOLLNÄS</t>
        </is>
      </c>
      <c r="G3203" t="n">
        <v>8.800000000000001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26683-2021</t>
        </is>
      </c>
      <c r="B3204" s="1" t="n">
        <v>44349</v>
      </c>
      <c r="C3204" s="1" t="n">
        <v>45587</v>
      </c>
      <c r="D3204" t="inlineStr">
        <is>
          <t>GÄVLEBORGS LÄN</t>
        </is>
      </c>
      <c r="E3204" t="inlineStr">
        <is>
          <t>HUDIKSVALL</t>
        </is>
      </c>
      <c r="F3204" t="inlineStr">
        <is>
          <t>Holmen skog AB</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26754-2021</t>
        </is>
      </c>
      <c r="B3205" s="1" t="n">
        <v>44349</v>
      </c>
      <c r="C3205" s="1" t="n">
        <v>45587</v>
      </c>
      <c r="D3205" t="inlineStr">
        <is>
          <t>GÄVLEBORGS LÄN</t>
        </is>
      </c>
      <c r="E3205" t="inlineStr">
        <is>
          <t>OVANÅKER</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26800-2021</t>
        </is>
      </c>
      <c r="B3206" s="1" t="n">
        <v>44349</v>
      </c>
      <c r="C3206" s="1" t="n">
        <v>45587</v>
      </c>
      <c r="D3206" t="inlineStr">
        <is>
          <t>GÄVLEBORGS LÄN</t>
        </is>
      </c>
      <c r="E3206" t="inlineStr">
        <is>
          <t>OVANÅKER</t>
        </is>
      </c>
      <c r="F3206" t="inlineStr">
        <is>
          <t>Sveaskog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26752-2021</t>
        </is>
      </c>
      <c r="B3207" s="1" t="n">
        <v>44349</v>
      </c>
      <c r="C3207" s="1" t="n">
        <v>45587</v>
      </c>
      <c r="D3207" t="inlineStr">
        <is>
          <t>GÄVLEBORGS LÄN</t>
        </is>
      </c>
      <c r="E3207" t="inlineStr">
        <is>
          <t>OVANÅKER</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26779-2021</t>
        </is>
      </c>
      <c r="B3208" s="1" t="n">
        <v>44349</v>
      </c>
      <c r="C3208" s="1" t="n">
        <v>45587</v>
      </c>
      <c r="D3208" t="inlineStr">
        <is>
          <t>GÄVLEBORGS LÄN</t>
        </is>
      </c>
      <c r="E3208" t="inlineStr">
        <is>
          <t>GÄVLE</t>
        </is>
      </c>
      <c r="F3208" t="inlineStr">
        <is>
          <t>Bergvik skog öst AB</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26715-2021</t>
        </is>
      </c>
      <c r="B3209" s="1" t="n">
        <v>44349</v>
      </c>
      <c r="C3209" s="1" t="n">
        <v>45587</v>
      </c>
      <c r="D3209" t="inlineStr">
        <is>
          <t>GÄVLEBORGS LÄN</t>
        </is>
      </c>
      <c r="E3209" t="inlineStr">
        <is>
          <t>LJUSDAL</t>
        </is>
      </c>
      <c r="F3209" t="inlineStr">
        <is>
          <t>Sveaskog</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26776-2021</t>
        </is>
      </c>
      <c r="B3210" s="1" t="n">
        <v>44349</v>
      </c>
      <c r="C3210" s="1" t="n">
        <v>45587</v>
      </c>
      <c r="D3210" t="inlineStr">
        <is>
          <t>GÄVLEBORGS LÄN</t>
        </is>
      </c>
      <c r="E3210" t="inlineStr">
        <is>
          <t>GÄVLE</t>
        </is>
      </c>
      <c r="F3210" t="inlineStr">
        <is>
          <t>Bergvik skog öst AB</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26806-2021</t>
        </is>
      </c>
      <c r="B3211" s="1" t="n">
        <v>44349</v>
      </c>
      <c r="C3211" s="1" t="n">
        <v>45587</v>
      </c>
      <c r="D3211" t="inlineStr">
        <is>
          <t>GÄVLEBORGS LÄN</t>
        </is>
      </c>
      <c r="E3211" t="inlineStr">
        <is>
          <t>OVANÅKER</t>
        </is>
      </c>
      <c r="F3211" t="inlineStr">
        <is>
          <t>Sveaskog</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26827-2021</t>
        </is>
      </c>
      <c r="B3212" s="1" t="n">
        <v>44349</v>
      </c>
      <c r="C3212" s="1" t="n">
        <v>45587</v>
      </c>
      <c r="D3212" t="inlineStr">
        <is>
          <t>GÄVLEBORGS LÄN</t>
        </is>
      </c>
      <c r="E3212" t="inlineStr">
        <is>
          <t>NORDANSTIG</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26782-2021</t>
        </is>
      </c>
      <c r="B3213" s="1" t="n">
        <v>44349</v>
      </c>
      <c r="C3213" s="1" t="n">
        <v>45587</v>
      </c>
      <c r="D3213" t="inlineStr">
        <is>
          <t>GÄVLEBORGS LÄN</t>
        </is>
      </c>
      <c r="E3213" t="inlineStr">
        <is>
          <t>HUDIKSVALL</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26833-2021</t>
        </is>
      </c>
      <c r="B3214" s="1" t="n">
        <v>44349</v>
      </c>
      <c r="C3214" s="1" t="n">
        <v>45587</v>
      </c>
      <c r="D3214" t="inlineStr">
        <is>
          <t>GÄVLEBORGS LÄN</t>
        </is>
      </c>
      <c r="E3214" t="inlineStr">
        <is>
          <t>NORDANSTIG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26869-2021</t>
        </is>
      </c>
      <c r="B3215" s="1" t="n">
        <v>44349</v>
      </c>
      <c r="C3215" s="1" t="n">
        <v>45587</v>
      </c>
      <c r="D3215" t="inlineStr">
        <is>
          <t>GÄVLEBORGS LÄN</t>
        </is>
      </c>
      <c r="E3215" t="inlineStr">
        <is>
          <t>NORDANSTIG</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27078-2021</t>
        </is>
      </c>
      <c r="B3216" s="1" t="n">
        <v>44350</v>
      </c>
      <c r="C3216" s="1" t="n">
        <v>45587</v>
      </c>
      <c r="D3216" t="inlineStr">
        <is>
          <t>GÄVLEBORGS LÄN</t>
        </is>
      </c>
      <c r="E3216" t="inlineStr">
        <is>
          <t>OVANÅKER</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27179-2021</t>
        </is>
      </c>
      <c r="B3217" s="1" t="n">
        <v>44350</v>
      </c>
      <c r="C3217" s="1" t="n">
        <v>45587</v>
      </c>
      <c r="D3217" t="inlineStr">
        <is>
          <t>GÄVLEBORGS LÄN</t>
        </is>
      </c>
      <c r="E3217" t="inlineStr">
        <is>
          <t>GÄVLE</t>
        </is>
      </c>
      <c r="F3217" t="inlineStr">
        <is>
          <t>Bergvik skog öst AB</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27083-2021</t>
        </is>
      </c>
      <c r="B3218" s="1" t="n">
        <v>44350</v>
      </c>
      <c r="C3218" s="1" t="n">
        <v>45587</v>
      </c>
      <c r="D3218" t="inlineStr">
        <is>
          <t>GÄVLEBORGS LÄN</t>
        </is>
      </c>
      <c r="E3218" t="inlineStr">
        <is>
          <t>HUDIKSVALL</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27161-2021</t>
        </is>
      </c>
      <c r="B3219" s="1" t="n">
        <v>44350</v>
      </c>
      <c r="C3219" s="1" t="n">
        <v>45587</v>
      </c>
      <c r="D3219" t="inlineStr">
        <is>
          <t>GÄVLEBORGS LÄN</t>
        </is>
      </c>
      <c r="E3219" t="inlineStr">
        <is>
          <t>NORDANSTIG</t>
        </is>
      </c>
      <c r="G3219" t="n">
        <v>11.5</v>
      </c>
      <c r="H3219" t="n">
        <v>0</v>
      </c>
      <c r="I3219" t="n">
        <v>0</v>
      </c>
      <c r="J3219" t="n">
        <v>0</v>
      </c>
      <c r="K3219" t="n">
        <v>0</v>
      </c>
      <c r="L3219" t="n">
        <v>0</v>
      </c>
      <c r="M3219" t="n">
        <v>0</v>
      </c>
      <c r="N3219" t="n">
        <v>0</v>
      </c>
      <c r="O3219" t="n">
        <v>0</v>
      </c>
      <c r="P3219" t="n">
        <v>0</v>
      </c>
      <c r="Q3219" t="n">
        <v>0</v>
      </c>
      <c r="R3219" s="2" t="inlineStr"/>
    </row>
    <row r="3220" ht="15" customHeight="1">
      <c r="A3220" t="inlineStr">
        <is>
          <t>A 27216-2021</t>
        </is>
      </c>
      <c r="B3220" s="1" t="n">
        <v>44350</v>
      </c>
      <c r="C3220" s="1" t="n">
        <v>45587</v>
      </c>
      <c r="D3220" t="inlineStr">
        <is>
          <t>GÄVLEBORGS LÄN</t>
        </is>
      </c>
      <c r="E3220" t="inlineStr">
        <is>
          <t>LJUSDAL</t>
        </is>
      </c>
      <c r="F3220" t="inlineStr">
        <is>
          <t>Sveaskog</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27051-2021</t>
        </is>
      </c>
      <c r="B3221" s="1" t="n">
        <v>44350</v>
      </c>
      <c r="C3221" s="1" t="n">
        <v>45587</v>
      </c>
      <c r="D3221" t="inlineStr">
        <is>
          <t>GÄVLEBORGS LÄN</t>
        </is>
      </c>
      <c r="E3221" t="inlineStr">
        <is>
          <t>LJUSDAL</t>
        </is>
      </c>
      <c r="F3221" t="inlineStr">
        <is>
          <t>Bergvik skog väst AB</t>
        </is>
      </c>
      <c r="G3221" t="n">
        <v>7</v>
      </c>
      <c r="H3221" t="n">
        <v>0</v>
      </c>
      <c r="I3221" t="n">
        <v>0</v>
      </c>
      <c r="J3221" t="n">
        <v>0</v>
      </c>
      <c r="K3221" t="n">
        <v>0</v>
      </c>
      <c r="L3221" t="n">
        <v>0</v>
      </c>
      <c r="M3221" t="n">
        <v>0</v>
      </c>
      <c r="N3221" t="n">
        <v>0</v>
      </c>
      <c r="O3221" t="n">
        <v>0</v>
      </c>
      <c r="P3221" t="n">
        <v>0</v>
      </c>
      <c r="Q3221" t="n">
        <v>0</v>
      </c>
      <c r="R3221" s="2" t="inlineStr"/>
    </row>
    <row r="3222" ht="15" customHeight="1">
      <c r="A3222" t="inlineStr">
        <is>
          <t>A 27066-2021</t>
        </is>
      </c>
      <c r="B3222" s="1" t="n">
        <v>44350</v>
      </c>
      <c r="C3222" s="1" t="n">
        <v>45587</v>
      </c>
      <c r="D3222" t="inlineStr">
        <is>
          <t>GÄVLEBORGS LÄN</t>
        </is>
      </c>
      <c r="E3222" t="inlineStr">
        <is>
          <t>OCKELBO</t>
        </is>
      </c>
      <c r="F3222" t="inlineStr">
        <is>
          <t>Bergvik skog väst AB</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27215-2021</t>
        </is>
      </c>
      <c r="B3223" s="1" t="n">
        <v>44350</v>
      </c>
      <c r="C3223" s="1" t="n">
        <v>45587</v>
      </c>
      <c r="D3223" t="inlineStr">
        <is>
          <t>GÄVLEBORGS LÄN</t>
        </is>
      </c>
      <c r="E3223" t="inlineStr">
        <is>
          <t>LJUSDAL</t>
        </is>
      </c>
      <c r="F3223" t="inlineStr">
        <is>
          <t>Sveaskog</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27218-2021</t>
        </is>
      </c>
      <c r="B3224" s="1" t="n">
        <v>44350</v>
      </c>
      <c r="C3224" s="1" t="n">
        <v>45587</v>
      </c>
      <c r="D3224" t="inlineStr">
        <is>
          <t>GÄVLEBORGS LÄN</t>
        </is>
      </c>
      <c r="E3224" t="inlineStr">
        <is>
          <t>LJUSDAL</t>
        </is>
      </c>
      <c r="F3224" t="inlineStr">
        <is>
          <t>Sveaskog</t>
        </is>
      </c>
      <c r="G3224" t="n">
        <v>11.5</v>
      </c>
      <c r="H3224" t="n">
        <v>0</v>
      </c>
      <c r="I3224" t="n">
        <v>0</v>
      </c>
      <c r="J3224" t="n">
        <v>0</v>
      </c>
      <c r="K3224" t="n">
        <v>0</v>
      </c>
      <c r="L3224" t="n">
        <v>0</v>
      </c>
      <c r="M3224" t="n">
        <v>0</v>
      </c>
      <c r="N3224" t="n">
        <v>0</v>
      </c>
      <c r="O3224" t="n">
        <v>0</v>
      </c>
      <c r="P3224" t="n">
        <v>0</v>
      </c>
      <c r="Q3224" t="n">
        <v>0</v>
      </c>
      <c r="R3224" s="2" t="inlineStr"/>
    </row>
    <row r="3225" ht="15" customHeight="1">
      <c r="A3225" t="inlineStr">
        <is>
          <t>A 27480-2021</t>
        </is>
      </c>
      <c r="B3225" s="1" t="n">
        <v>44351</v>
      </c>
      <c r="C3225" s="1" t="n">
        <v>45587</v>
      </c>
      <c r="D3225" t="inlineStr">
        <is>
          <t>GÄVLEBORGS LÄN</t>
        </is>
      </c>
      <c r="E3225" t="inlineStr">
        <is>
          <t>GÄVLE</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27374-2021</t>
        </is>
      </c>
      <c r="B3226" s="1" t="n">
        <v>44351</v>
      </c>
      <c r="C3226" s="1" t="n">
        <v>45587</v>
      </c>
      <c r="D3226" t="inlineStr">
        <is>
          <t>GÄVLEBORGS LÄN</t>
        </is>
      </c>
      <c r="E3226" t="inlineStr">
        <is>
          <t>OVANÅKER</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27536-2021</t>
        </is>
      </c>
      <c r="B3227" s="1" t="n">
        <v>44351</v>
      </c>
      <c r="C3227" s="1" t="n">
        <v>45587</v>
      </c>
      <c r="D3227" t="inlineStr">
        <is>
          <t>GÄVLEBORGS LÄN</t>
        </is>
      </c>
      <c r="E3227" t="inlineStr">
        <is>
          <t>OVANÅKER</t>
        </is>
      </c>
      <c r="F3227" t="inlineStr">
        <is>
          <t>Sveaskog</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27476-2021</t>
        </is>
      </c>
      <c r="B3228" s="1" t="n">
        <v>44351</v>
      </c>
      <c r="C3228" s="1" t="n">
        <v>45587</v>
      </c>
      <c r="D3228" t="inlineStr">
        <is>
          <t>GÄVLEBORGS LÄN</t>
        </is>
      </c>
      <c r="E3228" t="inlineStr">
        <is>
          <t>GÄVLE</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27534-2021</t>
        </is>
      </c>
      <c r="B3229" s="1" t="n">
        <v>44351</v>
      </c>
      <c r="C3229" s="1" t="n">
        <v>45587</v>
      </c>
      <c r="D3229" t="inlineStr">
        <is>
          <t>GÄVLEBORGS LÄN</t>
        </is>
      </c>
      <c r="E3229" t="inlineStr">
        <is>
          <t>OVANÅKER</t>
        </is>
      </c>
      <c r="F3229" t="inlineStr">
        <is>
          <t>Sveaskog</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27415-2021</t>
        </is>
      </c>
      <c r="B3230" s="1" t="n">
        <v>44351</v>
      </c>
      <c r="C3230" s="1" t="n">
        <v>45587</v>
      </c>
      <c r="D3230" t="inlineStr">
        <is>
          <t>GÄVLEBORGS LÄN</t>
        </is>
      </c>
      <c r="E3230" t="inlineStr">
        <is>
          <t>BOLLNÄS</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27575-2021</t>
        </is>
      </c>
      <c r="B3231" s="1" t="n">
        <v>44353</v>
      </c>
      <c r="C3231" s="1" t="n">
        <v>45587</v>
      </c>
      <c r="D3231" t="inlineStr">
        <is>
          <t>GÄVLEBORGS LÄN</t>
        </is>
      </c>
      <c r="E3231" t="inlineStr">
        <is>
          <t>LJUSDAL</t>
        </is>
      </c>
      <c r="F3231" t="inlineStr">
        <is>
          <t>Sveaskog</t>
        </is>
      </c>
      <c r="G3231" t="n">
        <v>7.3</v>
      </c>
      <c r="H3231" t="n">
        <v>0</v>
      </c>
      <c r="I3231" t="n">
        <v>0</v>
      </c>
      <c r="J3231" t="n">
        <v>0</v>
      </c>
      <c r="K3231" t="n">
        <v>0</v>
      </c>
      <c r="L3231" t="n">
        <v>0</v>
      </c>
      <c r="M3231" t="n">
        <v>0</v>
      </c>
      <c r="N3231" t="n">
        <v>0</v>
      </c>
      <c r="O3231" t="n">
        <v>0</v>
      </c>
      <c r="P3231" t="n">
        <v>0</v>
      </c>
      <c r="Q3231" t="n">
        <v>0</v>
      </c>
      <c r="R3231" s="2" t="inlineStr"/>
    </row>
    <row r="3232" ht="15" customHeight="1">
      <c r="A3232" t="inlineStr">
        <is>
          <t>A 27678-2021</t>
        </is>
      </c>
      <c r="B3232" s="1" t="n">
        <v>44354</v>
      </c>
      <c r="C3232" s="1" t="n">
        <v>45587</v>
      </c>
      <c r="D3232" t="inlineStr">
        <is>
          <t>GÄVLEBORGS LÄN</t>
        </is>
      </c>
      <c r="E3232" t="inlineStr">
        <is>
          <t>BOLLNÄS</t>
        </is>
      </c>
      <c r="F3232" t="inlineStr">
        <is>
          <t>Sveaskog</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27864-2021</t>
        </is>
      </c>
      <c r="B3233" s="1" t="n">
        <v>44354</v>
      </c>
      <c r="C3233" s="1" t="n">
        <v>45587</v>
      </c>
      <c r="D3233" t="inlineStr">
        <is>
          <t>GÄVLEBORGS LÄN</t>
        </is>
      </c>
      <c r="E3233" t="inlineStr">
        <is>
          <t>GÄVLE</t>
        </is>
      </c>
      <c r="F3233" t="inlineStr">
        <is>
          <t>Bergvik skog öst AB</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27900-2021</t>
        </is>
      </c>
      <c r="B3234" s="1" t="n">
        <v>44354</v>
      </c>
      <c r="C3234" s="1" t="n">
        <v>45587</v>
      </c>
      <c r="D3234" t="inlineStr">
        <is>
          <t>GÄVLEBORGS LÄN</t>
        </is>
      </c>
      <c r="E3234" t="inlineStr">
        <is>
          <t>LJUSDAL</t>
        </is>
      </c>
      <c r="F3234" t="inlineStr">
        <is>
          <t>Bergvik skog väst AB</t>
        </is>
      </c>
      <c r="G3234" t="n">
        <v>7</v>
      </c>
      <c r="H3234" t="n">
        <v>0</v>
      </c>
      <c r="I3234" t="n">
        <v>0</v>
      </c>
      <c r="J3234" t="n">
        <v>0</v>
      </c>
      <c r="K3234" t="n">
        <v>0</v>
      </c>
      <c r="L3234" t="n">
        <v>0</v>
      </c>
      <c r="M3234" t="n">
        <v>0</v>
      </c>
      <c r="N3234" t="n">
        <v>0</v>
      </c>
      <c r="O3234" t="n">
        <v>0</v>
      </c>
      <c r="P3234" t="n">
        <v>0</v>
      </c>
      <c r="Q3234" t="n">
        <v>0</v>
      </c>
      <c r="R3234" s="2" t="inlineStr"/>
    </row>
    <row r="3235" ht="15" customHeight="1">
      <c r="A3235" t="inlineStr">
        <is>
          <t>A 28006-2021</t>
        </is>
      </c>
      <c r="B3235" s="1" t="n">
        <v>44355</v>
      </c>
      <c r="C3235" s="1" t="n">
        <v>45587</v>
      </c>
      <c r="D3235" t="inlineStr">
        <is>
          <t>GÄVLEBORGS LÄN</t>
        </is>
      </c>
      <c r="E3235" t="inlineStr">
        <is>
          <t>OCKELBO</t>
        </is>
      </c>
      <c r="F3235" t="inlineStr">
        <is>
          <t>Bergvik skog väst AB</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28014-2021</t>
        </is>
      </c>
      <c r="B3236" s="1" t="n">
        <v>44355</v>
      </c>
      <c r="C3236" s="1" t="n">
        <v>45587</v>
      </c>
      <c r="D3236" t="inlineStr">
        <is>
          <t>GÄVLEBORGS LÄN</t>
        </is>
      </c>
      <c r="E3236" t="inlineStr">
        <is>
          <t>LJUSDAL</t>
        </is>
      </c>
      <c r="F3236" t="inlineStr">
        <is>
          <t>Bergvik skog väst AB</t>
        </is>
      </c>
      <c r="G3236" t="n">
        <v>8.5</v>
      </c>
      <c r="H3236" t="n">
        <v>0</v>
      </c>
      <c r="I3236" t="n">
        <v>0</v>
      </c>
      <c r="J3236" t="n">
        <v>0</v>
      </c>
      <c r="K3236" t="n">
        <v>0</v>
      </c>
      <c r="L3236" t="n">
        <v>0</v>
      </c>
      <c r="M3236" t="n">
        <v>0</v>
      </c>
      <c r="N3236" t="n">
        <v>0</v>
      </c>
      <c r="O3236" t="n">
        <v>0</v>
      </c>
      <c r="P3236" t="n">
        <v>0</v>
      </c>
      <c r="Q3236" t="n">
        <v>0</v>
      </c>
      <c r="R3236" s="2" t="inlineStr"/>
    </row>
    <row r="3237" ht="15" customHeight="1">
      <c r="A3237" t="inlineStr">
        <is>
          <t>A 28048-2021</t>
        </is>
      </c>
      <c r="B3237" s="1" t="n">
        <v>44355</v>
      </c>
      <c r="C3237" s="1" t="n">
        <v>45587</v>
      </c>
      <c r="D3237" t="inlineStr">
        <is>
          <t>GÄVLEBORGS LÄN</t>
        </is>
      </c>
      <c r="E3237" t="inlineStr">
        <is>
          <t>NORDANSTIG</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27992-2021</t>
        </is>
      </c>
      <c r="B3238" s="1" t="n">
        <v>44355</v>
      </c>
      <c r="C3238" s="1" t="n">
        <v>45587</v>
      </c>
      <c r="D3238" t="inlineStr">
        <is>
          <t>GÄVLEBORGS LÄN</t>
        </is>
      </c>
      <c r="E3238" t="inlineStr">
        <is>
          <t>LJUSDAL</t>
        </is>
      </c>
      <c r="F3238" t="inlineStr">
        <is>
          <t>Sveaskog</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28100-2021</t>
        </is>
      </c>
      <c r="B3239" s="1" t="n">
        <v>44355</v>
      </c>
      <c r="C3239" s="1" t="n">
        <v>45587</v>
      </c>
      <c r="D3239" t="inlineStr">
        <is>
          <t>GÄVLEBORGS LÄN</t>
        </is>
      </c>
      <c r="E3239" t="inlineStr">
        <is>
          <t>HUDIKSVALL</t>
        </is>
      </c>
      <c r="F3239" t="inlineStr">
        <is>
          <t>Holmen skog AB</t>
        </is>
      </c>
      <c r="G3239" t="n">
        <v>6.3</v>
      </c>
      <c r="H3239" t="n">
        <v>0</v>
      </c>
      <c r="I3239" t="n">
        <v>0</v>
      </c>
      <c r="J3239" t="n">
        <v>0</v>
      </c>
      <c r="K3239" t="n">
        <v>0</v>
      </c>
      <c r="L3239" t="n">
        <v>0</v>
      </c>
      <c r="M3239" t="n">
        <v>0</v>
      </c>
      <c r="N3239" t="n">
        <v>0</v>
      </c>
      <c r="O3239" t="n">
        <v>0</v>
      </c>
      <c r="P3239" t="n">
        <v>0</v>
      </c>
      <c r="Q3239" t="n">
        <v>0</v>
      </c>
      <c r="R3239" s="2" t="inlineStr"/>
    </row>
    <row r="3240" ht="15" customHeight="1">
      <c r="A3240" t="inlineStr">
        <is>
          <t>A 28161-2021</t>
        </is>
      </c>
      <c r="B3240" s="1" t="n">
        <v>44355</v>
      </c>
      <c r="C3240" s="1" t="n">
        <v>45587</v>
      </c>
      <c r="D3240" t="inlineStr">
        <is>
          <t>GÄVLEBORGS LÄN</t>
        </is>
      </c>
      <c r="E3240" t="inlineStr">
        <is>
          <t>BOLLNÄS</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28148-2021</t>
        </is>
      </c>
      <c r="B3241" s="1" t="n">
        <v>44355</v>
      </c>
      <c r="C3241" s="1" t="n">
        <v>45587</v>
      </c>
      <c r="D3241" t="inlineStr">
        <is>
          <t>GÄVLEBORGS LÄN</t>
        </is>
      </c>
      <c r="E3241" t="inlineStr">
        <is>
          <t>HUDIKSVALL</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28162-2021</t>
        </is>
      </c>
      <c r="B3242" s="1" t="n">
        <v>44355</v>
      </c>
      <c r="C3242" s="1" t="n">
        <v>45587</v>
      </c>
      <c r="D3242" t="inlineStr">
        <is>
          <t>GÄVLEBORGS LÄN</t>
        </is>
      </c>
      <c r="E3242" t="inlineStr">
        <is>
          <t>BOLLNÄS</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28182-2021</t>
        </is>
      </c>
      <c r="B3243" s="1" t="n">
        <v>44355</v>
      </c>
      <c r="C3243" s="1" t="n">
        <v>45587</v>
      </c>
      <c r="D3243" t="inlineStr">
        <is>
          <t>GÄVLEBORGS LÄN</t>
        </is>
      </c>
      <c r="E3243" t="inlineStr">
        <is>
          <t>OVANÅKER</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28248-2021</t>
        </is>
      </c>
      <c r="B3244" s="1" t="n">
        <v>44355</v>
      </c>
      <c r="C3244" s="1" t="n">
        <v>45587</v>
      </c>
      <c r="D3244" t="inlineStr">
        <is>
          <t>GÄVLEBORGS LÄN</t>
        </is>
      </c>
      <c r="E3244" t="inlineStr">
        <is>
          <t>NORDANSTIG</t>
        </is>
      </c>
      <c r="F3244" t="inlineStr">
        <is>
          <t>Holmen skog AB</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28403-2021</t>
        </is>
      </c>
      <c r="B3245" s="1" t="n">
        <v>44356</v>
      </c>
      <c r="C3245" s="1" t="n">
        <v>45587</v>
      </c>
      <c r="D3245" t="inlineStr">
        <is>
          <t>GÄVLEBORGS LÄN</t>
        </is>
      </c>
      <c r="E3245" t="inlineStr">
        <is>
          <t>GÄVLE</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28683-2021</t>
        </is>
      </c>
      <c r="B3246" s="1" t="n">
        <v>44357</v>
      </c>
      <c r="C3246" s="1" t="n">
        <v>45587</v>
      </c>
      <c r="D3246" t="inlineStr">
        <is>
          <t>GÄVLEBORGS LÄN</t>
        </is>
      </c>
      <c r="E3246" t="inlineStr">
        <is>
          <t>LJUSDAL</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28708-2021</t>
        </is>
      </c>
      <c r="B3247" s="1" t="n">
        <v>44357</v>
      </c>
      <c r="C3247" s="1" t="n">
        <v>45587</v>
      </c>
      <c r="D3247" t="inlineStr">
        <is>
          <t>GÄVLEBORGS LÄN</t>
        </is>
      </c>
      <c r="E3247" t="inlineStr">
        <is>
          <t>HUDIKSVALL</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28722-2021</t>
        </is>
      </c>
      <c r="B3248" s="1" t="n">
        <v>44357</v>
      </c>
      <c r="C3248" s="1" t="n">
        <v>45587</v>
      </c>
      <c r="D3248" t="inlineStr">
        <is>
          <t>GÄVLEBORGS LÄN</t>
        </is>
      </c>
      <c r="E3248" t="inlineStr">
        <is>
          <t>SANDVIKEN</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28760-2021</t>
        </is>
      </c>
      <c r="B3249" s="1" t="n">
        <v>44357</v>
      </c>
      <c r="C3249" s="1" t="n">
        <v>45587</v>
      </c>
      <c r="D3249" t="inlineStr">
        <is>
          <t>GÄVLEBORGS LÄN</t>
        </is>
      </c>
      <c r="E3249" t="inlineStr">
        <is>
          <t>NORDANSTIG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28739-2021</t>
        </is>
      </c>
      <c r="B3250" s="1" t="n">
        <v>44357</v>
      </c>
      <c r="C3250" s="1" t="n">
        <v>45587</v>
      </c>
      <c r="D3250" t="inlineStr">
        <is>
          <t>GÄVLEBORGS LÄN</t>
        </is>
      </c>
      <c r="E3250" t="inlineStr">
        <is>
          <t>SANDVIKEN</t>
        </is>
      </c>
      <c r="G3250" t="n">
        <v>6.9</v>
      </c>
      <c r="H3250" t="n">
        <v>0</v>
      </c>
      <c r="I3250" t="n">
        <v>0</v>
      </c>
      <c r="J3250" t="n">
        <v>0</v>
      </c>
      <c r="K3250" t="n">
        <v>0</v>
      </c>
      <c r="L3250" t="n">
        <v>0</v>
      </c>
      <c r="M3250" t="n">
        <v>0</v>
      </c>
      <c r="N3250" t="n">
        <v>0</v>
      </c>
      <c r="O3250" t="n">
        <v>0</v>
      </c>
      <c r="P3250" t="n">
        <v>0</v>
      </c>
      <c r="Q3250" t="n">
        <v>0</v>
      </c>
      <c r="R3250" s="2" t="inlineStr"/>
    </row>
    <row r="3251" ht="15" customHeight="1">
      <c r="A3251" t="inlineStr">
        <is>
          <t>A 28878-2021</t>
        </is>
      </c>
      <c r="B3251" s="1" t="n">
        <v>44357</v>
      </c>
      <c r="C3251" s="1" t="n">
        <v>45587</v>
      </c>
      <c r="D3251" t="inlineStr">
        <is>
          <t>GÄVLEBORGS LÄN</t>
        </is>
      </c>
      <c r="E3251" t="inlineStr">
        <is>
          <t>NORDANSTIG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28879-2021</t>
        </is>
      </c>
      <c r="B3252" s="1" t="n">
        <v>44357</v>
      </c>
      <c r="C3252" s="1" t="n">
        <v>45587</v>
      </c>
      <c r="D3252" t="inlineStr">
        <is>
          <t>GÄVLEBORGS LÄN</t>
        </is>
      </c>
      <c r="E3252" t="inlineStr">
        <is>
          <t>NORDANSTIG</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28918-2021</t>
        </is>
      </c>
      <c r="B3253" s="1" t="n">
        <v>44358</v>
      </c>
      <c r="C3253" s="1" t="n">
        <v>45587</v>
      </c>
      <c r="D3253" t="inlineStr">
        <is>
          <t>GÄVLEBORGS LÄN</t>
        </is>
      </c>
      <c r="E3253" t="inlineStr">
        <is>
          <t>OCKELBO</t>
        </is>
      </c>
      <c r="F3253" t="inlineStr">
        <is>
          <t>Bergvik skog väst AB</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29062-2021</t>
        </is>
      </c>
      <c r="B3254" s="1" t="n">
        <v>44358</v>
      </c>
      <c r="C3254" s="1" t="n">
        <v>45587</v>
      </c>
      <c r="D3254" t="inlineStr">
        <is>
          <t>GÄVLEBORGS LÄN</t>
        </is>
      </c>
      <c r="E3254" t="inlineStr">
        <is>
          <t>LJUSDAL</t>
        </is>
      </c>
      <c r="F3254" t="inlineStr">
        <is>
          <t>Bergvik skog väst AB</t>
        </is>
      </c>
      <c r="G3254" t="n">
        <v>10.8</v>
      </c>
      <c r="H3254" t="n">
        <v>0</v>
      </c>
      <c r="I3254" t="n">
        <v>0</v>
      </c>
      <c r="J3254" t="n">
        <v>0</v>
      </c>
      <c r="K3254" t="n">
        <v>0</v>
      </c>
      <c r="L3254" t="n">
        <v>0</v>
      </c>
      <c r="M3254" t="n">
        <v>0</v>
      </c>
      <c r="N3254" t="n">
        <v>0</v>
      </c>
      <c r="O3254" t="n">
        <v>0</v>
      </c>
      <c r="P3254" t="n">
        <v>0</v>
      </c>
      <c r="Q3254" t="n">
        <v>0</v>
      </c>
      <c r="R3254" s="2" t="inlineStr"/>
    </row>
    <row r="3255" ht="15" customHeight="1">
      <c r="A3255" t="inlineStr">
        <is>
          <t>A 28999-2021</t>
        </is>
      </c>
      <c r="B3255" s="1" t="n">
        <v>44358</v>
      </c>
      <c r="C3255" s="1" t="n">
        <v>45587</v>
      </c>
      <c r="D3255" t="inlineStr">
        <is>
          <t>GÄVLEBORGS LÄN</t>
        </is>
      </c>
      <c r="E3255" t="inlineStr">
        <is>
          <t>LJUSDAL</t>
        </is>
      </c>
      <c r="F3255" t="inlineStr">
        <is>
          <t>Sveaskog</t>
        </is>
      </c>
      <c r="G3255" t="n">
        <v>7.7</v>
      </c>
      <c r="H3255" t="n">
        <v>0</v>
      </c>
      <c r="I3255" t="n">
        <v>0</v>
      </c>
      <c r="J3255" t="n">
        <v>0</v>
      </c>
      <c r="K3255" t="n">
        <v>0</v>
      </c>
      <c r="L3255" t="n">
        <v>0</v>
      </c>
      <c r="M3255" t="n">
        <v>0</v>
      </c>
      <c r="N3255" t="n">
        <v>0</v>
      </c>
      <c r="O3255" t="n">
        <v>0</v>
      </c>
      <c r="P3255" t="n">
        <v>0</v>
      </c>
      <c r="Q3255" t="n">
        <v>0</v>
      </c>
      <c r="R3255" s="2" t="inlineStr"/>
    </row>
    <row r="3256" ht="15" customHeight="1">
      <c r="A3256" t="inlineStr">
        <is>
          <t>A 29254-2021</t>
        </is>
      </c>
      <c r="B3256" s="1" t="n">
        <v>44358</v>
      </c>
      <c r="C3256" s="1" t="n">
        <v>45587</v>
      </c>
      <c r="D3256" t="inlineStr">
        <is>
          <t>GÄVLEBORGS LÄN</t>
        </is>
      </c>
      <c r="E3256" t="inlineStr">
        <is>
          <t>SANDVIKEN</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29290-2021</t>
        </is>
      </c>
      <c r="B3257" s="1" t="n">
        <v>44361</v>
      </c>
      <c r="C3257" s="1" t="n">
        <v>45587</v>
      </c>
      <c r="D3257" t="inlineStr">
        <is>
          <t>GÄVLEBORGS LÄN</t>
        </is>
      </c>
      <c r="E3257" t="inlineStr">
        <is>
          <t>LJUSDAL</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29402-2021</t>
        </is>
      </c>
      <c r="B3258" s="1" t="n">
        <v>44361</v>
      </c>
      <c r="C3258" s="1" t="n">
        <v>45587</v>
      </c>
      <c r="D3258" t="inlineStr">
        <is>
          <t>GÄVLEBORGS LÄN</t>
        </is>
      </c>
      <c r="E3258" t="inlineStr">
        <is>
          <t>LJUSDAL</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29408-2021</t>
        </is>
      </c>
      <c r="B3259" s="1" t="n">
        <v>44361</v>
      </c>
      <c r="C3259" s="1" t="n">
        <v>45587</v>
      </c>
      <c r="D3259" t="inlineStr">
        <is>
          <t>GÄVLEBORGS LÄN</t>
        </is>
      </c>
      <c r="E3259" t="inlineStr">
        <is>
          <t>LJUSDAL</t>
        </is>
      </c>
      <c r="F3259" t="inlineStr">
        <is>
          <t>Holmen skog AB</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29435-2021</t>
        </is>
      </c>
      <c r="B3260" s="1" t="n">
        <v>44361</v>
      </c>
      <c r="C3260" s="1" t="n">
        <v>45587</v>
      </c>
      <c r="D3260" t="inlineStr">
        <is>
          <t>GÄVLEBORGS LÄN</t>
        </is>
      </c>
      <c r="E3260" t="inlineStr">
        <is>
          <t>LJUSDAL</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29450-2021</t>
        </is>
      </c>
      <c r="B3261" s="1" t="n">
        <v>44361</v>
      </c>
      <c r="C3261" s="1" t="n">
        <v>45587</v>
      </c>
      <c r="D3261" t="inlineStr">
        <is>
          <t>GÄVLEBORGS LÄN</t>
        </is>
      </c>
      <c r="E3261" t="inlineStr">
        <is>
          <t>HUDIKSVALL</t>
        </is>
      </c>
      <c r="F3261" t="inlineStr">
        <is>
          <t>Holmen skog AB</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29285-2021</t>
        </is>
      </c>
      <c r="B3262" s="1" t="n">
        <v>44361</v>
      </c>
      <c r="C3262" s="1" t="n">
        <v>45587</v>
      </c>
      <c r="D3262" t="inlineStr">
        <is>
          <t>GÄVLEBORGS LÄN</t>
        </is>
      </c>
      <c r="E3262" t="inlineStr">
        <is>
          <t>LJUSDAL</t>
        </is>
      </c>
      <c r="G3262" t="n">
        <v>6</v>
      </c>
      <c r="H3262" t="n">
        <v>0</v>
      </c>
      <c r="I3262" t="n">
        <v>0</v>
      </c>
      <c r="J3262" t="n">
        <v>0</v>
      </c>
      <c r="K3262" t="n">
        <v>0</v>
      </c>
      <c r="L3262" t="n">
        <v>0</v>
      </c>
      <c r="M3262" t="n">
        <v>0</v>
      </c>
      <c r="N3262" t="n">
        <v>0</v>
      </c>
      <c r="O3262" t="n">
        <v>0</v>
      </c>
      <c r="P3262" t="n">
        <v>0</v>
      </c>
      <c r="Q3262" t="n">
        <v>0</v>
      </c>
      <c r="R3262" s="2" t="inlineStr"/>
    </row>
    <row r="3263" ht="15" customHeight="1">
      <c r="A3263" t="inlineStr">
        <is>
          <t>A 29313-2021</t>
        </is>
      </c>
      <c r="B3263" s="1" t="n">
        <v>44361</v>
      </c>
      <c r="C3263" s="1" t="n">
        <v>45587</v>
      </c>
      <c r="D3263" t="inlineStr">
        <is>
          <t>GÄVLEBORGS LÄN</t>
        </is>
      </c>
      <c r="E3263" t="inlineStr">
        <is>
          <t>GÄVLE</t>
        </is>
      </c>
      <c r="F3263" t="inlineStr">
        <is>
          <t>Bergvik skog väst AB</t>
        </is>
      </c>
      <c r="G3263" t="n">
        <v>6.5</v>
      </c>
      <c r="H3263" t="n">
        <v>0</v>
      </c>
      <c r="I3263" t="n">
        <v>0</v>
      </c>
      <c r="J3263" t="n">
        <v>0</v>
      </c>
      <c r="K3263" t="n">
        <v>0</v>
      </c>
      <c r="L3263" t="n">
        <v>0</v>
      </c>
      <c r="M3263" t="n">
        <v>0</v>
      </c>
      <c r="N3263" t="n">
        <v>0</v>
      </c>
      <c r="O3263" t="n">
        <v>0</v>
      </c>
      <c r="P3263" t="n">
        <v>0</v>
      </c>
      <c r="Q3263" t="n">
        <v>0</v>
      </c>
      <c r="R3263" s="2" t="inlineStr"/>
    </row>
    <row r="3264" ht="15" customHeight="1">
      <c r="A3264" t="inlineStr">
        <is>
          <t>A 29326-2021</t>
        </is>
      </c>
      <c r="B3264" s="1" t="n">
        <v>44361</v>
      </c>
      <c r="C3264" s="1" t="n">
        <v>45587</v>
      </c>
      <c r="D3264" t="inlineStr">
        <is>
          <t>GÄVLEBORGS LÄN</t>
        </is>
      </c>
      <c r="E3264" t="inlineStr">
        <is>
          <t>LJUSDAL</t>
        </is>
      </c>
      <c r="G3264" t="n">
        <v>7.9</v>
      </c>
      <c r="H3264" t="n">
        <v>0</v>
      </c>
      <c r="I3264" t="n">
        <v>0</v>
      </c>
      <c r="J3264" t="n">
        <v>0</v>
      </c>
      <c r="K3264" t="n">
        <v>0</v>
      </c>
      <c r="L3264" t="n">
        <v>0</v>
      </c>
      <c r="M3264" t="n">
        <v>0</v>
      </c>
      <c r="N3264" t="n">
        <v>0</v>
      </c>
      <c r="O3264" t="n">
        <v>0</v>
      </c>
      <c r="P3264" t="n">
        <v>0</v>
      </c>
      <c r="Q3264" t="n">
        <v>0</v>
      </c>
      <c r="R3264" s="2" t="inlineStr"/>
    </row>
    <row r="3265" ht="15" customHeight="1">
      <c r="A3265" t="inlineStr">
        <is>
          <t>A 29400-2021</t>
        </is>
      </c>
      <c r="B3265" s="1" t="n">
        <v>44361</v>
      </c>
      <c r="C3265" s="1" t="n">
        <v>45587</v>
      </c>
      <c r="D3265" t="inlineStr">
        <is>
          <t>GÄVLEBORGS LÄN</t>
        </is>
      </c>
      <c r="E3265" t="inlineStr">
        <is>
          <t>LJUSDAL</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29437-2021</t>
        </is>
      </c>
      <c r="B3266" s="1" t="n">
        <v>44361</v>
      </c>
      <c r="C3266" s="1" t="n">
        <v>45587</v>
      </c>
      <c r="D3266" t="inlineStr">
        <is>
          <t>GÄVLEBORGS LÄN</t>
        </is>
      </c>
      <c r="E3266" t="inlineStr">
        <is>
          <t>OCKELBO</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29404-2021</t>
        </is>
      </c>
      <c r="B3267" s="1" t="n">
        <v>44361</v>
      </c>
      <c r="C3267" s="1" t="n">
        <v>45587</v>
      </c>
      <c r="D3267" t="inlineStr">
        <is>
          <t>GÄVLEBORGS LÄN</t>
        </is>
      </c>
      <c r="E3267" t="inlineStr">
        <is>
          <t>LJUSDAL</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29454-2021</t>
        </is>
      </c>
      <c r="B3268" s="1" t="n">
        <v>44361</v>
      </c>
      <c r="C3268" s="1" t="n">
        <v>45587</v>
      </c>
      <c r="D3268" t="inlineStr">
        <is>
          <t>GÄVLEBORGS LÄN</t>
        </is>
      </c>
      <c r="E3268" t="inlineStr">
        <is>
          <t>HUDIKSVALL</t>
        </is>
      </c>
      <c r="F3268" t="inlineStr">
        <is>
          <t>Holmen skog AB</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29479-2021</t>
        </is>
      </c>
      <c r="B3269" s="1" t="n">
        <v>44361</v>
      </c>
      <c r="C3269" s="1" t="n">
        <v>45587</v>
      </c>
      <c r="D3269" t="inlineStr">
        <is>
          <t>GÄVLEBORGS LÄN</t>
        </is>
      </c>
      <c r="E3269" t="inlineStr">
        <is>
          <t>LJUSDAL</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29486-2021</t>
        </is>
      </c>
      <c r="B3270" s="1" t="n">
        <v>44361</v>
      </c>
      <c r="C3270" s="1" t="n">
        <v>45587</v>
      </c>
      <c r="D3270" t="inlineStr">
        <is>
          <t>GÄVLEBORGS LÄN</t>
        </is>
      </c>
      <c r="E3270" t="inlineStr">
        <is>
          <t>HUDIKSVALL</t>
        </is>
      </c>
      <c r="F3270" t="inlineStr">
        <is>
          <t>Holmen skog AB</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29476-2021</t>
        </is>
      </c>
      <c r="B3271" s="1" t="n">
        <v>44361</v>
      </c>
      <c r="C3271" s="1" t="n">
        <v>45587</v>
      </c>
      <c r="D3271" t="inlineStr">
        <is>
          <t>GÄVLEBORGS LÄN</t>
        </is>
      </c>
      <c r="E3271" t="inlineStr">
        <is>
          <t>HUDIKSVALL</t>
        </is>
      </c>
      <c r="F3271" t="inlineStr">
        <is>
          <t>Holmen skog AB</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29593-2021</t>
        </is>
      </c>
      <c r="B3272" s="1" t="n">
        <v>44362</v>
      </c>
      <c r="C3272" s="1" t="n">
        <v>45587</v>
      </c>
      <c r="D3272" t="inlineStr">
        <is>
          <t>GÄVLEBORGS LÄN</t>
        </is>
      </c>
      <c r="E3272" t="inlineStr">
        <is>
          <t>NORDANSTIG</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29480-2021</t>
        </is>
      </c>
      <c r="B3273" s="1" t="n">
        <v>44361</v>
      </c>
      <c r="C3273" s="1" t="n">
        <v>45587</v>
      </c>
      <c r="D3273" t="inlineStr">
        <is>
          <t>GÄVLEBORGS LÄN</t>
        </is>
      </c>
      <c r="E3273" t="inlineStr">
        <is>
          <t>LJUSDAL</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29568-2021</t>
        </is>
      </c>
      <c r="B3274" s="1" t="n">
        <v>44362</v>
      </c>
      <c r="C3274" s="1" t="n">
        <v>45587</v>
      </c>
      <c r="D3274" t="inlineStr">
        <is>
          <t>GÄVLEBORGS LÄN</t>
        </is>
      </c>
      <c r="E3274" t="inlineStr">
        <is>
          <t>LJUSDAL</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29586-2021</t>
        </is>
      </c>
      <c r="B3275" s="1" t="n">
        <v>44362</v>
      </c>
      <c r="C3275" s="1" t="n">
        <v>45587</v>
      </c>
      <c r="D3275" t="inlineStr">
        <is>
          <t>GÄVLEBORGS LÄN</t>
        </is>
      </c>
      <c r="E3275" t="inlineStr">
        <is>
          <t>LJUSDAL</t>
        </is>
      </c>
      <c r="G3275" t="n">
        <v>6.5</v>
      </c>
      <c r="H3275" t="n">
        <v>0</v>
      </c>
      <c r="I3275" t="n">
        <v>0</v>
      </c>
      <c r="J3275" t="n">
        <v>0</v>
      </c>
      <c r="K3275" t="n">
        <v>0</v>
      </c>
      <c r="L3275" t="n">
        <v>0</v>
      </c>
      <c r="M3275" t="n">
        <v>0</v>
      </c>
      <c r="N3275" t="n">
        <v>0</v>
      </c>
      <c r="O3275" t="n">
        <v>0</v>
      </c>
      <c r="P3275" t="n">
        <v>0</v>
      </c>
      <c r="Q3275" t="n">
        <v>0</v>
      </c>
      <c r="R3275" s="2" t="inlineStr"/>
    </row>
    <row r="3276" ht="15" customHeight="1">
      <c r="A3276" t="inlineStr">
        <is>
          <t>A 29812-2021</t>
        </is>
      </c>
      <c r="B3276" s="1" t="n">
        <v>44362</v>
      </c>
      <c r="C3276" s="1" t="n">
        <v>45587</v>
      </c>
      <c r="D3276" t="inlineStr">
        <is>
          <t>GÄVLEBORGS LÄN</t>
        </is>
      </c>
      <c r="E3276" t="inlineStr">
        <is>
          <t>BOLLNÄS</t>
        </is>
      </c>
      <c r="F3276" t="inlineStr">
        <is>
          <t>Sveaskog</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29875-2021</t>
        </is>
      </c>
      <c r="B3277" s="1" t="n">
        <v>44362</v>
      </c>
      <c r="C3277" s="1" t="n">
        <v>45587</v>
      </c>
      <c r="D3277" t="inlineStr">
        <is>
          <t>GÄVLEBORGS LÄN</t>
        </is>
      </c>
      <c r="E3277" t="inlineStr">
        <is>
          <t>OCKELBO</t>
        </is>
      </c>
      <c r="F3277" t="inlineStr">
        <is>
          <t>Bergvik skog väst AB</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29898-2021</t>
        </is>
      </c>
      <c r="B3278" s="1" t="n">
        <v>44362</v>
      </c>
      <c r="C3278" s="1" t="n">
        <v>45587</v>
      </c>
      <c r="D3278" t="inlineStr">
        <is>
          <t>GÄVLEBORGS LÄN</t>
        </is>
      </c>
      <c r="E3278" t="inlineStr">
        <is>
          <t>HUDIKSVALL</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29828-2021</t>
        </is>
      </c>
      <c r="B3279" s="1" t="n">
        <v>44362</v>
      </c>
      <c r="C3279" s="1" t="n">
        <v>45587</v>
      </c>
      <c r="D3279" t="inlineStr">
        <is>
          <t>GÄVLEBORGS LÄN</t>
        </is>
      </c>
      <c r="E3279" t="inlineStr">
        <is>
          <t>NORDANSTIG</t>
        </is>
      </c>
      <c r="F3279" t="inlineStr">
        <is>
          <t>Holmen skog AB</t>
        </is>
      </c>
      <c r="G3279" t="n">
        <v>0.1</v>
      </c>
      <c r="H3279" t="n">
        <v>0</v>
      </c>
      <c r="I3279" t="n">
        <v>0</v>
      </c>
      <c r="J3279" t="n">
        <v>0</v>
      </c>
      <c r="K3279" t="n">
        <v>0</v>
      </c>
      <c r="L3279" t="n">
        <v>0</v>
      </c>
      <c r="M3279" t="n">
        <v>0</v>
      </c>
      <c r="N3279" t="n">
        <v>0</v>
      </c>
      <c r="O3279" t="n">
        <v>0</v>
      </c>
      <c r="P3279" t="n">
        <v>0</v>
      </c>
      <c r="Q3279" t="n">
        <v>0</v>
      </c>
      <c r="R3279" s="2" t="inlineStr"/>
    </row>
    <row r="3280" ht="15" customHeight="1">
      <c r="A3280" t="inlineStr">
        <is>
          <t>A 29858-2021</t>
        </is>
      </c>
      <c r="B3280" s="1" t="n">
        <v>44362</v>
      </c>
      <c r="C3280" s="1" t="n">
        <v>45587</v>
      </c>
      <c r="D3280" t="inlineStr">
        <is>
          <t>GÄVLEBORGS LÄN</t>
        </is>
      </c>
      <c r="E3280" t="inlineStr">
        <is>
          <t>HUDIKSVALL</t>
        </is>
      </c>
      <c r="F3280" t="inlineStr">
        <is>
          <t>Holmen skog AB</t>
        </is>
      </c>
      <c r="G3280" t="n">
        <v>8.1</v>
      </c>
      <c r="H3280" t="n">
        <v>0</v>
      </c>
      <c r="I3280" t="n">
        <v>0</v>
      </c>
      <c r="J3280" t="n">
        <v>0</v>
      </c>
      <c r="K3280" t="n">
        <v>0</v>
      </c>
      <c r="L3280" t="n">
        <v>0</v>
      </c>
      <c r="M3280" t="n">
        <v>0</v>
      </c>
      <c r="N3280" t="n">
        <v>0</v>
      </c>
      <c r="O3280" t="n">
        <v>0</v>
      </c>
      <c r="P3280" t="n">
        <v>0</v>
      </c>
      <c r="Q3280" t="n">
        <v>0</v>
      </c>
      <c r="R3280" s="2" t="inlineStr"/>
    </row>
    <row r="3281" ht="15" customHeight="1">
      <c r="A3281" t="inlineStr">
        <is>
          <t>A 29972-2021</t>
        </is>
      </c>
      <c r="B3281" s="1" t="n">
        <v>44363</v>
      </c>
      <c r="C3281" s="1" t="n">
        <v>45587</v>
      </c>
      <c r="D3281" t="inlineStr">
        <is>
          <t>GÄVLEBORGS LÄN</t>
        </is>
      </c>
      <c r="E3281" t="inlineStr">
        <is>
          <t>BOLLNÄS</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30112-2021</t>
        </is>
      </c>
      <c r="B3282" s="1" t="n">
        <v>44363</v>
      </c>
      <c r="C3282" s="1" t="n">
        <v>45587</v>
      </c>
      <c r="D3282" t="inlineStr">
        <is>
          <t>GÄVLEBORGS LÄN</t>
        </is>
      </c>
      <c r="E3282" t="inlineStr">
        <is>
          <t>LJUSDAL</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30153-2021</t>
        </is>
      </c>
      <c r="B3283" s="1" t="n">
        <v>44363</v>
      </c>
      <c r="C3283" s="1" t="n">
        <v>45587</v>
      </c>
      <c r="D3283" t="inlineStr">
        <is>
          <t>GÄVLEBORGS LÄN</t>
        </is>
      </c>
      <c r="E3283" t="inlineStr">
        <is>
          <t>HUDIKSVALL</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30424-2021</t>
        </is>
      </c>
      <c r="B3284" s="1" t="n">
        <v>44364</v>
      </c>
      <c r="C3284" s="1" t="n">
        <v>45587</v>
      </c>
      <c r="D3284" t="inlineStr">
        <is>
          <t>GÄVLEBORGS LÄN</t>
        </is>
      </c>
      <c r="E3284" t="inlineStr">
        <is>
          <t>OVANÅKER</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30309-2021</t>
        </is>
      </c>
      <c r="B3285" s="1" t="n">
        <v>44364</v>
      </c>
      <c r="C3285" s="1" t="n">
        <v>45587</v>
      </c>
      <c r="D3285" t="inlineStr">
        <is>
          <t>GÄVLEBORGS LÄN</t>
        </is>
      </c>
      <c r="E3285" t="inlineStr">
        <is>
          <t>SANDVIKEN</t>
        </is>
      </c>
      <c r="F3285" t="inlineStr">
        <is>
          <t>Bergvik skog öst AB</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30330-2021</t>
        </is>
      </c>
      <c r="B3286" s="1" t="n">
        <v>44364</v>
      </c>
      <c r="C3286" s="1" t="n">
        <v>45587</v>
      </c>
      <c r="D3286" t="inlineStr">
        <is>
          <t>GÄVLEBORGS LÄN</t>
        </is>
      </c>
      <c r="E3286" t="inlineStr">
        <is>
          <t>GÄVLE</t>
        </is>
      </c>
      <c r="F3286" t="inlineStr">
        <is>
          <t>Bergvik skog öst AB</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30515-2021</t>
        </is>
      </c>
      <c r="B3287" s="1" t="n">
        <v>44364</v>
      </c>
      <c r="C3287" s="1" t="n">
        <v>45587</v>
      </c>
      <c r="D3287" t="inlineStr">
        <is>
          <t>GÄVLEBORGS LÄN</t>
        </is>
      </c>
      <c r="E3287" t="inlineStr">
        <is>
          <t>NORDANSTIG</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30439-2021</t>
        </is>
      </c>
      <c r="B3288" s="1" t="n">
        <v>44364</v>
      </c>
      <c r="C3288" s="1" t="n">
        <v>45587</v>
      </c>
      <c r="D3288" t="inlineStr">
        <is>
          <t>GÄVLEBORGS LÄN</t>
        </is>
      </c>
      <c r="E3288" t="inlineStr">
        <is>
          <t>OVANÅKER</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30525-2021</t>
        </is>
      </c>
      <c r="B3289" s="1" t="n">
        <v>44364</v>
      </c>
      <c r="C3289" s="1" t="n">
        <v>45587</v>
      </c>
      <c r="D3289" t="inlineStr">
        <is>
          <t>GÄVLEBORGS LÄN</t>
        </is>
      </c>
      <c r="E3289" t="inlineStr">
        <is>
          <t>GÄVLE</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30577-2021</t>
        </is>
      </c>
      <c r="B3290" s="1" t="n">
        <v>44364</v>
      </c>
      <c r="C3290" s="1" t="n">
        <v>45587</v>
      </c>
      <c r="D3290" t="inlineStr">
        <is>
          <t>GÄVLEBORGS LÄN</t>
        </is>
      </c>
      <c r="E3290" t="inlineStr">
        <is>
          <t>LJUSDAL</t>
        </is>
      </c>
      <c r="G3290" t="n">
        <v>5.7</v>
      </c>
      <c r="H3290" t="n">
        <v>0</v>
      </c>
      <c r="I3290" t="n">
        <v>0</v>
      </c>
      <c r="J3290" t="n">
        <v>0</v>
      </c>
      <c r="K3290" t="n">
        <v>0</v>
      </c>
      <c r="L3290" t="n">
        <v>0</v>
      </c>
      <c r="M3290" t="n">
        <v>0</v>
      </c>
      <c r="N3290" t="n">
        <v>0</v>
      </c>
      <c r="O3290" t="n">
        <v>0</v>
      </c>
      <c r="P3290" t="n">
        <v>0</v>
      </c>
      <c r="Q3290" t="n">
        <v>0</v>
      </c>
      <c r="R3290" s="2" t="inlineStr"/>
    </row>
    <row r="3291" ht="15" customHeight="1">
      <c r="A3291" t="inlineStr">
        <is>
          <t>A 30523-2021</t>
        </is>
      </c>
      <c r="B3291" s="1" t="n">
        <v>44364</v>
      </c>
      <c r="C3291" s="1" t="n">
        <v>45587</v>
      </c>
      <c r="D3291" t="inlineStr">
        <is>
          <t>GÄVLEBORGS LÄN</t>
        </is>
      </c>
      <c r="E3291" t="inlineStr">
        <is>
          <t>BOLLNÄS</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30607-2021</t>
        </is>
      </c>
      <c r="B3292" s="1" t="n">
        <v>44365</v>
      </c>
      <c r="C3292" s="1" t="n">
        <v>45587</v>
      </c>
      <c r="D3292" t="inlineStr">
        <is>
          <t>GÄVLEBORGS LÄN</t>
        </is>
      </c>
      <c r="E3292" t="inlineStr">
        <is>
          <t>LJUSDAL</t>
        </is>
      </c>
      <c r="F3292" t="inlineStr">
        <is>
          <t>Sveaskog</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30601-2021</t>
        </is>
      </c>
      <c r="B3293" s="1" t="n">
        <v>44365</v>
      </c>
      <c r="C3293" s="1" t="n">
        <v>45587</v>
      </c>
      <c r="D3293" t="inlineStr">
        <is>
          <t>GÄVLEBORGS LÄN</t>
        </is>
      </c>
      <c r="E3293" t="inlineStr">
        <is>
          <t>LJUSDAL</t>
        </is>
      </c>
      <c r="F3293" t="inlineStr">
        <is>
          <t>Sveaskog</t>
        </is>
      </c>
      <c r="G3293" t="n">
        <v>5.1</v>
      </c>
      <c r="H3293" t="n">
        <v>0</v>
      </c>
      <c r="I3293" t="n">
        <v>0</v>
      </c>
      <c r="J3293" t="n">
        <v>0</v>
      </c>
      <c r="K3293" t="n">
        <v>0</v>
      </c>
      <c r="L3293" t="n">
        <v>0</v>
      </c>
      <c r="M3293" t="n">
        <v>0</v>
      </c>
      <c r="N3293" t="n">
        <v>0</v>
      </c>
      <c r="O3293" t="n">
        <v>0</v>
      </c>
      <c r="P3293" t="n">
        <v>0</v>
      </c>
      <c r="Q3293" t="n">
        <v>0</v>
      </c>
      <c r="R3293" s="2" t="inlineStr"/>
    </row>
    <row r="3294" ht="15" customHeight="1">
      <c r="A3294" t="inlineStr">
        <is>
          <t>A 30668-2021</t>
        </is>
      </c>
      <c r="B3294" s="1" t="n">
        <v>44365</v>
      </c>
      <c r="C3294" s="1" t="n">
        <v>45587</v>
      </c>
      <c r="D3294" t="inlineStr">
        <is>
          <t>GÄVLEBORGS LÄN</t>
        </is>
      </c>
      <c r="E3294" t="inlineStr">
        <is>
          <t>LJUSDAL</t>
        </is>
      </c>
      <c r="G3294" t="n">
        <v>7.6</v>
      </c>
      <c r="H3294" t="n">
        <v>0</v>
      </c>
      <c r="I3294" t="n">
        <v>0</v>
      </c>
      <c r="J3294" t="n">
        <v>0</v>
      </c>
      <c r="K3294" t="n">
        <v>0</v>
      </c>
      <c r="L3294" t="n">
        <v>0</v>
      </c>
      <c r="M3294" t="n">
        <v>0</v>
      </c>
      <c r="N3294" t="n">
        <v>0</v>
      </c>
      <c r="O3294" t="n">
        <v>0</v>
      </c>
      <c r="P3294" t="n">
        <v>0</v>
      </c>
      <c r="Q3294" t="n">
        <v>0</v>
      </c>
      <c r="R3294" s="2" t="inlineStr"/>
    </row>
    <row r="3295" ht="15" customHeight="1">
      <c r="A3295" t="inlineStr">
        <is>
          <t>A 30816-2021</t>
        </is>
      </c>
      <c r="B3295" s="1" t="n">
        <v>44365</v>
      </c>
      <c r="C3295" s="1" t="n">
        <v>45587</v>
      </c>
      <c r="D3295" t="inlineStr">
        <is>
          <t>GÄVLEBORGS LÄN</t>
        </is>
      </c>
      <c r="E3295" t="inlineStr">
        <is>
          <t>LJUSDAL</t>
        </is>
      </c>
      <c r="F3295" t="inlineStr">
        <is>
          <t>Bergvik skog väst AB</t>
        </is>
      </c>
      <c r="G3295" t="n">
        <v>5.6</v>
      </c>
      <c r="H3295" t="n">
        <v>0</v>
      </c>
      <c r="I3295" t="n">
        <v>0</v>
      </c>
      <c r="J3295" t="n">
        <v>0</v>
      </c>
      <c r="K3295" t="n">
        <v>0</v>
      </c>
      <c r="L3295" t="n">
        <v>0</v>
      </c>
      <c r="M3295" t="n">
        <v>0</v>
      </c>
      <c r="N3295" t="n">
        <v>0</v>
      </c>
      <c r="O3295" t="n">
        <v>0</v>
      </c>
      <c r="P3295" t="n">
        <v>0</v>
      </c>
      <c r="Q3295" t="n">
        <v>0</v>
      </c>
      <c r="R3295" s="2" t="inlineStr"/>
    </row>
    <row r="3296" ht="15" customHeight="1">
      <c r="A3296" t="inlineStr">
        <is>
          <t>A 30770-2021</t>
        </is>
      </c>
      <c r="B3296" s="1" t="n">
        <v>44365</v>
      </c>
      <c r="C3296" s="1" t="n">
        <v>45587</v>
      </c>
      <c r="D3296" t="inlineStr">
        <is>
          <t>GÄVLEBORGS LÄN</t>
        </is>
      </c>
      <c r="E3296" t="inlineStr">
        <is>
          <t>LJUSDAL</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30956-2021</t>
        </is>
      </c>
      <c r="B3297" s="1" t="n">
        <v>44365</v>
      </c>
      <c r="C3297" s="1" t="n">
        <v>45587</v>
      </c>
      <c r="D3297" t="inlineStr">
        <is>
          <t>GÄVLEBORGS LÄN</t>
        </is>
      </c>
      <c r="E3297" t="inlineStr">
        <is>
          <t>OVANÅKER</t>
        </is>
      </c>
      <c r="F3297" t="inlineStr">
        <is>
          <t>Sveaskog</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30813-2021</t>
        </is>
      </c>
      <c r="B3298" s="1" t="n">
        <v>44365</v>
      </c>
      <c r="C3298" s="1" t="n">
        <v>45587</v>
      </c>
      <c r="D3298" t="inlineStr">
        <is>
          <t>GÄVLEBORGS LÄN</t>
        </is>
      </c>
      <c r="E3298" t="inlineStr">
        <is>
          <t>BOLLNÄS</t>
        </is>
      </c>
      <c r="F3298" t="inlineStr">
        <is>
          <t>Sveaskog</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31091-2021</t>
        </is>
      </c>
      <c r="B3299" s="1" t="n">
        <v>44368</v>
      </c>
      <c r="C3299" s="1" t="n">
        <v>45587</v>
      </c>
      <c r="D3299" t="inlineStr">
        <is>
          <t>GÄVLEBORGS LÄN</t>
        </is>
      </c>
      <c r="E3299" t="inlineStr">
        <is>
          <t>LJUSDAL</t>
        </is>
      </c>
      <c r="F3299" t="inlineStr">
        <is>
          <t>Holmen skog AB</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31123-2021</t>
        </is>
      </c>
      <c r="B3300" s="1" t="n">
        <v>44368</v>
      </c>
      <c r="C3300" s="1" t="n">
        <v>45587</v>
      </c>
      <c r="D3300" t="inlineStr">
        <is>
          <t>GÄVLEBORGS LÄN</t>
        </is>
      </c>
      <c r="E3300" t="inlineStr">
        <is>
          <t>HOFORS</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31042-2021</t>
        </is>
      </c>
      <c r="B3301" s="1" t="n">
        <v>44368</v>
      </c>
      <c r="C3301" s="1" t="n">
        <v>45587</v>
      </c>
      <c r="D3301" t="inlineStr">
        <is>
          <t>GÄVLEBORGS LÄN</t>
        </is>
      </c>
      <c r="E3301" t="inlineStr">
        <is>
          <t>LJUSDAL</t>
        </is>
      </c>
      <c r="F3301" t="inlineStr">
        <is>
          <t>Holmen skog AB</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31041-2021</t>
        </is>
      </c>
      <c r="B3302" s="1" t="n">
        <v>44368</v>
      </c>
      <c r="C3302" s="1" t="n">
        <v>45587</v>
      </c>
      <c r="D3302" t="inlineStr">
        <is>
          <t>GÄVLEBORGS LÄN</t>
        </is>
      </c>
      <c r="E3302" t="inlineStr">
        <is>
          <t>LJUSDAL</t>
        </is>
      </c>
      <c r="F3302" t="inlineStr">
        <is>
          <t>Holmen skog AB</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31083-2021</t>
        </is>
      </c>
      <c r="B3303" s="1" t="n">
        <v>44368</v>
      </c>
      <c r="C3303" s="1" t="n">
        <v>45587</v>
      </c>
      <c r="D3303" t="inlineStr">
        <is>
          <t>GÄVLEBORGS LÄN</t>
        </is>
      </c>
      <c r="E3303" t="inlineStr">
        <is>
          <t>SANDVIKEN</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31065-2021</t>
        </is>
      </c>
      <c r="B3304" s="1" t="n">
        <v>44368</v>
      </c>
      <c r="C3304" s="1" t="n">
        <v>45587</v>
      </c>
      <c r="D3304" t="inlineStr">
        <is>
          <t>GÄVLEBORGS LÄN</t>
        </is>
      </c>
      <c r="E3304" t="inlineStr">
        <is>
          <t>LJUSDAL</t>
        </is>
      </c>
      <c r="F3304" t="inlineStr">
        <is>
          <t>Holmen skog AB</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32644-2021</t>
        </is>
      </c>
      <c r="B3305" s="1" t="n">
        <v>44368</v>
      </c>
      <c r="C3305" s="1" t="n">
        <v>45587</v>
      </c>
      <c r="D3305" t="inlineStr">
        <is>
          <t>GÄVLEBORGS LÄN</t>
        </is>
      </c>
      <c r="E3305" t="inlineStr">
        <is>
          <t>HUDIKSVALL</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31423-2021</t>
        </is>
      </c>
      <c r="B3306" s="1" t="n">
        <v>44369</v>
      </c>
      <c r="C3306" s="1" t="n">
        <v>45587</v>
      </c>
      <c r="D3306" t="inlineStr">
        <is>
          <t>GÄVLEBORGS LÄN</t>
        </is>
      </c>
      <c r="E3306" t="inlineStr">
        <is>
          <t>GÄVLE</t>
        </is>
      </c>
      <c r="F3306" t="inlineStr">
        <is>
          <t>Bergvik skog väst AB</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31515-2021</t>
        </is>
      </c>
      <c r="B3307" s="1" t="n">
        <v>44369</v>
      </c>
      <c r="C3307" s="1" t="n">
        <v>45587</v>
      </c>
      <c r="D3307" t="inlineStr">
        <is>
          <t>GÄVLEBORGS LÄN</t>
        </is>
      </c>
      <c r="E3307" t="inlineStr">
        <is>
          <t>BOLLNÄS</t>
        </is>
      </c>
      <c r="F3307" t="inlineStr">
        <is>
          <t>Bergvik skog väst AB</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31482-2021</t>
        </is>
      </c>
      <c r="B3308" s="1" t="n">
        <v>44369</v>
      </c>
      <c r="C3308" s="1" t="n">
        <v>45587</v>
      </c>
      <c r="D3308" t="inlineStr">
        <is>
          <t>GÄVLEBORGS LÄN</t>
        </is>
      </c>
      <c r="E3308" t="inlineStr">
        <is>
          <t>HUDIKSVALL</t>
        </is>
      </c>
      <c r="F3308" t="inlineStr">
        <is>
          <t>Holmen skog AB</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31490-2021</t>
        </is>
      </c>
      <c r="B3309" s="1" t="n">
        <v>44369</v>
      </c>
      <c r="C3309" s="1" t="n">
        <v>45587</v>
      </c>
      <c r="D3309" t="inlineStr">
        <is>
          <t>GÄVLEBORGS LÄN</t>
        </is>
      </c>
      <c r="E3309" t="inlineStr">
        <is>
          <t>HUDIKSVALL</t>
        </is>
      </c>
      <c r="F3309" t="inlineStr">
        <is>
          <t>Holmen skog AB</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31691-2021</t>
        </is>
      </c>
      <c r="B3310" s="1" t="n">
        <v>44369</v>
      </c>
      <c r="C3310" s="1" t="n">
        <v>45587</v>
      </c>
      <c r="D3310" t="inlineStr">
        <is>
          <t>GÄVLEBORGS LÄN</t>
        </is>
      </c>
      <c r="E3310" t="inlineStr">
        <is>
          <t>BOLLNÄS</t>
        </is>
      </c>
      <c r="F3310" t="inlineStr">
        <is>
          <t>Sveaskog</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31619-2021</t>
        </is>
      </c>
      <c r="B3311" s="1" t="n">
        <v>44369</v>
      </c>
      <c r="C3311" s="1" t="n">
        <v>45587</v>
      </c>
      <c r="D3311" t="inlineStr">
        <is>
          <t>GÄVLEBORGS LÄN</t>
        </is>
      </c>
      <c r="E3311" t="inlineStr">
        <is>
          <t>GÄVLE</t>
        </is>
      </c>
      <c r="F3311" t="inlineStr">
        <is>
          <t>Bergvik skog väst AB</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31694-2021</t>
        </is>
      </c>
      <c r="B3312" s="1" t="n">
        <v>44369</v>
      </c>
      <c r="C3312" s="1" t="n">
        <v>45587</v>
      </c>
      <c r="D3312" t="inlineStr">
        <is>
          <t>GÄVLEBORGS LÄN</t>
        </is>
      </c>
      <c r="E3312" t="inlineStr">
        <is>
          <t>BOLLNÄS</t>
        </is>
      </c>
      <c r="F3312" t="inlineStr">
        <is>
          <t>Sveaskog</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31642-2021</t>
        </is>
      </c>
      <c r="B3313" s="1" t="n">
        <v>44369</v>
      </c>
      <c r="C3313" s="1" t="n">
        <v>45587</v>
      </c>
      <c r="D3313" t="inlineStr">
        <is>
          <t>GÄVLEBORGS LÄN</t>
        </is>
      </c>
      <c r="E3313" t="inlineStr">
        <is>
          <t>HUDIKSVALL</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31801-2021</t>
        </is>
      </c>
      <c r="B3314" s="1" t="n">
        <v>44370</v>
      </c>
      <c r="C3314" s="1" t="n">
        <v>45587</v>
      </c>
      <c r="D3314" t="inlineStr">
        <is>
          <t>GÄVLEBORGS LÄN</t>
        </is>
      </c>
      <c r="E3314" t="inlineStr">
        <is>
          <t>BOLLNÄS</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31848-2021</t>
        </is>
      </c>
      <c r="B3315" s="1" t="n">
        <v>44370</v>
      </c>
      <c r="C3315" s="1" t="n">
        <v>45587</v>
      </c>
      <c r="D3315" t="inlineStr">
        <is>
          <t>GÄVLEBORGS LÄN</t>
        </is>
      </c>
      <c r="E3315" t="inlineStr">
        <is>
          <t>BOLLNÄS</t>
        </is>
      </c>
      <c r="F3315" t="inlineStr">
        <is>
          <t>Bergvik skog väst AB</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31903-2021</t>
        </is>
      </c>
      <c r="B3316" s="1" t="n">
        <v>44370</v>
      </c>
      <c r="C3316" s="1" t="n">
        <v>45587</v>
      </c>
      <c r="D3316" t="inlineStr">
        <is>
          <t>GÄVLEBORGS LÄN</t>
        </is>
      </c>
      <c r="E3316" t="inlineStr">
        <is>
          <t>HUDIKSVALL</t>
        </is>
      </c>
      <c r="F3316" t="inlineStr">
        <is>
          <t>Holmen skog AB</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31927-2021</t>
        </is>
      </c>
      <c r="B3317" s="1" t="n">
        <v>44370</v>
      </c>
      <c r="C3317" s="1" t="n">
        <v>45587</v>
      </c>
      <c r="D3317" t="inlineStr">
        <is>
          <t>GÄVLEBORGS LÄN</t>
        </is>
      </c>
      <c r="E3317" t="inlineStr">
        <is>
          <t>SÖDERHAMN</t>
        </is>
      </c>
      <c r="F3317" t="inlineStr">
        <is>
          <t>Bergvik skog väst AB</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31768-2021</t>
        </is>
      </c>
      <c r="B3318" s="1" t="n">
        <v>44370</v>
      </c>
      <c r="C3318" s="1" t="n">
        <v>45587</v>
      </c>
      <c r="D3318" t="inlineStr">
        <is>
          <t>GÄVLEBORGS LÄN</t>
        </is>
      </c>
      <c r="E3318" t="inlineStr">
        <is>
          <t>BOLLNÄS</t>
        </is>
      </c>
      <c r="F3318" t="inlineStr">
        <is>
          <t>Bergvik skog väst AB</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31923-2021</t>
        </is>
      </c>
      <c r="B3319" s="1" t="n">
        <v>44370</v>
      </c>
      <c r="C3319" s="1" t="n">
        <v>45587</v>
      </c>
      <c r="D3319" t="inlineStr">
        <is>
          <t>GÄVLEBORGS LÄN</t>
        </is>
      </c>
      <c r="E3319" t="inlineStr">
        <is>
          <t>NORDANSTIG</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31930-2021</t>
        </is>
      </c>
      <c r="B3320" s="1" t="n">
        <v>44370</v>
      </c>
      <c r="C3320" s="1" t="n">
        <v>45587</v>
      </c>
      <c r="D3320" t="inlineStr">
        <is>
          <t>GÄVLEBORGS LÄN</t>
        </is>
      </c>
      <c r="E3320" t="inlineStr">
        <is>
          <t>NORDANSTIG</t>
        </is>
      </c>
      <c r="G3320" t="n">
        <v>9.4</v>
      </c>
      <c r="H3320" t="n">
        <v>0</v>
      </c>
      <c r="I3320" t="n">
        <v>0</v>
      </c>
      <c r="J3320" t="n">
        <v>0</v>
      </c>
      <c r="K3320" t="n">
        <v>0</v>
      </c>
      <c r="L3320" t="n">
        <v>0</v>
      </c>
      <c r="M3320" t="n">
        <v>0</v>
      </c>
      <c r="N3320" t="n">
        <v>0</v>
      </c>
      <c r="O3320" t="n">
        <v>0</v>
      </c>
      <c r="P3320" t="n">
        <v>0</v>
      </c>
      <c r="Q3320" t="n">
        <v>0</v>
      </c>
      <c r="R3320" s="2" t="inlineStr"/>
    </row>
    <row r="3321" ht="15" customHeight="1">
      <c r="A3321" t="inlineStr">
        <is>
          <t>A 31967-2021</t>
        </is>
      </c>
      <c r="B3321" s="1" t="n">
        <v>44370</v>
      </c>
      <c r="C3321" s="1" t="n">
        <v>45587</v>
      </c>
      <c r="D3321" t="inlineStr">
        <is>
          <t>GÄVLEBORGS LÄN</t>
        </is>
      </c>
      <c r="E3321" t="inlineStr">
        <is>
          <t>HUDIKSVALL</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32018-2021</t>
        </is>
      </c>
      <c r="B3322" s="1" t="n">
        <v>44370</v>
      </c>
      <c r="C3322" s="1" t="n">
        <v>45587</v>
      </c>
      <c r="D3322" t="inlineStr">
        <is>
          <t>GÄVLEBORGS LÄN</t>
        </is>
      </c>
      <c r="E3322" t="inlineStr">
        <is>
          <t>GÄVLE</t>
        </is>
      </c>
      <c r="F3322" t="inlineStr">
        <is>
          <t>Bergvik skog öst AB</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31961-2021</t>
        </is>
      </c>
      <c r="B3323" s="1" t="n">
        <v>44370</v>
      </c>
      <c r="C3323" s="1" t="n">
        <v>45587</v>
      </c>
      <c r="D3323" t="inlineStr">
        <is>
          <t>GÄVLEBORGS LÄN</t>
        </is>
      </c>
      <c r="E3323" t="inlineStr">
        <is>
          <t>LJUSDAL</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32008-2021</t>
        </is>
      </c>
      <c r="B3324" s="1" t="n">
        <v>44370</v>
      </c>
      <c r="C3324" s="1" t="n">
        <v>45587</v>
      </c>
      <c r="D3324" t="inlineStr">
        <is>
          <t>GÄVLEBORGS LÄN</t>
        </is>
      </c>
      <c r="E3324" t="inlineStr">
        <is>
          <t>GÄVLE</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32043-2021</t>
        </is>
      </c>
      <c r="B3325" s="1" t="n">
        <v>44370</v>
      </c>
      <c r="C3325" s="1" t="n">
        <v>45587</v>
      </c>
      <c r="D3325" t="inlineStr">
        <is>
          <t>GÄVLEBORGS LÄN</t>
        </is>
      </c>
      <c r="E3325" t="inlineStr">
        <is>
          <t>NORDANSTIG</t>
        </is>
      </c>
      <c r="G3325" t="n">
        <v>4.9</v>
      </c>
      <c r="H3325" t="n">
        <v>0</v>
      </c>
      <c r="I3325" t="n">
        <v>0</v>
      </c>
      <c r="J3325" t="n">
        <v>0</v>
      </c>
      <c r="K3325" t="n">
        <v>0</v>
      </c>
      <c r="L3325" t="n">
        <v>0</v>
      </c>
      <c r="M3325" t="n">
        <v>0</v>
      </c>
      <c r="N3325" t="n">
        <v>0</v>
      </c>
      <c r="O3325" t="n">
        <v>0</v>
      </c>
      <c r="P3325" t="n">
        <v>0</v>
      </c>
      <c r="Q3325" t="n">
        <v>0</v>
      </c>
      <c r="R3325" s="2" t="inlineStr"/>
    </row>
    <row r="3326" ht="15" customHeight="1">
      <c r="A3326" t="inlineStr">
        <is>
          <t>A 32238-2021</t>
        </is>
      </c>
      <c r="B3326" s="1" t="n">
        <v>44371</v>
      </c>
      <c r="C3326" s="1" t="n">
        <v>45587</v>
      </c>
      <c r="D3326" t="inlineStr">
        <is>
          <t>GÄVLEBORGS LÄN</t>
        </is>
      </c>
      <c r="E3326" t="inlineStr">
        <is>
          <t>OVANÅKER</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32174-2021</t>
        </is>
      </c>
      <c r="B3327" s="1" t="n">
        <v>44371</v>
      </c>
      <c r="C3327" s="1" t="n">
        <v>45587</v>
      </c>
      <c r="D3327" t="inlineStr">
        <is>
          <t>GÄVLEBORGS LÄN</t>
        </is>
      </c>
      <c r="E3327" t="inlineStr">
        <is>
          <t>BOLLNÄS</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32266-2021</t>
        </is>
      </c>
      <c r="B3328" s="1" t="n">
        <v>44371</v>
      </c>
      <c r="C3328" s="1" t="n">
        <v>45587</v>
      </c>
      <c r="D3328" t="inlineStr">
        <is>
          <t>GÄVLEBORGS LÄN</t>
        </is>
      </c>
      <c r="E3328" t="inlineStr">
        <is>
          <t>OCKELBO</t>
        </is>
      </c>
      <c r="F3328" t="inlineStr">
        <is>
          <t>Bergvik skog väst AB</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32282-2021</t>
        </is>
      </c>
      <c r="B3329" s="1" t="n">
        <v>44371</v>
      </c>
      <c r="C3329" s="1" t="n">
        <v>45587</v>
      </c>
      <c r="D3329" t="inlineStr">
        <is>
          <t>GÄVLEBORGS LÄN</t>
        </is>
      </c>
      <c r="E3329" t="inlineStr">
        <is>
          <t>OCKELBO</t>
        </is>
      </c>
      <c r="F3329" t="inlineStr">
        <is>
          <t>Bergvik skog väst AB</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32233-2021</t>
        </is>
      </c>
      <c r="B3330" s="1" t="n">
        <v>44371</v>
      </c>
      <c r="C3330" s="1" t="n">
        <v>45587</v>
      </c>
      <c r="D3330" t="inlineStr">
        <is>
          <t>GÄVLEBORGS LÄN</t>
        </is>
      </c>
      <c r="E3330" t="inlineStr">
        <is>
          <t>LJUSDAL</t>
        </is>
      </c>
      <c r="F3330" t="inlineStr">
        <is>
          <t>Holmen skog AB</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32420-2021</t>
        </is>
      </c>
      <c r="B3331" s="1" t="n">
        <v>44371</v>
      </c>
      <c r="C3331" s="1" t="n">
        <v>45587</v>
      </c>
      <c r="D3331" t="inlineStr">
        <is>
          <t>GÄVLEBORGS LÄN</t>
        </is>
      </c>
      <c r="E3331" t="inlineStr">
        <is>
          <t>OVANÅKER</t>
        </is>
      </c>
      <c r="F3331" t="inlineStr">
        <is>
          <t>Bergvik skog väst AB</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32698-2021</t>
        </is>
      </c>
      <c r="B3332" s="1" t="n">
        <v>44375</v>
      </c>
      <c r="C3332" s="1" t="n">
        <v>45587</v>
      </c>
      <c r="D3332" t="inlineStr">
        <is>
          <t>GÄVLEBORGS LÄN</t>
        </is>
      </c>
      <c r="E3332" t="inlineStr">
        <is>
          <t>BOLLNÄS</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32555-2021</t>
        </is>
      </c>
      <c r="B3333" s="1" t="n">
        <v>44375</v>
      </c>
      <c r="C3333" s="1" t="n">
        <v>45587</v>
      </c>
      <c r="D3333" t="inlineStr">
        <is>
          <t>GÄVLEBORGS LÄN</t>
        </is>
      </c>
      <c r="E3333" t="inlineStr">
        <is>
          <t>HUDIKSVALL</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32577-2021</t>
        </is>
      </c>
      <c r="B3334" s="1" t="n">
        <v>44375</v>
      </c>
      <c r="C3334" s="1" t="n">
        <v>45587</v>
      </c>
      <c r="D3334" t="inlineStr">
        <is>
          <t>GÄVLEBORGS LÄN</t>
        </is>
      </c>
      <c r="E3334" t="inlineStr">
        <is>
          <t>HUDIKSVALL</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32774-2021</t>
        </is>
      </c>
      <c r="B3335" s="1" t="n">
        <v>44375</v>
      </c>
      <c r="C3335" s="1" t="n">
        <v>45587</v>
      </c>
      <c r="D3335" t="inlineStr">
        <is>
          <t>GÄVLEBORGS LÄN</t>
        </is>
      </c>
      <c r="E3335" t="inlineStr">
        <is>
          <t>LJUSDAL</t>
        </is>
      </c>
      <c r="F3335" t="inlineStr">
        <is>
          <t>Holmen skog AB</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32886-2021</t>
        </is>
      </c>
      <c r="B3336" s="1" t="n">
        <v>44375</v>
      </c>
      <c r="C3336" s="1" t="n">
        <v>45587</v>
      </c>
      <c r="D3336" t="inlineStr">
        <is>
          <t>GÄVLEBORGS LÄN</t>
        </is>
      </c>
      <c r="E3336" t="inlineStr">
        <is>
          <t>LJUSDAL</t>
        </is>
      </c>
      <c r="F3336" t="inlineStr">
        <is>
          <t>Holmen skog AB</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32837-2021</t>
        </is>
      </c>
      <c r="B3337" s="1" t="n">
        <v>44375</v>
      </c>
      <c r="C3337" s="1" t="n">
        <v>45587</v>
      </c>
      <c r="D3337" t="inlineStr">
        <is>
          <t>GÄVLEBORGS LÄN</t>
        </is>
      </c>
      <c r="E3337" t="inlineStr">
        <is>
          <t>BOLLNÄS</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32883-2021</t>
        </is>
      </c>
      <c r="B3338" s="1" t="n">
        <v>44375</v>
      </c>
      <c r="C3338" s="1" t="n">
        <v>45587</v>
      </c>
      <c r="D3338" t="inlineStr">
        <is>
          <t>GÄVLEBORGS LÄN</t>
        </is>
      </c>
      <c r="E3338" t="inlineStr">
        <is>
          <t>HUDIKSVALL</t>
        </is>
      </c>
      <c r="F3338" t="inlineStr">
        <is>
          <t>Holmen skog AB</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32823-2021</t>
        </is>
      </c>
      <c r="B3339" s="1" t="n">
        <v>44375</v>
      </c>
      <c r="C3339" s="1" t="n">
        <v>45587</v>
      </c>
      <c r="D3339" t="inlineStr">
        <is>
          <t>GÄVLEBORGS LÄN</t>
        </is>
      </c>
      <c r="E3339" t="inlineStr">
        <is>
          <t>HUDIKSVALL</t>
        </is>
      </c>
      <c r="F3339" t="inlineStr">
        <is>
          <t>Holmen skog AB</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32878-2021</t>
        </is>
      </c>
      <c r="B3340" s="1" t="n">
        <v>44375</v>
      </c>
      <c r="C3340" s="1" t="n">
        <v>45587</v>
      </c>
      <c r="D3340" t="inlineStr">
        <is>
          <t>GÄVLEBORGS LÄN</t>
        </is>
      </c>
      <c r="E3340" t="inlineStr">
        <is>
          <t>LJUSDAL</t>
        </is>
      </c>
      <c r="F3340" t="inlineStr">
        <is>
          <t>Holmen skog AB</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32890-2021</t>
        </is>
      </c>
      <c r="B3341" s="1" t="n">
        <v>44375</v>
      </c>
      <c r="C3341" s="1" t="n">
        <v>45587</v>
      </c>
      <c r="D3341" t="inlineStr">
        <is>
          <t>GÄVLEBORGS LÄN</t>
        </is>
      </c>
      <c r="E3341" t="inlineStr">
        <is>
          <t>LJUSDAL</t>
        </is>
      </c>
      <c r="F3341" t="inlineStr">
        <is>
          <t>Holmen skog AB</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32970-2021</t>
        </is>
      </c>
      <c r="B3342" s="1" t="n">
        <v>44376</v>
      </c>
      <c r="C3342" s="1" t="n">
        <v>45587</v>
      </c>
      <c r="D3342" t="inlineStr">
        <is>
          <t>GÄVLEBORGS LÄN</t>
        </is>
      </c>
      <c r="E3342" t="inlineStr">
        <is>
          <t>GÄVLE</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33078-2021</t>
        </is>
      </c>
      <c r="B3343" s="1" t="n">
        <v>44376</v>
      </c>
      <c r="C3343" s="1" t="n">
        <v>45587</v>
      </c>
      <c r="D3343" t="inlineStr">
        <is>
          <t>GÄVLEBORGS LÄN</t>
        </is>
      </c>
      <c r="E3343" t="inlineStr">
        <is>
          <t>HUDIKSVALL</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33180-2021</t>
        </is>
      </c>
      <c r="B3344" s="1" t="n">
        <v>44376</v>
      </c>
      <c r="C3344" s="1" t="n">
        <v>45587</v>
      </c>
      <c r="D3344" t="inlineStr">
        <is>
          <t>GÄVLEBORGS LÄN</t>
        </is>
      </c>
      <c r="E3344" t="inlineStr">
        <is>
          <t>OVANÅKER</t>
        </is>
      </c>
      <c r="F3344" t="inlineStr">
        <is>
          <t>Sveaskog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33278-2021</t>
        </is>
      </c>
      <c r="B3345" s="1" t="n">
        <v>44377</v>
      </c>
      <c r="C3345" s="1" t="n">
        <v>45587</v>
      </c>
      <c r="D3345" t="inlineStr">
        <is>
          <t>GÄVLEBORGS LÄN</t>
        </is>
      </c>
      <c r="E3345" t="inlineStr">
        <is>
          <t>OCKELBO</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33319-2021</t>
        </is>
      </c>
      <c r="B3346" s="1" t="n">
        <v>44377</v>
      </c>
      <c r="C3346" s="1" t="n">
        <v>45587</v>
      </c>
      <c r="D3346" t="inlineStr">
        <is>
          <t>GÄVLEBORGS LÄN</t>
        </is>
      </c>
      <c r="E3346" t="inlineStr">
        <is>
          <t>LJUSDAL</t>
        </is>
      </c>
      <c r="F3346" t="inlineStr">
        <is>
          <t>Bergvik skog väst AB</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33393-2021</t>
        </is>
      </c>
      <c r="B3347" s="1" t="n">
        <v>44377</v>
      </c>
      <c r="C3347" s="1" t="n">
        <v>45587</v>
      </c>
      <c r="D3347" t="inlineStr">
        <is>
          <t>GÄVLEBORGS LÄN</t>
        </is>
      </c>
      <c r="E3347" t="inlineStr">
        <is>
          <t>LJUSDAL</t>
        </is>
      </c>
      <c r="F3347" t="inlineStr">
        <is>
          <t>Holmen skog AB</t>
        </is>
      </c>
      <c r="G3347" t="n">
        <v>6.7</v>
      </c>
      <c r="H3347" t="n">
        <v>0</v>
      </c>
      <c r="I3347" t="n">
        <v>0</v>
      </c>
      <c r="J3347" t="n">
        <v>0</v>
      </c>
      <c r="K3347" t="n">
        <v>0</v>
      </c>
      <c r="L3347" t="n">
        <v>0</v>
      </c>
      <c r="M3347" t="n">
        <v>0</v>
      </c>
      <c r="N3347" t="n">
        <v>0</v>
      </c>
      <c r="O3347" t="n">
        <v>0</v>
      </c>
      <c r="P3347" t="n">
        <v>0</v>
      </c>
      <c r="Q3347" t="n">
        <v>0</v>
      </c>
      <c r="R3347" s="2" t="inlineStr"/>
    </row>
    <row r="3348" ht="15" customHeight="1">
      <c r="A3348" t="inlineStr">
        <is>
          <t>A 33410-2021</t>
        </is>
      </c>
      <c r="B3348" s="1" t="n">
        <v>44377</v>
      </c>
      <c r="C3348" s="1" t="n">
        <v>45587</v>
      </c>
      <c r="D3348" t="inlineStr">
        <is>
          <t>GÄVLEBORGS LÄN</t>
        </is>
      </c>
      <c r="E3348" t="inlineStr">
        <is>
          <t>SANDVIKEN</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33224-2021</t>
        </is>
      </c>
      <c r="B3349" s="1" t="n">
        <v>44377</v>
      </c>
      <c r="C3349" s="1" t="n">
        <v>45587</v>
      </c>
      <c r="D3349" t="inlineStr">
        <is>
          <t>GÄVLEBORGS LÄN</t>
        </is>
      </c>
      <c r="E3349" t="inlineStr">
        <is>
          <t>GÄVLE</t>
        </is>
      </c>
      <c r="F3349" t="inlineStr">
        <is>
          <t>Bergvik skog öst AB</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33605-2021</t>
        </is>
      </c>
      <c r="B3350" s="1" t="n">
        <v>44378</v>
      </c>
      <c r="C3350" s="1" t="n">
        <v>45587</v>
      </c>
      <c r="D3350" t="inlineStr">
        <is>
          <t>GÄVLEBORGS LÄN</t>
        </is>
      </c>
      <c r="E3350" t="inlineStr">
        <is>
          <t>LJUSDAL</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33629-2021</t>
        </is>
      </c>
      <c r="B3351" s="1" t="n">
        <v>44378</v>
      </c>
      <c r="C3351" s="1" t="n">
        <v>45587</v>
      </c>
      <c r="D3351" t="inlineStr">
        <is>
          <t>GÄVLEBORGS LÄN</t>
        </is>
      </c>
      <c r="E3351" t="inlineStr">
        <is>
          <t>HUDIKSVALL</t>
        </is>
      </c>
      <c r="F3351" t="inlineStr">
        <is>
          <t>Kyrkan</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33591-2021</t>
        </is>
      </c>
      <c r="B3352" s="1" t="n">
        <v>44378</v>
      </c>
      <c r="C3352" s="1" t="n">
        <v>45587</v>
      </c>
      <c r="D3352" t="inlineStr">
        <is>
          <t>GÄVLEBORGS LÄN</t>
        </is>
      </c>
      <c r="E3352" t="inlineStr">
        <is>
          <t>HUDIKSVALL</t>
        </is>
      </c>
      <c r="F3352" t="inlineStr">
        <is>
          <t>Kyrkan</t>
        </is>
      </c>
      <c r="G3352" t="n">
        <v>16.5</v>
      </c>
      <c r="H3352" t="n">
        <v>0</v>
      </c>
      <c r="I3352" t="n">
        <v>0</v>
      </c>
      <c r="J3352" t="n">
        <v>0</v>
      </c>
      <c r="K3352" t="n">
        <v>0</v>
      </c>
      <c r="L3352" t="n">
        <v>0</v>
      </c>
      <c r="M3352" t="n">
        <v>0</v>
      </c>
      <c r="N3352" t="n">
        <v>0</v>
      </c>
      <c r="O3352" t="n">
        <v>0</v>
      </c>
      <c r="P3352" t="n">
        <v>0</v>
      </c>
      <c r="Q3352" t="n">
        <v>0</v>
      </c>
      <c r="R3352" s="2" t="inlineStr"/>
    </row>
    <row r="3353" ht="15" customHeight="1">
      <c r="A3353" t="inlineStr">
        <is>
          <t>A 33609-2021</t>
        </is>
      </c>
      <c r="B3353" s="1" t="n">
        <v>44378</v>
      </c>
      <c r="C3353" s="1" t="n">
        <v>45587</v>
      </c>
      <c r="D3353" t="inlineStr">
        <is>
          <t>GÄVLEBORGS LÄN</t>
        </is>
      </c>
      <c r="E3353" t="inlineStr">
        <is>
          <t>LJUSDAL</t>
        </is>
      </c>
      <c r="F3353" t="inlineStr">
        <is>
          <t>Sveaskog</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33767-2021</t>
        </is>
      </c>
      <c r="B3354" s="1" t="n">
        <v>44378</v>
      </c>
      <c r="C3354" s="1" t="n">
        <v>45587</v>
      </c>
      <c r="D3354" t="inlineStr">
        <is>
          <t>GÄVLEBORGS LÄN</t>
        </is>
      </c>
      <c r="E3354" t="inlineStr">
        <is>
          <t>LJUSDAL</t>
        </is>
      </c>
      <c r="F3354" t="inlineStr">
        <is>
          <t>Kommuner</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33799-2021</t>
        </is>
      </c>
      <c r="B3355" s="1" t="n">
        <v>44378</v>
      </c>
      <c r="C3355" s="1" t="n">
        <v>45587</v>
      </c>
      <c r="D3355" t="inlineStr">
        <is>
          <t>GÄVLEBORGS LÄN</t>
        </is>
      </c>
      <c r="E3355" t="inlineStr">
        <is>
          <t>HUDIKSVALL</t>
        </is>
      </c>
      <c r="F3355" t="inlineStr">
        <is>
          <t>Holmen skog AB</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34186-2021</t>
        </is>
      </c>
      <c r="B3356" s="1" t="n">
        <v>44379</v>
      </c>
      <c r="C3356" s="1" t="n">
        <v>45587</v>
      </c>
      <c r="D3356" t="inlineStr">
        <is>
          <t>GÄVLEBORGS LÄN</t>
        </is>
      </c>
      <c r="E3356" t="inlineStr">
        <is>
          <t>OVANÅKER</t>
        </is>
      </c>
      <c r="F3356" t="inlineStr">
        <is>
          <t>Holmen skog AB</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34242-2021</t>
        </is>
      </c>
      <c r="B3357" s="1" t="n">
        <v>44379</v>
      </c>
      <c r="C3357" s="1" t="n">
        <v>45587</v>
      </c>
      <c r="D3357" t="inlineStr">
        <is>
          <t>GÄVLEBORGS LÄN</t>
        </is>
      </c>
      <c r="E3357" t="inlineStr">
        <is>
          <t>SANDVIKEN</t>
        </is>
      </c>
      <c r="F3357" t="inlineStr">
        <is>
          <t>Bergvik skog öst AB</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34286-2021</t>
        </is>
      </c>
      <c r="B3358" s="1" t="n">
        <v>44379</v>
      </c>
      <c r="C3358" s="1" t="n">
        <v>45587</v>
      </c>
      <c r="D3358" t="inlineStr">
        <is>
          <t>GÄVLEBORGS LÄN</t>
        </is>
      </c>
      <c r="E3358" t="inlineStr">
        <is>
          <t>NORDANSTIG</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34298-2021</t>
        </is>
      </c>
      <c r="B3359" s="1" t="n">
        <v>44379</v>
      </c>
      <c r="C3359" s="1" t="n">
        <v>45587</v>
      </c>
      <c r="D3359" t="inlineStr">
        <is>
          <t>GÄVLEBORGS LÄN</t>
        </is>
      </c>
      <c r="E3359" t="inlineStr">
        <is>
          <t>OVANÅKER</t>
        </is>
      </c>
      <c r="F3359" t="inlineStr">
        <is>
          <t>Holmen skog AB</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34222-2021</t>
        </is>
      </c>
      <c r="B3360" s="1" t="n">
        <v>44379</v>
      </c>
      <c r="C3360" s="1" t="n">
        <v>45587</v>
      </c>
      <c r="D3360" t="inlineStr">
        <is>
          <t>GÄVLEBORGS LÄN</t>
        </is>
      </c>
      <c r="E3360" t="inlineStr">
        <is>
          <t>OVANÅKER</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34303-2021</t>
        </is>
      </c>
      <c r="B3361" s="1" t="n">
        <v>44379</v>
      </c>
      <c r="C3361" s="1" t="n">
        <v>45587</v>
      </c>
      <c r="D3361" t="inlineStr">
        <is>
          <t>GÄVLEBORGS LÄN</t>
        </is>
      </c>
      <c r="E3361" t="inlineStr">
        <is>
          <t>OVANÅKER</t>
        </is>
      </c>
      <c r="F3361" t="inlineStr">
        <is>
          <t>Holmen skog AB</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34312-2021</t>
        </is>
      </c>
      <c r="B3362" s="1" t="n">
        <v>44379</v>
      </c>
      <c r="C3362" s="1" t="n">
        <v>45587</v>
      </c>
      <c r="D3362" t="inlineStr">
        <is>
          <t>GÄVLEBORGS LÄN</t>
        </is>
      </c>
      <c r="E3362" t="inlineStr">
        <is>
          <t>SANDVIKEN</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34260-2021</t>
        </is>
      </c>
      <c r="B3363" s="1" t="n">
        <v>44379</v>
      </c>
      <c r="C3363" s="1" t="n">
        <v>45587</v>
      </c>
      <c r="D3363" t="inlineStr">
        <is>
          <t>GÄVLEBORGS LÄN</t>
        </is>
      </c>
      <c r="E3363" t="inlineStr">
        <is>
          <t>OVANÅKER</t>
        </is>
      </c>
      <c r="F3363" t="inlineStr">
        <is>
          <t>Kyrkan</t>
        </is>
      </c>
      <c r="G3363" t="n">
        <v>8.300000000000001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34308-2021</t>
        </is>
      </c>
      <c r="B3364" s="1" t="n">
        <v>44379</v>
      </c>
      <c r="C3364" s="1" t="n">
        <v>45587</v>
      </c>
      <c r="D3364" t="inlineStr">
        <is>
          <t>GÄVLEBORGS LÄN</t>
        </is>
      </c>
      <c r="E3364" t="inlineStr">
        <is>
          <t>OVANÅKER</t>
        </is>
      </c>
      <c r="F3364" t="inlineStr">
        <is>
          <t>Holmen skog AB</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34200-2021</t>
        </is>
      </c>
      <c r="B3365" s="1" t="n">
        <v>44379</v>
      </c>
      <c r="C3365" s="1" t="n">
        <v>45587</v>
      </c>
      <c r="D3365" t="inlineStr">
        <is>
          <t>GÄVLEBORGS LÄN</t>
        </is>
      </c>
      <c r="E3365" t="inlineStr">
        <is>
          <t>OVANÅKER</t>
        </is>
      </c>
      <c r="F3365" t="inlineStr">
        <is>
          <t>Kyrkan</t>
        </is>
      </c>
      <c r="G3365" t="n">
        <v>16.3</v>
      </c>
      <c r="H3365" t="n">
        <v>0</v>
      </c>
      <c r="I3365" t="n">
        <v>0</v>
      </c>
      <c r="J3365" t="n">
        <v>0</v>
      </c>
      <c r="K3365" t="n">
        <v>0</v>
      </c>
      <c r="L3365" t="n">
        <v>0</v>
      </c>
      <c r="M3365" t="n">
        <v>0</v>
      </c>
      <c r="N3365" t="n">
        <v>0</v>
      </c>
      <c r="O3365" t="n">
        <v>0</v>
      </c>
      <c r="P3365" t="n">
        <v>0</v>
      </c>
      <c r="Q3365" t="n">
        <v>0</v>
      </c>
      <c r="R3365" s="2" t="inlineStr"/>
    </row>
    <row r="3366" ht="15" customHeight="1">
      <c r="A3366" t="inlineStr">
        <is>
          <t>A 34128-2021</t>
        </is>
      </c>
      <c r="B3366" s="1" t="n">
        <v>44379</v>
      </c>
      <c r="C3366" s="1" t="n">
        <v>45587</v>
      </c>
      <c r="D3366" t="inlineStr">
        <is>
          <t>GÄVLEBORGS LÄN</t>
        </is>
      </c>
      <c r="E3366" t="inlineStr">
        <is>
          <t>OVANÅKER</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34463-2021</t>
        </is>
      </c>
      <c r="B3367" s="1" t="n">
        <v>44381</v>
      </c>
      <c r="C3367" s="1" t="n">
        <v>45587</v>
      </c>
      <c r="D3367" t="inlineStr">
        <is>
          <t>GÄVLEBORGS LÄN</t>
        </is>
      </c>
      <c r="E3367" t="inlineStr">
        <is>
          <t>BOLLNÄS</t>
        </is>
      </c>
      <c r="G3367" t="n">
        <v>15.4</v>
      </c>
      <c r="H3367" t="n">
        <v>0</v>
      </c>
      <c r="I3367" t="n">
        <v>0</v>
      </c>
      <c r="J3367" t="n">
        <v>0</v>
      </c>
      <c r="K3367" t="n">
        <v>0</v>
      </c>
      <c r="L3367" t="n">
        <v>0</v>
      </c>
      <c r="M3367" t="n">
        <v>0</v>
      </c>
      <c r="N3367" t="n">
        <v>0</v>
      </c>
      <c r="O3367" t="n">
        <v>0</v>
      </c>
      <c r="P3367" t="n">
        <v>0</v>
      </c>
      <c r="Q3367" t="n">
        <v>0</v>
      </c>
      <c r="R3367" s="2" t="inlineStr"/>
    </row>
    <row r="3368" ht="15" customHeight="1">
      <c r="A3368" t="inlineStr">
        <is>
          <t>A 34462-2021</t>
        </is>
      </c>
      <c r="B3368" s="1" t="n">
        <v>44381</v>
      </c>
      <c r="C3368" s="1" t="n">
        <v>45587</v>
      </c>
      <c r="D3368" t="inlineStr">
        <is>
          <t>GÄVLEBORGS LÄN</t>
        </is>
      </c>
      <c r="E3368" t="inlineStr">
        <is>
          <t>BOLLNÄS</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34464-2021</t>
        </is>
      </c>
      <c r="B3369" s="1" t="n">
        <v>44381</v>
      </c>
      <c r="C3369" s="1" t="n">
        <v>45587</v>
      </c>
      <c r="D3369" t="inlineStr">
        <is>
          <t>GÄVLEBORGS LÄN</t>
        </is>
      </c>
      <c r="E3369" t="inlineStr">
        <is>
          <t>BOLLNÄS</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34513-2021</t>
        </is>
      </c>
      <c r="B3370" s="1" t="n">
        <v>44382</v>
      </c>
      <c r="C3370" s="1" t="n">
        <v>45587</v>
      </c>
      <c r="D3370" t="inlineStr">
        <is>
          <t>GÄVLEBORGS LÄN</t>
        </is>
      </c>
      <c r="E3370" t="inlineStr">
        <is>
          <t>OVANÅKER</t>
        </is>
      </c>
      <c r="F3370" t="inlineStr">
        <is>
          <t>Sveaskog</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34523-2021</t>
        </is>
      </c>
      <c r="B3371" s="1" t="n">
        <v>44382</v>
      </c>
      <c r="C3371" s="1" t="n">
        <v>45587</v>
      </c>
      <c r="D3371" t="inlineStr">
        <is>
          <t>GÄVLEBORGS LÄN</t>
        </is>
      </c>
      <c r="E3371" t="inlineStr">
        <is>
          <t>BOLLNÄS</t>
        </is>
      </c>
      <c r="F3371" t="inlineStr">
        <is>
          <t>Bergvik skog väst AB</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34566-2021</t>
        </is>
      </c>
      <c r="B3372" s="1" t="n">
        <v>44382</v>
      </c>
      <c r="C3372" s="1" t="n">
        <v>45587</v>
      </c>
      <c r="D3372" t="inlineStr">
        <is>
          <t>GÄVLEBORGS LÄN</t>
        </is>
      </c>
      <c r="E3372" t="inlineStr">
        <is>
          <t>LJUSDAL</t>
        </is>
      </c>
      <c r="F3372" t="inlineStr">
        <is>
          <t>Bergvik skog väst AB</t>
        </is>
      </c>
      <c r="G3372" t="n">
        <v>8.199999999999999</v>
      </c>
      <c r="H3372" t="n">
        <v>0</v>
      </c>
      <c r="I3372" t="n">
        <v>0</v>
      </c>
      <c r="J3372" t="n">
        <v>0</v>
      </c>
      <c r="K3372" t="n">
        <v>0</v>
      </c>
      <c r="L3372" t="n">
        <v>0</v>
      </c>
      <c r="M3372" t="n">
        <v>0</v>
      </c>
      <c r="N3372" t="n">
        <v>0</v>
      </c>
      <c r="O3372" t="n">
        <v>0</v>
      </c>
      <c r="P3372" t="n">
        <v>0</v>
      </c>
      <c r="Q3372" t="n">
        <v>0</v>
      </c>
      <c r="R3372" s="2" t="inlineStr"/>
    </row>
    <row r="3373" ht="15" customHeight="1">
      <c r="A3373" t="inlineStr">
        <is>
          <t>A 34651-2021</t>
        </is>
      </c>
      <c r="B3373" s="1" t="n">
        <v>44382</v>
      </c>
      <c r="C3373" s="1" t="n">
        <v>45587</v>
      </c>
      <c r="D3373" t="inlineStr">
        <is>
          <t>GÄVLEBORGS LÄN</t>
        </is>
      </c>
      <c r="E3373" t="inlineStr">
        <is>
          <t>LJUSDAL</t>
        </is>
      </c>
      <c r="F3373" t="inlineStr">
        <is>
          <t>SCA</t>
        </is>
      </c>
      <c r="G3373" t="n">
        <v>15.5</v>
      </c>
      <c r="H3373" t="n">
        <v>0</v>
      </c>
      <c r="I3373" t="n">
        <v>0</v>
      </c>
      <c r="J3373" t="n">
        <v>0</v>
      </c>
      <c r="K3373" t="n">
        <v>0</v>
      </c>
      <c r="L3373" t="n">
        <v>0</v>
      </c>
      <c r="M3373" t="n">
        <v>0</v>
      </c>
      <c r="N3373" t="n">
        <v>0</v>
      </c>
      <c r="O3373" t="n">
        <v>0</v>
      </c>
      <c r="P3373" t="n">
        <v>0</v>
      </c>
      <c r="Q3373" t="n">
        <v>0</v>
      </c>
      <c r="R3373" s="2" t="inlineStr"/>
    </row>
    <row r="3374" ht="15" customHeight="1">
      <c r="A3374" t="inlineStr">
        <is>
          <t>A 34522-2021</t>
        </is>
      </c>
      <c r="B3374" s="1" t="n">
        <v>44382</v>
      </c>
      <c r="C3374" s="1" t="n">
        <v>45587</v>
      </c>
      <c r="D3374" t="inlineStr">
        <is>
          <t>GÄVLEBORGS LÄN</t>
        </is>
      </c>
      <c r="E3374" t="inlineStr">
        <is>
          <t>LJUSDAL</t>
        </is>
      </c>
      <c r="F3374" t="inlineStr">
        <is>
          <t>Bergvik skog väst AB</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34542-2021</t>
        </is>
      </c>
      <c r="B3375" s="1" t="n">
        <v>44382</v>
      </c>
      <c r="C3375" s="1" t="n">
        <v>45587</v>
      </c>
      <c r="D3375" t="inlineStr">
        <is>
          <t>GÄVLEBORGS LÄN</t>
        </is>
      </c>
      <c r="E3375" t="inlineStr">
        <is>
          <t>NORDANSTIG</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34562-2021</t>
        </is>
      </c>
      <c r="B3376" s="1" t="n">
        <v>44382</v>
      </c>
      <c r="C3376" s="1" t="n">
        <v>45587</v>
      </c>
      <c r="D3376" t="inlineStr">
        <is>
          <t>GÄVLEBORGS LÄN</t>
        </is>
      </c>
      <c r="E3376" t="inlineStr">
        <is>
          <t>BOLLNÄS</t>
        </is>
      </c>
      <c r="F3376" t="inlineStr">
        <is>
          <t>Bergvik skog väst AB</t>
        </is>
      </c>
      <c r="G3376" t="n">
        <v>8.800000000000001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34797-2021</t>
        </is>
      </c>
      <c r="B3377" s="1" t="n">
        <v>44383</v>
      </c>
      <c r="C3377" s="1" t="n">
        <v>45587</v>
      </c>
      <c r="D3377" t="inlineStr">
        <is>
          <t>GÄVLEBORGS LÄN</t>
        </is>
      </c>
      <c r="E3377" t="inlineStr">
        <is>
          <t>OCKELBO</t>
        </is>
      </c>
      <c r="F3377" t="inlineStr">
        <is>
          <t>Bergvik skog väst AB</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34852-2021</t>
        </is>
      </c>
      <c r="B3378" s="1" t="n">
        <v>44383</v>
      </c>
      <c r="C3378" s="1" t="n">
        <v>45587</v>
      </c>
      <c r="D3378" t="inlineStr">
        <is>
          <t>GÄVLEBORGS LÄN</t>
        </is>
      </c>
      <c r="E3378" t="inlineStr">
        <is>
          <t>BOLLNÄS</t>
        </is>
      </c>
      <c r="F3378" t="inlineStr">
        <is>
          <t>Bergvik skog väst AB</t>
        </is>
      </c>
      <c r="G3378" t="n">
        <v>5.9</v>
      </c>
      <c r="H3378" t="n">
        <v>0</v>
      </c>
      <c r="I3378" t="n">
        <v>0</v>
      </c>
      <c r="J3378" t="n">
        <v>0</v>
      </c>
      <c r="K3378" t="n">
        <v>0</v>
      </c>
      <c r="L3378" t="n">
        <v>0</v>
      </c>
      <c r="M3378" t="n">
        <v>0</v>
      </c>
      <c r="N3378" t="n">
        <v>0</v>
      </c>
      <c r="O3378" t="n">
        <v>0</v>
      </c>
      <c r="P3378" t="n">
        <v>0</v>
      </c>
      <c r="Q3378" t="n">
        <v>0</v>
      </c>
      <c r="R3378" s="2" t="inlineStr"/>
    </row>
    <row r="3379" ht="15" customHeight="1">
      <c r="A3379" t="inlineStr">
        <is>
          <t>A 34854-2021</t>
        </is>
      </c>
      <c r="B3379" s="1" t="n">
        <v>44383</v>
      </c>
      <c r="C3379" s="1" t="n">
        <v>45587</v>
      </c>
      <c r="D3379" t="inlineStr">
        <is>
          <t>GÄVLEBORGS LÄN</t>
        </is>
      </c>
      <c r="E3379" t="inlineStr">
        <is>
          <t>OCKELBO</t>
        </is>
      </c>
      <c r="F3379" t="inlineStr">
        <is>
          <t>Bergvik skog väst AB</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34964-2021</t>
        </is>
      </c>
      <c r="B3380" s="1" t="n">
        <v>44383</v>
      </c>
      <c r="C3380" s="1" t="n">
        <v>45587</v>
      </c>
      <c r="D3380" t="inlineStr">
        <is>
          <t>GÄVLEBORGS LÄN</t>
        </is>
      </c>
      <c r="E3380" t="inlineStr">
        <is>
          <t>HUDIKSVALL</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34930-2021</t>
        </is>
      </c>
      <c r="B3381" s="1" t="n">
        <v>44383</v>
      </c>
      <c r="C3381" s="1" t="n">
        <v>45587</v>
      </c>
      <c r="D3381" t="inlineStr">
        <is>
          <t>GÄVLEBORGS LÄN</t>
        </is>
      </c>
      <c r="E3381" t="inlineStr">
        <is>
          <t>SANDVIKEN</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34943-2021</t>
        </is>
      </c>
      <c r="B3382" s="1" t="n">
        <v>44383</v>
      </c>
      <c r="C3382" s="1" t="n">
        <v>45587</v>
      </c>
      <c r="D3382" t="inlineStr">
        <is>
          <t>GÄVLEBORGS LÄN</t>
        </is>
      </c>
      <c r="E3382" t="inlineStr">
        <is>
          <t>HUDIKSVALL</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35080-2021</t>
        </is>
      </c>
      <c r="B3383" s="1" t="n">
        <v>44384</v>
      </c>
      <c r="C3383" s="1" t="n">
        <v>45587</v>
      </c>
      <c r="D3383" t="inlineStr">
        <is>
          <t>GÄVLEBORGS LÄN</t>
        </is>
      </c>
      <c r="E3383" t="inlineStr">
        <is>
          <t>BOLLNÄS</t>
        </is>
      </c>
      <c r="G3383" t="n">
        <v>10.2</v>
      </c>
      <c r="H3383" t="n">
        <v>0</v>
      </c>
      <c r="I3383" t="n">
        <v>0</v>
      </c>
      <c r="J3383" t="n">
        <v>0</v>
      </c>
      <c r="K3383" t="n">
        <v>0</v>
      </c>
      <c r="L3383" t="n">
        <v>0</v>
      </c>
      <c r="M3383" t="n">
        <v>0</v>
      </c>
      <c r="N3383" t="n">
        <v>0</v>
      </c>
      <c r="O3383" t="n">
        <v>0</v>
      </c>
      <c r="P3383" t="n">
        <v>0</v>
      </c>
      <c r="Q3383" t="n">
        <v>0</v>
      </c>
      <c r="R3383" s="2" t="inlineStr"/>
    </row>
    <row r="3384" ht="15" customHeight="1">
      <c r="A3384" t="inlineStr">
        <is>
          <t>A 35269-2021</t>
        </is>
      </c>
      <c r="B3384" s="1" t="n">
        <v>44384</v>
      </c>
      <c r="C3384" s="1" t="n">
        <v>45587</v>
      </c>
      <c r="D3384" t="inlineStr">
        <is>
          <t>GÄVLEBORGS LÄN</t>
        </is>
      </c>
      <c r="E3384" t="inlineStr">
        <is>
          <t>OVANÅKER</t>
        </is>
      </c>
      <c r="F3384" t="inlineStr">
        <is>
          <t>Holmen skog AB</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35227-2021</t>
        </is>
      </c>
      <c r="B3385" s="1" t="n">
        <v>44384</v>
      </c>
      <c r="C3385" s="1" t="n">
        <v>45587</v>
      </c>
      <c r="D3385" t="inlineStr">
        <is>
          <t>GÄVLEBORGS LÄN</t>
        </is>
      </c>
      <c r="E3385" t="inlineStr">
        <is>
          <t>OCKELBO</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35287-2021</t>
        </is>
      </c>
      <c r="B3386" s="1" t="n">
        <v>44384</v>
      </c>
      <c r="C3386" s="1" t="n">
        <v>45587</v>
      </c>
      <c r="D3386" t="inlineStr">
        <is>
          <t>GÄVLEBORGS LÄN</t>
        </is>
      </c>
      <c r="E3386" t="inlineStr">
        <is>
          <t>HUDIKSVALL</t>
        </is>
      </c>
      <c r="F3386" t="inlineStr">
        <is>
          <t>Holmen skog AB</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35239-2021</t>
        </is>
      </c>
      <c r="B3387" s="1" t="n">
        <v>44384</v>
      </c>
      <c r="C3387" s="1" t="n">
        <v>45587</v>
      </c>
      <c r="D3387" t="inlineStr">
        <is>
          <t>GÄVLEBORGS LÄN</t>
        </is>
      </c>
      <c r="E3387" t="inlineStr">
        <is>
          <t>OVANÅKER</t>
        </is>
      </c>
      <c r="F3387" t="inlineStr">
        <is>
          <t>Holmen skog AB</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35278-2021</t>
        </is>
      </c>
      <c r="B3388" s="1" t="n">
        <v>44384</v>
      </c>
      <c r="C3388" s="1" t="n">
        <v>45587</v>
      </c>
      <c r="D3388" t="inlineStr">
        <is>
          <t>GÄVLEBORGS LÄN</t>
        </is>
      </c>
      <c r="E3388" t="inlineStr">
        <is>
          <t>OVANÅKER</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35172-2021</t>
        </is>
      </c>
      <c r="B3389" s="1" t="n">
        <v>44384</v>
      </c>
      <c r="C3389" s="1" t="n">
        <v>45587</v>
      </c>
      <c r="D3389" t="inlineStr">
        <is>
          <t>GÄVLEBORGS LÄN</t>
        </is>
      </c>
      <c r="E3389" t="inlineStr">
        <is>
          <t>SÖDERHAMN</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35245-2021</t>
        </is>
      </c>
      <c r="B3390" s="1" t="n">
        <v>44384</v>
      </c>
      <c r="C3390" s="1" t="n">
        <v>45587</v>
      </c>
      <c r="D3390" t="inlineStr">
        <is>
          <t>GÄVLEBORGS LÄN</t>
        </is>
      </c>
      <c r="E3390" t="inlineStr">
        <is>
          <t>OCKELBO</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35251-2021</t>
        </is>
      </c>
      <c r="B3391" s="1" t="n">
        <v>44384</v>
      </c>
      <c r="C3391" s="1" t="n">
        <v>45587</v>
      </c>
      <c r="D3391" t="inlineStr">
        <is>
          <t>GÄVLEBORGS LÄN</t>
        </is>
      </c>
      <c r="E3391" t="inlineStr">
        <is>
          <t>SÖDERHAMN</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35259-2021</t>
        </is>
      </c>
      <c r="B3392" s="1" t="n">
        <v>44384</v>
      </c>
      <c r="C3392" s="1" t="n">
        <v>45587</v>
      </c>
      <c r="D3392" t="inlineStr">
        <is>
          <t>GÄVLEBORGS LÄN</t>
        </is>
      </c>
      <c r="E3392" t="inlineStr">
        <is>
          <t>LJUSDAL</t>
        </is>
      </c>
      <c r="F3392" t="inlineStr">
        <is>
          <t>Sveaskog</t>
        </is>
      </c>
      <c r="G3392" t="n">
        <v>21.7</v>
      </c>
      <c r="H3392" t="n">
        <v>0</v>
      </c>
      <c r="I3392" t="n">
        <v>0</v>
      </c>
      <c r="J3392" t="n">
        <v>0</v>
      </c>
      <c r="K3392" t="n">
        <v>0</v>
      </c>
      <c r="L3392" t="n">
        <v>0</v>
      </c>
      <c r="M3392" t="n">
        <v>0</v>
      </c>
      <c r="N3392" t="n">
        <v>0</v>
      </c>
      <c r="O3392" t="n">
        <v>0</v>
      </c>
      <c r="P3392" t="n">
        <v>0</v>
      </c>
      <c r="Q3392" t="n">
        <v>0</v>
      </c>
      <c r="R3392" s="2" t="inlineStr"/>
    </row>
    <row r="3393" ht="15" customHeight="1">
      <c r="A3393" t="inlineStr">
        <is>
          <t>A 35455-2021</t>
        </is>
      </c>
      <c r="B3393" s="1" t="n">
        <v>44385</v>
      </c>
      <c r="C3393" s="1" t="n">
        <v>45587</v>
      </c>
      <c r="D3393" t="inlineStr">
        <is>
          <t>GÄVLEBORGS LÄN</t>
        </is>
      </c>
      <c r="E3393" t="inlineStr">
        <is>
          <t>LJUSDAL</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35859-2021</t>
        </is>
      </c>
      <c r="B3394" s="1" t="n">
        <v>44386</v>
      </c>
      <c r="C3394" s="1" t="n">
        <v>45587</v>
      </c>
      <c r="D3394" t="inlineStr">
        <is>
          <t>GÄVLEBORGS LÄN</t>
        </is>
      </c>
      <c r="E3394" t="inlineStr">
        <is>
          <t>NORDANSTIG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35811-2021</t>
        </is>
      </c>
      <c r="B3395" s="1" t="n">
        <v>44386</v>
      </c>
      <c r="C3395" s="1" t="n">
        <v>45587</v>
      </c>
      <c r="D3395" t="inlineStr">
        <is>
          <t>GÄVLEBORGS LÄN</t>
        </is>
      </c>
      <c r="E3395" t="inlineStr">
        <is>
          <t>HUDIKSVALL</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35931-2021</t>
        </is>
      </c>
      <c r="B3396" s="1" t="n">
        <v>44388</v>
      </c>
      <c r="C3396" s="1" t="n">
        <v>45587</v>
      </c>
      <c r="D3396" t="inlineStr">
        <is>
          <t>GÄVLEBORGS LÄN</t>
        </is>
      </c>
      <c r="E3396" t="inlineStr">
        <is>
          <t>LJUSDAL</t>
        </is>
      </c>
      <c r="F3396" t="inlineStr">
        <is>
          <t>Sveaskog</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36056-2021</t>
        </is>
      </c>
      <c r="B3397" s="1" t="n">
        <v>44389</v>
      </c>
      <c r="C3397" s="1" t="n">
        <v>45587</v>
      </c>
      <c r="D3397" t="inlineStr">
        <is>
          <t>GÄVLEBORGS LÄN</t>
        </is>
      </c>
      <c r="E3397" t="inlineStr">
        <is>
          <t>OVANÅKER</t>
        </is>
      </c>
      <c r="F3397" t="inlineStr">
        <is>
          <t>Bergvik skog väst AB</t>
        </is>
      </c>
      <c r="G3397" t="n">
        <v>5.4</v>
      </c>
      <c r="H3397" t="n">
        <v>0</v>
      </c>
      <c r="I3397" t="n">
        <v>0</v>
      </c>
      <c r="J3397" t="n">
        <v>0</v>
      </c>
      <c r="K3397" t="n">
        <v>0</v>
      </c>
      <c r="L3397" t="n">
        <v>0</v>
      </c>
      <c r="M3397" t="n">
        <v>0</v>
      </c>
      <c r="N3397" t="n">
        <v>0</v>
      </c>
      <c r="O3397" t="n">
        <v>0</v>
      </c>
      <c r="P3397" t="n">
        <v>0</v>
      </c>
      <c r="Q3397" t="n">
        <v>0</v>
      </c>
      <c r="R3397" s="2" t="inlineStr"/>
    </row>
    <row r="3398" ht="15" customHeight="1">
      <c r="A3398" t="inlineStr">
        <is>
          <t>A 36000-2021</t>
        </is>
      </c>
      <c r="B3398" s="1" t="n">
        <v>44389</v>
      </c>
      <c r="C3398" s="1" t="n">
        <v>45587</v>
      </c>
      <c r="D3398" t="inlineStr">
        <is>
          <t>GÄVLEBORGS LÄN</t>
        </is>
      </c>
      <c r="E3398" t="inlineStr">
        <is>
          <t>BOLLNÄS</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35976-2021</t>
        </is>
      </c>
      <c r="B3399" s="1" t="n">
        <v>44389</v>
      </c>
      <c r="C3399" s="1" t="n">
        <v>45587</v>
      </c>
      <c r="D3399" t="inlineStr">
        <is>
          <t>GÄVLEBORGS LÄN</t>
        </is>
      </c>
      <c r="E3399" t="inlineStr">
        <is>
          <t>LJUSDAL</t>
        </is>
      </c>
      <c r="F3399" t="inlineStr">
        <is>
          <t>Bergvik skog väst AB</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36035-2021</t>
        </is>
      </c>
      <c r="B3400" s="1" t="n">
        <v>44389</v>
      </c>
      <c r="C3400" s="1" t="n">
        <v>45587</v>
      </c>
      <c r="D3400" t="inlineStr">
        <is>
          <t>GÄVLEBORGS LÄN</t>
        </is>
      </c>
      <c r="E3400" t="inlineStr">
        <is>
          <t>BOLLNÄS</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36205-2021</t>
        </is>
      </c>
      <c r="B3401" s="1" t="n">
        <v>44389</v>
      </c>
      <c r="C3401" s="1" t="n">
        <v>45587</v>
      </c>
      <c r="D3401" t="inlineStr">
        <is>
          <t>GÄVLEBORGS LÄN</t>
        </is>
      </c>
      <c r="E3401" t="inlineStr">
        <is>
          <t>GÄVLE</t>
        </is>
      </c>
      <c r="F3401" t="inlineStr">
        <is>
          <t>Bergvik skog öst AB</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36256-2021</t>
        </is>
      </c>
      <c r="B3402" s="1" t="n">
        <v>44390</v>
      </c>
      <c r="C3402" s="1" t="n">
        <v>45587</v>
      </c>
      <c r="D3402" t="inlineStr">
        <is>
          <t>GÄVLEBORGS LÄN</t>
        </is>
      </c>
      <c r="E3402" t="inlineStr">
        <is>
          <t>LJUSDAL</t>
        </is>
      </c>
      <c r="F3402" t="inlineStr">
        <is>
          <t>Bergvik skog väst AB</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36483-2021</t>
        </is>
      </c>
      <c r="B3403" s="1" t="n">
        <v>44390</v>
      </c>
      <c r="C3403" s="1" t="n">
        <v>45587</v>
      </c>
      <c r="D3403" t="inlineStr">
        <is>
          <t>GÄVLEBORGS LÄN</t>
        </is>
      </c>
      <c r="E3403" t="inlineStr">
        <is>
          <t>GÄVLE</t>
        </is>
      </c>
      <c r="F3403" t="inlineStr">
        <is>
          <t>Bergvik skog väst AB</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36323-2021</t>
        </is>
      </c>
      <c r="B3404" s="1" t="n">
        <v>44390</v>
      </c>
      <c r="C3404" s="1" t="n">
        <v>45587</v>
      </c>
      <c r="D3404" t="inlineStr">
        <is>
          <t>GÄVLEBORGS LÄN</t>
        </is>
      </c>
      <c r="E3404" t="inlineStr">
        <is>
          <t>LJUSDAL</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36252-2021</t>
        </is>
      </c>
      <c r="B3405" s="1" t="n">
        <v>44390</v>
      </c>
      <c r="C3405" s="1" t="n">
        <v>45587</v>
      </c>
      <c r="D3405" t="inlineStr">
        <is>
          <t>GÄVLEBORGS LÄN</t>
        </is>
      </c>
      <c r="E3405" t="inlineStr">
        <is>
          <t>LJUSDAL</t>
        </is>
      </c>
      <c r="F3405" t="inlineStr">
        <is>
          <t>Bergvik skog väst AB</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36471-2021</t>
        </is>
      </c>
      <c r="B3406" s="1" t="n">
        <v>44390</v>
      </c>
      <c r="C3406" s="1" t="n">
        <v>45587</v>
      </c>
      <c r="D3406" t="inlineStr">
        <is>
          <t>GÄVLEBORGS LÄN</t>
        </is>
      </c>
      <c r="E3406" t="inlineStr">
        <is>
          <t>GÄVLE</t>
        </is>
      </c>
      <c r="F3406" t="inlineStr">
        <is>
          <t>Bergvik skog väst AB</t>
        </is>
      </c>
      <c r="G3406" t="n">
        <v>11.7</v>
      </c>
      <c r="H3406" t="n">
        <v>0</v>
      </c>
      <c r="I3406" t="n">
        <v>0</v>
      </c>
      <c r="J3406" t="n">
        <v>0</v>
      </c>
      <c r="K3406" t="n">
        <v>0</v>
      </c>
      <c r="L3406" t="n">
        <v>0</v>
      </c>
      <c r="M3406" t="n">
        <v>0</v>
      </c>
      <c r="N3406" t="n">
        <v>0</v>
      </c>
      <c r="O3406" t="n">
        <v>0</v>
      </c>
      <c r="P3406" t="n">
        <v>0</v>
      </c>
      <c r="Q3406" t="n">
        <v>0</v>
      </c>
      <c r="R3406" s="2" t="inlineStr"/>
    </row>
    <row r="3407" ht="15" customHeight="1">
      <c r="A3407" t="inlineStr">
        <is>
          <t>A 36553-2021</t>
        </is>
      </c>
      <c r="B3407" s="1" t="n">
        <v>44391</v>
      </c>
      <c r="C3407" s="1" t="n">
        <v>45587</v>
      </c>
      <c r="D3407" t="inlineStr">
        <is>
          <t>GÄVLEBORGS LÄN</t>
        </is>
      </c>
      <c r="E3407" t="inlineStr">
        <is>
          <t>OCKELBO</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36568-2021</t>
        </is>
      </c>
      <c r="B3408" s="1" t="n">
        <v>44391</v>
      </c>
      <c r="C3408" s="1" t="n">
        <v>45587</v>
      </c>
      <c r="D3408" t="inlineStr">
        <is>
          <t>GÄVLEBORGS LÄN</t>
        </is>
      </c>
      <c r="E3408" t="inlineStr">
        <is>
          <t>LJUSDAL</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36680-2021</t>
        </is>
      </c>
      <c r="B3409" s="1" t="n">
        <v>44392</v>
      </c>
      <c r="C3409" s="1" t="n">
        <v>45587</v>
      </c>
      <c r="D3409" t="inlineStr">
        <is>
          <t>GÄVLEBORGS LÄN</t>
        </is>
      </c>
      <c r="E3409" t="inlineStr">
        <is>
          <t>SÖDERHAMN</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36713-2021</t>
        </is>
      </c>
      <c r="B3410" s="1" t="n">
        <v>44392</v>
      </c>
      <c r="C3410" s="1" t="n">
        <v>45587</v>
      </c>
      <c r="D3410" t="inlineStr">
        <is>
          <t>GÄVLEBORGS LÄN</t>
        </is>
      </c>
      <c r="E3410" t="inlineStr">
        <is>
          <t>LJUSDAL</t>
        </is>
      </c>
      <c r="F3410" t="inlineStr">
        <is>
          <t>Holmen skog AB</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36698-2021</t>
        </is>
      </c>
      <c r="B3411" s="1" t="n">
        <v>44392</v>
      </c>
      <c r="C3411" s="1" t="n">
        <v>45587</v>
      </c>
      <c r="D3411" t="inlineStr">
        <is>
          <t>GÄVLEBORGS LÄN</t>
        </is>
      </c>
      <c r="E3411" t="inlineStr">
        <is>
          <t>LJUSDAL</t>
        </is>
      </c>
      <c r="F3411" t="inlineStr">
        <is>
          <t>Holmen skog AB</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36885-2021</t>
        </is>
      </c>
      <c r="B3412" s="1" t="n">
        <v>44393</v>
      </c>
      <c r="C3412" s="1" t="n">
        <v>45587</v>
      </c>
      <c r="D3412" t="inlineStr">
        <is>
          <t>GÄVLEBORGS LÄN</t>
        </is>
      </c>
      <c r="E3412" t="inlineStr">
        <is>
          <t>LJUSDAL</t>
        </is>
      </c>
      <c r="F3412" t="inlineStr">
        <is>
          <t>Bergvik skog väst AB</t>
        </is>
      </c>
      <c r="G3412" t="n">
        <v>9.300000000000001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36841-2021</t>
        </is>
      </c>
      <c r="B3413" s="1" t="n">
        <v>44393</v>
      </c>
      <c r="C3413" s="1" t="n">
        <v>45587</v>
      </c>
      <c r="D3413" t="inlineStr">
        <is>
          <t>GÄVLEBORGS LÄN</t>
        </is>
      </c>
      <c r="E3413" t="inlineStr">
        <is>
          <t>OCKELBO</t>
        </is>
      </c>
      <c r="F3413" t="inlineStr">
        <is>
          <t>Bergvik skog väst AB</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36945-2021</t>
        </is>
      </c>
      <c r="B3414" s="1" t="n">
        <v>44393</v>
      </c>
      <c r="C3414" s="1" t="n">
        <v>45587</v>
      </c>
      <c r="D3414" t="inlineStr">
        <is>
          <t>GÄVLEBORGS LÄN</t>
        </is>
      </c>
      <c r="E3414" t="inlineStr">
        <is>
          <t>HUDIKSVALL</t>
        </is>
      </c>
      <c r="F3414" t="inlineStr">
        <is>
          <t>Holmen skog AB</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37199-2021</t>
        </is>
      </c>
      <c r="B3415" s="1" t="n">
        <v>44396</v>
      </c>
      <c r="C3415" s="1" t="n">
        <v>45587</v>
      </c>
      <c r="D3415" t="inlineStr">
        <is>
          <t>GÄVLEBORGS LÄN</t>
        </is>
      </c>
      <c r="E3415" t="inlineStr">
        <is>
          <t>LJUSDAL</t>
        </is>
      </c>
      <c r="F3415" t="inlineStr">
        <is>
          <t>Sveaskog</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37219-2021</t>
        </is>
      </c>
      <c r="B3416" s="1" t="n">
        <v>44396</v>
      </c>
      <c r="C3416" s="1" t="n">
        <v>45587</v>
      </c>
      <c r="D3416" t="inlineStr">
        <is>
          <t>GÄVLEBORGS LÄN</t>
        </is>
      </c>
      <c r="E3416" t="inlineStr">
        <is>
          <t>LJUSDAL</t>
        </is>
      </c>
      <c r="F3416" t="inlineStr">
        <is>
          <t>Sveaskog</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37203-2021</t>
        </is>
      </c>
      <c r="B3417" s="1" t="n">
        <v>44396</v>
      </c>
      <c r="C3417" s="1" t="n">
        <v>45587</v>
      </c>
      <c r="D3417" t="inlineStr">
        <is>
          <t>GÄVLEBORGS LÄN</t>
        </is>
      </c>
      <c r="E3417" t="inlineStr">
        <is>
          <t>NORDANSTIG</t>
        </is>
      </c>
      <c r="F3417" t="inlineStr">
        <is>
          <t>Holmen skog AB</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37253-2021</t>
        </is>
      </c>
      <c r="B3418" s="1" t="n">
        <v>44397</v>
      </c>
      <c r="C3418" s="1" t="n">
        <v>45587</v>
      </c>
      <c r="D3418" t="inlineStr">
        <is>
          <t>GÄVLEBORGS LÄN</t>
        </is>
      </c>
      <c r="E3418" t="inlineStr">
        <is>
          <t>LJUSDAL</t>
        </is>
      </c>
      <c r="F3418" t="inlineStr">
        <is>
          <t>Sveaskog</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37249-2021</t>
        </is>
      </c>
      <c r="B3419" s="1" t="n">
        <v>44397</v>
      </c>
      <c r="C3419" s="1" t="n">
        <v>45587</v>
      </c>
      <c r="D3419" t="inlineStr">
        <is>
          <t>GÄVLEBORGS LÄN</t>
        </is>
      </c>
      <c r="E3419" t="inlineStr">
        <is>
          <t>LJUSDAL</t>
        </is>
      </c>
      <c r="F3419" t="inlineStr">
        <is>
          <t>Sveaskog</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37402-2021</t>
        </is>
      </c>
      <c r="B3420" s="1" t="n">
        <v>44398</v>
      </c>
      <c r="C3420" s="1" t="n">
        <v>45587</v>
      </c>
      <c r="D3420" t="inlineStr">
        <is>
          <t>GÄVLEBORGS LÄN</t>
        </is>
      </c>
      <c r="E3420" t="inlineStr">
        <is>
          <t>LJUSDAL</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37473-2021</t>
        </is>
      </c>
      <c r="B3421" s="1" t="n">
        <v>44398</v>
      </c>
      <c r="C3421" s="1" t="n">
        <v>45587</v>
      </c>
      <c r="D3421" t="inlineStr">
        <is>
          <t>GÄVLEBORGS LÄN</t>
        </is>
      </c>
      <c r="E3421" t="inlineStr">
        <is>
          <t>LJUSDAL</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37565-2021</t>
        </is>
      </c>
      <c r="B3422" s="1" t="n">
        <v>44399</v>
      </c>
      <c r="C3422" s="1" t="n">
        <v>45587</v>
      </c>
      <c r="D3422" t="inlineStr">
        <is>
          <t>GÄVLEBORGS LÄN</t>
        </is>
      </c>
      <c r="E3422" t="inlineStr">
        <is>
          <t>OCKELBO</t>
        </is>
      </c>
      <c r="G3422" t="n">
        <v>6</v>
      </c>
      <c r="H3422" t="n">
        <v>0</v>
      </c>
      <c r="I3422" t="n">
        <v>0</v>
      </c>
      <c r="J3422" t="n">
        <v>0</v>
      </c>
      <c r="K3422" t="n">
        <v>0</v>
      </c>
      <c r="L3422" t="n">
        <v>0</v>
      </c>
      <c r="M3422" t="n">
        <v>0</v>
      </c>
      <c r="N3422" t="n">
        <v>0</v>
      </c>
      <c r="O3422" t="n">
        <v>0</v>
      </c>
      <c r="P3422" t="n">
        <v>0</v>
      </c>
      <c r="Q3422" t="n">
        <v>0</v>
      </c>
      <c r="R3422" s="2" t="inlineStr"/>
    </row>
    <row r="3423" ht="15" customHeight="1">
      <c r="A3423" t="inlineStr">
        <is>
          <t>A 37643-2021</t>
        </is>
      </c>
      <c r="B3423" s="1" t="n">
        <v>44400</v>
      </c>
      <c r="C3423" s="1" t="n">
        <v>45587</v>
      </c>
      <c r="D3423" t="inlineStr">
        <is>
          <t>GÄVLEBORGS LÄN</t>
        </is>
      </c>
      <c r="E3423" t="inlineStr">
        <is>
          <t>LJUSDAL</t>
        </is>
      </c>
      <c r="F3423" t="inlineStr">
        <is>
          <t>Sveaskog</t>
        </is>
      </c>
      <c r="G3423" t="n">
        <v>7.2</v>
      </c>
      <c r="H3423" t="n">
        <v>0</v>
      </c>
      <c r="I3423" t="n">
        <v>0</v>
      </c>
      <c r="J3423" t="n">
        <v>0</v>
      </c>
      <c r="K3423" t="n">
        <v>0</v>
      </c>
      <c r="L3423" t="n">
        <v>0</v>
      </c>
      <c r="M3423" t="n">
        <v>0</v>
      </c>
      <c r="N3423" t="n">
        <v>0</v>
      </c>
      <c r="O3423" t="n">
        <v>0</v>
      </c>
      <c r="P3423" t="n">
        <v>0</v>
      </c>
      <c r="Q3423" t="n">
        <v>0</v>
      </c>
      <c r="R3423" s="2" t="inlineStr"/>
    </row>
    <row r="3424" ht="15" customHeight="1">
      <c r="A3424" t="inlineStr">
        <is>
          <t>A 37647-2021</t>
        </is>
      </c>
      <c r="B3424" s="1" t="n">
        <v>44400</v>
      </c>
      <c r="C3424" s="1" t="n">
        <v>45587</v>
      </c>
      <c r="D3424" t="inlineStr">
        <is>
          <t>GÄVLEBORGS LÄN</t>
        </is>
      </c>
      <c r="E3424" t="inlineStr">
        <is>
          <t>LJUSDAL</t>
        </is>
      </c>
      <c r="F3424" t="inlineStr">
        <is>
          <t>Sveaskog</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37642-2021</t>
        </is>
      </c>
      <c r="B3425" s="1" t="n">
        <v>44400</v>
      </c>
      <c r="C3425" s="1" t="n">
        <v>45587</v>
      </c>
      <c r="D3425" t="inlineStr">
        <is>
          <t>GÄVLEBORGS LÄN</t>
        </is>
      </c>
      <c r="E3425" t="inlineStr">
        <is>
          <t>LJUSDAL</t>
        </is>
      </c>
      <c r="F3425" t="inlineStr">
        <is>
          <t>Sveaskog</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37646-2021</t>
        </is>
      </c>
      <c r="B3426" s="1" t="n">
        <v>44400</v>
      </c>
      <c r="C3426" s="1" t="n">
        <v>45587</v>
      </c>
      <c r="D3426" t="inlineStr">
        <is>
          <t>GÄVLEBORGS LÄN</t>
        </is>
      </c>
      <c r="E3426" t="inlineStr">
        <is>
          <t>LJUSDAL</t>
        </is>
      </c>
      <c r="F3426" t="inlineStr">
        <is>
          <t>Sveaskog</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37640-2021</t>
        </is>
      </c>
      <c r="B3427" s="1" t="n">
        <v>44400</v>
      </c>
      <c r="C3427" s="1" t="n">
        <v>45587</v>
      </c>
      <c r="D3427" t="inlineStr">
        <is>
          <t>GÄVLEBORGS LÄN</t>
        </is>
      </c>
      <c r="E3427" t="inlineStr">
        <is>
          <t>LJUSDAL</t>
        </is>
      </c>
      <c r="F3427" t="inlineStr">
        <is>
          <t>Sveaskog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37644-2021</t>
        </is>
      </c>
      <c r="B3428" s="1" t="n">
        <v>44400</v>
      </c>
      <c r="C3428" s="1" t="n">
        <v>45587</v>
      </c>
      <c r="D3428" t="inlineStr">
        <is>
          <t>GÄVLEBORGS LÄN</t>
        </is>
      </c>
      <c r="E3428" t="inlineStr">
        <is>
          <t>LJUSDAL</t>
        </is>
      </c>
      <c r="F3428" t="inlineStr">
        <is>
          <t>Sveaskog</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37645-2021</t>
        </is>
      </c>
      <c r="B3429" s="1" t="n">
        <v>44400</v>
      </c>
      <c r="C3429" s="1" t="n">
        <v>45587</v>
      </c>
      <c r="D3429" t="inlineStr">
        <is>
          <t>GÄVLEBORGS LÄN</t>
        </is>
      </c>
      <c r="E3429" t="inlineStr">
        <is>
          <t>LJUSDAL</t>
        </is>
      </c>
      <c r="F3429" t="inlineStr">
        <is>
          <t>Sveaskog</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37649-2021</t>
        </is>
      </c>
      <c r="B3430" s="1" t="n">
        <v>44400</v>
      </c>
      <c r="C3430" s="1" t="n">
        <v>45587</v>
      </c>
      <c r="D3430" t="inlineStr">
        <is>
          <t>GÄVLEBORGS LÄN</t>
        </is>
      </c>
      <c r="E3430" t="inlineStr">
        <is>
          <t>LJUSDAL</t>
        </is>
      </c>
      <c r="F3430" t="inlineStr">
        <is>
          <t>Sveaskog</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37664-2021</t>
        </is>
      </c>
      <c r="B3431" s="1" t="n">
        <v>44400</v>
      </c>
      <c r="C3431" s="1" t="n">
        <v>45587</v>
      </c>
      <c r="D3431" t="inlineStr">
        <is>
          <t>GÄVLEBORGS LÄN</t>
        </is>
      </c>
      <c r="E3431" t="inlineStr">
        <is>
          <t>LJUSDAL</t>
        </is>
      </c>
      <c r="F3431" t="inlineStr">
        <is>
          <t>Sveaskog</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37709-2021</t>
        </is>
      </c>
      <c r="B3432" s="1" t="n">
        <v>44400</v>
      </c>
      <c r="C3432" s="1" t="n">
        <v>45587</v>
      </c>
      <c r="D3432" t="inlineStr">
        <is>
          <t>GÄVLEBORGS LÄN</t>
        </is>
      </c>
      <c r="E3432" t="inlineStr">
        <is>
          <t>OCKELBO</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37729-2021</t>
        </is>
      </c>
      <c r="B3433" s="1" t="n">
        <v>44400</v>
      </c>
      <c r="C3433" s="1" t="n">
        <v>45587</v>
      </c>
      <c r="D3433" t="inlineStr">
        <is>
          <t>GÄVLEBORGS LÄN</t>
        </is>
      </c>
      <c r="E3433" t="inlineStr">
        <is>
          <t>OVANÅKER</t>
        </is>
      </c>
      <c r="F3433" t="inlineStr">
        <is>
          <t>Sveaskog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37694-2021</t>
        </is>
      </c>
      <c r="B3434" s="1" t="n">
        <v>44400</v>
      </c>
      <c r="C3434" s="1" t="n">
        <v>45587</v>
      </c>
      <c r="D3434" t="inlineStr">
        <is>
          <t>GÄVLEBORGS LÄN</t>
        </is>
      </c>
      <c r="E3434" t="inlineStr">
        <is>
          <t>OCKELBO</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37701-2021</t>
        </is>
      </c>
      <c r="B3435" s="1" t="n">
        <v>44400</v>
      </c>
      <c r="C3435" s="1" t="n">
        <v>45587</v>
      </c>
      <c r="D3435" t="inlineStr">
        <is>
          <t>GÄVLEBORGS LÄN</t>
        </is>
      </c>
      <c r="E3435" t="inlineStr">
        <is>
          <t>OCKELBO</t>
        </is>
      </c>
      <c r="G3435" t="n">
        <v>6.3</v>
      </c>
      <c r="H3435" t="n">
        <v>0</v>
      </c>
      <c r="I3435" t="n">
        <v>0</v>
      </c>
      <c r="J3435" t="n">
        <v>0</v>
      </c>
      <c r="K3435" t="n">
        <v>0</v>
      </c>
      <c r="L3435" t="n">
        <v>0</v>
      </c>
      <c r="M3435" t="n">
        <v>0</v>
      </c>
      <c r="N3435" t="n">
        <v>0</v>
      </c>
      <c r="O3435" t="n">
        <v>0</v>
      </c>
      <c r="P3435" t="n">
        <v>0</v>
      </c>
      <c r="Q3435" t="n">
        <v>0</v>
      </c>
      <c r="R3435" s="2" t="inlineStr"/>
    </row>
    <row r="3436" ht="15" customHeight="1">
      <c r="A3436" t="inlineStr">
        <is>
          <t>A 37734-2021</t>
        </is>
      </c>
      <c r="B3436" s="1" t="n">
        <v>44400</v>
      </c>
      <c r="C3436" s="1" t="n">
        <v>45587</v>
      </c>
      <c r="D3436" t="inlineStr">
        <is>
          <t>GÄVLEBORGS LÄN</t>
        </is>
      </c>
      <c r="E3436" t="inlineStr">
        <is>
          <t>OVANÅKER</t>
        </is>
      </c>
      <c r="F3436" t="inlineStr">
        <is>
          <t>Sveaskog</t>
        </is>
      </c>
      <c r="G3436" t="n">
        <v>6.2</v>
      </c>
      <c r="H3436" t="n">
        <v>0</v>
      </c>
      <c r="I3436" t="n">
        <v>0</v>
      </c>
      <c r="J3436" t="n">
        <v>0</v>
      </c>
      <c r="K3436" t="n">
        <v>0</v>
      </c>
      <c r="L3436" t="n">
        <v>0</v>
      </c>
      <c r="M3436" t="n">
        <v>0</v>
      </c>
      <c r="N3436" t="n">
        <v>0</v>
      </c>
      <c r="O3436" t="n">
        <v>0</v>
      </c>
      <c r="P3436" t="n">
        <v>0</v>
      </c>
      <c r="Q3436" t="n">
        <v>0</v>
      </c>
      <c r="R3436" s="2" t="inlineStr"/>
    </row>
    <row r="3437" ht="15" customHeight="1">
      <c r="A3437" t="inlineStr">
        <is>
          <t>A 37726-2021</t>
        </is>
      </c>
      <c r="B3437" s="1" t="n">
        <v>44400</v>
      </c>
      <c r="C3437" s="1" t="n">
        <v>45587</v>
      </c>
      <c r="D3437" t="inlineStr">
        <is>
          <t>GÄVLEBORGS LÄN</t>
        </is>
      </c>
      <c r="E3437" t="inlineStr">
        <is>
          <t>OVANÅKER</t>
        </is>
      </c>
      <c r="F3437" t="inlineStr">
        <is>
          <t>Sveaskog</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37705-2021</t>
        </is>
      </c>
      <c r="B3438" s="1" t="n">
        <v>44400</v>
      </c>
      <c r="C3438" s="1" t="n">
        <v>45587</v>
      </c>
      <c r="D3438" t="inlineStr">
        <is>
          <t>GÄVLEBORGS LÄN</t>
        </is>
      </c>
      <c r="E3438" t="inlineStr">
        <is>
          <t>OCKELBO</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37845-2021</t>
        </is>
      </c>
      <c r="B3439" s="1" t="n">
        <v>44403</v>
      </c>
      <c r="C3439" s="1" t="n">
        <v>45587</v>
      </c>
      <c r="D3439" t="inlineStr">
        <is>
          <t>GÄVLEBORGS LÄN</t>
        </is>
      </c>
      <c r="E3439" t="inlineStr">
        <is>
          <t>NORDANSTIG</t>
        </is>
      </c>
      <c r="F3439" t="inlineStr">
        <is>
          <t>Holmen skog AB</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37874-2021</t>
        </is>
      </c>
      <c r="B3440" s="1" t="n">
        <v>44403</v>
      </c>
      <c r="C3440" s="1" t="n">
        <v>45587</v>
      </c>
      <c r="D3440" t="inlineStr">
        <is>
          <t>GÄVLEBORGS LÄN</t>
        </is>
      </c>
      <c r="E3440" t="inlineStr">
        <is>
          <t>OCKELBO</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37900-2021</t>
        </is>
      </c>
      <c r="B3441" s="1" t="n">
        <v>44403</v>
      </c>
      <c r="C3441" s="1" t="n">
        <v>45587</v>
      </c>
      <c r="D3441" t="inlineStr">
        <is>
          <t>GÄVLEBORGS LÄN</t>
        </is>
      </c>
      <c r="E3441" t="inlineStr">
        <is>
          <t>HUDIKSVALL</t>
        </is>
      </c>
      <c r="F3441" t="inlineStr">
        <is>
          <t>Holmen skog AB</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37903-2021</t>
        </is>
      </c>
      <c r="B3442" s="1" t="n">
        <v>44403</v>
      </c>
      <c r="C3442" s="1" t="n">
        <v>45587</v>
      </c>
      <c r="D3442" t="inlineStr">
        <is>
          <t>GÄVLEBORGS LÄN</t>
        </is>
      </c>
      <c r="E3442" t="inlineStr">
        <is>
          <t>LJUSDAL</t>
        </is>
      </c>
      <c r="F3442" t="inlineStr">
        <is>
          <t>Sveaskog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37970-2021</t>
        </is>
      </c>
      <c r="B3443" s="1" t="n">
        <v>44403</v>
      </c>
      <c r="C3443" s="1" t="n">
        <v>45587</v>
      </c>
      <c r="D3443" t="inlineStr">
        <is>
          <t>GÄVLEBORGS LÄN</t>
        </is>
      </c>
      <c r="E3443" t="inlineStr">
        <is>
          <t>LJUSDAL</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38040-2021</t>
        </is>
      </c>
      <c r="B3444" s="1" t="n">
        <v>44404</v>
      </c>
      <c r="C3444" s="1" t="n">
        <v>45587</v>
      </c>
      <c r="D3444" t="inlineStr">
        <is>
          <t>GÄVLEBORGS LÄN</t>
        </is>
      </c>
      <c r="E3444" t="inlineStr">
        <is>
          <t>LJUSDAL</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38006-2021</t>
        </is>
      </c>
      <c r="B3445" s="1" t="n">
        <v>44404</v>
      </c>
      <c r="C3445" s="1" t="n">
        <v>45587</v>
      </c>
      <c r="D3445" t="inlineStr">
        <is>
          <t>GÄVLEBORGS LÄN</t>
        </is>
      </c>
      <c r="E3445" t="inlineStr">
        <is>
          <t>HUDIKSVALL</t>
        </is>
      </c>
      <c r="F3445" t="inlineStr">
        <is>
          <t>Holmen skog AB</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37999-2021</t>
        </is>
      </c>
      <c r="B3446" s="1" t="n">
        <v>44404</v>
      </c>
      <c r="C3446" s="1" t="n">
        <v>45587</v>
      </c>
      <c r="D3446" t="inlineStr">
        <is>
          <t>GÄVLEBORGS LÄN</t>
        </is>
      </c>
      <c r="E3446" t="inlineStr">
        <is>
          <t>HUDIKSVALL</t>
        </is>
      </c>
      <c r="F3446" t="inlineStr">
        <is>
          <t>Holmen skog AB</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38018-2021</t>
        </is>
      </c>
      <c r="B3447" s="1" t="n">
        <v>44404</v>
      </c>
      <c r="C3447" s="1" t="n">
        <v>45587</v>
      </c>
      <c r="D3447" t="inlineStr">
        <is>
          <t>GÄVLEBORGS LÄN</t>
        </is>
      </c>
      <c r="E3447" t="inlineStr">
        <is>
          <t>HUDIKSVALL</t>
        </is>
      </c>
      <c r="F3447" t="inlineStr">
        <is>
          <t>Kommuner</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38113-2021</t>
        </is>
      </c>
      <c r="B3448" s="1" t="n">
        <v>44405</v>
      </c>
      <c r="C3448" s="1" t="n">
        <v>45587</v>
      </c>
      <c r="D3448" t="inlineStr">
        <is>
          <t>GÄVLEBORGS LÄN</t>
        </is>
      </c>
      <c r="E3448" t="inlineStr">
        <is>
          <t>LJUSDAL</t>
        </is>
      </c>
      <c r="F3448" t="inlineStr">
        <is>
          <t>Sveaskog</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38109-2021</t>
        </is>
      </c>
      <c r="B3449" s="1" t="n">
        <v>44405</v>
      </c>
      <c r="C3449" s="1" t="n">
        <v>45587</v>
      </c>
      <c r="D3449" t="inlineStr">
        <is>
          <t>GÄVLEBORGS LÄN</t>
        </is>
      </c>
      <c r="E3449" t="inlineStr">
        <is>
          <t>LJUSDAL</t>
        </is>
      </c>
      <c r="F3449" t="inlineStr">
        <is>
          <t>Sveaskog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38267-2021</t>
        </is>
      </c>
      <c r="B3450" s="1" t="n">
        <v>44405</v>
      </c>
      <c r="C3450" s="1" t="n">
        <v>45587</v>
      </c>
      <c r="D3450" t="inlineStr">
        <is>
          <t>GÄVLEBORGS LÄN</t>
        </is>
      </c>
      <c r="E3450" t="inlineStr">
        <is>
          <t>LJUSDAL</t>
        </is>
      </c>
      <c r="F3450" t="inlineStr">
        <is>
          <t>Sveaskog</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38292-2021</t>
        </is>
      </c>
      <c r="B3451" s="1" t="n">
        <v>44406</v>
      </c>
      <c r="C3451" s="1" t="n">
        <v>45587</v>
      </c>
      <c r="D3451" t="inlineStr">
        <is>
          <t>GÄVLEBORGS LÄN</t>
        </is>
      </c>
      <c r="E3451" t="inlineStr">
        <is>
          <t>OCKELBO</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38331-2021</t>
        </is>
      </c>
      <c r="B3452" s="1" t="n">
        <v>44406</v>
      </c>
      <c r="C3452" s="1" t="n">
        <v>45587</v>
      </c>
      <c r="D3452" t="inlineStr">
        <is>
          <t>GÄVLEBORGS LÄN</t>
        </is>
      </c>
      <c r="E3452" t="inlineStr">
        <is>
          <t>LJUSDAL</t>
        </is>
      </c>
      <c r="F3452" t="inlineStr">
        <is>
          <t>Allmännings- och besparingsskogar</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38556-2021</t>
        </is>
      </c>
      <c r="B3453" s="1" t="n">
        <v>44407</v>
      </c>
      <c r="C3453" s="1" t="n">
        <v>45587</v>
      </c>
      <c r="D3453" t="inlineStr">
        <is>
          <t>GÄVLEBORGS LÄN</t>
        </is>
      </c>
      <c r="E3453" t="inlineStr">
        <is>
          <t>BOLLNÄS</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38604-2021</t>
        </is>
      </c>
      <c r="B3454" s="1" t="n">
        <v>44409</v>
      </c>
      <c r="C3454" s="1" t="n">
        <v>45587</v>
      </c>
      <c r="D3454" t="inlineStr">
        <is>
          <t>GÄVLEBORGS LÄN</t>
        </is>
      </c>
      <c r="E3454" t="inlineStr">
        <is>
          <t>OCKELBO</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38863-2021</t>
        </is>
      </c>
      <c r="B3455" s="1" t="n">
        <v>44411</v>
      </c>
      <c r="C3455" s="1" t="n">
        <v>45587</v>
      </c>
      <c r="D3455" t="inlineStr">
        <is>
          <t>GÄVLEBORGS LÄN</t>
        </is>
      </c>
      <c r="E3455" t="inlineStr">
        <is>
          <t>OCKELBO</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39154-2021</t>
        </is>
      </c>
      <c r="B3456" s="1" t="n">
        <v>44412</v>
      </c>
      <c r="C3456" s="1" t="n">
        <v>45587</v>
      </c>
      <c r="D3456" t="inlineStr">
        <is>
          <t>GÄVLEBORGS LÄN</t>
        </is>
      </c>
      <c r="E3456" t="inlineStr">
        <is>
          <t>HUDIKSVALL</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39156-2021</t>
        </is>
      </c>
      <c r="B3457" s="1" t="n">
        <v>44412</v>
      </c>
      <c r="C3457" s="1" t="n">
        <v>45587</v>
      </c>
      <c r="D3457" t="inlineStr">
        <is>
          <t>GÄVLEBORGS LÄN</t>
        </is>
      </c>
      <c r="E3457" t="inlineStr">
        <is>
          <t>HUDIKSVALL</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39374-2021</t>
        </is>
      </c>
      <c r="B3458" s="1" t="n">
        <v>44414</v>
      </c>
      <c r="C3458" s="1" t="n">
        <v>45587</v>
      </c>
      <c r="D3458" t="inlineStr">
        <is>
          <t>GÄVLEBORGS LÄN</t>
        </is>
      </c>
      <c r="E3458" t="inlineStr">
        <is>
          <t>GÄVLE</t>
        </is>
      </c>
      <c r="F3458" t="inlineStr">
        <is>
          <t>Kyrkan</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39445-2021</t>
        </is>
      </c>
      <c r="B3459" s="1" t="n">
        <v>44414</v>
      </c>
      <c r="C3459" s="1" t="n">
        <v>45587</v>
      </c>
      <c r="D3459" t="inlineStr">
        <is>
          <t>GÄVLEBORGS LÄN</t>
        </is>
      </c>
      <c r="E3459" t="inlineStr">
        <is>
          <t>OCKELBO</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39690-2021</t>
        </is>
      </c>
      <c r="B3460" s="1" t="n">
        <v>44417</v>
      </c>
      <c r="C3460" s="1" t="n">
        <v>45587</v>
      </c>
      <c r="D3460" t="inlineStr">
        <is>
          <t>GÄVLEBORGS LÄN</t>
        </is>
      </c>
      <c r="E3460" t="inlineStr">
        <is>
          <t>HUDIKSVALL</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39687-2021</t>
        </is>
      </c>
      <c r="B3461" s="1" t="n">
        <v>44417</v>
      </c>
      <c r="C3461" s="1" t="n">
        <v>45587</v>
      </c>
      <c r="D3461" t="inlineStr">
        <is>
          <t>GÄVLEBORGS LÄN</t>
        </is>
      </c>
      <c r="E3461" t="inlineStr">
        <is>
          <t>NORDANSTIG</t>
        </is>
      </c>
      <c r="G3461" t="n">
        <v>6.9</v>
      </c>
      <c r="H3461" t="n">
        <v>0</v>
      </c>
      <c r="I3461" t="n">
        <v>0</v>
      </c>
      <c r="J3461" t="n">
        <v>0</v>
      </c>
      <c r="K3461" t="n">
        <v>0</v>
      </c>
      <c r="L3461" t="n">
        <v>0</v>
      </c>
      <c r="M3461" t="n">
        <v>0</v>
      </c>
      <c r="N3461" t="n">
        <v>0</v>
      </c>
      <c r="O3461" t="n">
        <v>0</v>
      </c>
      <c r="P3461" t="n">
        <v>0</v>
      </c>
      <c r="Q3461" t="n">
        <v>0</v>
      </c>
      <c r="R3461" s="2" t="inlineStr"/>
    </row>
    <row r="3462" ht="15" customHeight="1">
      <c r="A3462" t="inlineStr">
        <is>
          <t>A 39913-2021</t>
        </is>
      </c>
      <c r="B3462" s="1" t="n">
        <v>44417</v>
      </c>
      <c r="C3462" s="1" t="n">
        <v>45587</v>
      </c>
      <c r="D3462" t="inlineStr">
        <is>
          <t>GÄVLEBORGS LÄN</t>
        </is>
      </c>
      <c r="E3462" t="inlineStr">
        <is>
          <t>SÖDERHAMN</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39888-2021</t>
        </is>
      </c>
      <c r="B3463" s="1" t="n">
        <v>44417</v>
      </c>
      <c r="C3463" s="1" t="n">
        <v>45587</v>
      </c>
      <c r="D3463" t="inlineStr">
        <is>
          <t>GÄVLEBORGS LÄN</t>
        </is>
      </c>
      <c r="E3463" t="inlineStr">
        <is>
          <t>OCKELBO</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39915-2021</t>
        </is>
      </c>
      <c r="B3464" s="1" t="n">
        <v>44417</v>
      </c>
      <c r="C3464" s="1" t="n">
        <v>45587</v>
      </c>
      <c r="D3464" t="inlineStr">
        <is>
          <t>GÄVLEBORGS LÄN</t>
        </is>
      </c>
      <c r="E3464" t="inlineStr">
        <is>
          <t>SÖDERHAMN</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40009-2021</t>
        </is>
      </c>
      <c r="B3465" s="1" t="n">
        <v>44418</v>
      </c>
      <c r="C3465" s="1" t="n">
        <v>45587</v>
      </c>
      <c r="D3465" t="inlineStr">
        <is>
          <t>GÄVLEBORGS LÄN</t>
        </is>
      </c>
      <c r="E3465" t="inlineStr">
        <is>
          <t>LJUSDAL</t>
        </is>
      </c>
      <c r="F3465" t="inlineStr">
        <is>
          <t>Sveaskog</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40000-2021</t>
        </is>
      </c>
      <c r="B3466" s="1" t="n">
        <v>44418</v>
      </c>
      <c r="C3466" s="1" t="n">
        <v>45587</v>
      </c>
      <c r="D3466" t="inlineStr">
        <is>
          <t>GÄVLEBORGS LÄN</t>
        </is>
      </c>
      <c r="E3466" t="inlineStr">
        <is>
          <t>LJUSDAL</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40159-2021</t>
        </is>
      </c>
      <c r="B3467" s="1" t="n">
        <v>44418</v>
      </c>
      <c r="C3467" s="1" t="n">
        <v>45587</v>
      </c>
      <c r="D3467" t="inlineStr">
        <is>
          <t>GÄVLEBORGS LÄN</t>
        </is>
      </c>
      <c r="E3467" t="inlineStr">
        <is>
          <t>OCKELBO</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40023-2021</t>
        </is>
      </c>
      <c r="B3468" s="1" t="n">
        <v>44418</v>
      </c>
      <c r="C3468" s="1" t="n">
        <v>45587</v>
      </c>
      <c r="D3468" t="inlineStr">
        <is>
          <t>GÄVLEBORGS LÄN</t>
        </is>
      </c>
      <c r="E3468" t="inlineStr">
        <is>
          <t>GÄVLE</t>
        </is>
      </c>
      <c r="F3468" t="inlineStr">
        <is>
          <t>Bergvik skog öst AB</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40273-2021</t>
        </is>
      </c>
      <c r="B3469" s="1" t="n">
        <v>44419</v>
      </c>
      <c r="C3469" s="1" t="n">
        <v>45587</v>
      </c>
      <c r="D3469" t="inlineStr">
        <is>
          <t>GÄVLEBORGS LÄN</t>
        </is>
      </c>
      <c r="E3469" t="inlineStr">
        <is>
          <t>SÖDERHAMN</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40345-2021</t>
        </is>
      </c>
      <c r="B3470" s="1" t="n">
        <v>44419</v>
      </c>
      <c r="C3470" s="1" t="n">
        <v>45587</v>
      </c>
      <c r="D3470" t="inlineStr">
        <is>
          <t>GÄVLEBORGS LÄN</t>
        </is>
      </c>
      <c r="E3470" t="inlineStr">
        <is>
          <t>LJUSDAL</t>
        </is>
      </c>
      <c r="F3470" t="inlineStr">
        <is>
          <t>Bergvik skog väst AB</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40315-2021</t>
        </is>
      </c>
      <c r="B3471" s="1" t="n">
        <v>44419</v>
      </c>
      <c r="C3471" s="1" t="n">
        <v>45587</v>
      </c>
      <c r="D3471" t="inlineStr">
        <is>
          <t>GÄVLEBORGS LÄN</t>
        </is>
      </c>
      <c r="E3471" t="inlineStr">
        <is>
          <t>GÄVLE</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40431-2021</t>
        </is>
      </c>
      <c r="B3472" s="1" t="n">
        <v>44419</v>
      </c>
      <c r="C3472" s="1" t="n">
        <v>45587</v>
      </c>
      <c r="D3472" t="inlineStr">
        <is>
          <t>GÄVLEBORGS LÄN</t>
        </is>
      </c>
      <c r="E3472" t="inlineStr">
        <is>
          <t>LJUSDAL</t>
        </is>
      </c>
      <c r="F3472" t="inlineStr">
        <is>
          <t>Holmen skog AB</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40736-2021</t>
        </is>
      </c>
      <c r="B3473" s="1" t="n">
        <v>44420</v>
      </c>
      <c r="C3473" s="1" t="n">
        <v>45587</v>
      </c>
      <c r="D3473" t="inlineStr">
        <is>
          <t>GÄVLEBORGS LÄN</t>
        </is>
      </c>
      <c r="E3473" t="inlineStr">
        <is>
          <t>SÖDERHAMN</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40764-2021</t>
        </is>
      </c>
      <c r="B3474" s="1" t="n">
        <v>44421</v>
      </c>
      <c r="C3474" s="1" t="n">
        <v>45587</v>
      </c>
      <c r="D3474" t="inlineStr">
        <is>
          <t>GÄVLEBORGS LÄN</t>
        </is>
      </c>
      <c r="E3474" t="inlineStr">
        <is>
          <t>NORDANSTIG</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40926-2021</t>
        </is>
      </c>
      <c r="B3475" s="1" t="n">
        <v>44421</v>
      </c>
      <c r="C3475" s="1" t="n">
        <v>45587</v>
      </c>
      <c r="D3475" t="inlineStr">
        <is>
          <t>GÄVLEBORGS LÄN</t>
        </is>
      </c>
      <c r="E3475" t="inlineStr">
        <is>
          <t>SANDVIKEN</t>
        </is>
      </c>
      <c r="F3475" t="inlineStr">
        <is>
          <t>Naturvårdsverket</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40931-2021</t>
        </is>
      </c>
      <c r="B3476" s="1" t="n">
        <v>44421</v>
      </c>
      <c r="C3476" s="1" t="n">
        <v>45587</v>
      </c>
      <c r="D3476" t="inlineStr">
        <is>
          <t>GÄVLEBORGS LÄN</t>
        </is>
      </c>
      <c r="E3476" t="inlineStr">
        <is>
          <t>NORDANSTIG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41034-2021</t>
        </is>
      </c>
      <c r="B3477" s="1" t="n">
        <v>44421</v>
      </c>
      <c r="C3477" s="1" t="n">
        <v>45587</v>
      </c>
      <c r="D3477" t="inlineStr">
        <is>
          <t>GÄVLEBORGS LÄN</t>
        </is>
      </c>
      <c r="E3477" t="inlineStr">
        <is>
          <t>HUDIKSVALL</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41280-2021</t>
        </is>
      </c>
      <c r="B3478" s="1" t="n">
        <v>44424</v>
      </c>
      <c r="C3478" s="1" t="n">
        <v>45587</v>
      </c>
      <c r="D3478" t="inlineStr">
        <is>
          <t>GÄVLEBORGS LÄN</t>
        </is>
      </c>
      <c r="E3478" t="inlineStr">
        <is>
          <t>LJUSDAL</t>
        </is>
      </c>
      <c r="F3478" t="inlineStr">
        <is>
          <t>Bergvik skog väst AB</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41241-2021</t>
        </is>
      </c>
      <c r="B3479" s="1" t="n">
        <v>44424</v>
      </c>
      <c r="C3479" s="1" t="n">
        <v>45587</v>
      </c>
      <c r="D3479" t="inlineStr">
        <is>
          <t>GÄVLEBORGS LÄN</t>
        </is>
      </c>
      <c r="E3479" t="inlineStr">
        <is>
          <t>HUDIKSVALL</t>
        </is>
      </c>
      <c r="F3479" t="inlineStr">
        <is>
          <t>Holmen skog AB</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41355-2021</t>
        </is>
      </c>
      <c r="B3480" s="1" t="n">
        <v>44424</v>
      </c>
      <c r="C3480" s="1" t="n">
        <v>45587</v>
      </c>
      <c r="D3480" t="inlineStr">
        <is>
          <t>GÄVLEBORGS LÄN</t>
        </is>
      </c>
      <c r="E3480" t="inlineStr">
        <is>
          <t>BOLLNÄS</t>
        </is>
      </c>
      <c r="F3480" t="inlineStr">
        <is>
          <t>Holmen skog AB</t>
        </is>
      </c>
      <c r="G3480" t="n">
        <v>4.4</v>
      </c>
      <c r="H3480" t="n">
        <v>0</v>
      </c>
      <c r="I3480" t="n">
        <v>0</v>
      </c>
      <c r="J3480" t="n">
        <v>0</v>
      </c>
      <c r="K3480" t="n">
        <v>0</v>
      </c>
      <c r="L3480" t="n">
        <v>0</v>
      </c>
      <c r="M3480" t="n">
        <v>0</v>
      </c>
      <c r="N3480" t="n">
        <v>0</v>
      </c>
      <c r="O3480" t="n">
        <v>0</v>
      </c>
      <c r="P3480" t="n">
        <v>0</v>
      </c>
      <c r="Q3480" t="n">
        <v>0</v>
      </c>
      <c r="R3480" s="2" t="inlineStr"/>
    </row>
    <row r="3481" ht="15" customHeight="1">
      <c r="A3481" t="inlineStr">
        <is>
          <t>A 41471-2021</t>
        </is>
      </c>
      <c r="B3481" s="1" t="n">
        <v>44424</v>
      </c>
      <c r="C3481" s="1" t="n">
        <v>45587</v>
      </c>
      <c r="D3481" t="inlineStr">
        <is>
          <t>GÄVLEBORGS LÄN</t>
        </is>
      </c>
      <c r="E3481" t="inlineStr">
        <is>
          <t>BOLLNÄS</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41544-2021</t>
        </is>
      </c>
      <c r="B3482" s="1" t="n">
        <v>44425</v>
      </c>
      <c r="C3482" s="1" t="n">
        <v>45587</v>
      </c>
      <c r="D3482" t="inlineStr">
        <is>
          <t>GÄVLEBORGS LÄN</t>
        </is>
      </c>
      <c r="E3482" t="inlineStr">
        <is>
          <t>LJUSDAL</t>
        </is>
      </c>
      <c r="F3482" t="inlineStr">
        <is>
          <t>Sveaskog</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41529-2021</t>
        </is>
      </c>
      <c r="B3483" s="1" t="n">
        <v>44425</v>
      </c>
      <c r="C3483" s="1" t="n">
        <v>45587</v>
      </c>
      <c r="D3483" t="inlineStr">
        <is>
          <t>GÄVLEBORGS LÄN</t>
        </is>
      </c>
      <c r="E3483" t="inlineStr">
        <is>
          <t>OVANÅKER</t>
        </is>
      </c>
      <c r="F3483" t="inlineStr">
        <is>
          <t>Bergvik skog väst AB</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41622-2021</t>
        </is>
      </c>
      <c r="B3484" s="1" t="n">
        <v>44425</v>
      </c>
      <c r="C3484" s="1" t="n">
        <v>45587</v>
      </c>
      <c r="D3484" t="inlineStr">
        <is>
          <t>GÄVLEBORGS LÄN</t>
        </is>
      </c>
      <c r="E3484" t="inlineStr">
        <is>
          <t>OCKELBO</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41527-2021</t>
        </is>
      </c>
      <c r="B3485" s="1" t="n">
        <v>44425</v>
      </c>
      <c r="C3485" s="1" t="n">
        <v>45587</v>
      </c>
      <c r="D3485" t="inlineStr">
        <is>
          <t>GÄVLEBORGS LÄN</t>
        </is>
      </c>
      <c r="E3485" t="inlineStr">
        <is>
          <t>OVANÅKER</t>
        </is>
      </c>
      <c r="F3485" t="inlineStr">
        <is>
          <t>Bergvik skog väst AB</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41545-2021</t>
        </is>
      </c>
      <c r="B3486" s="1" t="n">
        <v>44425</v>
      </c>
      <c r="C3486" s="1" t="n">
        <v>45587</v>
      </c>
      <c r="D3486" t="inlineStr">
        <is>
          <t>GÄVLEBORGS LÄN</t>
        </is>
      </c>
      <c r="E3486" t="inlineStr">
        <is>
          <t>OVANÅKER</t>
        </is>
      </c>
      <c r="F3486" t="inlineStr">
        <is>
          <t>Bergvik skog väst AB</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41663-2021</t>
        </is>
      </c>
      <c r="B3487" s="1" t="n">
        <v>44425</v>
      </c>
      <c r="C3487" s="1" t="n">
        <v>45587</v>
      </c>
      <c r="D3487" t="inlineStr">
        <is>
          <t>GÄVLEBORGS LÄN</t>
        </is>
      </c>
      <c r="E3487" t="inlineStr">
        <is>
          <t>LJUSDAL</t>
        </is>
      </c>
      <c r="F3487" t="inlineStr">
        <is>
          <t>Sveaskog</t>
        </is>
      </c>
      <c r="G3487" t="n">
        <v>8.9</v>
      </c>
      <c r="H3487" t="n">
        <v>0</v>
      </c>
      <c r="I3487" t="n">
        <v>0</v>
      </c>
      <c r="J3487" t="n">
        <v>0</v>
      </c>
      <c r="K3487" t="n">
        <v>0</v>
      </c>
      <c r="L3487" t="n">
        <v>0</v>
      </c>
      <c r="M3487" t="n">
        <v>0</v>
      </c>
      <c r="N3487" t="n">
        <v>0</v>
      </c>
      <c r="O3487" t="n">
        <v>0</v>
      </c>
      <c r="P3487" t="n">
        <v>0</v>
      </c>
      <c r="Q3487" t="n">
        <v>0</v>
      </c>
      <c r="R3487" s="2" t="inlineStr"/>
    </row>
    <row r="3488" ht="15" customHeight="1">
      <c r="A3488" t="inlineStr">
        <is>
          <t>A 41533-2021</t>
        </is>
      </c>
      <c r="B3488" s="1" t="n">
        <v>44425</v>
      </c>
      <c r="C3488" s="1" t="n">
        <v>45587</v>
      </c>
      <c r="D3488" t="inlineStr">
        <is>
          <t>GÄVLEBORGS LÄN</t>
        </is>
      </c>
      <c r="E3488" t="inlineStr">
        <is>
          <t>OVANÅKER</t>
        </is>
      </c>
      <c r="F3488" t="inlineStr">
        <is>
          <t>Bergvik skog väst AB</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41919-2021</t>
        </is>
      </c>
      <c r="B3489" s="1" t="n">
        <v>44426</v>
      </c>
      <c r="C3489" s="1" t="n">
        <v>45587</v>
      </c>
      <c r="D3489" t="inlineStr">
        <is>
          <t>GÄVLEBORGS LÄN</t>
        </is>
      </c>
      <c r="E3489" t="inlineStr">
        <is>
          <t>LJUSDAL</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42227-2021</t>
        </is>
      </c>
      <c r="B3490" s="1" t="n">
        <v>44427</v>
      </c>
      <c r="C3490" s="1" t="n">
        <v>45587</v>
      </c>
      <c r="D3490" t="inlineStr">
        <is>
          <t>GÄVLEBORGS LÄN</t>
        </is>
      </c>
      <c r="E3490" t="inlineStr">
        <is>
          <t>OVANÅKER</t>
        </is>
      </c>
      <c r="F3490" t="inlineStr">
        <is>
          <t>Bergvik skog väst AB</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42287-2021</t>
        </is>
      </c>
      <c r="B3491" s="1" t="n">
        <v>44427</v>
      </c>
      <c r="C3491" s="1" t="n">
        <v>45587</v>
      </c>
      <c r="D3491" t="inlineStr">
        <is>
          <t>GÄVLEBORGS LÄN</t>
        </is>
      </c>
      <c r="E3491" t="inlineStr">
        <is>
          <t>SANDVIKEN</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42416-2021</t>
        </is>
      </c>
      <c r="B3492" s="1" t="n">
        <v>44427</v>
      </c>
      <c r="C3492" s="1" t="n">
        <v>45587</v>
      </c>
      <c r="D3492" t="inlineStr">
        <is>
          <t>GÄVLEBORGS LÄN</t>
        </is>
      </c>
      <c r="E3492" t="inlineStr">
        <is>
          <t>GÄVLE</t>
        </is>
      </c>
      <c r="G3492" t="n">
        <v>6.9</v>
      </c>
      <c r="H3492" t="n">
        <v>0</v>
      </c>
      <c r="I3492" t="n">
        <v>0</v>
      </c>
      <c r="J3492" t="n">
        <v>0</v>
      </c>
      <c r="K3492" t="n">
        <v>0</v>
      </c>
      <c r="L3492" t="n">
        <v>0</v>
      </c>
      <c r="M3492" t="n">
        <v>0</v>
      </c>
      <c r="N3492" t="n">
        <v>0</v>
      </c>
      <c r="O3492" t="n">
        <v>0</v>
      </c>
      <c r="P3492" t="n">
        <v>0</v>
      </c>
      <c r="Q3492" t="n">
        <v>0</v>
      </c>
      <c r="R3492" s="2" t="inlineStr"/>
    </row>
    <row r="3493" ht="15" customHeight="1">
      <c r="A3493" t="inlineStr">
        <is>
          <t>A 42553-2021</t>
        </is>
      </c>
      <c r="B3493" s="1" t="n">
        <v>44427</v>
      </c>
      <c r="C3493" s="1" t="n">
        <v>45587</v>
      </c>
      <c r="D3493" t="inlineStr">
        <is>
          <t>GÄVLEBORGS LÄN</t>
        </is>
      </c>
      <c r="E3493" t="inlineStr">
        <is>
          <t>LJUSDAL</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42759-2021</t>
        </is>
      </c>
      <c r="B3494" s="1" t="n">
        <v>44428</v>
      </c>
      <c r="C3494" s="1" t="n">
        <v>45587</v>
      </c>
      <c r="D3494" t="inlineStr">
        <is>
          <t>GÄVLEBORGS LÄN</t>
        </is>
      </c>
      <c r="E3494" t="inlineStr">
        <is>
          <t>LJUSDAL</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42763-2021</t>
        </is>
      </c>
      <c r="B3495" s="1" t="n">
        <v>44428</v>
      </c>
      <c r="C3495" s="1" t="n">
        <v>45587</v>
      </c>
      <c r="D3495" t="inlineStr">
        <is>
          <t>GÄVLEBORGS LÄN</t>
        </is>
      </c>
      <c r="E3495" t="inlineStr">
        <is>
          <t>LJUSDAL</t>
        </is>
      </c>
      <c r="F3495" t="inlineStr">
        <is>
          <t>Sveaskog</t>
        </is>
      </c>
      <c r="G3495" t="n">
        <v>8.800000000000001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42959-2021</t>
        </is>
      </c>
      <c r="B3496" s="1" t="n">
        <v>44431</v>
      </c>
      <c r="C3496" s="1" t="n">
        <v>45587</v>
      </c>
      <c r="D3496" t="inlineStr">
        <is>
          <t>GÄVLEBORGS LÄN</t>
        </is>
      </c>
      <c r="E3496" t="inlineStr">
        <is>
          <t>LJUSDAL</t>
        </is>
      </c>
      <c r="F3496" t="inlineStr">
        <is>
          <t>Bergvik skog väst AB</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42996-2021</t>
        </is>
      </c>
      <c r="B3497" s="1" t="n">
        <v>44431</v>
      </c>
      <c r="C3497" s="1" t="n">
        <v>45587</v>
      </c>
      <c r="D3497" t="inlineStr">
        <is>
          <t>GÄVLEBORGS LÄN</t>
        </is>
      </c>
      <c r="E3497" t="inlineStr">
        <is>
          <t>LJUSDAL</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43006-2021</t>
        </is>
      </c>
      <c r="B3498" s="1" t="n">
        <v>44431</v>
      </c>
      <c r="C3498" s="1" t="n">
        <v>45587</v>
      </c>
      <c r="D3498" t="inlineStr">
        <is>
          <t>GÄVLEBORGS LÄN</t>
        </is>
      </c>
      <c r="E3498" t="inlineStr">
        <is>
          <t>BOLLNÄS</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43011-2021</t>
        </is>
      </c>
      <c r="B3499" s="1" t="n">
        <v>44431</v>
      </c>
      <c r="C3499" s="1" t="n">
        <v>45587</v>
      </c>
      <c r="D3499" t="inlineStr">
        <is>
          <t>GÄVLEBORGS LÄN</t>
        </is>
      </c>
      <c r="E3499" t="inlineStr">
        <is>
          <t>LJUSDAL</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43000-2021</t>
        </is>
      </c>
      <c r="B3500" s="1" t="n">
        <v>44431</v>
      </c>
      <c r="C3500" s="1" t="n">
        <v>45587</v>
      </c>
      <c r="D3500" t="inlineStr">
        <is>
          <t>GÄVLEBORGS LÄN</t>
        </is>
      </c>
      <c r="E3500" t="inlineStr">
        <is>
          <t>LJUSDAL</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43012-2021</t>
        </is>
      </c>
      <c r="B3501" s="1" t="n">
        <v>44431</v>
      </c>
      <c r="C3501" s="1" t="n">
        <v>45587</v>
      </c>
      <c r="D3501" t="inlineStr">
        <is>
          <t>GÄVLEBORGS LÄN</t>
        </is>
      </c>
      <c r="E3501" t="inlineStr">
        <is>
          <t>LJUSDAL</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43109-2021</t>
        </is>
      </c>
      <c r="B3502" s="1" t="n">
        <v>44431</v>
      </c>
      <c r="C3502" s="1" t="n">
        <v>45587</v>
      </c>
      <c r="D3502" t="inlineStr">
        <is>
          <t>GÄVLEBORGS LÄN</t>
        </is>
      </c>
      <c r="E3502" t="inlineStr">
        <is>
          <t>LJUSDAL</t>
        </is>
      </c>
      <c r="F3502" t="inlineStr">
        <is>
          <t>Sveaskog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43274-2021</t>
        </is>
      </c>
      <c r="B3503" s="1" t="n">
        <v>44432</v>
      </c>
      <c r="C3503" s="1" t="n">
        <v>45587</v>
      </c>
      <c r="D3503" t="inlineStr">
        <is>
          <t>GÄVLEBORGS LÄN</t>
        </is>
      </c>
      <c r="E3503" t="inlineStr">
        <is>
          <t>HOFORS</t>
        </is>
      </c>
      <c r="F3503" t="inlineStr">
        <is>
          <t>Sveaskog</t>
        </is>
      </c>
      <c r="G3503" t="n">
        <v>5.8</v>
      </c>
      <c r="H3503" t="n">
        <v>0</v>
      </c>
      <c r="I3503" t="n">
        <v>0</v>
      </c>
      <c r="J3503" t="n">
        <v>0</v>
      </c>
      <c r="K3503" t="n">
        <v>0</v>
      </c>
      <c r="L3503" t="n">
        <v>0</v>
      </c>
      <c r="M3503" t="n">
        <v>0</v>
      </c>
      <c r="N3503" t="n">
        <v>0</v>
      </c>
      <c r="O3503" t="n">
        <v>0</v>
      </c>
      <c r="P3503" t="n">
        <v>0</v>
      </c>
      <c r="Q3503" t="n">
        <v>0</v>
      </c>
      <c r="R3503" s="2" t="inlineStr"/>
    </row>
    <row r="3504" ht="15" customHeight="1">
      <c r="A3504" t="inlineStr">
        <is>
          <t>A 43282-2021</t>
        </is>
      </c>
      <c r="B3504" s="1" t="n">
        <v>44432</v>
      </c>
      <c r="C3504" s="1" t="n">
        <v>45587</v>
      </c>
      <c r="D3504" t="inlineStr">
        <is>
          <t>GÄVLEBORGS LÄN</t>
        </is>
      </c>
      <c r="E3504" t="inlineStr">
        <is>
          <t>HOFORS</t>
        </is>
      </c>
      <c r="F3504" t="inlineStr">
        <is>
          <t>Sveaskog</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43314-2021</t>
        </is>
      </c>
      <c r="B3505" s="1" t="n">
        <v>44432</v>
      </c>
      <c r="C3505" s="1" t="n">
        <v>45587</v>
      </c>
      <c r="D3505" t="inlineStr">
        <is>
          <t>GÄVLEBORGS LÄN</t>
        </is>
      </c>
      <c r="E3505" t="inlineStr">
        <is>
          <t>HUDIKSVALL</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43341-2021</t>
        </is>
      </c>
      <c r="B3506" s="1" t="n">
        <v>44432</v>
      </c>
      <c r="C3506" s="1" t="n">
        <v>45587</v>
      </c>
      <c r="D3506" t="inlineStr">
        <is>
          <t>GÄVLEBORGS LÄN</t>
        </is>
      </c>
      <c r="E3506" t="inlineStr">
        <is>
          <t>BOLLNÄS</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43278-2021</t>
        </is>
      </c>
      <c r="B3507" s="1" t="n">
        <v>44432</v>
      </c>
      <c r="C3507" s="1" t="n">
        <v>45587</v>
      </c>
      <c r="D3507" t="inlineStr">
        <is>
          <t>GÄVLEBORGS LÄN</t>
        </is>
      </c>
      <c r="E3507" t="inlineStr">
        <is>
          <t>OVANÅKER</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43441-2021</t>
        </is>
      </c>
      <c r="B3508" s="1" t="n">
        <v>44432</v>
      </c>
      <c r="C3508" s="1" t="n">
        <v>45587</v>
      </c>
      <c r="D3508" t="inlineStr">
        <is>
          <t>GÄVLEBORGS LÄN</t>
        </is>
      </c>
      <c r="E3508" t="inlineStr">
        <is>
          <t>NORDANSTIG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43465-2021</t>
        </is>
      </c>
      <c r="B3509" s="1" t="n">
        <v>44432</v>
      </c>
      <c r="C3509" s="1" t="n">
        <v>45587</v>
      </c>
      <c r="D3509" t="inlineStr">
        <is>
          <t>GÄVLEBORGS LÄN</t>
        </is>
      </c>
      <c r="E3509" t="inlineStr">
        <is>
          <t>SANDVIKEN</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43405-2021</t>
        </is>
      </c>
      <c r="B3510" s="1" t="n">
        <v>44432</v>
      </c>
      <c r="C3510" s="1" t="n">
        <v>45587</v>
      </c>
      <c r="D3510" t="inlineStr">
        <is>
          <t>GÄVLEBORGS LÄN</t>
        </is>
      </c>
      <c r="E3510" t="inlineStr">
        <is>
          <t>HUDIKSVALL</t>
        </is>
      </c>
      <c r="F3510" t="inlineStr">
        <is>
          <t>Sveaskog</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43589-2021</t>
        </is>
      </c>
      <c r="B3511" s="1" t="n">
        <v>44433</v>
      </c>
      <c r="C3511" s="1" t="n">
        <v>45587</v>
      </c>
      <c r="D3511" t="inlineStr">
        <is>
          <t>GÄVLEBORGS LÄN</t>
        </is>
      </c>
      <c r="E3511" t="inlineStr">
        <is>
          <t>NORDANSTIG</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44045-2021</t>
        </is>
      </c>
      <c r="B3512" s="1" t="n">
        <v>44434</v>
      </c>
      <c r="C3512" s="1" t="n">
        <v>45587</v>
      </c>
      <c r="D3512" t="inlineStr">
        <is>
          <t>GÄVLEBORGS LÄN</t>
        </is>
      </c>
      <c r="E3512" t="inlineStr">
        <is>
          <t>SANDVIKEN</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43850-2021</t>
        </is>
      </c>
      <c r="B3513" s="1" t="n">
        <v>44434</v>
      </c>
      <c r="C3513" s="1" t="n">
        <v>45587</v>
      </c>
      <c r="D3513" t="inlineStr">
        <is>
          <t>GÄVLEBORGS LÄN</t>
        </is>
      </c>
      <c r="E3513" t="inlineStr">
        <is>
          <t>LJUSDAL</t>
        </is>
      </c>
      <c r="F3513" t="inlineStr">
        <is>
          <t>Sveaskog</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43883-2021</t>
        </is>
      </c>
      <c r="B3514" s="1" t="n">
        <v>44434</v>
      </c>
      <c r="C3514" s="1" t="n">
        <v>45587</v>
      </c>
      <c r="D3514" t="inlineStr">
        <is>
          <t>GÄVLEBORGS LÄN</t>
        </is>
      </c>
      <c r="E3514" t="inlineStr">
        <is>
          <t>NORDANSTIG</t>
        </is>
      </c>
      <c r="F3514" t="inlineStr">
        <is>
          <t>Holmen skog AB</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44127-2021</t>
        </is>
      </c>
      <c r="B3515" s="1" t="n">
        <v>44434</v>
      </c>
      <c r="C3515" s="1" t="n">
        <v>45587</v>
      </c>
      <c r="D3515" t="inlineStr">
        <is>
          <t>GÄVLEBORGS LÄN</t>
        </is>
      </c>
      <c r="E3515" t="inlineStr">
        <is>
          <t>OVANÅKER</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44387-2021</t>
        </is>
      </c>
      <c r="B3516" s="1" t="n">
        <v>44435</v>
      </c>
      <c r="C3516" s="1" t="n">
        <v>45587</v>
      </c>
      <c r="D3516" t="inlineStr">
        <is>
          <t>GÄVLEBORGS LÄN</t>
        </is>
      </c>
      <c r="E3516" t="inlineStr">
        <is>
          <t>LJUSDAL</t>
        </is>
      </c>
      <c r="F3516" t="inlineStr">
        <is>
          <t>Sveaskog</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44444-2021</t>
        </is>
      </c>
      <c r="B3517" s="1" t="n">
        <v>44435</v>
      </c>
      <c r="C3517" s="1" t="n">
        <v>45587</v>
      </c>
      <c r="D3517" t="inlineStr">
        <is>
          <t>GÄVLEBORGS LÄN</t>
        </is>
      </c>
      <c r="E3517" t="inlineStr">
        <is>
          <t>BOLLNÄS</t>
        </is>
      </c>
      <c r="G3517" t="n">
        <v>4.9</v>
      </c>
      <c r="H3517" t="n">
        <v>0</v>
      </c>
      <c r="I3517" t="n">
        <v>0</v>
      </c>
      <c r="J3517" t="n">
        <v>0</v>
      </c>
      <c r="K3517" t="n">
        <v>0</v>
      </c>
      <c r="L3517" t="n">
        <v>0</v>
      </c>
      <c r="M3517" t="n">
        <v>0</v>
      </c>
      <c r="N3517" t="n">
        <v>0</v>
      </c>
      <c r="O3517" t="n">
        <v>0</v>
      </c>
      <c r="P3517" t="n">
        <v>0</v>
      </c>
      <c r="Q3517" t="n">
        <v>0</v>
      </c>
      <c r="R3517" s="2" t="inlineStr"/>
    </row>
    <row r="3518" ht="15" customHeight="1">
      <c r="A3518" t="inlineStr">
        <is>
          <t>A 44257-2021</t>
        </is>
      </c>
      <c r="B3518" s="1" t="n">
        <v>44435</v>
      </c>
      <c r="C3518" s="1" t="n">
        <v>45587</v>
      </c>
      <c r="D3518" t="inlineStr">
        <is>
          <t>GÄVLEBORGS LÄN</t>
        </is>
      </c>
      <c r="E3518" t="inlineStr">
        <is>
          <t>LJUSDAL</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44256-2021</t>
        </is>
      </c>
      <c r="B3519" s="1" t="n">
        <v>44435</v>
      </c>
      <c r="C3519" s="1" t="n">
        <v>45587</v>
      </c>
      <c r="D3519" t="inlineStr">
        <is>
          <t>GÄVLEBORGS LÄN</t>
        </is>
      </c>
      <c r="E3519" t="inlineStr">
        <is>
          <t>LJUSDAL</t>
        </is>
      </c>
      <c r="F3519" t="inlineStr">
        <is>
          <t>Sveaskog</t>
        </is>
      </c>
      <c r="G3519" t="n">
        <v>6.1</v>
      </c>
      <c r="H3519" t="n">
        <v>0</v>
      </c>
      <c r="I3519" t="n">
        <v>0</v>
      </c>
      <c r="J3519" t="n">
        <v>0</v>
      </c>
      <c r="K3519" t="n">
        <v>0</v>
      </c>
      <c r="L3519" t="n">
        <v>0</v>
      </c>
      <c r="M3519" t="n">
        <v>0</v>
      </c>
      <c r="N3519" t="n">
        <v>0</v>
      </c>
      <c r="O3519" t="n">
        <v>0</v>
      </c>
      <c r="P3519" t="n">
        <v>0</v>
      </c>
      <c r="Q3519" t="n">
        <v>0</v>
      </c>
      <c r="R3519" s="2" t="inlineStr"/>
    </row>
    <row r="3520" ht="15" customHeight="1">
      <c r="A3520" t="inlineStr">
        <is>
          <t>A 44382-2021</t>
        </is>
      </c>
      <c r="B3520" s="1" t="n">
        <v>44435</v>
      </c>
      <c r="C3520" s="1" t="n">
        <v>45587</v>
      </c>
      <c r="D3520" t="inlineStr">
        <is>
          <t>GÄVLEBORGS LÄN</t>
        </is>
      </c>
      <c r="E3520" t="inlineStr">
        <is>
          <t>LJUSDAL</t>
        </is>
      </c>
      <c r="F3520" t="inlineStr">
        <is>
          <t>Sveaskog</t>
        </is>
      </c>
      <c r="G3520" t="n">
        <v>6.6</v>
      </c>
      <c r="H3520" t="n">
        <v>0</v>
      </c>
      <c r="I3520" t="n">
        <v>0</v>
      </c>
      <c r="J3520" t="n">
        <v>0</v>
      </c>
      <c r="K3520" t="n">
        <v>0</v>
      </c>
      <c r="L3520" t="n">
        <v>0</v>
      </c>
      <c r="M3520" t="n">
        <v>0</v>
      </c>
      <c r="N3520" t="n">
        <v>0</v>
      </c>
      <c r="O3520" t="n">
        <v>0</v>
      </c>
      <c r="P3520" t="n">
        <v>0</v>
      </c>
      <c r="Q3520" t="n">
        <v>0</v>
      </c>
      <c r="R3520" s="2" t="inlineStr"/>
    </row>
    <row r="3521" ht="15" customHeight="1">
      <c r="A3521" t="inlineStr">
        <is>
          <t>A 44507-2021</t>
        </is>
      </c>
      <c r="B3521" s="1" t="n">
        <v>44435</v>
      </c>
      <c r="C3521" s="1" t="n">
        <v>45587</v>
      </c>
      <c r="D3521" t="inlineStr">
        <is>
          <t>GÄVLEBORGS LÄN</t>
        </is>
      </c>
      <c r="E3521" t="inlineStr">
        <is>
          <t>LJUSDAL</t>
        </is>
      </c>
      <c r="F3521" t="inlineStr">
        <is>
          <t>Sveaskog</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44563-2021</t>
        </is>
      </c>
      <c r="B3522" s="1" t="n">
        <v>44435</v>
      </c>
      <c r="C3522" s="1" t="n">
        <v>45587</v>
      </c>
      <c r="D3522" t="inlineStr">
        <is>
          <t>GÄVLEBORGS LÄN</t>
        </is>
      </c>
      <c r="E3522" t="inlineStr">
        <is>
          <t>LJUSDAL</t>
        </is>
      </c>
      <c r="F3522" t="inlineStr">
        <is>
          <t>Sveaskog</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44513-2021</t>
        </is>
      </c>
      <c r="B3523" s="1" t="n">
        <v>44435</v>
      </c>
      <c r="C3523" s="1" t="n">
        <v>45587</v>
      </c>
      <c r="D3523" t="inlineStr">
        <is>
          <t>GÄVLEBORGS LÄN</t>
        </is>
      </c>
      <c r="E3523" t="inlineStr">
        <is>
          <t>NORDANSTIG</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44585-2021</t>
        </is>
      </c>
      <c r="B3524" s="1" t="n">
        <v>44435</v>
      </c>
      <c r="C3524" s="1" t="n">
        <v>45587</v>
      </c>
      <c r="D3524" t="inlineStr">
        <is>
          <t>GÄVLEBORGS LÄN</t>
        </is>
      </c>
      <c r="E3524" t="inlineStr">
        <is>
          <t>OVANÅKER</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44529-2021</t>
        </is>
      </c>
      <c r="B3525" s="1" t="n">
        <v>44435</v>
      </c>
      <c r="C3525" s="1" t="n">
        <v>45587</v>
      </c>
      <c r="D3525" t="inlineStr">
        <is>
          <t>GÄVLEBORGS LÄN</t>
        </is>
      </c>
      <c r="E3525" t="inlineStr">
        <is>
          <t>OVANÅKER</t>
        </is>
      </c>
      <c r="F3525" t="inlineStr">
        <is>
          <t>Sveaskog</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44654-2021</t>
        </is>
      </c>
      <c r="B3526" s="1" t="n">
        <v>44437</v>
      </c>
      <c r="C3526" s="1" t="n">
        <v>45587</v>
      </c>
      <c r="D3526" t="inlineStr">
        <is>
          <t>GÄVLEBORGS LÄN</t>
        </is>
      </c>
      <c r="E3526" t="inlineStr">
        <is>
          <t>GÄVLE</t>
        </is>
      </c>
      <c r="G3526" t="n">
        <v>0.1</v>
      </c>
      <c r="H3526" t="n">
        <v>0</v>
      </c>
      <c r="I3526" t="n">
        <v>0</v>
      </c>
      <c r="J3526" t="n">
        <v>0</v>
      </c>
      <c r="K3526" t="n">
        <v>0</v>
      </c>
      <c r="L3526" t="n">
        <v>0</v>
      </c>
      <c r="M3526" t="n">
        <v>0</v>
      </c>
      <c r="N3526" t="n">
        <v>0</v>
      </c>
      <c r="O3526" t="n">
        <v>0</v>
      </c>
      <c r="P3526" t="n">
        <v>0</v>
      </c>
      <c r="Q3526" t="n">
        <v>0</v>
      </c>
      <c r="R3526" s="2" t="inlineStr"/>
    </row>
    <row r="3527" ht="15" customHeight="1">
      <c r="A3527" t="inlineStr">
        <is>
          <t>A 44688-2021</t>
        </is>
      </c>
      <c r="B3527" s="1" t="n">
        <v>44438</v>
      </c>
      <c r="C3527" s="1" t="n">
        <v>45587</v>
      </c>
      <c r="D3527" t="inlineStr">
        <is>
          <t>GÄVLEBORGS LÄN</t>
        </is>
      </c>
      <c r="E3527" t="inlineStr">
        <is>
          <t>LJUSDAL</t>
        </is>
      </c>
      <c r="F3527" t="inlineStr">
        <is>
          <t>Sveaskog</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44847-2021</t>
        </is>
      </c>
      <c r="B3528" s="1" t="n">
        <v>44438</v>
      </c>
      <c r="C3528" s="1" t="n">
        <v>45587</v>
      </c>
      <c r="D3528" t="inlineStr">
        <is>
          <t>GÄVLEBORGS LÄN</t>
        </is>
      </c>
      <c r="E3528" t="inlineStr">
        <is>
          <t>BOLLNÄS</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44738-2021</t>
        </is>
      </c>
      <c r="B3529" s="1" t="n">
        <v>44438</v>
      </c>
      <c r="C3529" s="1" t="n">
        <v>45587</v>
      </c>
      <c r="D3529" t="inlineStr">
        <is>
          <t>GÄVLEBORGS LÄN</t>
        </is>
      </c>
      <c r="E3529" t="inlineStr">
        <is>
          <t>GÄVLE</t>
        </is>
      </c>
      <c r="F3529" t="inlineStr">
        <is>
          <t>Bergvik skog väst AB</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44696-2021</t>
        </is>
      </c>
      <c r="B3530" s="1" t="n">
        <v>44438</v>
      </c>
      <c r="C3530" s="1" t="n">
        <v>45587</v>
      </c>
      <c r="D3530" t="inlineStr">
        <is>
          <t>GÄVLEBORGS LÄN</t>
        </is>
      </c>
      <c r="E3530" t="inlineStr">
        <is>
          <t>LJUSDAL</t>
        </is>
      </c>
      <c r="F3530" t="inlineStr">
        <is>
          <t>Sveaskog</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44862-2021</t>
        </is>
      </c>
      <c r="B3531" s="1" t="n">
        <v>44438</v>
      </c>
      <c r="C3531" s="1" t="n">
        <v>45587</v>
      </c>
      <c r="D3531" t="inlineStr">
        <is>
          <t>GÄVLEBORGS LÄN</t>
        </is>
      </c>
      <c r="E3531" t="inlineStr">
        <is>
          <t>BOLLNÄS</t>
        </is>
      </c>
      <c r="F3531" t="inlineStr">
        <is>
          <t>Kyrkan</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45061-2021</t>
        </is>
      </c>
      <c r="B3532" s="1" t="n">
        <v>44439</v>
      </c>
      <c r="C3532" s="1" t="n">
        <v>45587</v>
      </c>
      <c r="D3532" t="inlineStr">
        <is>
          <t>GÄVLEBORGS LÄN</t>
        </is>
      </c>
      <c r="E3532" t="inlineStr">
        <is>
          <t>NORDANSTIG</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45134-2021</t>
        </is>
      </c>
      <c r="B3533" s="1" t="n">
        <v>44439</v>
      </c>
      <c r="C3533" s="1" t="n">
        <v>45587</v>
      </c>
      <c r="D3533" t="inlineStr">
        <is>
          <t>GÄVLEBORGS LÄN</t>
        </is>
      </c>
      <c r="E3533" t="inlineStr">
        <is>
          <t>GÄVLE</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45221-2021</t>
        </is>
      </c>
      <c r="B3534" s="1" t="n">
        <v>44439</v>
      </c>
      <c r="C3534" s="1" t="n">
        <v>45587</v>
      </c>
      <c r="D3534" t="inlineStr">
        <is>
          <t>GÄVLEBORGS LÄN</t>
        </is>
      </c>
      <c r="E3534" t="inlineStr">
        <is>
          <t>SANDVIKEN</t>
        </is>
      </c>
      <c r="F3534" t="inlineStr">
        <is>
          <t>Bergvik skog öst AB</t>
        </is>
      </c>
      <c r="G3534" t="n">
        <v>7.6</v>
      </c>
      <c r="H3534" t="n">
        <v>0</v>
      </c>
      <c r="I3534" t="n">
        <v>0</v>
      </c>
      <c r="J3534" t="n">
        <v>0</v>
      </c>
      <c r="K3534" t="n">
        <v>0</v>
      </c>
      <c r="L3534" t="n">
        <v>0</v>
      </c>
      <c r="M3534" t="n">
        <v>0</v>
      </c>
      <c r="N3534" t="n">
        <v>0</v>
      </c>
      <c r="O3534" t="n">
        <v>0</v>
      </c>
      <c r="P3534" t="n">
        <v>0</v>
      </c>
      <c r="Q3534" t="n">
        <v>0</v>
      </c>
      <c r="R3534" s="2" t="inlineStr"/>
    </row>
    <row r="3535" ht="15" customHeight="1">
      <c r="A3535" t="inlineStr">
        <is>
          <t>A 45053-2021</t>
        </is>
      </c>
      <c r="B3535" s="1" t="n">
        <v>44439</v>
      </c>
      <c r="C3535" s="1" t="n">
        <v>45587</v>
      </c>
      <c r="D3535" t="inlineStr">
        <is>
          <t>GÄVLEBORGS LÄN</t>
        </is>
      </c>
      <c r="E3535" t="inlineStr">
        <is>
          <t>LJUSDAL</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45272-2021</t>
        </is>
      </c>
      <c r="B3536" s="1" t="n">
        <v>44439</v>
      </c>
      <c r="C3536" s="1" t="n">
        <v>45587</v>
      </c>
      <c r="D3536" t="inlineStr">
        <is>
          <t>GÄVLEBORGS LÄN</t>
        </is>
      </c>
      <c r="E3536" t="inlineStr">
        <is>
          <t>NORDANSTIG</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45273-2021</t>
        </is>
      </c>
      <c r="B3537" s="1" t="n">
        <v>44439</v>
      </c>
      <c r="C3537" s="1" t="n">
        <v>45587</v>
      </c>
      <c r="D3537" t="inlineStr">
        <is>
          <t>GÄVLEBORGS LÄN</t>
        </is>
      </c>
      <c r="E3537" t="inlineStr">
        <is>
          <t>OVANÅKER</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45352-2021</t>
        </is>
      </c>
      <c r="B3538" s="1" t="n">
        <v>44439</v>
      </c>
      <c r="C3538" s="1" t="n">
        <v>45587</v>
      </c>
      <c r="D3538" t="inlineStr">
        <is>
          <t>GÄVLEBORGS LÄN</t>
        </is>
      </c>
      <c r="E3538" t="inlineStr">
        <is>
          <t>HUDIKSVALL</t>
        </is>
      </c>
      <c r="G3538" t="n">
        <v>7.3</v>
      </c>
      <c r="H3538" t="n">
        <v>0</v>
      </c>
      <c r="I3538" t="n">
        <v>0</v>
      </c>
      <c r="J3538" t="n">
        <v>0</v>
      </c>
      <c r="K3538" t="n">
        <v>0</v>
      </c>
      <c r="L3538" t="n">
        <v>0</v>
      </c>
      <c r="M3538" t="n">
        <v>0</v>
      </c>
      <c r="N3538" t="n">
        <v>0</v>
      </c>
      <c r="O3538" t="n">
        <v>0</v>
      </c>
      <c r="P3538" t="n">
        <v>0</v>
      </c>
      <c r="Q3538" t="n">
        <v>0</v>
      </c>
      <c r="R3538" s="2" t="inlineStr"/>
    </row>
    <row r="3539" ht="15" customHeight="1">
      <c r="A3539" t="inlineStr">
        <is>
          <t>A 45369-2021</t>
        </is>
      </c>
      <c r="B3539" s="1" t="n">
        <v>44440</v>
      </c>
      <c r="C3539" s="1" t="n">
        <v>45587</v>
      </c>
      <c r="D3539" t="inlineStr">
        <is>
          <t>GÄVLEBORGS LÄN</t>
        </is>
      </c>
      <c r="E3539" t="inlineStr">
        <is>
          <t>LJUSDAL</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45514-2021</t>
        </is>
      </c>
      <c r="B3540" s="1" t="n">
        <v>44440</v>
      </c>
      <c r="C3540" s="1" t="n">
        <v>45587</v>
      </c>
      <c r="D3540" t="inlineStr">
        <is>
          <t>GÄVLEBORGS LÄN</t>
        </is>
      </c>
      <c r="E3540" t="inlineStr">
        <is>
          <t>OCKELBO</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45367-2021</t>
        </is>
      </c>
      <c r="B3541" s="1" t="n">
        <v>44440</v>
      </c>
      <c r="C3541" s="1" t="n">
        <v>45587</v>
      </c>
      <c r="D3541" t="inlineStr">
        <is>
          <t>GÄVLEBORGS LÄN</t>
        </is>
      </c>
      <c r="E3541" t="inlineStr">
        <is>
          <t>LJUSDAL</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45368-2021</t>
        </is>
      </c>
      <c r="B3542" s="1" t="n">
        <v>44440</v>
      </c>
      <c r="C3542" s="1" t="n">
        <v>45587</v>
      </c>
      <c r="D3542" t="inlineStr">
        <is>
          <t>GÄVLEBORGS LÄN</t>
        </is>
      </c>
      <c r="E3542" t="inlineStr">
        <is>
          <t>LJUSDAL</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45408-2021</t>
        </is>
      </c>
      <c r="B3543" s="1" t="n">
        <v>44440</v>
      </c>
      <c r="C3543" s="1" t="n">
        <v>45587</v>
      </c>
      <c r="D3543" t="inlineStr">
        <is>
          <t>GÄVLEBORGS LÄN</t>
        </is>
      </c>
      <c r="E3543" t="inlineStr">
        <is>
          <t>NORDANSTIG</t>
        </is>
      </c>
      <c r="F3543" t="inlineStr">
        <is>
          <t>Holmen skog AB</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45522-2021</t>
        </is>
      </c>
      <c r="B3544" s="1" t="n">
        <v>44440</v>
      </c>
      <c r="C3544" s="1" t="n">
        <v>45587</v>
      </c>
      <c r="D3544" t="inlineStr">
        <is>
          <t>GÄVLEBORGS LÄN</t>
        </is>
      </c>
      <c r="E3544" t="inlineStr">
        <is>
          <t>OCKELBO</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45370-2021</t>
        </is>
      </c>
      <c r="B3545" s="1" t="n">
        <v>44440</v>
      </c>
      <c r="C3545" s="1" t="n">
        <v>45587</v>
      </c>
      <c r="D3545" t="inlineStr">
        <is>
          <t>GÄVLEBORGS LÄN</t>
        </is>
      </c>
      <c r="E3545" t="inlineStr">
        <is>
          <t>LJUSDAL</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45444-2021</t>
        </is>
      </c>
      <c r="B3546" s="1" t="n">
        <v>44440</v>
      </c>
      <c r="C3546" s="1" t="n">
        <v>45587</v>
      </c>
      <c r="D3546" t="inlineStr">
        <is>
          <t>GÄVLEBORGS LÄN</t>
        </is>
      </c>
      <c r="E3546" t="inlineStr">
        <is>
          <t>LJUSDAL</t>
        </is>
      </c>
      <c r="F3546" t="inlineStr">
        <is>
          <t>Allmännings- och besparingsskogar</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45482-2021</t>
        </is>
      </c>
      <c r="B3547" s="1" t="n">
        <v>44440</v>
      </c>
      <c r="C3547" s="1" t="n">
        <v>45587</v>
      </c>
      <c r="D3547" t="inlineStr">
        <is>
          <t>GÄVLEBORGS LÄN</t>
        </is>
      </c>
      <c r="E3547" t="inlineStr">
        <is>
          <t>OCKELBO</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45584-2021</t>
        </is>
      </c>
      <c r="B3548" s="1" t="n">
        <v>44440</v>
      </c>
      <c r="C3548" s="1" t="n">
        <v>45587</v>
      </c>
      <c r="D3548" t="inlineStr">
        <is>
          <t>GÄVLEBORGS LÄN</t>
        </is>
      </c>
      <c r="E3548" t="inlineStr">
        <is>
          <t>LJUSDAL</t>
        </is>
      </c>
      <c r="F3548" t="inlineStr">
        <is>
          <t>Holmen skog AB</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45366-2021</t>
        </is>
      </c>
      <c r="B3549" s="1" t="n">
        <v>44440</v>
      </c>
      <c r="C3549" s="1" t="n">
        <v>45587</v>
      </c>
      <c r="D3549" t="inlineStr">
        <is>
          <t>GÄVLEBORGS LÄN</t>
        </is>
      </c>
      <c r="E3549" t="inlineStr">
        <is>
          <t>LJUSDAL</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45828-2021</t>
        </is>
      </c>
      <c r="B3550" s="1" t="n">
        <v>44441</v>
      </c>
      <c r="C3550" s="1" t="n">
        <v>45587</v>
      </c>
      <c r="D3550" t="inlineStr">
        <is>
          <t>GÄVLEBORGS LÄN</t>
        </is>
      </c>
      <c r="E3550" t="inlineStr">
        <is>
          <t>SANDVIKEN</t>
        </is>
      </c>
      <c r="F3550" t="inlineStr">
        <is>
          <t>Bergvik skog öst AB</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45841-2021</t>
        </is>
      </c>
      <c r="B3551" s="1" t="n">
        <v>44441</v>
      </c>
      <c r="C3551" s="1" t="n">
        <v>45587</v>
      </c>
      <c r="D3551" t="inlineStr">
        <is>
          <t>GÄVLEBORGS LÄN</t>
        </is>
      </c>
      <c r="E3551" t="inlineStr">
        <is>
          <t>BOLLNÄS</t>
        </is>
      </c>
      <c r="G3551" t="n">
        <v>9.6</v>
      </c>
      <c r="H3551" t="n">
        <v>0</v>
      </c>
      <c r="I3551" t="n">
        <v>0</v>
      </c>
      <c r="J3551" t="n">
        <v>0</v>
      </c>
      <c r="K3551" t="n">
        <v>0</v>
      </c>
      <c r="L3551" t="n">
        <v>0</v>
      </c>
      <c r="M3551" t="n">
        <v>0</v>
      </c>
      <c r="N3551" t="n">
        <v>0</v>
      </c>
      <c r="O3551" t="n">
        <v>0</v>
      </c>
      <c r="P3551" t="n">
        <v>0</v>
      </c>
      <c r="Q3551" t="n">
        <v>0</v>
      </c>
      <c r="R3551" s="2" t="inlineStr"/>
    </row>
    <row r="3552" ht="15" customHeight="1">
      <c r="A3552" t="inlineStr">
        <is>
          <t>A 45879-2021</t>
        </is>
      </c>
      <c r="B3552" s="1" t="n">
        <v>44441</v>
      </c>
      <c r="C3552" s="1" t="n">
        <v>45587</v>
      </c>
      <c r="D3552" t="inlineStr">
        <is>
          <t>GÄVLEBORGS LÄN</t>
        </is>
      </c>
      <c r="E3552" t="inlineStr">
        <is>
          <t>NORDANSTIG</t>
        </is>
      </c>
      <c r="F3552" t="inlineStr">
        <is>
          <t>Holmen skog AB</t>
        </is>
      </c>
      <c r="G3552" t="n">
        <v>13.6</v>
      </c>
      <c r="H3552" t="n">
        <v>0</v>
      </c>
      <c r="I3552" t="n">
        <v>0</v>
      </c>
      <c r="J3552" t="n">
        <v>0</v>
      </c>
      <c r="K3552" t="n">
        <v>0</v>
      </c>
      <c r="L3552" t="n">
        <v>0</v>
      </c>
      <c r="M3552" t="n">
        <v>0</v>
      </c>
      <c r="N3552" t="n">
        <v>0</v>
      </c>
      <c r="O3552" t="n">
        <v>0</v>
      </c>
      <c r="P3552" t="n">
        <v>0</v>
      </c>
      <c r="Q3552" t="n">
        <v>0</v>
      </c>
      <c r="R3552" s="2" t="inlineStr"/>
    </row>
    <row r="3553" ht="15" customHeight="1">
      <c r="A3553" t="inlineStr">
        <is>
          <t>A 45985-2021</t>
        </is>
      </c>
      <c r="B3553" s="1" t="n">
        <v>44441</v>
      </c>
      <c r="C3553" s="1" t="n">
        <v>45587</v>
      </c>
      <c r="D3553" t="inlineStr">
        <is>
          <t>GÄVLEBORGS LÄN</t>
        </is>
      </c>
      <c r="E3553" t="inlineStr">
        <is>
          <t>SANDVIKEN</t>
        </is>
      </c>
      <c r="F3553" t="inlineStr">
        <is>
          <t>Sveaskog</t>
        </is>
      </c>
      <c r="G3553" t="n">
        <v>6.7</v>
      </c>
      <c r="H3553" t="n">
        <v>0</v>
      </c>
      <c r="I3553" t="n">
        <v>0</v>
      </c>
      <c r="J3553" t="n">
        <v>0</v>
      </c>
      <c r="K3553" t="n">
        <v>0</v>
      </c>
      <c r="L3553" t="n">
        <v>0</v>
      </c>
      <c r="M3553" t="n">
        <v>0</v>
      </c>
      <c r="N3553" t="n">
        <v>0</v>
      </c>
      <c r="O3553" t="n">
        <v>0</v>
      </c>
      <c r="P3553" t="n">
        <v>0</v>
      </c>
      <c r="Q3553" t="n">
        <v>0</v>
      </c>
      <c r="R3553" s="2" t="inlineStr"/>
    </row>
    <row r="3554" ht="15" customHeight="1">
      <c r="A3554" t="inlineStr">
        <is>
          <t>A 45992-2021</t>
        </is>
      </c>
      <c r="B3554" s="1" t="n">
        <v>44441</v>
      </c>
      <c r="C3554" s="1" t="n">
        <v>45587</v>
      </c>
      <c r="D3554" t="inlineStr">
        <is>
          <t>GÄVLEBORGS LÄN</t>
        </is>
      </c>
      <c r="E3554" t="inlineStr">
        <is>
          <t>SANDVIKEN</t>
        </is>
      </c>
      <c r="F3554" t="inlineStr">
        <is>
          <t>Sveaskog</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45701-2021</t>
        </is>
      </c>
      <c r="B3555" s="1" t="n">
        <v>44441</v>
      </c>
      <c r="C3555" s="1" t="n">
        <v>45587</v>
      </c>
      <c r="D3555" t="inlineStr">
        <is>
          <t>GÄVLEBORGS LÄN</t>
        </is>
      </c>
      <c r="E3555" t="inlineStr">
        <is>
          <t>LJUSDAL</t>
        </is>
      </c>
      <c r="F3555" t="inlineStr">
        <is>
          <t>Allmännings- och besparingsskogar</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46123-2021</t>
        </is>
      </c>
      <c r="B3556" s="1" t="n">
        <v>44442</v>
      </c>
      <c r="C3556" s="1" t="n">
        <v>45587</v>
      </c>
      <c r="D3556" t="inlineStr">
        <is>
          <t>GÄVLEBORGS LÄN</t>
        </is>
      </c>
      <c r="E3556" t="inlineStr">
        <is>
          <t>LJUSDAL</t>
        </is>
      </c>
      <c r="F3556" t="inlineStr">
        <is>
          <t>Sveaskog</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46091-2021</t>
        </is>
      </c>
      <c r="B3557" s="1" t="n">
        <v>44442</v>
      </c>
      <c r="C3557" s="1" t="n">
        <v>45587</v>
      </c>
      <c r="D3557" t="inlineStr">
        <is>
          <t>GÄVLEBORGS LÄN</t>
        </is>
      </c>
      <c r="E3557" t="inlineStr">
        <is>
          <t>LJUSDAL</t>
        </is>
      </c>
      <c r="F3557" t="inlineStr">
        <is>
          <t>Holmen skog AB</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46156-2021</t>
        </is>
      </c>
      <c r="B3558" s="1" t="n">
        <v>44442</v>
      </c>
      <c r="C3558" s="1" t="n">
        <v>45587</v>
      </c>
      <c r="D3558" t="inlineStr">
        <is>
          <t>GÄVLEBORGS LÄN</t>
        </is>
      </c>
      <c r="E3558" t="inlineStr">
        <is>
          <t>NORDANSTIG</t>
        </is>
      </c>
      <c r="F3558" t="inlineStr">
        <is>
          <t>Holmen skog AB</t>
        </is>
      </c>
      <c r="G3558" t="n">
        <v>9.1</v>
      </c>
      <c r="H3558" t="n">
        <v>0</v>
      </c>
      <c r="I3558" t="n">
        <v>0</v>
      </c>
      <c r="J3558" t="n">
        <v>0</v>
      </c>
      <c r="K3558" t="n">
        <v>0</v>
      </c>
      <c r="L3558" t="n">
        <v>0</v>
      </c>
      <c r="M3558" t="n">
        <v>0</v>
      </c>
      <c r="N3558" t="n">
        <v>0</v>
      </c>
      <c r="O3558" t="n">
        <v>0</v>
      </c>
      <c r="P3558" t="n">
        <v>0</v>
      </c>
      <c r="Q3558" t="n">
        <v>0</v>
      </c>
      <c r="R3558" s="2" t="inlineStr"/>
    </row>
    <row r="3559" ht="15" customHeight="1">
      <c r="A3559" t="inlineStr">
        <is>
          <t>A 46113-2021</t>
        </is>
      </c>
      <c r="B3559" s="1" t="n">
        <v>44442</v>
      </c>
      <c r="C3559" s="1" t="n">
        <v>45587</v>
      </c>
      <c r="D3559" t="inlineStr">
        <is>
          <t>GÄVLEBORGS LÄN</t>
        </is>
      </c>
      <c r="E3559" t="inlineStr">
        <is>
          <t>LJUSDAL</t>
        </is>
      </c>
      <c r="F3559" t="inlineStr">
        <is>
          <t>Sveaskog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46198-2021</t>
        </is>
      </c>
      <c r="B3560" s="1" t="n">
        <v>44442</v>
      </c>
      <c r="C3560" s="1" t="n">
        <v>45587</v>
      </c>
      <c r="D3560" t="inlineStr">
        <is>
          <t>GÄVLEBORGS LÄN</t>
        </is>
      </c>
      <c r="E3560" t="inlineStr">
        <is>
          <t>NORDANSTIG</t>
        </is>
      </c>
      <c r="F3560" t="inlineStr">
        <is>
          <t>Holmen skog AB</t>
        </is>
      </c>
      <c r="G3560" t="n">
        <v>2.5</v>
      </c>
      <c r="H3560" t="n">
        <v>0</v>
      </c>
      <c r="I3560" t="n">
        <v>0</v>
      </c>
      <c r="J3560" t="n">
        <v>0</v>
      </c>
      <c r="K3560" t="n">
        <v>0</v>
      </c>
      <c r="L3560" t="n">
        <v>0</v>
      </c>
      <c r="M3560" t="n">
        <v>0</v>
      </c>
      <c r="N3560" t="n">
        <v>0</v>
      </c>
      <c r="O3560" t="n">
        <v>0</v>
      </c>
      <c r="P3560" t="n">
        <v>0</v>
      </c>
      <c r="Q3560" t="n">
        <v>0</v>
      </c>
      <c r="R3560" s="2" t="inlineStr"/>
      <c r="U3560">
        <f>HYPERLINK("https://klasma.github.io/Logging_2132/knärot/A 46198-2021 karta knärot.png", "A 46198-2021")</f>
        <v/>
      </c>
      <c r="V3560">
        <f>HYPERLINK("https://klasma.github.io/Logging_2132/klagomål/A 46198-2021 FSC-klagomål.docx", "A 46198-2021")</f>
        <v/>
      </c>
      <c r="W3560">
        <f>HYPERLINK("https://klasma.github.io/Logging_2132/klagomålsmail/A 46198-2021 FSC-klagomål mail.docx", "A 46198-2021")</f>
        <v/>
      </c>
      <c r="X3560">
        <f>HYPERLINK("https://klasma.github.io/Logging_2132/tillsyn/A 46198-2021 tillsynsbegäran.docx", "A 46198-2021")</f>
        <v/>
      </c>
      <c r="Y3560">
        <f>HYPERLINK("https://klasma.github.io/Logging_2132/tillsynsmail/A 46198-2021 tillsynsbegäran mail.docx", "A 46198-2021")</f>
        <v/>
      </c>
    </row>
    <row r="3561" ht="15" customHeight="1">
      <c r="A3561" t="inlineStr">
        <is>
          <t>A 46364-2021</t>
        </is>
      </c>
      <c r="B3561" s="1" t="n">
        <v>44442</v>
      </c>
      <c r="C3561" s="1" t="n">
        <v>45587</v>
      </c>
      <c r="D3561" t="inlineStr">
        <is>
          <t>GÄVLEBORGS LÄN</t>
        </is>
      </c>
      <c r="E3561" t="inlineStr">
        <is>
          <t>HOFORS</t>
        </is>
      </c>
      <c r="F3561" t="inlineStr">
        <is>
          <t>Sveaskog</t>
        </is>
      </c>
      <c r="G3561" t="n">
        <v>4.4</v>
      </c>
      <c r="H3561" t="n">
        <v>0</v>
      </c>
      <c r="I3561" t="n">
        <v>0</v>
      </c>
      <c r="J3561" t="n">
        <v>0</v>
      </c>
      <c r="K3561" t="n">
        <v>0</v>
      </c>
      <c r="L3561" t="n">
        <v>0</v>
      </c>
      <c r="M3561" t="n">
        <v>0</v>
      </c>
      <c r="N3561" t="n">
        <v>0</v>
      </c>
      <c r="O3561" t="n">
        <v>0</v>
      </c>
      <c r="P3561" t="n">
        <v>0</v>
      </c>
      <c r="Q3561" t="n">
        <v>0</v>
      </c>
      <c r="R3561" s="2" t="inlineStr"/>
      <c r="U3561">
        <f>HYPERLINK("https://klasma.github.io/Logging_2104/knärot/A 46364-2021 karta knärot.png", "A 46364-2021")</f>
        <v/>
      </c>
      <c r="V3561">
        <f>HYPERLINK("https://klasma.github.io/Logging_2104/klagomål/A 46364-2021 FSC-klagomål.docx", "A 46364-2021")</f>
        <v/>
      </c>
      <c r="W3561">
        <f>HYPERLINK("https://klasma.github.io/Logging_2104/klagomålsmail/A 46364-2021 FSC-klagomål mail.docx", "A 46364-2021")</f>
        <v/>
      </c>
      <c r="X3561">
        <f>HYPERLINK("https://klasma.github.io/Logging_2104/tillsyn/A 46364-2021 tillsynsbegäran.docx", "A 46364-2021")</f>
        <v/>
      </c>
      <c r="Y3561">
        <f>HYPERLINK("https://klasma.github.io/Logging_2104/tillsynsmail/A 46364-2021 tillsynsbegäran mail.docx", "A 46364-2021")</f>
        <v/>
      </c>
    </row>
    <row r="3562" ht="15" customHeight="1">
      <c r="A3562" t="inlineStr">
        <is>
          <t>A 46421-2021</t>
        </is>
      </c>
      <c r="B3562" s="1" t="n">
        <v>44445</v>
      </c>
      <c r="C3562" s="1" t="n">
        <v>45587</v>
      </c>
      <c r="D3562" t="inlineStr">
        <is>
          <t>GÄVLEBORGS LÄN</t>
        </is>
      </c>
      <c r="E3562" t="inlineStr">
        <is>
          <t>LJUSDAL</t>
        </is>
      </c>
      <c r="F3562" t="inlineStr">
        <is>
          <t>Sveaskog</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46540-2021</t>
        </is>
      </c>
      <c r="B3563" s="1" t="n">
        <v>44445</v>
      </c>
      <c r="C3563" s="1" t="n">
        <v>45587</v>
      </c>
      <c r="D3563" t="inlineStr">
        <is>
          <t>GÄVLEBORGS LÄN</t>
        </is>
      </c>
      <c r="E3563" t="inlineStr">
        <is>
          <t>OCKELBO</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46459-2021</t>
        </is>
      </c>
      <c r="B3564" s="1" t="n">
        <v>44445</v>
      </c>
      <c r="C3564" s="1" t="n">
        <v>45587</v>
      </c>
      <c r="D3564" t="inlineStr">
        <is>
          <t>GÄVLEBORGS LÄN</t>
        </is>
      </c>
      <c r="E3564" t="inlineStr">
        <is>
          <t>OVANÅKER</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46419-2021</t>
        </is>
      </c>
      <c r="B3565" s="1" t="n">
        <v>44445</v>
      </c>
      <c r="C3565" s="1" t="n">
        <v>45587</v>
      </c>
      <c r="D3565" t="inlineStr">
        <is>
          <t>GÄVLEBORGS LÄN</t>
        </is>
      </c>
      <c r="E3565" t="inlineStr">
        <is>
          <t>LJUSDAL</t>
        </is>
      </c>
      <c r="F3565" t="inlineStr">
        <is>
          <t>Sveaskog</t>
        </is>
      </c>
      <c r="G3565" t="n">
        <v>6.5</v>
      </c>
      <c r="H3565" t="n">
        <v>0</v>
      </c>
      <c r="I3565" t="n">
        <v>0</v>
      </c>
      <c r="J3565" t="n">
        <v>0</v>
      </c>
      <c r="K3565" t="n">
        <v>0</v>
      </c>
      <c r="L3565" t="n">
        <v>0</v>
      </c>
      <c r="M3565" t="n">
        <v>0</v>
      </c>
      <c r="N3565" t="n">
        <v>0</v>
      </c>
      <c r="O3565" t="n">
        <v>0</v>
      </c>
      <c r="P3565" t="n">
        <v>0</v>
      </c>
      <c r="Q3565" t="n">
        <v>0</v>
      </c>
      <c r="R3565" s="2" t="inlineStr"/>
    </row>
    <row r="3566" ht="15" customHeight="1">
      <c r="A3566" t="inlineStr">
        <is>
          <t>A 46524-2021</t>
        </is>
      </c>
      <c r="B3566" s="1" t="n">
        <v>44445</v>
      </c>
      <c r="C3566" s="1" t="n">
        <v>45587</v>
      </c>
      <c r="D3566" t="inlineStr">
        <is>
          <t>GÄVLEBORGS LÄN</t>
        </is>
      </c>
      <c r="E3566" t="inlineStr">
        <is>
          <t>LJUSDAL</t>
        </is>
      </c>
      <c r="F3566" t="inlineStr">
        <is>
          <t>Allmännings- och besparingsskogar</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46549-2021</t>
        </is>
      </c>
      <c r="B3567" s="1" t="n">
        <v>44445</v>
      </c>
      <c r="C3567" s="1" t="n">
        <v>45587</v>
      </c>
      <c r="D3567" t="inlineStr">
        <is>
          <t>GÄVLEBORGS LÄN</t>
        </is>
      </c>
      <c r="E3567" t="inlineStr">
        <is>
          <t>GÄVLE</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46642-2021</t>
        </is>
      </c>
      <c r="B3568" s="1" t="n">
        <v>44445</v>
      </c>
      <c r="C3568" s="1" t="n">
        <v>45587</v>
      </c>
      <c r="D3568" t="inlineStr">
        <is>
          <t>GÄVLEBORGS LÄN</t>
        </is>
      </c>
      <c r="E3568" t="inlineStr">
        <is>
          <t>LJUSDAL</t>
        </is>
      </c>
      <c r="F3568" t="inlineStr">
        <is>
          <t>Sveaskog</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46651-2021</t>
        </is>
      </c>
      <c r="B3569" s="1" t="n">
        <v>44445</v>
      </c>
      <c r="C3569" s="1" t="n">
        <v>45587</v>
      </c>
      <c r="D3569" t="inlineStr">
        <is>
          <t>GÄVLEBORGS LÄN</t>
        </is>
      </c>
      <c r="E3569" t="inlineStr">
        <is>
          <t>LJUSDAL</t>
        </is>
      </c>
      <c r="F3569" t="inlineStr">
        <is>
          <t>Holmen skog AB</t>
        </is>
      </c>
      <c r="G3569" t="n">
        <v>6.2</v>
      </c>
      <c r="H3569" t="n">
        <v>0</v>
      </c>
      <c r="I3569" t="n">
        <v>0</v>
      </c>
      <c r="J3569" t="n">
        <v>0</v>
      </c>
      <c r="K3569" t="n">
        <v>0</v>
      </c>
      <c r="L3569" t="n">
        <v>0</v>
      </c>
      <c r="M3569" t="n">
        <v>0</v>
      </c>
      <c r="N3569" t="n">
        <v>0</v>
      </c>
      <c r="O3569" t="n">
        <v>0</v>
      </c>
      <c r="P3569" t="n">
        <v>0</v>
      </c>
      <c r="Q3569" t="n">
        <v>0</v>
      </c>
      <c r="R3569" s="2" t="inlineStr"/>
    </row>
    <row r="3570" ht="15" customHeight="1">
      <c r="A3570" t="inlineStr">
        <is>
          <t>A 46733-2021</t>
        </is>
      </c>
      <c r="B3570" s="1" t="n">
        <v>44445</v>
      </c>
      <c r="C3570" s="1" t="n">
        <v>45587</v>
      </c>
      <c r="D3570" t="inlineStr">
        <is>
          <t>GÄVLEBORGS LÄN</t>
        </is>
      </c>
      <c r="E3570" t="inlineStr">
        <is>
          <t>OVANÅKER</t>
        </is>
      </c>
      <c r="F3570" t="inlineStr">
        <is>
          <t>Sveaskog</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46679-2021</t>
        </is>
      </c>
      <c r="B3571" s="1" t="n">
        <v>44445</v>
      </c>
      <c r="C3571" s="1" t="n">
        <v>45587</v>
      </c>
      <c r="D3571" t="inlineStr">
        <is>
          <t>GÄVLEBORGS LÄN</t>
        </is>
      </c>
      <c r="E3571" t="inlineStr">
        <is>
          <t>LJUSDAL</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46854-2021</t>
        </is>
      </c>
      <c r="B3572" s="1" t="n">
        <v>44446</v>
      </c>
      <c r="C3572" s="1" t="n">
        <v>45587</v>
      </c>
      <c r="D3572" t="inlineStr">
        <is>
          <t>GÄVLEBORGS LÄN</t>
        </is>
      </c>
      <c r="E3572" t="inlineStr">
        <is>
          <t>SANDVIKEN</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46860-2021</t>
        </is>
      </c>
      <c r="B3573" s="1" t="n">
        <v>44446</v>
      </c>
      <c r="C3573" s="1" t="n">
        <v>45587</v>
      </c>
      <c r="D3573" t="inlineStr">
        <is>
          <t>GÄVLEBORGS LÄN</t>
        </is>
      </c>
      <c r="E3573" t="inlineStr">
        <is>
          <t>LJUSDAL</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46800-2021</t>
        </is>
      </c>
      <c r="B3574" s="1" t="n">
        <v>44446</v>
      </c>
      <c r="C3574" s="1" t="n">
        <v>45587</v>
      </c>
      <c r="D3574" t="inlineStr">
        <is>
          <t>GÄVLEBORGS LÄN</t>
        </is>
      </c>
      <c r="E3574" t="inlineStr">
        <is>
          <t>GÄVLE</t>
        </is>
      </c>
      <c r="F3574" t="inlineStr">
        <is>
          <t>Bergvik skog väst AB</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46975-2021</t>
        </is>
      </c>
      <c r="B3575" s="1" t="n">
        <v>44446</v>
      </c>
      <c r="C3575" s="1" t="n">
        <v>45587</v>
      </c>
      <c r="D3575" t="inlineStr">
        <is>
          <t>GÄVLEBORGS LÄN</t>
        </is>
      </c>
      <c r="E3575" t="inlineStr">
        <is>
          <t>SÖDERHAMN</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47268-2021</t>
        </is>
      </c>
      <c r="B3576" s="1" t="n">
        <v>44447</v>
      </c>
      <c r="C3576" s="1" t="n">
        <v>45587</v>
      </c>
      <c r="D3576" t="inlineStr">
        <is>
          <t>GÄVLEBORGS LÄN</t>
        </is>
      </c>
      <c r="E3576" t="inlineStr">
        <is>
          <t>LJUSDAL</t>
        </is>
      </c>
      <c r="F3576" t="inlineStr">
        <is>
          <t>Bergvik skog väst AB</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47481-2021</t>
        </is>
      </c>
      <c r="B3577" s="1" t="n">
        <v>44447</v>
      </c>
      <c r="C3577" s="1" t="n">
        <v>45587</v>
      </c>
      <c r="D3577" t="inlineStr">
        <is>
          <t>GÄVLEBORGS LÄN</t>
        </is>
      </c>
      <c r="E3577" t="inlineStr">
        <is>
          <t>OVANÅKER</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47486-2021</t>
        </is>
      </c>
      <c r="B3578" s="1" t="n">
        <v>44447</v>
      </c>
      <c r="C3578" s="1" t="n">
        <v>45587</v>
      </c>
      <c r="D3578" t="inlineStr">
        <is>
          <t>GÄVLEBORGS LÄN</t>
        </is>
      </c>
      <c r="E3578" t="inlineStr">
        <is>
          <t>OVANÅKER</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47531-2021</t>
        </is>
      </c>
      <c r="B3579" s="1" t="n">
        <v>44447</v>
      </c>
      <c r="C3579" s="1" t="n">
        <v>45587</v>
      </c>
      <c r="D3579" t="inlineStr">
        <is>
          <t>GÄVLEBORGS LÄN</t>
        </is>
      </c>
      <c r="E3579" t="inlineStr">
        <is>
          <t>HOFORS</t>
        </is>
      </c>
      <c r="G3579" t="n">
        <v>7.6</v>
      </c>
      <c r="H3579" t="n">
        <v>0</v>
      </c>
      <c r="I3579" t="n">
        <v>0</v>
      </c>
      <c r="J3579" t="n">
        <v>0</v>
      </c>
      <c r="K3579" t="n">
        <v>0</v>
      </c>
      <c r="L3579" t="n">
        <v>0</v>
      </c>
      <c r="M3579" t="n">
        <v>0</v>
      </c>
      <c r="N3579" t="n">
        <v>0</v>
      </c>
      <c r="O3579" t="n">
        <v>0</v>
      </c>
      <c r="P3579" t="n">
        <v>0</v>
      </c>
      <c r="Q3579" t="n">
        <v>0</v>
      </c>
      <c r="R3579" s="2" t="inlineStr"/>
    </row>
    <row r="3580" ht="15" customHeight="1">
      <c r="A3580" t="inlineStr">
        <is>
          <t>A 47485-2021</t>
        </is>
      </c>
      <c r="B3580" s="1" t="n">
        <v>44447</v>
      </c>
      <c r="C3580" s="1" t="n">
        <v>45587</v>
      </c>
      <c r="D3580" t="inlineStr">
        <is>
          <t>GÄVLEBORGS LÄN</t>
        </is>
      </c>
      <c r="E3580" t="inlineStr">
        <is>
          <t>HOFORS</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47538-2021</t>
        </is>
      </c>
      <c r="B3581" s="1" t="n">
        <v>44447</v>
      </c>
      <c r="C3581" s="1" t="n">
        <v>45587</v>
      </c>
      <c r="D3581" t="inlineStr">
        <is>
          <t>GÄVLEBORGS LÄN</t>
        </is>
      </c>
      <c r="E3581" t="inlineStr">
        <is>
          <t>HOFORS</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47628-2021</t>
        </is>
      </c>
      <c r="B3582" s="1" t="n">
        <v>44448</v>
      </c>
      <c r="C3582" s="1" t="n">
        <v>45587</v>
      </c>
      <c r="D3582" t="inlineStr">
        <is>
          <t>GÄVLEBORGS LÄN</t>
        </is>
      </c>
      <c r="E3582" t="inlineStr">
        <is>
          <t>SANDVIKEN</t>
        </is>
      </c>
      <c r="F3582" t="inlineStr">
        <is>
          <t>Sveaskog</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47632-2021</t>
        </is>
      </c>
      <c r="B3583" s="1" t="n">
        <v>44448</v>
      </c>
      <c r="C3583" s="1" t="n">
        <v>45587</v>
      </c>
      <c r="D3583" t="inlineStr">
        <is>
          <t>GÄVLEBORGS LÄN</t>
        </is>
      </c>
      <c r="E3583" t="inlineStr">
        <is>
          <t>SANDVIKEN</t>
        </is>
      </c>
      <c r="F3583" t="inlineStr">
        <is>
          <t>Sveaskog</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47637-2021</t>
        </is>
      </c>
      <c r="B3584" s="1" t="n">
        <v>44448</v>
      </c>
      <c r="C3584" s="1" t="n">
        <v>45587</v>
      </c>
      <c r="D3584" t="inlineStr">
        <is>
          <t>GÄVLEBORGS LÄN</t>
        </is>
      </c>
      <c r="E3584" t="inlineStr">
        <is>
          <t>SANDVIKEN</t>
        </is>
      </c>
      <c r="F3584" t="inlineStr">
        <is>
          <t>Sveaskog</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47639-2021</t>
        </is>
      </c>
      <c r="B3585" s="1" t="n">
        <v>44448</v>
      </c>
      <c r="C3585" s="1" t="n">
        <v>45587</v>
      </c>
      <c r="D3585" t="inlineStr">
        <is>
          <t>GÄVLEBORGS LÄN</t>
        </is>
      </c>
      <c r="E3585" t="inlineStr">
        <is>
          <t>HOFORS</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47792-2021</t>
        </is>
      </c>
      <c r="B3586" s="1" t="n">
        <v>44448</v>
      </c>
      <c r="C3586" s="1" t="n">
        <v>45587</v>
      </c>
      <c r="D3586" t="inlineStr">
        <is>
          <t>GÄVLEBORGS LÄN</t>
        </is>
      </c>
      <c r="E3586" t="inlineStr">
        <is>
          <t>SANDVIKEN</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47849-2021</t>
        </is>
      </c>
      <c r="B3587" s="1" t="n">
        <v>44448</v>
      </c>
      <c r="C3587" s="1" t="n">
        <v>45587</v>
      </c>
      <c r="D3587" t="inlineStr">
        <is>
          <t>GÄVLEBORGS LÄN</t>
        </is>
      </c>
      <c r="E3587" t="inlineStr">
        <is>
          <t>OCKELBO</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47924-2021</t>
        </is>
      </c>
      <c r="B3588" s="1" t="n">
        <v>44448</v>
      </c>
      <c r="C3588" s="1" t="n">
        <v>45587</v>
      </c>
      <c r="D3588" t="inlineStr">
        <is>
          <t>GÄVLEBORGS LÄN</t>
        </is>
      </c>
      <c r="E3588" t="inlineStr">
        <is>
          <t>LJUSDAL</t>
        </is>
      </c>
      <c r="G3588" t="n">
        <v>6</v>
      </c>
      <c r="H3588" t="n">
        <v>0</v>
      </c>
      <c r="I3588" t="n">
        <v>0</v>
      </c>
      <c r="J3588" t="n">
        <v>0</v>
      </c>
      <c r="K3588" t="n">
        <v>0</v>
      </c>
      <c r="L3588" t="n">
        <v>0</v>
      </c>
      <c r="M3588" t="n">
        <v>0</v>
      </c>
      <c r="N3588" t="n">
        <v>0</v>
      </c>
      <c r="O3588" t="n">
        <v>0</v>
      </c>
      <c r="P3588" t="n">
        <v>0</v>
      </c>
      <c r="Q3588" t="n">
        <v>0</v>
      </c>
      <c r="R3588" s="2" t="inlineStr"/>
    </row>
    <row r="3589" ht="15" customHeight="1">
      <c r="A3589" t="inlineStr">
        <is>
          <t>A 47762-2021</t>
        </is>
      </c>
      <c r="B3589" s="1" t="n">
        <v>44448</v>
      </c>
      <c r="C3589" s="1" t="n">
        <v>45587</v>
      </c>
      <c r="D3589" t="inlineStr">
        <is>
          <t>GÄVLEBORGS LÄN</t>
        </is>
      </c>
      <c r="E3589" t="inlineStr">
        <is>
          <t>NORDANSTIG</t>
        </is>
      </c>
      <c r="F3589" t="inlineStr">
        <is>
          <t>Holmen skog AB</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47739-2021</t>
        </is>
      </c>
      <c r="B3590" s="1" t="n">
        <v>44448</v>
      </c>
      <c r="C3590" s="1" t="n">
        <v>45587</v>
      </c>
      <c r="D3590" t="inlineStr">
        <is>
          <t>GÄVLEBORGS LÄN</t>
        </is>
      </c>
      <c r="E3590" t="inlineStr">
        <is>
          <t>GÄVLE</t>
        </is>
      </c>
      <c r="G3590" t="n">
        <v>5.9</v>
      </c>
      <c r="H3590" t="n">
        <v>0</v>
      </c>
      <c r="I3590" t="n">
        <v>0</v>
      </c>
      <c r="J3590" t="n">
        <v>0</v>
      </c>
      <c r="K3590" t="n">
        <v>0</v>
      </c>
      <c r="L3590" t="n">
        <v>0</v>
      </c>
      <c r="M3590" t="n">
        <v>0</v>
      </c>
      <c r="N3590" t="n">
        <v>0</v>
      </c>
      <c r="O3590" t="n">
        <v>0</v>
      </c>
      <c r="P3590" t="n">
        <v>0</v>
      </c>
      <c r="Q3590" t="n">
        <v>0</v>
      </c>
      <c r="R3590" s="2" t="inlineStr"/>
    </row>
    <row r="3591" ht="15" customHeight="1">
      <c r="A3591" t="inlineStr">
        <is>
          <t>A 47925-2021</t>
        </is>
      </c>
      <c r="B3591" s="1" t="n">
        <v>44448</v>
      </c>
      <c r="C3591" s="1" t="n">
        <v>45587</v>
      </c>
      <c r="D3591" t="inlineStr">
        <is>
          <t>GÄVLEBORGS LÄN</t>
        </is>
      </c>
      <c r="E3591" t="inlineStr">
        <is>
          <t>LJUSDAL</t>
        </is>
      </c>
      <c r="G3591" t="n">
        <v>15.5</v>
      </c>
      <c r="H3591" t="n">
        <v>0</v>
      </c>
      <c r="I3591" t="n">
        <v>0</v>
      </c>
      <c r="J3591" t="n">
        <v>0</v>
      </c>
      <c r="K3591" t="n">
        <v>0</v>
      </c>
      <c r="L3591" t="n">
        <v>0</v>
      </c>
      <c r="M3591" t="n">
        <v>0</v>
      </c>
      <c r="N3591" t="n">
        <v>0</v>
      </c>
      <c r="O3591" t="n">
        <v>0</v>
      </c>
      <c r="P3591" t="n">
        <v>0</v>
      </c>
      <c r="Q3591" t="n">
        <v>0</v>
      </c>
      <c r="R3591" s="2" t="inlineStr"/>
    </row>
    <row r="3592" ht="15" customHeight="1">
      <c r="A3592" t="inlineStr">
        <is>
          <t>A 47865-2021</t>
        </is>
      </c>
      <c r="B3592" s="1" t="n">
        <v>44448</v>
      </c>
      <c r="C3592" s="1" t="n">
        <v>45587</v>
      </c>
      <c r="D3592" t="inlineStr">
        <is>
          <t>GÄVLEBORGS LÄN</t>
        </is>
      </c>
      <c r="E3592" t="inlineStr">
        <is>
          <t>OCKELBO</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48151-2021</t>
        </is>
      </c>
      <c r="B3593" s="1" t="n">
        <v>44449</v>
      </c>
      <c r="C3593" s="1" t="n">
        <v>45587</v>
      </c>
      <c r="D3593" t="inlineStr">
        <is>
          <t>GÄVLEBORGS LÄN</t>
        </is>
      </c>
      <c r="E3593" t="inlineStr">
        <is>
          <t>OVANÅKER</t>
        </is>
      </c>
      <c r="G3593" t="n">
        <v>0.2</v>
      </c>
      <c r="H3593" t="n">
        <v>0</v>
      </c>
      <c r="I3593" t="n">
        <v>0</v>
      </c>
      <c r="J3593" t="n">
        <v>0</v>
      </c>
      <c r="K3593" t="n">
        <v>0</v>
      </c>
      <c r="L3593" t="n">
        <v>0</v>
      </c>
      <c r="M3593" t="n">
        <v>0</v>
      </c>
      <c r="N3593" t="n">
        <v>0</v>
      </c>
      <c r="O3593" t="n">
        <v>0</v>
      </c>
      <c r="P3593" t="n">
        <v>0</v>
      </c>
      <c r="Q3593" t="n">
        <v>0</v>
      </c>
      <c r="R3593" s="2" t="inlineStr"/>
    </row>
    <row r="3594" ht="15" customHeight="1">
      <c r="A3594" t="inlineStr">
        <is>
          <t>A 48176-2021</t>
        </is>
      </c>
      <c r="B3594" s="1" t="n">
        <v>44449</v>
      </c>
      <c r="C3594" s="1" t="n">
        <v>45587</v>
      </c>
      <c r="D3594" t="inlineStr">
        <is>
          <t>GÄVLEBORGS LÄN</t>
        </is>
      </c>
      <c r="E3594" t="inlineStr">
        <is>
          <t>LJUSDAL</t>
        </is>
      </c>
      <c r="F3594" t="inlineStr">
        <is>
          <t>Sveaskog</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48306-2021</t>
        </is>
      </c>
      <c r="B3595" s="1" t="n">
        <v>44450</v>
      </c>
      <c r="C3595" s="1" t="n">
        <v>45587</v>
      </c>
      <c r="D3595" t="inlineStr">
        <is>
          <t>GÄVLEBORGS LÄN</t>
        </is>
      </c>
      <c r="E3595" t="inlineStr">
        <is>
          <t>OCKELBO</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48443-2021</t>
        </is>
      </c>
      <c r="B3596" s="1" t="n">
        <v>44452</v>
      </c>
      <c r="C3596" s="1" t="n">
        <v>45587</v>
      </c>
      <c r="D3596" t="inlineStr">
        <is>
          <t>GÄVLEBORGS LÄN</t>
        </is>
      </c>
      <c r="E3596" t="inlineStr">
        <is>
          <t>BOLLNÄS</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48451-2021</t>
        </is>
      </c>
      <c r="B3597" s="1" t="n">
        <v>44452</v>
      </c>
      <c r="C3597" s="1" t="n">
        <v>45587</v>
      </c>
      <c r="D3597" t="inlineStr">
        <is>
          <t>GÄVLEBORGS LÄN</t>
        </is>
      </c>
      <c r="E3597" t="inlineStr">
        <is>
          <t>BOLLNÄS</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48547-2021</t>
        </is>
      </c>
      <c r="B3598" s="1" t="n">
        <v>44452</v>
      </c>
      <c r="C3598" s="1" t="n">
        <v>45587</v>
      </c>
      <c r="D3598" t="inlineStr">
        <is>
          <t>GÄVLEBORGS LÄN</t>
        </is>
      </c>
      <c r="E3598" t="inlineStr">
        <is>
          <t>BOLLNÄS</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48581-2021</t>
        </is>
      </c>
      <c r="B3599" s="1" t="n">
        <v>44452</v>
      </c>
      <c r="C3599" s="1" t="n">
        <v>45587</v>
      </c>
      <c r="D3599" t="inlineStr">
        <is>
          <t>GÄVLEBORGS LÄN</t>
        </is>
      </c>
      <c r="E3599" t="inlineStr">
        <is>
          <t>LJUSDAL</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48603-2021</t>
        </is>
      </c>
      <c r="B3600" s="1" t="n">
        <v>44452</v>
      </c>
      <c r="C3600" s="1" t="n">
        <v>45587</v>
      </c>
      <c r="D3600" t="inlineStr">
        <is>
          <t>GÄVLEBORGS LÄN</t>
        </is>
      </c>
      <c r="E3600" t="inlineStr">
        <is>
          <t>OCKELBO</t>
        </is>
      </c>
      <c r="F3600" t="inlineStr">
        <is>
          <t>Bergvik skog väst AB</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48614-2021</t>
        </is>
      </c>
      <c r="B3601" s="1" t="n">
        <v>44452</v>
      </c>
      <c r="C3601" s="1" t="n">
        <v>45587</v>
      </c>
      <c r="D3601" t="inlineStr">
        <is>
          <t>GÄVLEBORGS LÄN</t>
        </is>
      </c>
      <c r="E3601" t="inlineStr">
        <is>
          <t>HUDIKSVALL</t>
        </is>
      </c>
      <c r="F3601" t="inlineStr">
        <is>
          <t>Holmen skog AB</t>
        </is>
      </c>
      <c r="G3601" t="n">
        <v>5.2</v>
      </c>
      <c r="H3601" t="n">
        <v>0</v>
      </c>
      <c r="I3601" t="n">
        <v>0</v>
      </c>
      <c r="J3601" t="n">
        <v>0</v>
      </c>
      <c r="K3601" t="n">
        <v>0</v>
      </c>
      <c r="L3601" t="n">
        <v>0</v>
      </c>
      <c r="M3601" t="n">
        <v>0</v>
      </c>
      <c r="N3601" t="n">
        <v>0</v>
      </c>
      <c r="O3601" t="n">
        <v>0</v>
      </c>
      <c r="P3601" t="n">
        <v>0</v>
      </c>
      <c r="Q3601" t="n">
        <v>0</v>
      </c>
      <c r="R3601" s="2" t="inlineStr"/>
    </row>
    <row r="3602" ht="15" customHeight="1">
      <c r="A3602" t="inlineStr">
        <is>
          <t>A 48674-2021</t>
        </is>
      </c>
      <c r="B3602" s="1" t="n">
        <v>44452</v>
      </c>
      <c r="C3602" s="1" t="n">
        <v>45587</v>
      </c>
      <c r="D3602" t="inlineStr">
        <is>
          <t>GÄVLEBORGS LÄN</t>
        </is>
      </c>
      <c r="E3602" t="inlineStr">
        <is>
          <t>LJUSDAL</t>
        </is>
      </c>
      <c r="F3602" t="inlineStr">
        <is>
          <t>Holmen skog AB</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48733-2021</t>
        </is>
      </c>
      <c r="B3603" s="1" t="n">
        <v>44452</v>
      </c>
      <c r="C3603" s="1" t="n">
        <v>45587</v>
      </c>
      <c r="D3603" t="inlineStr">
        <is>
          <t>GÄVLEBORGS LÄN</t>
        </is>
      </c>
      <c r="E3603" t="inlineStr">
        <is>
          <t>HUDIKSVALL</t>
        </is>
      </c>
      <c r="F3603" t="inlineStr">
        <is>
          <t>Holmen skog AB</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48679-2021</t>
        </is>
      </c>
      <c r="B3604" s="1" t="n">
        <v>44452</v>
      </c>
      <c r="C3604" s="1" t="n">
        <v>45587</v>
      </c>
      <c r="D3604" t="inlineStr">
        <is>
          <t>GÄVLEBORGS LÄN</t>
        </is>
      </c>
      <c r="E3604" t="inlineStr">
        <is>
          <t>BOLLNÄS</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48731-2021</t>
        </is>
      </c>
      <c r="B3605" s="1" t="n">
        <v>44452</v>
      </c>
      <c r="C3605" s="1" t="n">
        <v>45587</v>
      </c>
      <c r="D3605" t="inlineStr">
        <is>
          <t>GÄVLEBORGS LÄN</t>
        </is>
      </c>
      <c r="E3605" t="inlineStr">
        <is>
          <t>NORDANSTIG</t>
        </is>
      </c>
      <c r="F3605" t="inlineStr">
        <is>
          <t>Holmen skog AB</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48718-2021</t>
        </is>
      </c>
      <c r="B3606" s="1" t="n">
        <v>44452</v>
      </c>
      <c r="C3606" s="1" t="n">
        <v>45587</v>
      </c>
      <c r="D3606" t="inlineStr">
        <is>
          <t>GÄVLEBORGS LÄN</t>
        </is>
      </c>
      <c r="E3606" t="inlineStr">
        <is>
          <t>BOLLNÄS</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48753-2021</t>
        </is>
      </c>
      <c r="B3607" s="1" t="n">
        <v>44452</v>
      </c>
      <c r="C3607" s="1" t="n">
        <v>45587</v>
      </c>
      <c r="D3607" t="inlineStr">
        <is>
          <t>GÄVLEBORGS LÄN</t>
        </is>
      </c>
      <c r="E3607" t="inlineStr">
        <is>
          <t>HUDIKSVALL</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48587-2021</t>
        </is>
      </c>
      <c r="B3608" s="1" t="n">
        <v>44452</v>
      </c>
      <c r="C3608" s="1" t="n">
        <v>45587</v>
      </c>
      <c r="D3608" t="inlineStr">
        <is>
          <t>GÄVLEBORGS LÄN</t>
        </is>
      </c>
      <c r="E3608" t="inlineStr">
        <is>
          <t>LJUSDAL</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48765-2021</t>
        </is>
      </c>
      <c r="B3609" s="1" t="n">
        <v>44452</v>
      </c>
      <c r="C3609" s="1" t="n">
        <v>45587</v>
      </c>
      <c r="D3609" t="inlineStr">
        <is>
          <t>GÄVLEBORGS LÄN</t>
        </is>
      </c>
      <c r="E3609" t="inlineStr">
        <is>
          <t>SANDVIKEN</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48804-2021</t>
        </is>
      </c>
      <c r="B3610" s="1" t="n">
        <v>44452</v>
      </c>
      <c r="C3610" s="1" t="n">
        <v>45587</v>
      </c>
      <c r="D3610" t="inlineStr">
        <is>
          <t>GÄVLEBORGS LÄN</t>
        </is>
      </c>
      <c r="E3610" t="inlineStr">
        <is>
          <t>SANDVIKEN</t>
        </is>
      </c>
      <c r="F3610" t="inlineStr">
        <is>
          <t>Sveaskog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48881-2021</t>
        </is>
      </c>
      <c r="B3611" s="1" t="n">
        <v>44452</v>
      </c>
      <c r="C3611" s="1" t="n">
        <v>45587</v>
      </c>
      <c r="D3611" t="inlineStr">
        <is>
          <t>GÄVLEBORGS LÄN</t>
        </is>
      </c>
      <c r="E3611" t="inlineStr">
        <is>
          <t>GÄVLE</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48953-2021</t>
        </is>
      </c>
      <c r="B3612" s="1" t="n">
        <v>44453</v>
      </c>
      <c r="C3612" s="1" t="n">
        <v>45587</v>
      </c>
      <c r="D3612" t="inlineStr">
        <is>
          <t>GÄVLEBORGS LÄN</t>
        </is>
      </c>
      <c r="E3612" t="inlineStr">
        <is>
          <t>LJUSDAL</t>
        </is>
      </c>
      <c r="G3612" t="n">
        <v>0.1</v>
      </c>
      <c r="H3612" t="n">
        <v>0</v>
      </c>
      <c r="I3612" t="n">
        <v>0</v>
      </c>
      <c r="J3612" t="n">
        <v>0</v>
      </c>
      <c r="K3612" t="n">
        <v>0</v>
      </c>
      <c r="L3612" t="n">
        <v>0</v>
      </c>
      <c r="M3612" t="n">
        <v>0</v>
      </c>
      <c r="N3612" t="n">
        <v>0</v>
      </c>
      <c r="O3612" t="n">
        <v>0</v>
      </c>
      <c r="P3612" t="n">
        <v>0</v>
      </c>
      <c r="Q3612" t="n">
        <v>0</v>
      </c>
      <c r="R3612" s="2" t="inlineStr"/>
    </row>
    <row r="3613" ht="15" customHeight="1">
      <c r="A3613" t="inlineStr">
        <is>
          <t>A 49068-2021</t>
        </is>
      </c>
      <c r="B3613" s="1" t="n">
        <v>44453</v>
      </c>
      <c r="C3613" s="1" t="n">
        <v>45587</v>
      </c>
      <c r="D3613" t="inlineStr">
        <is>
          <t>GÄVLEBORGS LÄN</t>
        </is>
      </c>
      <c r="E3613" t="inlineStr">
        <is>
          <t>LJUSDAL</t>
        </is>
      </c>
      <c r="F3613" t="inlineStr">
        <is>
          <t>Holmen skog AB</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49092-2021</t>
        </is>
      </c>
      <c r="B3614" s="1" t="n">
        <v>44453</v>
      </c>
      <c r="C3614" s="1" t="n">
        <v>45587</v>
      </c>
      <c r="D3614" t="inlineStr">
        <is>
          <t>GÄVLEBORGS LÄN</t>
        </is>
      </c>
      <c r="E3614" t="inlineStr">
        <is>
          <t>HUDIKSVALL</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49114-2021</t>
        </is>
      </c>
      <c r="B3615" s="1" t="n">
        <v>44453</v>
      </c>
      <c r="C3615" s="1" t="n">
        <v>45587</v>
      </c>
      <c r="D3615" t="inlineStr">
        <is>
          <t>GÄVLEBORGS LÄN</t>
        </is>
      </c>
      <c r="E3615" t="inlineStr">
        <is>
          <t>LJUSDAL</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49147-2021</t>
        </is>
      </c>
      <c r="B3616" s="1" t="n">
        <v>44453</v>
      </c>
      <c r="C3616" s="1" t="n">
        <v>45587</v>
      </c>
      <c r="D3616" t="inlineStr">
        <is>
          <t>GÄVLEBORGS LÄN</t>
        </is>
      </c>
      <c r="E3616" t="inlineStr">
        <is>
          <t>HUDIKSVALL</t>
        </is>
      </c>
      <c r="G3616" t="n">
        <v>7.8</v>
      </c>
      <c r="H3616" t="n">
        <v>0</v>
      </c>
      <c r="I3616" t="n">
        <v>0</v>
      </c>
      <c r="J3616" t="n">
        <v>0</v>
      </c>
      <c r="K3616" t="n">
        <v>0</v>
      </c>
      <c r="L3616" t="n">
        <v>0</v>
      </c>
      <c r="M3616" t="n">
        <v>0</v>
      </c>
      <c r="N3616" t="n">
        <v>0</v>
      </c>
      <c r="O3616" t="n">
        <v>0</v>
      </c>
      <c r="P3616" t="n">
        <v>0</v>
      </c>
      <c r="Q3616" t="n">
        <v>0</v>
      </c>
      <c r="R3616" s="2" t="inlineStr"/>
    </row>
    <row r="3617" ht="15" customHeight="1">
      <c r="A3617" t="inlineStr">
        <is>
          <t>A 49099-2021</t>
        </is>
      </c>
      <c r="B3617" s="1" t="n">
        <v>44453</v>
      </c>
      <c r="C3617" s="1" t="n">
        <v>45587</v>
      </c>
      <c r="D3617" t="inlineStr">
        <is>
          <t>GÄVLEBORGS LÄN</t>
        </is>
      </c>
      <c r="E3617" t="inlineStr">
        <is>
          <t>LJUSDAL</t>
        </is>
      </c>
      <c r="F3617" t="inlineStr">
        <is>
          <t>Sveaskog</t>
        </is>
      </c>
      <c r="G3617" t="n">
        <v>10</v>
      </c>
      <c r="H3617" t="n">
        <v>0</v>
      </c>
      <c r="I3617" t="n">
        <v>0</v>
      </c>
      <c r="J3617" t="n">
        <v>0</v>
      </c>
      <c r="K3617" t="n">
        <v>0</v>
      </c>
      <c r="L3617" t="n">
        <v>0</v>
      </c>
      <c r="M3617" t="n">
        <v>0</v>
      </c>
      <c r="N3617" t="n">
        <v>0</v>
      </c>
      <c r="O3617" t="n">
        <v>0</v>
      </c>
      <c r="P3617" t="n">
        <v>0</v>
      </c>
      <c r="Q3617" t="n">
        <v>0</v>
      </c>
      <c r="R3617" s="2" t="inlineStr"/>
    </row>
    <row r="3618" ht="15" customHeight="1">
      <c r="A3618" t="inlineStr">
        <is>
          <t>A 49197-2021</t>
        </is>
      </c>
      <c r="B3618" s="1" t="n">
        <v>44454</v>
      </c>
      <c r="C3618" s="1" t="n">
        <v>45587</v>
      </c>
      <c r="D3618" t="inlineStr">
        <is>
          <t>GÄVLEBORGS LÄN</t>
        </is>
      </c>
      <c r="E3618" t="inlineStr">
        <is>
          <t>NORDANSTIG</t>
        </is>
      </c>
      <c r="G3618" t="n">
        <v>6.5</v>
      </c>
      <c r="H3618" t="n">
        <v>0</v>
      </c>
      <c r="I3618" t="n">
        <v>0</v>
      </c>
      <c r="J3618" t="n">
        <v>0</v>
      </c>
      <c r="K3618" t="n">
        <v>0</v>
      </c>
      <c r="L3618" t="n">
        <v>0</v>
      </c>
      <c r="M3618" t="n">
        <v>0</v>
      </c>
      <c r="N3618" t="n">
        <v>0</v>
      </c>
      <c r="O3618" t="n">
        <v>0</v>
      </c>
      <c r="P3618" t="n">
        <v>0</v>
      </c>
      <c r="Q3618" t="n">
        <v>0</v>
      </c>
      <c r="R3618" s="2" t="inlineStr"/>
    </row>
    <row r="3619" ht="15" customHeight="1">
      <c r="A3619" t="inlineStr">
        <is>
          <t>A 49315-2021</t>
        </is>
      </c>
      <c r="B3619" s="1" t="n">
        <v>44454</v>
      </c>
      <c r="C3619" s="1" t="n">
        <v>45587</v>
      </c>
      <c r="D3619" t="inlineStr">
        <is>
          <t>GÄVLEBORGS LÄN</t>
        </is>
      </c>
      <c r="E3619" t="inlineStr">
        <is>
          <t>HUDIKSVALL</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49327-2021</t>
        </is>
      </c>
      <c r="B3620" s="1" t="n">
        <v>44454</v>
      </c>
      <c r="C3620" s="1" t="n">
        <v>45587</v>
      </c>
      <c r="D3620" t="inlineStr">
        <is>
          <t>GÄVLEBORGS LÄN</t>
        </is>
      </c>
      <c r="E3620" t="inlineStr">
        <is>
          <t>HUDIKSVALL</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49405-2021</t>
        </is>
      </c>
      <c r="B3621" s="1" t="n">
        <v>44454</v>
      </c>
      <c r="C3621" s="1" t="n">
        <v>45587</v>
      </c>
      <c r="D3621" t="inlineStr">
        <is>
          <t>GÄVLEBORGS LÄN</t>
        </is>
      </c>
      <c r="E3621" t="inlineStr">
        <is>
          <t>HUDIKSVALL</t>
        </is>
      </c>
      <c r="F3621" t="inlineStr">
        <is>
          <t>Holmen skog AB</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49445-2021</t>
        </is>
      </c>
      <c r="B3622" s="1" t="n">
        <v>44454</v>
      </c>
      <c r="C3622" s="1" t="n">
        <v>45587</v>
      </c>
      <c r="D3622" t="inlineStr">
        <is>
          <t>GÄVLEBORGS LÄN</t>
        </is>
      </c>
      <c r="E3622" t="inlineStr">
        <is>
          <t>BOLLNÄS</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49501-2021</t>
        </is>
      </c>
      <c r="B3623" s="1" t="n">
        <v>44455</v>
      </c>
      <c r="C3623" s="1" t="n">
        <v>45587</v>
      </c>
      <c r="D3623" t="inlineStr">
        <is>
          <t>GÄVLEBORGS LÄN</t>
        </is>
      </c>
      <c r="E3623" t="inlineStr">
        <is>
          <t>LJUSDAL</t>
        </is>
      </c>
      <c r="F3623" t="inlineStr">
        <is>
          <t>Allmännings- och besparingsskogar</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49565-2021</t>
        </is>
      </c>
      <c r="B3624" s="1" t="n">
        <v>44455</v>
      </c>
      <c r="C3624" s="1" t="n">
        <v>45587</v>
      </c>
      <c r="D3624" t="inlineStr">
        <is>
          <t>GÄVLEBORGS LÄN</t>
        </is>
      </c>
      <c r="E3624" t="inlineStr">
        <is>
          <t>OVANÅKER</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49604-2021</t>
        </is>
      </c>
      <c r="B3625" s="1" t="n">
        <v>44455</v>
      </c>
      <c r="C3625" s="1" t="n">
        <v>45587</v>
      </c>
      <c r="D3625" t="inlineStr">
        <is>
          <t>GÄVLEBORGS LÄN</t>
        </is>
      </c>
      <c r="E3625" t="inlineStr">
        <is>
          <t>HUDIKSVALL</t>
        </is>
      </c>
      <c r="F3625" t="inlineStr">
        <is>
          <t>Holmen skog AB</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49811-2021</t>
        </is>
      </c>
      <c r="B3626" s="1" t="n">
        <v>44455</v>
      </c>
      <c r="C3626" s="1" t="n">
        <v>45587</v>
      </c>
      <c r="D3626" t="inlineStr">
        <is>
          <t>GÄVLEBORGS LÄN</t>
        </is>
      </c>
      <c r="E3626" t="inlineStr">
        <is>
          <t>GÄVLE</t>
        </is>
      </c>
      <c r="F3626" t="inlineStr">
        <is>
          <t>Bergvik skog öst AB</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49827-2021</t>
        </is>
      </c>
      <c r="B3627" s="1" t="n">
        <v>44455</v>
      </c>
      <c r="C3627" s="1" t="n">
        <v>45587</v>
      </c>
      <c r="D3627" t="inlineStr">
        <is>
          <t>GÄVLEBORGS LÄN</t>
        </is>
      </c>
      <c r="E3627" t="inlineStr">
        <is>
          <t>GÄVLE</t>
        </is>
      </c>
      <c r="F3627" t="inlineStr">
        <is>
          <t>Bergvik skog öst AB</t>
        </is>
      </c>
      <c r="G3627" t="n">
        <v>9.1</v>
      </c>
      <c r="H3627" t="n">
        <v>0</v>
      </c>
      <c r="I3627" t="n">
        <v>0</v>
      </c>
      <c r="J3627" t="n">
        <v>0</v>
      </c>
      <c r="K3627" t="n">
        <v>0</v>
      </c>
      <c r="L3627" t="n">
        <v>0</v>
      </c>
      <c r="M3627" t="n">
        <v>0</v>
      </c>
      <c r="N3627" t="n">
        <v>0</v>
      </c>
      <c r="O3627" t="n">
        <v>0</v>
      </c>
      <c r="P3627" t="n">
        <v>0</v>
      </c>
      <c r="Q3627" t="n">
        <v>0</v>
      </c>
      <c r="R3627" s="2" t="inlineStr"/>
    </row>
    <row r="3628" ht="15" customHeight="1">
      <c r="A3628" t="inlineStr">
        <is>
          <t>A 49903-2021</t>
        </is>
      </c>
      <c r="B3628" s="1" t="n">
        <v>44455</v>
      </c>
      <c r="C3628" s="1" t="n">
        <v>45587</v>
      </c>
      <c r="D3628" t="inlineStr">
        <is>
          <t>GÄVLEBORGS LÄN</t>
        </is>
      </c>
      <c r="E3628" t="inlineStr">
        <is>
          <t>NORDANSTIG</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49780-2021</t>
        </is>
      </c>
      <c r="B3629" s="1" t="n">
        <v>44455</v>
      </c>
      <c r="C3629" s="1" t="n">
        <v>45587</v>
      </c>
      <c r="D3629" t="inlineStr">
        <is>
          <t>GÄVLEBORGS LÄN</t>
        </is>
      </c>
      <c r="E3629" t="inlineStr">
        <is>
          <t>LJUSDAL</t>
        </is>
      </c>
      <c r="F3629" t="inlineStr">
        <is>
          <t>Holmen skog AB</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49928-2021</t>
        </is>
      </c>
      <c r="B3630" s="1" t="n">
        <v>44455</v>
      </c>
      <c r="C3630" s="1" t="n">
        <v>45587</v>
      </c>
      <c r="D3630" t="inlineStr">
        <is>
          <t>GÄVLEBORGS LÄN</t>
        </is>
      </c>
      <c r="E3630" t="inlineStr">
        <is>
          <t>HUDIKSVALL</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49925-2021</t>
        </is>
      </c>
      <c r="B3631" s="1" t="n">
        <v>44456</v>
      </c>
      <c r="C3631" s="1" t="n">
        <v>45587</v>
      </c>
      <c r="D3631" t="inlineStr">
        <is>
          <t>GÄVLEBORGS LÄN</t>
        </is>
      </c>
      <c r="E3631" t="inlineStr">
        <is>
          <t>HUDIKSVALL</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50036-2021</t>
        </is>
      </c>
      <c r="B3632" s="1" t="n">
        <v>44456</v>
      </c>
      <c r="C3632" s="1" t="n">
        <v>45587</v>
      </c>
      <c r="D3632" t="inlineStr">
        <is>
          <t>GÄVLEBORGS LÄN</t>
        </is>
      </c>
      <c r="E3632" t="inlineStr">
        <is>
          <t>NORDANSTIG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50055-2021</t>
        </is>
      </c>
      <c r="B3633" s="1" t="n">
        <v>44456</v>
      </c>
      <c r="C3633" s="1" t="n">
        <v>45587</v>
      </c>
      <c r="D3633" t="inlineStr">
        <is>
          <t>GÄVLEBORGS LÄN</t>
        </is>
      </c>
      <c r="E3633" t="inlineStr">
        <is>
          <t>LJUSDAL</t>
        </is>
      </c>
      <c r="F3633" t="inlineStr">
        <is>
          <t>Sveaskog</t>
        </is>
      </c>
      <c r="G3633" t="n">
        <v>4.8</v>
      </c>
      <c r="H3633" t="n">
        <v>0</v>
      </c>
      <c r="I3633" t="n">
        <v>0</v>
      </c>
      <c r="J3633" t="n">
        <v>0</v>
      </c>
      <c r="K3633" t="n">
        <v>0</v>
      </c>
      <c r="L3633" t="n">
        <v>0</v>
      </c>
      <c r="M3633" t="n">
        <v>0</v>
      </c>
      <c r="N3633" t="n">
        <v>0</v>
      </c>
      <c r="O3633" t="n">
        <v>0</v>
      </c>
      <c r="P3633" t="n">
        <v>0</v>
      </c>
      <c r="Q3633" t="n">
        <v>0</v>
      </c>
      <c r="R3633" s="2" t="inlineStr"/>
    </row>
    <row r="3634" ht="15" customHeight="1">
      <c r="A3634" t="inlineStr">
        <is>
          <t>A 50057-2021</t>
        </is>
      </c>
      <c r="B3634" s="1" t="n">
        <v>44456</v>
      </c>
      <c r="C3634" s="1" t="n">
        <v>45587</v>
      </c>
      <c r="D3634" t="inlineStr">
        <is>
          <t>GÄVLEBORGS LÄN</t>
        </is>
      </c>
      <c r="E3634" t="inlineStr">
        <is>
          <t>LJUSDAL</t>
        </is>
      </c>
      <c r="F3634" t="inlineStr">
        <is>
          <t>Sveaskog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50278-2021</t>
        </is>
      </c>
      <c r="B3635" s="1" t="n">
        <v>44456</v>
      </c>
      <c r="C3635" s="1" t="n">
        <v>45587</v>
      </c>
      <c r="D3635" t="inlineStr">
        <is>
          <t>GÄVLEBORGS LÄN</t>
        </is>
      </c>
      <c r="E3635" t="inlineStr">
        <is>
          <t>HOFORS</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50331-2021</t>
        </is>
      </c>
      <c r="B3636" s="1" t="n">
        <v>44459</v>
      </c>
      <c r="C3636" s="1" t="n">
        <v>45587</v>
      </c>
      <c r="D3636" t="inlineStr">
        <is>
          <t>GÄVLEBORGS LÄN</t>
        </is>
      </c>
      <c r="E3636" t="inlineStr">
        <is>
          <t>LJUSDAL</t>
        </is>
      </c>
      <c r="F3636" t="inlineStr">
        <is>
          <t>Bergvik skog väst AB</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50389-2021</t>
        </is>
      </c>
      <c r="B3637" s="1" t="n">
        <v>44459</v>
      </c>
      <c r="C3637" s="1" t="n">
        <v>45587</v>
      </c>
      <c r="D3637" t="inlineStr">
        <is>
          <t>GÄVLEBORGS LÄN</t>
        </is>
      </c>
      <c r="E3637" t="inlineStr">
        <is>
          <t>GÄVLE</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50409-2021</t>
        </is>
      </c>
      <c r="B3638" s="1" t="n">
        <v>44459</v>
      </c>
      <c r="C3638" s="1" t="n">
        <v>45587</v>
      </c>
      <c r="D3638" t="inlineStr">
        <is>
          <t>GÄVLEBORGS LÄN</t>
        </is>
      </c>
      <c r="E3638" t="inlineStr">
        <is>
          <t>SANDVIKEN</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50716-2021</t>
        </is>
      </c>
      <c r="B3639" s="1" t="n">
        <v>44460</v>
      </c>
      <c r="C3639" s="1" t="n">
        <v>45587</v>
      </c>
      <c r="D3639" t="inlineStr">
        <is>
          <t>GÄVLEBORGS LÄN</t>
        </is>
      </c>
      <c r="E3639" t="inlineStr">
        <is>
          <t>NORDANSTIG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50899-2021</t>
        </is>
      </c>
      <c r="B3640" s="1" t="n">
        <v>44460</v>
      </c>
      <c r="C3640" s="1" t="n">
        <v>45587</v>
      </c>
      <c r="D3640" t="inlineStr">
        <is>
          <t>GÄVLEBORGS LÄN</t>
        </is>
      </c>
      <c r="E3640" t="inlineStr">
        <is>
          <t>HUDIKSVALL</t>
        </is>
      </c>
      <c r="F3640" t="inlineStr">
        <is>
          <t>Holmen skog AB</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50681-2021</t>
        </is>
      </c>
      <c r="B3641" s="1" t="n">
        <v>44460</v>
      </c>
      <c r="C3641" s="1" t="n">
        <v>45587</v>
      </c>
      <c r="D3641" t="inlineStr">
        <is>
          <t>GÄVLEBORGS LÄN</t>
        </is>
      </c>
      <c r="E3641" t="inlineStr">
        <is>
          <t>HOFORS</t>
        </is>
      </c>
      <c r="F3641" t="inlineStr">
        <is>
          <t>Bergvik skog öst AB</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50732-2021</t>
        </is>
      </c>
      <c r="B3642" s="1" t="n">
        <v>44460</v>
      </c>
      <c r="C3642" s="1" t="n">
        <v>45587</v>
      </c>
      <c r="D3642" t="inlineStr">
        <is>
          <t>GÄVLEBORGS LÄN</t>
        </is>
      </c>
      <c r="E3642" t="inlineStr">
        <is>
          <t>LJUSDAL</t>
        </is>
      </c>
      <c r="F3642" t="inlineStr">
        <is>
          <t>Holmen skog AB</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50811-2021</t>
        </is>
      </c>
      <c r="B3643" s="1" t="n">
        <v>44460</v>
      </c>
      <c r="C3643" s="1" t="n">
        <v>45587</v>
      </c>
      <c r="D3643" t="inlineStr">
        <is>
          <t>GÄVLEBORGS LÄN</t>
        </is>
      </c>
      <c r="E3643" t="inlineStr">
        <is>
          <t>NORDANSTIG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50762-2021</t>
        </is>
      </c>
      <c r="B3644" s="1" t="n">
        <v>44460</v>
      </c>
      <c r="C3644" s="1" t="n">
        <v>45587</v>
      </c>
      <c r="D3644" t="inlineStr">
        <is>
          <t>GÄVLEBORGS LÄN</t>
        </is>
      </c>
      <c r="E3644" t="inlineStr">
        <is>
          <t>OCKELBO</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50697-2021</t>
        </is>
      </c>
      <c r="B3645" s="1" t="n">
        <v>44460</v>
      </c>
      <c r="C3645" s="1" t="n">
        <v>45587</v>
      </c>
      <c r="D3645" t="inlineStr">
        <is>
          <t>GÄVLEBORGS LÄN</t>
        </is>
      </c>
      <c r="E3645" t="inlineStr">
        <is>
          <t>LJUSDAL</t>
        </is>
      </c>
      <c r="F3645" t="inlineStr">
        <is>
          <t>Holmen skog AB</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50739-2021</t>
        </is>
      </c>
      <c r="B3646" s="1" t="n">
        <v>44460</v>
      </c>
      <c r="C3646" s="1" t="n">
        <v>45587</v>
      </c>
      <c r="D3646" t="inlineStr">
        <is>
          <t>GÄVLEBORGS LÄN</t>
        </is>
      </c>
      <c r="E3646" t="inlineStr">
        <is>
          <t>OCKELBO</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50849-2021</t>
        </is>
      </c>
      <c r="B3647" s="1" t="n">
        <v>44460</v>
      </c>
      <c r="C3647" s="1" t="n">
        <v>45587</v>
      </c>
      <c r="D3647" t="inlineStr">
        <is>
          <t>GÄVLEBORGS LÄN</t>
        </is>
      </c>
      <c r="E3647" t="inlineStr">
        <is>
          <t>LJUSDAL</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50876-2021</t>
        </is>
      </c>
      <c r="B3648" s="1" t="n">
        <v>44460</v>
      </c>
      <c r="C3648" s="1" t="n">
        <v>45587</v>
      </c>
      <c r="D3648" t="inlineStr">
        <is>
          <t>GÄVLEBORGS LÄN</t>
        </is>
      </c>
      <c r="E3648" t="inlineStr">
        <is>
          <t>SANDVIKEN</t>
        </is>
      </c>
      <c r="F3648" t="inlineStr">
        <is>
          <t>Sveaskog</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50935-2021</t>
        </is>
      </c>
      <c r="B3649" s="1" t="n">
        <v>44460</v>
      </c>
      <c r="C3649" s="1" t="n">
        <v>45587</v>
      </c>
      <c r="D3649" t="inlineStr">
        <is>
          <t>GÄVLEBORGS LÄN</t>
        </is>
      </c>
      <c r="E3649" t="inlineStr">
        <is>
          <t>BOLLNÄS</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51250-2021</t>
        </is>
      </c>
      <c r="B3650" s="1" t="n">
        <v>44460</v>
      </c>
      <c r="C3650" s="1" t="n">
        <v>45587</v>
      </c>
      <c r="D3650" t="inlineStr">
        <is>
          <t>GÄVLEBORGS LÄN</t>
        </is>
      </c>
      <c r="E3650" t="inlineStr">
        <is>
          <t>OCKELBO</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51273-2021</t>
        </is>
      </c>
      <c r="B3651" s="1" t="n">
        <v>44460</v>
      </c>
      <c r="C3651" s="1" t="n">
        <v>45587</v>
      </c>
      <c r="D3651" t="inlineStr">
        <is>
          <t>GÄVLEBORGS LÄN</t>
        </is>
      </c>
      <c r="E3651" t="inlineStr">
        <is>
          <t>SÖDERHAMN</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51271-2021</t>
        </is>
      </c>
      <c r="B3652" s="1" t="n">
        <v>44460</v>
      </c>
      <c r="C3652" s="1" t="n">
        <v>45587</v>
      </c>
      <c r="D3652" t="inlineStr">
        <is>
          <t>GÄVLEBORGS LÄN</t>
        </is>
      </c>
      <c r="E3652" t="inlineStr">
        <is>
          <t>OCKELBO</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51206-2021</t>
        </is>
      </c>
      <c r="B3653" s="1" t="n">
        <v>44460</v>
      </c>
      <c r="C3653" s="1" t="n">
        <v>45587</v>
      </c>
      <c r="D3653" t="inlineStr">
        <is>
          <t>GÄVLEBORGS LÄN</t>
        </is>
      </c>
      <c r="E3653" t="inlineStr">
        <is>
          <t>OCKELBO</t>
        </is>
      </c>
      <c r="G3653" t="n">
        <v>16.8</v>
      </c>
      <c r="H3653" t="n">
        <v>0</v>
      </c>
      <c r="I3653" t="n">
        <v>0</v>
      </c>
      <c r="J3653" t="n">
        <v>0</v>
      </c>
      <c r="K3653" t="n">
        <v>0</v>
      </c>
      <c r="L3653" t="n">
        <v>0</v>
      </c>
      <c r="M3653" t="n">
        <v>0</v>
      </c>
      <c r="N3653" t="n">
        <v>0</v>
      </c>
      <c r="O3653" t="n">
        <v>0</v>
      </c>
      <c r="P3653" t="n">
        <v>0</v>
      </c>
      <c r="Q3653" t="n">
        <v>0</v>
      </c>
      <c r="R3653" s="2" t="inlineStr"/>
    </row>
    <row r="3654" ht="15" customHeight="1">
      <c r="A3654" t="inlineStr">
        <is>
          <t>A 51565-2021</t>
        </is>
      </c>
      <c r="B3654" s="1" t="n">
        <v>44460</v>
      </c>
      <c r="C3654" s="1" t="n">
        <v>45587</v>
      </c>
      <c r="D3654" t="inlineStr">
        <is>
          <t>GÄVLEBORGS LÄN</t>
        </is>
      </c>
      <c r="E3654" t="inlineStr">
        <is>
          <t>OCKELBO</t>
        </is>
      </c>
      <c r="G3654" t="n">
        <v>8.800000000000001</v>
      </c>
      <c r="H3654" t="n">
        <v>0</v>
      </c>
      <c r="I3654" t="n">
        <v>0</v>
      </c>
      <c r="J3654" t="n">
        <v>0</v>
      </c>
      <c r="K3654" t="n">
        <v>0</v>
      </c>
      <c r="L3654" t="n">
        <v>0</v>
      </c>
      <c r="M3654" t="n">
        <v>0</v>
      </c>
      <c r="N3654" t="n">
        <v>0</v>
      </c>
      <c r="O3654" t="n">
        <v>0</v>
      </c>
      <c r="P3654" t="n">
        <v>0</v>
      </c>
      <c r="Q3654" t="n">
        <v>0</v>
      </c>
      <c r="R3654" s="2" t="inlineStr"/>
    </row>
    <row r="3655" ht="15" customHeight="1">
      <c r="A3655" t="inlineStr">
        <is>
          <t>A 51257-2021</t>
        </is>
      </c>
      <c r="B3655" s="1" t="n">
        <v>44460</v>
      </c>
      <c r="C3655" s="1" t="n">
        <v>45587</v>
      </c>
      <c r="D3655" t="inlineStr">
        <is>
          <t>GÄVLEBORGS LÄN</t>
        </is>
      </c>
      <c r="E3655" t="inlineStr">
        <is>
          <t>OCKELBO</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51249-2021</t>
        </is>
      </c>
      <c r="B3656" s="1" t="n">
        <v>44461</v>
      </c>
      <c r="C3656" s="1" t="n">
        <v>45587</v>
      </c>
      <c r="D3656" t="inlineStr">
        <is>
          <t>GÄVLEBORGS LÄN</t>
        </is>
      </c>
      <c r="E3656" t="inlineStr">
        <is>
          <t>GÄVLE</t>
        </is>
      </c>
      <c r="F3656" t="inlineStr">
        <is>
          <t>Bergvik skog öst AB</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51223-2021</t>
        </is>
      </c>
      <c r="B3657" s="1" t="n">
        <v>44461</v>
      </c>
      <c r="C3657" s="1" t="n">
        <v>45587</v>
      </c>
      <c r="D3657" t="inlineStr">
        <is>
          <t>GÄVLEBORGS LÄN</t>
        </is>
      </c>
      <c r="E3657" t="inlineStr">
        <is>
          <t>NORDANSTIG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51400-2021</t>
        </is>
      </c>
      <c r="B3658" s="1" t="n">
        <v>44461</v>
      </c>
      <c r="C3658" s="1" t="n">
        <v>45587</v>
      </c>
      <c r="D3658" t="inlineStr">
        <is>
          <t>GÄVLEBORGS LÄN</t>
        </is>
      </c>
      <c r="E3658" t="inlineStr">
        <is>
          <t>NORDANSTIG</t>
        </is>
      </c>
      <c r="F3658" t="inlineStr">
        <is>
          <t>Holmen skog AB</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51431-2021</t>
        </is>
      </c>
      <c r="B3659" s="1" t="n">
        <v>44461</v>
      </c>
      <c r="C3659" s="1" t="n">
        <v>45587</v>
      </c>
      <c r="D3659" t="inlineStr">
        <is>
          <t>GÄVLEBORGS LÄN</t>
        </is>
      </c>
      <c r="E3659" t="inlineStr">
        <is>
          <t>LJUSDAL</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51543-2021</t>
        </is>
      </c>
      <c r="B3660" s="1" t="n">
        <v>44461</v>
      </c>
      <c r="C3660" s="1" t="n">
        <v>45587</v>
      </c>
      <c r="D3660" t="inlineStr">
        <is>
          <t>GÄVLEBORGS LÄN</t>
        </is>
      </c>
      <c r="E3660" t="inlineStr">
        <is>
          <t>NORDANSTIG</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51571-2021</t>
        </is>
      </c>
      <c r="B3661" s="1" t="n">
        <v>44462</v>
      </c>
      <c r="C3661" s="1" t="n">
        <v>45587</v>
      </c>
      <c r="D3661" t="inlineStr">
        <is>
          <t>GÄVLEBORGS LÄN</t>
        </is>
      </c>
      <c r="E3661" t="inlineStr">
        <is>
          <t>OCKELBO</t>
        </is>
      </c>
      <c r="F3661" t="inlineStr">
        <is>
          <t>Bergvik skog väst AB</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51762-2021</t>
        </is>
      </c>
      <c r="B3662" s="1" t="n">
        <v>44462</v>
      </c>
      <c r="C3662" s="1" t="n">
        <v>45587</v>
      </c>
      <c r="D3662" t="inlineStr">
        <is>
          <t>GÄVLEBORGS LÄN</t>
        </is>
      </c>
      <c r="E3662" t="inlineStr">
        <is>
          <t>HUDIKSVALL</t>
        </is>
      </c>
      <c r="F3662" t="inlineStr">
        <is>
          <t>Holmen skog AB</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51493-2021</t>
        </is>
      </c>
      <c r="B3663" s="1" t="n">
        <v>44462</v>
      </c>
      <c r="C3663" s="1" t="n">
        <v>45587</v>
      </c>
      <c r="D3663" t="inlineStr">
        <is>
          <t>GÄVLEBORGS LÄN</t>
        </is>
      </c>
      <c r="E3663" t="inlineStr">
        <is>
          <t>OCKELBO</t>
        </is>
      </c>
      <c r="F3663" t="inlineStr">
        <is>
          <t>Kyrkan</t>
        </is>
      </c>
      <c r="G3663" t="n">
        <v>15.4</v>
      </c>
      <c r="H3663" t="n">
        <v>0</v>
      </c>
      <c r="I3663" t="n">
        <v>0</v>
      </c>
      <c r="J3663" t="n">
        <v>0</v>
      </c>
      <c r="K3663" t="n">
        <v>0</v>
      </c>
      <c r="L3663" t="n">
        <v>0</v>
      </c>
      <c r="M3663" t="n">
        <v>0</v>
      </c>
      <c r="N3663" t="n">
        <v>0</v>
      </c>
      <c r="O3663" t="n">
        <v>0</v>
      </c>
      <c r="P3663" t="n">
        <v>0</v>
      </c>
      <c r="Q3663" t="n">
        <v>0</v>
      </c>
      <c r="R3663" s="2" t="inlineStr"/>
    </row>
    <row r="3664" ht="15" customHeight="1">
      <c r="A3664" t="inlineStr">
        <is>
          <t>A 51550-2021</t>
        </is>
      </c>
      <c r="B3664" s="1" t="n">
        <v>44462</v>
      </c>
      <c r="C3664" s="1" t="n">
        <v>45587</v>
      </c>
      <c r="D3664" t="inlineStr">
        <is>
          <t>GÄVLEBORGS LÄN</t>
        </is>
      </c>
      <c r="E3664" t="inlineStr">
        <is>
          <t>OCKELBO</t>
        </is>
      </c>
      <c r="F3664" t="inlineStr">
        <is>
          <t>Bergvik skog väst AB</t>
        </is>
      </c>
      <c r="G3664" t="n">
        <v>6</v>
      </c>
      <c r="H3664" t="n">
        <v>0</v>
      </c>
      <c r="I3664" t="n">
        <v>0</v>
      </c>
      <c r="J3664" t="n">
        <v>0</v>
      </c>
      <c r="K3664" t="n">
        <v>0</v>
      </c>
      <c r="L3664" t="n">
        <v>0</v>
      </c>
      <c r="M3664" t="n">
        <v>0</v>
      </c>
      <c r="N3664" t="n">
        <v>0</v>
      </c>
      <c r="O3664" t="n">
        <v>0</v>
      </c>
      <c r="P3664" t="n">
        <v>0</v>
      </c>
      <c r="Q3664" t="n">
        <v>0</v>
      </c>
      <c r="R3664" s="2" t="inlineStr"/>
    </row>
    <row r="3665" ht="15" customHeight="1">
      <c r="A3665" t="inlineStr">
        <is>
          <t>A 51551-2021</t>
        </is>
      </c>
      <c r="B3665" s="1" t="n">
        <v>44462</v>
      </c>
      <c r="C3665" s="1" t="n">
        <v>45587</v>
      </c>
      <c r="D3665" t="inlineStr">
        <is>
          <t>GÄVLEBORGS LÄN</t>
        </is>
      </c>
      <c r="E3665" t="inlineStr">
        <is>
          <t>NORDANSTIG</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51692-2021</t>
        </is>
      </c>
      <c r="B3666" s="1" t="n">
        <v>44462</v>
      </c>
      <c r="C3666" s="1" t="n">
        <v>45587</v>
      </c>
      <c r="D3666" t="inlineStr">
        <is>
          <t>GÄVLEBORGS LÄN</t>
        </is>
      </c>
      <c r="E3666" t="inlineStr">
        <is>
          <t>HUDIKSVALL</t>
        </is>
      </c>
      <c r="F3666" t="inlineStr">
        <is>
          <t>Holmen skog AB</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51708-2021</t>
        </is>
      </c>
      <c r="B3667" s="1" t="n">
        <v>44462</v>
      </c>
      <c r="C3667" s="1" t="n">
        <v>45587</v>
      </c>
      <c r="D3667" t="inlineStr">
        <is>
          <t>GÄVLEBORGS LÄN</t>
        </is>
      </c>
      <c r="E3667" t="inlineStr">
        <is>
          <t>OCKELBO</t>
        </is>
      </c>
      <c r="F3667" t="inlineStr">
        <is>
          <t>Bergvik skog väst AB</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51721-2021</t>
        </is>
      </c>
      <c r="B3668" s="1" t="n">
        <v>44462</v>
      </c>
      <c r="C3668" s="1" t="n">
        <v>45587</v>
      </c>
      <c r="D3668" t="inlineStr">
        <is>
          <t>GÄVLEBORGS LÄN</t>
        </is>
      </c>
      <c r="E3668" t="inlineStr">
        <is>
          <t>NORDANSTIG</t>
        </is>
      </c>
      <c r="F3668" t="inlineStr">
        <is>
          <t>Holmen skog AB</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51761-2021</t>
        </is>
      </c>
      <c r="B3669" s="1" t="n">
        <v>44462</v>
      </c>
      <c r="C3669" s="1" t="n">
        <v>45587</v>
      </c>
      <c r="D3669" t="inlineStr">
        <is>
          <t>GÄVLEBORGS LÄN</t>
        </is>
      </c>
      <c r="E3669" t="inlineStr">
        <is>
          <t>BOLLNÄS</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51809-2021</t>
        </is>
      </c>
      <c r="B3670" s="1" t="n">
        <v>44462</v>
      </c>
      <c r="C3670" s="1" t="n">
        <v>45587</v>
      </c>
      <c r="D3670" t="inlineStr">
        <is>
          <t>GÄVLEBORGS LÄN</t>
        </is>
      </c>
      <c r="E3670" t="inlineStr">
        <is>
          <t>GÄVLE</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51716-2021</t>
        </is>
      </c>
      <c r="B3671" s="1" t="n">
        <v>44462</v>
      </c>
      <c r="C3671" s="1" t="n">
        <v>45587</v>
      </c>
      <c r="D3671" t="inlineStr">
        <is>
          <t>GÄVLEBORGS LÄN</t>
        </is>
      </c>
      <c r="E3671" t="inlineStr">
        <is>
          <t>HUDIKSVALL</t>
        </is>
      </c>
      <c r="F3671" t="inlineStr">
        <is>
          <t>Holmen skog AB</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52117-2021</t>
        </is>
      </c>
      <c r="B3672" s="1" t="n">
        <v>44462</v>
      </c>
      <c r="C3672" s="1" t="n">
        <v>45587</v>
      </c>
      <c r="D3672" t="inlineStr">
        <is>
          <t>GÄVLEBORGS LÄN</t>
        </is>
      </c>
      <c r="E3672" t="inlineStr">
        <is>
          <t>HUDIKSVALL</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52046-2021</t>
        </is>
      </c>
      <c r="B3673" s="1" t="n">
        <v>44463</v>
      </c>
      <c r="C3673" s="1" t="n">
        <v>45587</v>
      </c>
      <c r="D3673" t="inlineStr">
        <is>
          <t>GÄVLEBORGS LÄN</t>
        </is>
      </c>
      <c r="E3673" t="inlineStr">
        <is>
          <t>OVANÅKER</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52096-2021</t>
        </is>
      </c>
      <c r="B3674" s="1" t="n">
        <v>44463</v>
      </c>
      <c r="C3674" s="1" t="n">
        <v>45587</v>
      </c>
      <c r="D3674" t="inlineStr">
        <is>
          <t>GÄVLEBORGS LÄN</t>
        </is>
      </c>
      <c r="E3674" t="inlineStr">
        <is>
          <t>SANDVIKEN</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52256-2021</t>
        </is>
      </c>
      <c r="B3675" s="1" t="n">
        <v>44463</v>
      </c>
      <c r="C3675" s="1" t="n">
        <v>45587</v>
      </c>
      <c r="D3675" t="inlineStr">
        <is>
          <t>GÄVLEBORGS LÄN</t>
        </is>
      </c>
      <c r="E3675" t="inlineStr">
        <is>
          <t>HUDIKSVALL</t>
        </is>
      </c>
      <c r="F3675" t="inlineStr">
        <is>
          <t>Holmen skog AB</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52191-2021</t>
        </is>
      </c>
      <c r="B3676" s="1" t="n">
        <v>44463</v>
      </c>
      <c r="C3676" s="1" t="n">
        <v>45587</v>
      </c>
      <c r="D3676" t="inlineStr">
        <is>
          <t>GÄVLEBORGS LÄN</t>
        </is>
      </c>
      <c r="E3676" t="inlineStr">
        <is>
          <t>SÖDERHAMN</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52613-2021</t>
        </is>
      </c>
      <c r="B3677" s="1" t="n">
        <v>44466</v>
      </c>
      <c r="C3677" s="1" t="n">
        <v>45587</v>
      </c>
      <c r="D3677" t="inlineStr">
        <is>
          <t>GÄVLEBORGS LÄN</t>
        </is>
      </c>
      <c r="E3677" t="inlineStr">
        <is>
          <t>LJUSDAL</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52664-2021</t>
        </is>
      </c>
      <c r="B3678" s="1" t="n">
        <v>44466</v>
      </c>
      <c r="C3678" s="1" t="n">
        <v>45587</v>
      </c>
      <c r="D3678" t="inlineStr">
        <is>
          <t>GÄVLEBORGS LÄN</t>
        </is>
      </c>
      <c r="E3678" t="inlineStr">
        <is>
          <t>GÄVLE</t>
        </is>
      </c>
      <c r="F3678" t="inlineStr">
        <is>
          <t>Bergvik skog väst AB</t>
        </is>
      </c>
      <c r="G3678" t="n">
        <v>18.2</v>
      </c>
      <c r="H3678" t="n">
        <v>0</v>
      </c>
      <c r="I3678" t="n">
        <v>0</v>
      </c>
      <c r="J3678" t="n">
        <v>0</v>
      </c>
      <c r="K3678" t="n">
        <v>0</v>
      </c>
      <c r="L3678" t="n">
        <v>0</v>
      </c>
      <c r="M3678" t="n">
        <v>0</v>
      </c>
      <c r="N3678" t="n">
        <v>0</v>
      </c>
      <c r="O3678" t="n">
        <v>0</v>
      </c>
      <c r="P3678" t="n">
        <v>0</v>
      </c>
      <c r="Q3678" t="n">
        <v>0</v>
      </c>
      <c r="R3678" s="2" t="inlineStr"/>
    </row>
    <row r="3679" ht="15" customHeight="1">
      <c r="A3679" t="inlineStr">
        <is>
          <t>A 52608-2021</t>
        </is>
      </c>
      <c r="B3679" s="1" t="n">
        <v>44466</v>
      </c>
      <c r="C3679" s="1" t="n">
        <v>45587</v>
      </c>
      <c r="D3679" t="inlineStr">
        <is>
          <t>GÄVLEBORGS LÄN</t>
        </is>
      </c>
      <c r="E3679" t="inlineStr">
        <is>
          <t>OVANÅKER</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52614-2021</t>
        </is>
      </c>
      <c r="B3680" s="1" t="n">
        <v>44466</v>
      </c>
      <c r="C3680" s="1" t="n">
        <v>45587</v>
      </c>
      <c r="D3680" t="inlineStr">
        <is>
          <t>GÄVLEBORGS LÄN</t>
        </is>
      </c>
      <c r="E3680" t="inlineStr">
        <is>
          <t>OVANÅKER</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52417-2021</t>
        </is>
      </c>
      <c r="B3681" s="1" t="n">
        <v>44466</v>
      </c>
      <c r="C3681" s="1" t="n">
        <v>45587</v>
      </c>
      <c r="D3681" t="inlineStr">
        <is>
          <t>GÄVLEBORGS LÄN</t>
        </is>
      </c>
      <c r="E3681" t="inlineStr">
        <is>
          <t>NORDANSTIG</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52495-2021</t>
        </is>
      </c>
      <c r="B3682" s="1" t="n">
        <v>44466</v>
      </c>
      <c r="C3682" s="1" t="n">
        <v>45587</v>
      </c>
      <c r="D3682" t="inlineStr">
        <is>
          <t>GÄVLEBORGS LÄN</t>
        </is>
      </c>
      <c r="E3682" t="inlineStr">
        <is>
          <t>GÄVLE</t>
        </is>
      </c>
      <c r="F3682" t="inlineStr">
        <is>
          <t>Bergvik skog väst AB</t>
        </is>
      </c>
      <c r="G3682" t="n">
        <v>5.9</v>
      </c>
      <c r="H3682" t="n">
        <v>0</v>
      </c>
      <c r="I3682" t="n">
        <v>0</v>
      </c>
      <c r="J3682" t="n">
        <v>0</v>
      </c>
      <c r="K3682" t="n">
        <v>0</v>
      </c>
      <c r="L3682" t="n">
        <v>0</v>
      </c>
      <c r="M3682" t="n">
        <v>0</v>
      </c>
      <c r="N3682" t="n">
        <v>0</v>
      </c>
      <c r="O3682" t="n">
        <v>0</v>
      </c>
      <c r="P3682" t="n">
        <v>0</v>
      </c>
      <c r="Q3682" t="n">
        <v>0</v>
      </c>
      <c r="R3682" s="2" t="inlineStr"/>
    </row>
    <row r="3683" ht="15" customHeight="1">
      <c r="A3683" t="inlineStr">
        <is>
          <t>A 52655-2021</t>
        </is>
      </c>
      <c r="B3683" s="1" t="n">
        <v>44466</v>
      </c>
      <c r="C3683" s="1" t="n">
        <v>45587</v>
      </c>
      <c r="D3683" t="inlineStr">
        <is>
          <t>GÄVLEBORGS LÄN</t>
        </is>
      </c>
      <c r="E3683" t="inlineStr">
        <is>
          <t>OCKELBO</t>
        </is>
      </c>
      <c r="F3683" t="inlineStr">
        <is>
          <t>Bergvik skog väst AB</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52780-2021</t>
        </is>
      </c>
      <c r="B3684" s="1" t="n">
        <v>44467</v>
      </c>
      <c r="C3684" s="1" t="n">
        <v>45587</v>
      </c>
      <c r="D3684" t="inlineStr">
        <is>
          <t>GÄVLEBORGS LÄN</t>
        </is>
      </c>
      <c r="E3684" t="inlineStr">
        <is>
          <t>LJUSDAL</t>
        </is>
      </c>
      <c r="F3684" t="inlineStr">
        <is>
          <t>Sveaskog</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52778-2021</t>
        </is>
      </c>
      <c r="B3685" s="1" t="n">
        <v>44467</v>
      </c>
      <c r="C3685" s="1" t="n">
        <v>45587</v>
      </c>
      <c r="D3685" t="inlineStr">
        <is>
          <t>GÄVLEBORGS LÄN</t>
        </is>
      </c>
      <c r="E3685" t="inlineStr">
        <is>
          <t>LJUSDAL</t>
        </is>
      </c>
      <c r="F3685" t="inlineStr">
        <is>
          <t>Sveaskog</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52792-2021</t>
        </is>
      </c>
      <c r="B3686" s="1" t="n">
        <v>44467</v>
      </c>
      <c r="C3686" s="1" t="n">
        <v>45587</v>
      </c>
      <c r="D3686" t="inlineStr">
        <is>
          <t>GÄVLEBORGS LÄN</t>
        </is>
      </c>
      <c r="E3686" t="inlineStr">
        <is>
          <t>BOLLNÄS</t>
        </is>
      </c>
      <c r="F3686" t="inlineStr">
        <is>
          <t>Sveaskog</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52839-2021</t>
        </is>
      </c>
      <c r="B3687" s="1" t="n">
        <v>44467</v>
      </c>
      <c r="C3687" s="1" t="n">
        <v>45587</v>
      </c>
      <c r="D3687" t="inlineStr">
        <is>
          <t>GÄVLEBORGS LÄN</t>
        </is>
      </c>
      <c r="E3687" t="inlineStr">
        <is>
          <t>LJUSDAL</t>
        </is>
      </c>
      <c r="F3687" t="inlineStr">
        <is>
          <t>Holmen skog AB</t>
        </is>
      </c>
      <c r="G3687" t="n">
        <v>14.9</v>
      </c>
      <c r="H3687" t="n">
        <v>0</v>
      </c>
      <c r="I3687" t="n">
        <v>0</v>
      </c>
      <c r="J3687" t="n">
        <v>0</v>
      </c>
      <c r="K3687" t="n">
        <v>0</v>
      </c>
      <c r="L3687" t="n">
        <v>0</v>
      </c>
      <c r="M3687" t="n">
        <v>0</v>
      </c>
      <c r="N3687" t="n">
        <v>0</v>
      </c>
      <c r="O3687" t="n">
        <v>0</v>
      </c>
      <c r="P3687" t="n">
        <v>0</v>
      </c>
      <c r="Q3687" t="n">
        <v>0</v>
      </c>
      <c r="R3687" s="2" t="inlineStr"/>
    </row>
    <row r="3688" ht="15" customHeight="1">
      <c r="A3688" t="inlineStr">
        <is>
          <t>A 52890-2021</t>
        </is>
      </c>
      <c r="B3688" s="1" t="n">
        <v>44467</v>
      </c>
      <c r="C3688" s="1" t="n">
        <v>45587</v>
      </c>
      <c r="D3688" t="inlineStr">
        <is>
          <t>GÄVLEBORGS LÄN</t>
        </is>
      </c>
      <c r="E3688" t="inlineStr">
        <is>
          <t>HOFORS</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52784-2021</t>
        </is>
      </c>
      <c r="B3689" s="1" t="n">
        <v>44467</v>
      </c>
      <c r="C3689" s="1" t="n">
        <v>45587</v>
      </c>
      <c r="D3689" t="inlineStr">
        <is>
          <t>GÄVLEBORGS LÄN</t>
        </is>
      </c>
      <c r="E3689" t="inlineStr">
        <is>
          <t>BOLLNÄS</t>
        </is>
      </c>
      <c r="F3689" t="inlineStr">
        <is>
          <t>Sveaskog</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52990-2021</t>
        </is>
      </c>
      <c r="B3690" s="1" t="n">
        <v>44467</v>
      </c>
      <c r="C3690" s="1" t="n">
        <v>45587</v>
      </c>
      <c r="D3690" t="inlineStr">
        <is>
          <t>GÄVLEBORGS LÄN</t>
        </is>
      </c>
      <c r="E3690" t="inlineStr">
        <is>
          <t>NORDANSTIG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52948-2021</t>
        </is>
      </c>
      <c r="B3691" s="1" t="n">
        <v>44467</v>
      </c>
      <c r="C3691" s="1" t="n">
        <v>45587</v>
      </c>
      <c r="D3691" t="inlineStr">
        <is>
          <t>GÄVLEBORGS LÄN</t>
        </is>
      </c>
      <c r="E3691" t="inlineStr">
        <is>
          <t>LJUSDAL</t>
        </is>
      </c>
      <c r="F3691" t="inlineStr">
        <is>
          <t>Holmen skog AB</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53306-2021</t>
        </is>
      </c>
      <c r="B3692" s="1" t="n">
        <v>44468</v>
      </c>
      <c r="C3692" s="1" t="n">
        <v>45587</v>
      </c>
      <c r="D3692" t="inlineStr">
        <is>
          <t>GÄVLEBORGS LÄN</t>
        </is>
      </c>
      <c r="E3692" t="inlineStr">
        <is>
          <t>SANDVIKEN</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53397-2021</t>
        </is>
      </c>
      <c r="B3693" s="1" t="n">
        <v>44468</v>
      </c>
      <c r="C3693" s="1" t="n">
        <v>45587</v>
      </c>
      <c r="D3693" t="inlineStr">
        <is>
          <t>GÄVLEBORGS LÄN</t>
        </is>
      </c>
      <c r="E3693" t="inlineStr">
        <is>
          <t>HUDIKSVALL</t>
        </is>
      </c>
      <c r="F3693" t="inlineStr">
        <is>
          <t>Holmen skog AB</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53432-2021</t>
        </is>
      </c>
      <c r="B3694" s="1" t="n">
        <v>44468</v>
      </c>
      <c r="C3694" s="1" t="n">
        <v>45587</v>
      </c>
      <c r="D3694" t="inlineStr">
        <is>
          <t>GÄVLEBORGS LÄN</t>
        </is>
      </c>
      <c r="E3694" t="inlineStr">
        <is>
          <t>GÄVLE</t>
        </is>
      </c>
      <c r="F3694" t="inlineStr">
        <is>
          <t>Bergvik skog öst AB</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54013-2021</t>
        </is>
      </c>
      <c r="B3695" s="1" t="n">
        <v>44470</v>
      </c>
      <c r="C3695" s="1" t="n">
        <v>45587</v>
      </c>
      <c r="D3695" t="inlineStr">
        <is>
          <t>GÄVLEBORGS LÄN</t>
        </is>
      </c>
      <c r="E3695" t="inlineStr">
        <is>
          <t>OVANÅKER</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54113-2021</t>
        </is>
      </c>
      <c r="B3696" s="1" t="n">
        <v>44470</v>
      </c>
      <c r="C3696" s="1" t="n">
        <v>45587</v>
      </c>
      <c r="D3696" t="inlineStr">
        <is>
          <t>GÄVLEBORGS LÄN</t>
        </is>
      </c>
      <c r="E3696" t="inlineStr">
        <is>
          <t>LJUSDAL</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54126-2021</t>
        </is>
      </c>
      <c r="B3697" s="1" t="n">
        <v>44470</v>
      </c>
      <c r="C3697" s="1" t="n">
        <v>45587</v>
      </c>
      <c r="D3697" t="inlineStr">
        <is>
          <t>GÄVLEBORGS LÄN</t>
        </is>
      </c>
      <c r="E3697" t="inlineStr">
        <is>
          <t>HUDIKSVALL</t>
        </is>
      </c>
      <c r="G3697" t="n">
        <v>7</v>
      </c>
      <c r="H3697" t="n">
        <v>0</v>
      </c>
      <c r="I3697" t="n">
        <v>0</v>
      </c>
      <c r="J3697" t="n">
        <v>0</v>
      </c>
      <c r="K3697" t="n">
        <v>0</v>
      </c>
      <c r="L3697" t="n">
        <v>0</v>
      </c>
      <c r="M3697" t="n">
        <v>0</v>
      </c>
      <c r="N3697" t="n">
        <v>0</v>
      </c>
      <c r="O3697" t="n">
        <v>0</v>
      </c>
      <c r="P3697" t="n">
        <v>0</v>
      </c>
      <c r="Q3697" t="n">
        <v>0</v>
      </c>
      <c r="R3697" s="2" t="inlineStr"/>
    </row>
    <row r="3698" ht="15" customHeight="1">
      <c r="A3698" t="inlineStr">
        <is>
          <t>A 54154-2021</t>
        </is>
      </c>
      <c r="B3698" s="1" t="n">
        <v>44470</v>
      </c>
      <c r="C3698" s="1" t="n">
        <v>45587</v>
      </c>
      <c r="D3698" t="inlineStr">
        <is>
          <t>GÄVLEBORGS LÄN</t>
        </is>
      </c>
      <c r="E3698" t="inlineStr">
        <is>
          <t>HOFORS</t>
        </is>
      </c>
      <c r="F3698" t="inlineStr">
        <is>
          <t>Bergvik skog öst AB</t>
        </is>
      </c>
      <c r="G3698" t="n">
        <v>7.8</v>
      </c>
      <c r="H3698" t="n">
        <v>0</v>
      </c>
      <c r="I3698" t="n">
        <v>0</v>
      </c>
      <c r="J3698" t="n">
        <v>0</v>
      </c>
      <c r="K3698" t="n">
        <v>0</v>
      </c>
      <c r="L3698" t="n">
        <v>0</v>
      </c>
      <c r="M3698" t="n">
        <v>0</v>
      </c>
      <c r="N3698" t="n">
        <v>0</v>
      </c>
      <c r="O3698" t="n">
        <v>0</v>
      </c>
      <c r="P3698" t="n">
        <v>0</v>
      </c>
      <c r="Q3698" t="n">
        <v>0</v>
      </c>
      <c r="R3698" s="2" t="inlineStr"/>
    </row>
    <row r="3699" ht="15" customHeight="1">
      <c r="A3699" t="inlineStr">
        <is>
          <t>A 53999-2021</t>
        </is>
      </c>
      <c r="B3699" s="1" t="n">
        <v>44470</v>
      </c>
      <c r="C3699" s="1" t="n">
        <v>45587</v>
      </c>
      <c r="D3699" t="inlineStr">
        <is>
          <t>GÄVLEBORGS LÄN</t>
        </is>
      </c>
      <c r="E3699" t="inlineStr">
        <is>
          <t>LJUSDAL</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54080-2021</t>
        </is>
      </c>
      <c r="B3700" s="1" t="n">
        <v>44470</v>
      </c>
      <c r="C3700" s="1" t="n">
        <v>45587</v>
      </c>
      <c r="D3700" t="inlineStr">
        <is>
          <t>GÄVLEBORGS LÄN</t>
        </is>
      </c>
      <c r="E3700" t="inlineStr">
        <is>
          <t>OVANÅKER</t>
        </is>
      </c>
      <c r="F3700" t="inlineStr">
        <is>
          <t>Sveaskog</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54237-2021</t>
        </is>
      </c>
      <c r="B3701" s="1" t="n">
        <v>44470</v>
      </c>
      <c r="C3701" s="1" t="n">
        <v>45587</v>
      </c>
      <c r="D3701" t="inlineStr">
        <is>
          <t>GÄVLEBORGS LÄN</t>
        </is>
      </c>
      <c r="E3701" t="inlineStr">
        <is>
          <t>LJUSDAL</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54363-2021</t>
        </is>
      </c>
      <c r="B3702" s="1" t="n">
        <v>44473</v>
      </c>
      <c r="C3702" s="1" t="n">
        <v>45587</v>
      </c>
      <c r="D3702" t="inlineStr">
        <is>
          <t>GÄVLEBORGS LÄN</t>
        </is>
      </c>
      <c r="E3702" t="inlineStr">
        <is>
          <t>HUDIKSVALL</t>
        </is>
      </c>
      <c r="F3702" t="inlineStr">
        <is>
          <t>Holmen skog AB</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54350-2021</t>
        </is>
      </c>
      <c r="B3703" s="1" t="n">
        <v>44473</v>
      </c>
      <c r="C3703" s="1" t="n">
        <v>45587</v>
      </c>
      <c r="D3703" t="inlineStr">
        <is>
          <t>GÄVLEBORGS LÄN</t>
        </is>
      </c>
      <c r="E3703" t="inlineStr">
        <is>
          <t>NORDANSTIG</t>
        </is>
      </c>
      <c r="F3703" t="inlineStr">
        <is>
          <t>Holmen skog AB</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54380-2021</t>
        </is>
      </c>
      <c r="B3704" s="1" t="n">
        <v>44473</v>
      </c>
      <c r="C3704" s="1" t="n">
        <v>45587</v>
      </c>
      <c r="D3704" t="inlineStr">
        <is>
          <t>GÄVLEBORGS LÄN</t>
        </is>
      </c>
      <c r="E3704" t="inlineStr">
        <is>
          <t>HUDIKSVALL</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54496-2021</t>
        </is>
      </c>
      <c r="B3705" s="1" t="n">
        <v>44473</v>
      </c>
      <c r="C3705" s="1" t="n">
        <v>45587</v>
      </c>
      <c r="D3705" t="inlineStr">
        <is>
          <t>GÄVLEBORGS LÄN</t>
        </is>
      </c>
      <c r="E3705" t="inlineStr">
        <is>
          <t>NORDANSTIG</t>
        </is>
      </c>
      <c r="F3705" t="inlineStr">
        <is>
          <t>Holmen skog AB</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54529-2021</t>
        </is>
      </c>
      <c r="B3706" s="1" t="n">
        <v>44473</v>
      </c>
      <c r="C3706" s="1" t="n">
        <v>45587</v>
      </c>
      <c r="D3706" t="inlineStr">
        <is>
          <t>GÄVLEBORGS LÄN</t>
        </is>
      </c>
      <c r="E3706" t="inlineStr">
        <is>
          <t>LJUSDAL</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54570-2021</t>
        </is>
      </c>
      <c r="B3707" s="1" t="n">
        <v>44473</v>
      </c>
      <c r="C3707" s="1" t="n">
        <v>45587</v>
      </c>
      <c r="D3707" t="inlineStr">
        <is>
          <t>GÄVLEBORGS LÄN</t>
        </is>
      </c>
      <c r="E3707" t="inlineStr">
        <is>
          <t>NORDANSTIG</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54616-2021</t>
        </is>
      </c>
      <c r="B3708" s="1" t="n">
        <v>44473</v>
      </c>
      <c r="C3708" s="1" t="n">
        <v>45587</v>
      </c>
      <c r="D3708" t="inlineStr">
        <is>
          <t>GÄVLEBORGS LÄN</t>
        </is>
      </c>
      <c r="E3708" t="inlineStr">
        <is>
          <t>HOFORS</t>
        </is>
      </c>
      <c r="F3708" t="inlineStr">
        <is>
          <t>Bergvik skog väst AB</t>
        </is>
      </c>
      <c r="G3708" t="n">
        <v>6.9</v>
      </c>
      <c r="H3708" t="n">
        <v>0</v>
      </c>
      <c r="I3708" t="n">
        <v>0</v>
      </c>
      <c r="J3708" t="n">
        <v>0</v>
      </c>
      <c r="K3708" t="n">
        <v>0</v>
      </c>
      <c r="L3708" t="n">
        <v>0</v>
      </c>
      <c r="M3708" t="n">
        <v>0</v>
      </c>
      <c r="N3708" t="n">
        <v>0</v>
      </c>
      <c r="O3708" t="n">
        <v>0</v>
      </c>
      <c r="P3708" t="n">
        <v>0</v>
      </c>
      <c r="Q3708" t="n">
        <v>0</v>
      </c>
      <c r="R3708" s="2" t="inlineStr"/>
    </row>
    <row r="3709" ht="15" customHeight="1">
      <c r="A3709" t="inlineStr">
        <is>
          <t>A 54565-2021</t>
        </is>
      </c>
      <c r="B3709" s="1" t="n">
        <v>44473</v>
      </c>
      <c r="C3709" s="1" t="n">
        <v>45587</v>
      </c>
      <c r="D3709" t="inlineStr">
        <is>
          <t>GÄVLEBORGS LÄN</t>
        </is>
      </c>
      <c r="E3709" t="inlineStr">
        <is>
          <t>HUDIKSVALL</t>
        </is>
      </c>
      <c r="F3709" t="inlineStr">
        <is>
          <t>Holmen skog AB</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54661-2021</t>
        </is>
      </c>
      <c r="B3710" s="1" t="n">
        <v>44473</v>
      </c>
      <c r="C3710" s="1" t="n">
        <v>45587</v>
      </c>
      <c r="D3710" t="inlineStr">
        <is>
          <t>GÄVLEBORGS LÄN</t>
        </is>
      </c>
      <c r="E3710" t="inlineStr">
        <is>
          <t>OVANÅKER</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54834-2021</t>
        </is>
      </c>
      <c r="B3711" s="1" t="n">
        <v>44473</v>
      </c>
      <c r="C3711" s="1" t="n">
        <v>45587</v>
      </c>
      <c r="D3711" t="inlineStr">
        <is>
          <t>GÄVLEBORGS LÄN</t>
        </is>
      </c>
      <c r="E3711" t="inlineStr">
        <is>
          <t>GÄVLE</t>
        </is>
      </c>
      <c r="F3711" t="inlineStr">
        <is>
          <t>Bergvik skog väst AB</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54826-2021</t>
        </is>
      </c>
      <c r="B3712" s="1" t="n">
        <v>44473</v>
      </c>
      <c r="C3712" s="1" t="n">
        <v>45587</v>
      </c>
      <c r="D3712" t="inlineStr">
        <is>
          <t>GÄVLEBORGS LÄN</t>
        </is>
      </c>
      <c r="E3712" t="inlineStr">
        <is>
          <t>HOFORS</t>
        </is>
      </c>
      <c r="F3712" t="inlineStr">
        <is>
          <t>Bergvik skog väst AB</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55082-2021</t>
        </is>
      </c>
      <c r="B3713" s="1" t="n">
        <v>44474</v>
      </c>
      <c r="C3713" s="1" t="n">
        <v>45587</v>
      </c>
      <c r="D3713" t="inlineStr">
        <is>
          <t>GÄVLEBORGS LÄN</t>
        </is>
      </c>
      <c r="E3713" t="inlineStr">
        <is>
          <t>SANDVIKEN</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55243-2021</t>
        </is>
      </c>
      <c r="B3714" s="1" t="n">
        <v>44475</v>
      </c>
      <c r="C3714" s="1" t="n">
        <v>45587</v>
      </c>
      <c r="D3714" t="inlineStr">
        <is>
          <t>GÄVLEBORGS LÄN</t>
        </is>
      </c>
      <c r="E3714" t="inlineStr">
        <is>
          <t>OVANÅKER</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55230-2021</t>
        </is>
      </c>
      <c r="B3715" s="1" t="n">
        <v>44475</v>
      </c>
      <c r="C3715" s="1" t="n">
        <v>45587</v>
      </c>
      <c r="D3715" t="inlineStr">
        <is>
          <t>GÄVLEBORGS LÄN</t>
        </is>
      </c>
      <c r="E3715" t="inlineStr">
        <is>
          <t>LJUSDAL</t>
        </is>
      </c>
      <c r="F3715" t="inlineStr">
        <is>
          <t>Holmen skog AB</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55209-2021</t>
        </is>
      </c>
      <c r="B3716" s="1" t="n">
        <v>44475</v>
      </c>
      <c r="C3716" s="1" t="n">
        <v>45587</v>
      </c>
      <c r="D3716" t="inlineStr">
        <is>
          <t>GÄVLEBORGS LÄN</t>
        </is>
      </c>
      <c r="E3716" t="inlineStr">
        <is>
          <t>LJUSDAL</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55241-2021</t>
        </is>
      </c>
      <c r="B3717" s="1" t="n">
        <v>44475</v>
      </c>
      <c r="C3717" s="1" t="n">
        <v>45587</v>
      </c>
      <c r="D3717" t="inlineStr">
        <is>
          <t>GÄVLEBORGS LÄN</t>
        </is>
      </c>
      <c r="E3717" t="inlineStr">
        <is>
          <t>OVANÅKER</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55309-2021</t>
        </is>
      </c>
      <c r="B3718" s="1" t="n">
        <v>44475</v>
      </c>
      <c r="C3718" s="1" t="n">
        <v>45587</v>
      </c>
      <c r="D3718" t="inlineStr">
        <is>
          <t>GÄVLEBORGS LÄN</t>
        </is>
      </c>
      <c r="E3718" t="inlineStr">
        <is>
          <t>HUDIKSVALL</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55336-2021</t>
        </is>
      </c>
      <c r="B3719" s="1" t="n">
        <v>44475</v>
      </c>
      <c r="C3719" s="1" t="n">
        <v>45587</v>
      </c>
      <c r="D3719" t="inlineStr">
        <is>
          <t>GÄVLEBORGS LÄN</t>
        </is>
      </c>
      <c r="E3719" t="inlineStr">
        <is>
          <t>HUDIKSVALL</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55408-2021</t>
        </is>
      </c>
      <c r="B3720" s="1" t="n">
        <v>44475</v>
      </c>
      <c r="C3720" s="1" t="n">
        <v>45587</v>
      </c>
      <c r="D3720" t="inlineStr">
        <is>
          <t>GÄVLEBORGS LÄN</t>
        </is>
      </c>
      <c r="E3720" t="inlineStr">
        <is>
          <t>OVANÅKER</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55446-2021</t>
        </is>
      </c>
      <c r="B3721" s="1" t="n">
        <v>44475</v>
      </c>
      <c r="C3721" s="1" t="n">
        <v>45587</v>
      </c>
      <c r="D3721" t="inlineStr">
        <is>
          <t>GÄVLEBORGS LÄN</t>
        </is>
      </c>
      <c r="E3721" t="inlineStr">
        <is>
          <t>LJUSDAL</t>
        </is>
      </c>
      <c r="F3721" t="inlineStr">
        <is>
          <t>Holmen skog AB</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55489-2021</t>
        </is>
      </c>
      <c r="B3722" s="1" t="n">
        <v>44475</v>
      </c>
      <c r="C3722" s="1" t="n">
        <v>45587</v>
      </c>
      <c r="D3722" t="inlineStr">
        <is>
          <t>GÄVLEBORGS LÄN</t>
        </is>
      </c>
      <c r="E3722" t="inlineStr">
        <is>
          <t>HUDIKSVALL</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55298-2021</t>
        </is>
      </c>
      <c r="B3723" s="1" t="n">
        <v>44475</v>
      </c>
      <c r="C3723" s="1" t="n">
        <v>45587</v>
      </c>
      <c r="D3723" t="inlineStr">
        <is>
          <t>GÄVLEBORGS LÄN</t>
        </is>
      </c>
      <c r="E3723" t="inlineStr">
        <is>
          <t>OVANÅKER</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55319-2021</t>
        </is>
      </c>
      <c r="B3724" s="1" t="n">
        <v>44475</v>
      </c>
      <c r="C3724" s="1" t="n">
        <v>45587</v>
      </c>
      <c r="D3724" t="inlineStr">
        <is>
          <t>GÄVLEBORGS LÄN</t>
        </is>
      </c>
      <c r="E3724" t="inlineStr">
        <is>
          <t>HUDIKSVALL</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55330-2021</t>
        </is>
      </c>
      <c r="B3725" s="1" t="n">
        <v>44475</v>
      </c>
      <c r="C3725" s="1" t="n">
        <v>45587</v>
      </c>
      <c r="D3725" t="inlineStr">
        <is>
          <t>GÄVLEBORGS LÄN</t>
        </is>
      </c>
      <c r="E3725" t="inlineStr">
        <is>
          <t>HUDIKSVALL</t>
        </is>
      </c>
      <c r="G3725" t="n">
        <v>6</v>
      </c>
      <c r="H3725" t="n">
        <v>0</v>
      </c>
      <c r="I3725" t="n">
        <v>0</v>
      </c>
      <c r="J3725" t="n">
        <v>0</v>
      </c>
      <c r="K3725" t="n">
        <v>0</v>
      </c>
      <c r="L3725" t="n">
        <v>0</v>
      </c>
      <c r="M3725" t="n">
        <v>0</v>
      </c>
      <c r="N3725" t="n">
        <v>0</v>
      </c>
      <c r="O3725" t="n">
        <v>0</v>
      </c>
      <c r="P3725" t="n">
        <v>0</v>
      </c>
      <c r="Q3725" t="n">
        <v>0</v>
      </c>
      <c r="R3725" s="2" t="inlineStr"/>
    </row>
    <row r="3726" ht="15" customHeight="1">
      <c r="A3726" t="inlineStr">
        <is>
          <t>A 55371-2021</t>
        </is>
      </c>
      <c r="B3726" s="1" t="n">
        <v>44475</v>
      </c>
      <c r="C3726" s="1" t="n">
        <v>45587</v>
      </c>
      <c r="D3726" t="inlineStr">
        <is>
          <t>GÄVLEBORGS LÄN</t>
        </is>
      </c>
      <c r="E3726" t="inlineStr">
        <is>
          <t>OVANÅKER</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55403-2021</t>
        </is>
      </c>
      <c r="B3727" s="1" t="n">
        <v>44475</v>
      </c>
      <c r="C3727" s="1" t="n">
        <v>45587</v>
      </c>
      <c r="D3727" t="inlineStr">
        <is>
          <t>GÄVLEBORGS LÄN</t>
        </is>
      </c>
      <c r="E3727" t="inlineStr">
        <is>
          <t>OVANÅKER</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55409-2021</t>
        </is>
      </c>
      <c r="B3728" s="1" t="n">
        <v>44475</v>
      </c>
      <c r="C3728" s="1" t="n">
        <v>45587</v>
      </c>
      <c r="D3728" t="inlineStr">
        <is>
          <t>GÄVLEBORGS LÄN</t>
        </is>
      </c>
      <c r="E3728" t="inlineStr">
        <is>
          <t>LJUSDAL</t>
        </is>
      </c>
      <c r="F3728" t="inlineStr">
        <is>
          <t>Holmen skog AB</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55534-2021</t>
        </is>
      </c>
      <c r="B3729" s="1" t="n">
        <v>44475</v>
      </c>
      <c r="C3729" s="1" t="n">
        <v>45587</v>
      </c>
      <c r="D3729" t="inlineStr">
        <is>
          <t>GÄVLEBORGS LÄN</t>
        </is>
      </c>
      <c r="E3729" t="inlineStr">
        <is>
          <t>LJUSDAL</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55535-2021</t>
        </is>
      </c>
      <c r="B3730" s="1" t="n">
        <v>44475</v>
      </c>
      <c r="C3730" s="1" t="n">
        <v>45587</v>
      </c>
      <c r="D3730" t="inlineStr">
        <is>
          <t>GÄVLEBORGS LÄN</t>
        </is>
      </c>
      <c r="E3730" t="inlineStr">
        <is>
          <t>LJUSDAL</t>
        </is>
      </c>
      <c r="F3730" t="inlineStr">
        <is>
          <t>Holmen skog AB</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55563-2021</t>
        </is>
      </c>
      <c r="B3731" s="1" t="n">
        <v>44475</v>
      </c>
      <c r="C3731" s="1" t="n">
        <v>45587</v>
      </c>
      <c r="D3731" t="inlineStr">
        <is>
          <t>GÄVLEBORGS LÄN</t>
        </is>
      </c>
      <c r="E3731" t="inlineStr">
        <is>
          <t>OCKELBO</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55314-2021</t>
        </is>
      </c>
      <c r="B3732" s="1" t="n">
        <v>44475</v>
      </c>
      <c r="C3732" s="1" t="n">
        <v>45587</v>
      </c>
      <c r="D3732" t="inlineStr">
        <is>
          <t>GÄVLEBORGS LÄN</t>
        </is>
      </c>
      <c r="E3732" t="inlineStr">
        <is>
          <t>NORDANSTIG</t>
        </is>
      </c>
      <c r="F3732" t="inlineStr">
        <is>
          <t>Holmen skog AB</t>
        </is>
      </c>
      <c r="G3732" t="n">
        <v>8.199999999999999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55666-2021</t>
        </is>
      </c>
      <c r="B3733" s="1" t="n">
        <v>44476</v>
      </c>
      <c r="C3733" s="1" t="n">
        <v>45587</v>
      </c>
      <c r="D3733" t="inlineStr">
        <is>
          <t>GÄVLEBORGS LÄN</t>
        </is>
      </c>
      <c r="E3733" t="inlineStr">
        <is>
          <t>SÖDERHAMN</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56136-2021</t>
        </is>
      </c>
      <c r="B3734" s="1" t="n">
        <v>44477</v>
      </c>
      <c r="C3734" s="1" t="n">
        <v>45587</v>
      </c>
      <c r="D3734" t="inlineStr">
        <is>
          <t>GÄVLEBORGS LÄN</t>
        </is>
      </c>
      <c r="E3734" t="inlineStr">
        <is>
          <t>HUDIKSVALL</t>
        </is>
      </c>
      <c r="F3734" t="inlineStr">
        <is>
          <t>Kommuner</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56016-2021</t>
        </is>
      </c>
      <c r="B3735" s="1" t="n">
        <v>44477</v>
      </c>
      <c r="C3735" s="1" t="n">
        <v>45587</v>
      </c>
      <c r="D3735" t="inlineStr">
        <is>
          <t>GÄVLEBORGS LÄN</t>
        </is>
      </c>
      <c r="E3735" t="inlineStr">
        <is>
          <t>LJUSDAL</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56310-2021</t>
        </is>
      </c>
      <c r="B3736" s="1" t="n">
        <v>44477</v>
      </c>
      <c r="C3736" s="1" t="n">
        <v>45587</v>
      </c>
      <c r="D3736" t="inlineStr">
        <is>
          <t>GÄVLEBORGS LÄN</t>
        </is>
      </c>
      <c r="E3736" t="inlineStr">
        <is>
          <t>SANDVIKEN</t>
        </is>
      </c>
      <c r="F3736" t="inlineStr">
        <is>
          <t>Bergvik skog väst AB</t>
        </is>
      </c>
      <c r="G3736" t="n">
        <v>18.5</v>
      </c>
      <c r="H3736" t="n">
        <v>0</v>
      </c>
      <c r="I3736" t="n">
        <v>0</v>
      </c>
      <c r="J3736" t="n">
        <v>0</v>
      </c>
      <c r="K3736" t="n">
        <v>0</v>
      </c>
      <c r="L3736" t="n">
        <v>0</v>
      </c>
      <c r="M3736" t="n">
        <v>0</v>
      </c>
      <c r="N3736" t="n">
        <v>0</v>
      </c>
      <c r="O3736" t="n">
        <v>0</v>
      </c>
      <c r="P3736" t="n">
        <v>0</v>
      </c>
      <c r="Q3736" t="n">
        <v>0</v>
      </c>
      <c r="R3736" s="2" t="inlineStr"/>
    </row>
    <row r="3737" ht="15" customHeight="1">
      <c r="A3737" t="inlineStr">
        <is>
          <t>A 56282-2021</t>
        </is>
      </c>
      <c r="B3737" s="1" t="n">
        <v>44479</v>
      </c>
      <c r="C3737" s="1" t="n">
        <v>45587</v>
      </c>
      <c r="D3737" t="inlineStr">
        <is>
          <t>GÄVLEBORGS LÄN</t>
        </is>
      </c>
      <c r="E3737" t="inlineStr">
        <is>
          <t>OCKELBO</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56418-2021</t>
        </is>
      </c>
      <c r="B3738" s="1" t="n">
        <v>44480</v>
      </c>
      <c r="C3738" s="1" t="n">
        <v>45587</v>
      </c>
      <c r="D3738" t="inlineStr">
        <is>
          <t>GÄVLEBORGS LÄN</t>
        </is>
      </c>
      <c r="E3738" t="inlineStr">
        <is>
          <t>BOLLNÄS</t>
        </is>
      </c>
      <c r="F3738" t="inlineStr">
        <is>
          <t>Bergvik skog väst AB</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56410-2021</t>
        </is>
      </c>
      <c r="B3739" s="1" t="n">
        <v>44480</v>
      </c>
      <c r="C3739" s="1" t="n">
        <v>45587</v>
      </c>
      <c r="D3739" t="inlineStr">
        <is>
          <t>GÄVLEBORGS LÄN</t>
        </is>
      </c>
      <c r="E3739" t="inlineStr">
        <is>
          <t>BOLLNÄS</t>
        </is>
      </c>
      <c r="F3739" t="inlineStr">
        <is>
          <t>Bergvik skog väst AB</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56301-2021</t>
        </is>
      </c>
      <c r="B3740" s="1" t="n">
        <v>44480</v>
      </c>
      <c r="C3740" s="1" t="n">
        <v>45587</v>
      </c>
      <c r="D3740" t="inlineStr">
        <is>
          <t>GÄVLEBORGS LÄN</t>
        </is>
      </c>
      <c r="E3740" t="inlineStr">
        <is>
          <t>LJUSDAL</t>
        </is>
      </c>
      <c r="F3740" t="inlineStr">
        <is>
          <t>Sveaskog</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56416-2021</t>
        </is>
      </c>
      <c r="B3741" s="1" t="n">
        <v>44480</v>
      </c>
      <c r="C3741" s="1" t="n">
        <v>45587</v>
      </c>
      <c r="D3741" t="inlineStr">
        <is>
          <t>GÄVLEBORGS LÄN</t>
        </is>
      </c>
      <c r="E3741" t="inlineStr">
        <is>
          <t>BOLLNÄS</t>
        </is>
      </c>
      <c r="G3741" t="n">
        <v>5.7</v>
      </c>
      <c r="H3741" t="n">
        <v>0</v>
      </c>
      <c r="I3741" t="n">
        <v>0</v>
      </c>
      <c r="J3741" t="n">
        <v>0</v>
      </c>
      <c r="K3741" t="n">
        <v>0</v>
      </c>
      <c r="L3741" t="n">
        <v>0</v>
      </c>
      <c r="M3741" t="n">
        <v>0</v>
      </c>
      <c r="N3741" t="n">
        <v>0</v>
      </c>
      <c r="O3741" t="n">
        <v>0</v>
      </c>
      <c r="P3741" t="n">
        <v>0</v>
      </c>
      <c r="Q3741" t="n">
        <v>0</v>
      </c>
      <c r="R3741" s="2" t="inlineStr"/>
    </row>
    <row r="3742" ht="15" customHeight="1">
      <c r="A3742" t="inlineStr">
        <is>
          <t>A 56481-2021</t>
        </is>
      </c>
      <c r="B3742" s="1" t="n">
        <v>44480</v>
      </c>
      <c r="C3742" s="1" t="n">
        <v>45587</v>
      </c>
      <c r="D3742" t="inlineStr">
        <is>
          <t>GÄVLEBORGS LÄN</t>
        </is>
      </c>
      <c r="E3742" t="inlineStr">
        <is>
          <t>BOLLNÄS</t>
        </is>
      </c>
      <c r="F3742" t="inlineStr">
        <is>
          <t>Bergvik skog väst AB</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56576-2021</t>
        </is>
      </c>
      <c r="B3743" s="1" t="n">
        <v>44480</v>
      </c>
      <c r="C3743" s="1" t="n">
        <v>45587</v>
      </c>
      <c r="D3743" t="inlineStr">
        <is>
          <t>GÄVLEBORGS LÄN</t>
        </is>
      </c>
      <c r="E3743" t="inlineStr">
        <is>
          <t>HUDIKSVALL</t>
        </is>
      </c>
      <c r="F3743" t="inlineStr">
        <is>
          <t>Holmen skog AB</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56635-2021</t>
        </is>
      </c>
      <c r="B3744" s="1" t="n">
        <v>44480</v>
      </c>
      <c r="C3744" s="1" t="n">
        <v>45587</v>
      </c>
      <c r="D3744" t="inlineStr">
        <is>
          <t>GÄVLEBORGS LÄN</t>
        </is>
      </c>
      <c r="E3744" t="inlineStr">
        <is>
          <t>OCKELBO</t>
        </is>
      </c>
      <c r="G3744" t="n">
        <v>10.8</v>
      </c>
      <c r="H3744" t="n">
        <v>0</v>
      </c>
      <c r="I3744" t="n">
        <v>0</v>
      </c>
      <c r="J3744" t="n">
        <v>0</v>
      </c>
      <c r="K3744" t="n">
        <v>0</v>
      </c>
      <c r="L3744" t="n">
        <v>0</v>
      </c>
      <c r="M3744" t="n">
        <v>0</v>
      </c>
      <c r="N3744" t="n">
        <v>0</v>
      </c>
      <c r="O3744" t="n">
        <v>0</v>
      </c>
      <c r="P3744" t="n">
        <v>0</v>
      </c>
      <c r="Q3744" t="n">
        <v>0</v>
      </c>
      <c r="R3744" s="2" t="inlineStr"/>
    </row>
    <row r="3745" ht="15" customHeight="1">
      <c r="A3745" t="inlineStr">
        <is>
          <t>A 56686-2021</t>
        </is>
      </c>
      <c r="B3745" s="1" t="n">
        <v>44481</v>
      </c>
      <c r="C3745" s="1" t="n">
        <v>45587</v>
      </c>
      <c r="D3745" t="inlineStr">
        <is>
          <t>GÄVLEBORGS LÄN</t>
        </is>
      </c>
      <c r="E3745" t="inlineStr">
        <is>
          <t>BOLLNÄS</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56846-2021</t>
        </is>
      </c>
      <c r="B3746" s="1" t="n">
        <v>44481</v>
      </c>
      <c r="C3746" s="1" t="n">
        <v>45587</v>
      </c>
      <c r="D3746" t="inlineStr">
        <is>
          <t>GÄVLEBORGS LÄN</t>
        </is>
      </c>
      <c r="E3746" t="inlineStr">
        <is>
          <t>LJUSDAL</t>
        </is>
      </c>
      <c r="G3746" t="n">
        <v>11.9</v>
      </c>
      <c r="H3746" t="n">
        <v>0</v>
      </c>
      <c r="I3746" t="n">
        <v>0</v>
      </c>
      <c r="J3746" t="n">
        <v>0</v>
      </c>
      <c r="K3746" t="n">
        <v>0</v>
      </c>
      <c r="L3746" t="n">
        <v>0</v>
      </c>
      <c r="M3746" t="n">
        <v>0</v>
      </c>
      <c r="N3746" t="n">
        <v>0</v>
      </c>
      <c r="O3746" t="n">
        <v>0</v>
      </c>
      <c r="P3746" t="n">
        <v>0</v>
      </c>
      <c r="Q3746" t="n">
        <v>0</v>
      </c>
      <c r="R3746" s="2" t="inlineStr"/>
    </row>
    <row r="3747" ht="15" customHeight="1">
      <c r="A3747" t="inlineStr">
        <is>
          <t>A 56787-2021</t>
        </is>
      </c>
      <c r="B3747" s="1" t="n">
        <v>44481</v>
      </c>
      <c r="C3747" s="1" t="n">
        <v>45587</v>
      </c>
      <c r="D3747" t="inlineStr">
        <is>
          <t>GÄVLEBORGS LÄN</t>
        </is>
      </c>
      <c r="E3747" t="inlineStr">
        <is>
          <t>LJUSDAL</t>
        </is>
      </c>
      <c r="F3747" t="inlineStr">
        <is>
          <t>Bergvik skog väst AB</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56734-2021</t>
        </is>
      </c>
      <c r="B3748" s="1" t="n">
        <v>44481</v>
      </c>
      <c r="C3748" s="1" t="n">
        <v>45587</v>
      </c>
      <c r="D3748" t="inlineStr">
        <is>
          <t>GÄVLEBORGS LÄN</t>
        </is>
      </c>
      <c r="E3748" t="inlineStr">
        <is>
          <t>SANDVIKEN</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56985-2021</t>
        </is>
      </c>
      <c r="B3749" s="1" t="n">
        <v>44482</v>
      </c>
      <c r="C3749" s="1" t="n">
        <v>45587</v>
      </c>
      <c r="D3749" t="inlineStr">
        <is>
          <t>GÄVLEBORGS LÄN</t>
        </is>
      </c>
      <c r="E3749" t="inlineStr">
        <is>
          <t>LJUSDAL</t>
        </is>
      </c>
      <c r="F3749" t="inlineStr">
        <is>
          <t>Holmen skog AB</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57072-2021</t>
        </is>
      </c>
      <c r="B3750" s="1" t="n">
        <v>44482</v>
      </c>
      <c r="C3750" s="1" t="n">
        <v>45587</v>
      </c>
      <c r="D3750" t="inlineStr">
        <is>
          <t>GÄVLEBORGS LÄN</t>
        </is>
      </c>
      <c r="E3750" t="inlineStr">
        <is>
          <t>LJUSDAL</t>
        </is>
      </c>
      <c r="F3750" t="inlineStr">
        <is>
          <t>Holmen skog AB</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56992-2021</t>
        </is>
      </c>
      <c r="B3751" s="1" t="n">
        <v>44482</v>
      </c>
      <c r="C3751" s="1" t="n">
        <v>45587</v>
      </c>
      <c r="D3751" t="inlineStr">
        <is>
          <t>GÄVLEBORGS LÄN</t>
        </is>
      </c>
      <c r="E3751" t="inlineStr">
        <is>
          <t>NORDANSTIG</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57029-2021</t>
        </is>
      </c>
      <c r="B3752" s="1" t="n">
        <v>44482</v>
      </c>
      <c r="C3752" s="1" t="n">
        <v>45587</v>
      </c>
      <c r="D3752" t="inlineStr">
        <is>
          <t>GÄVLEBORGS LÄN</t>
        </is>
      </c>
      <c r="E3752" t="inlineStr">
        <is>
          <t>LJUSDAL</t>
        </is>
      </c>
      <c r="F3752" t="inlineStr">
        <is>
          <t>Holmen skog AB</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57121-2021</t>
        </is>
      </c>
      <c r="B3753" s="1" t="n">
        <v>44482</v>
      </c>
      <c r="C3753" s="1" t="n">
        <v>45587</v>
      </c>
      <c r="D3753" t="inlineStr">
        <is>
          <t>GÄVLEBORGS LÄN</t>
        </is>
      </c>
      <c r="E3753" t="inlineStr">
        <is>
          <t>LJUSDAL</t>
        </is>
      </c>
      <c r="F3753" t="inlineStr">
        <is>
          <t>Holmen skog AB</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57123-2021</t>
        </is>
      </c>
      <c r="B3754" s="1" t="n">
        <v>44482</v>
      </c>
      <c r="C3754" s="1" t="n">
        <v>45587</v>
      </c>
      <c r="D3754" t="inlineStr">
        <is>
          <t>GÄVLEBORGS LÄN</t>
        </is>
      </c>
      <c r="E3754" t="inlineStr">
        <is>
          <t>LJUSDAL</t>
        </is>
      </c>
      <c r="F3754" t="inlineStr">
        <is>
          <t>Holmen skog AB</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57124-2021</t>
        </is>
      </c>
      <c r="B3755" s="1" t="n">
        <v>44482</v>
      </c>
      <c r="C3755" s="1" t="n">
        <v>45587</v>
      </c>
      <c r="D3755" t="inlineStr">
        <is>
          <t>GÄVLEBORGS LÄN</t>
        </is>
      </c>
      <c r="E3755" t="inlineStr">
        <is>
          <t>OVANÅKER</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57369-2021</t>
        </is>
      </c>
      <c r="B3756" s="1" t="n">
        <v>44483</v>
      </c>
      <c r="C3756" s="1" t="n">
        <v>45587</v>
      </c>
      <c r="D3756" t="inlineStr">
        <is>
          <t>GÄVLEBORGS LÄN</t>
        </is>
      </c>
      <c r="E3756" t="inlineStr">
        <is>
          <t>HUDIKSVALL</t>
        </is>
      </c>
      <c r="F3756" t="inlineStr">
        <is>
          <t>Holmen skog AB</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57333-2021</t>
        </is>
      </c>
      <c r="B3757" s="1" t="n">
        <v>44483</v>
      </c>
      <c r="C3757" s="1" t="n">
        <v>45587</v>
      </c>
      <c r="D3757" t="inlineStr">
        <is>
          <t>GÄVLEBORGS LÄN</t>
        </is>
      </c>
      <c r="E3757" t="inlineStr">
        <is>
          <t>HUDIKSVALL</t>
        </is>
      </c>
      <c r="F3757" t="inlineStr">
        <is>
          <t>Holmen skog AB</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57344-2021</t>
        </is>
      </c>
      <c r="B3758" s="1" t="n">
        <v>44483</v>
      </c>
      <c r="C3758" s="1" t="n">
        <v>45587</v>
      </c>
      <c r="D3758" t="inlineStr">
        <is>
          <t>GÄVLEBORGS LÄN</t>
        </is>
      </c>
      <c r="E3758" t="inlineStr">
        <is>
          <t>LJUSDAL</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57337-2021</t>
        </is>
      </c>
      <c r="B3759" s="1" t="n">
        <v>44483</v>
      </c>
      <c r="C3759" s="1" t="n">
        <v>45587</v>
      </c>
      <c r="D3759" t="inlineStr">
        <is>
          <t>GÄVLEBORGS LÄN</t>
        </is>
      </c>
      <c r="E3759" t="inlineStr">
        <is>
          <t>BOLLNÄS</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57399-2021</t>
        </is>
      </c>
      <c r="B3760" s="1" t="n">
        <v>44483</v>
      </c>
      <c r="C3760" s="1" t="n">
        <v>45587</v>
      </c>
      <c r="D3760" t="inlineStr">
        <is>
          <t>GÄVLEBORGS LÄN</t>
        </is>
      </c>
      <c r="E3760" t="inlineStr">
        <is>
          <t>SÖDERHAMN</t>
        </is>
      </c>
      <c r="G3760" t="n">
        <v>9.300000000000001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57458-2021</t>
        </is>
      </c>
      <c r="B3761" s="1" t="n">
        <v>44483</v>
      </c>
      <c r="C3761" s="1" t="n">
        <v>45587</v>
      </c>
      <c r="D3761" t="inlineStr">
        <is>
          <t>GÄVLEBORGS LÄN</t>
        </is>
      </c>
      <c r="E3761" t="inlineStr">
        <is>
          <t>LJUSDAL</t>
        </is>
      </c>
      <c r="F3761" t="inlineStr">
        <is>
          <t>Holmen skog AB</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57561-2021</t>
        </is>
      </c>
      <c r="B3762" s="1" t="n">
        <v>44483</v>
      </c>
      <c r="C3762" s="1" t="n">
        <v>45587</v>
      </c>
      <c r="D3762" t="inlineStr">
        <is>
          <t>GÄVLEBORGS LÄN</t>
        </is>
      </c>
      <c r="E3762" t="inlineStr">
        <is>
          <t>LJUSDAL</t>
        </is>
      </c>
      <c r="F3762" t="inlineStr">
        <is>
          <t>SCA</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57570-2021</t>
        </is>
      </c>
      <c r="B3763" s="1" t="n">
        <v>44484</v>
      </c>
      <c r="C3763" s="1" t="n">
        <v>45587</v>
      </c>
      <c r="D3763" t="inlineStr">
        <is>
          <t>GÄVLEBORGS LÄN</t>
        </is>
      </c>
      <c r="E3763" t="inlineStr">
        <is>
          <t>BOLLNÄS</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57595-2021</t>
        </is>
      </c>
      <c r="B3764" s="1" t="n">
        <v>44484</v>
      </c>
      <c r="C3764" s="1" t="n">
        <v>45587</v>
      </c>
      <c r="D3764" t="inlineStr">
        <is>
          <t>GÄVLEBORGS LÄN</t>
        </is>
      </c>
      <c r="E3764" t="inlineStr">
        <is>
          <t>SÖDERHAMN</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57726-2021</t>
        </is>
      </c>
      <c r="B3765" s="1" t="n">
        <v>44484</v>
      </c>
      <c r="C3765" s="1" t="n">
        <v>45587</v>
      </c>
      <c r="D3765" t="inlineStr">
        <is>
          <t>GÄVLEBORGS LÄN</t>
        </is>
      </c>
      <c r="E3765" t="inlineStr">
        <is>
          <t>LJUSDAL</t>
        </is>
      </c>
      <c r="F3765" t="inlineStr">
        <is>
          <t>Sveaskog</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57658-2021</t>
        </is>
      </c>
      <c r="B3766" s="1" t="n">
        <v>44484</v>
      </c>
      <c r="C3766" s="1" t="n">
        <v>45587</v>
      </c>
      <c r="D3766" t="inlineStr">
        <is>
          <t>GÄVLEBORGS LÄN</t>
        </is>
      </c>
      <c r="E3766" t="inlineStr">
        <is>
          <t>HUDIKSVALL</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57576-2021</t>
        </is>
      </c>
      <c r="B3767" s="1" t="n">
        <v>44484</v>
      </c>
      <c r="C3767" s="1" t="n">
        <v>45587</v>
      </c>
      <c r="D3767" t="inlineStr">
        <is>
          <t>GÄVLEBORGS LÄN</t>
        </is>
      </c>
      <c r="E3767" t="inlineStr">
        <is>
          <t>HUDIKSVALL</t>
        </is>
      </c>
      <c r="F3767" t="inlineStr">
        <is>
          <t>Holmen skog AB</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57609-2021</t>
        </is>
      </c>
      <c r="B3768" s="1" t="n">
        <v>44484</v>
      </c>
      <c r="C3768" s="1" t="n">
        <v>45587</v>
      </c>
      <c r="D3768" t="inlineStr">
        <is>
          <t>GÄVLEBORGS LÄN</t>
        </is>
      </c>
      <c r="E3768" t="inlineStr">
        <is>
          <t>NORDANSTIG</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57624-2021</t>
        </is>
      </c>
      <c r="B3769" s="1" t="n">
        <v>44484</v>
      </c>
      <c r="C3769" s="1" t="n">
        <v>45587</v>
      </c>
      <c r="D3769" t="inlineStr">
        <is>
          <t>GÄVLEBORGS LÄN</t>
        </is>
      </c>
      <c r="E3769" t="inlineStr">
        <is>
          <t>NORDANSTIG</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57638-2021</t>
        </is>
      </c>
      <c r="B3770" s="1" t="n">
        <v>44484</v>
      </c>
      <c r="C3770" s="1" t="n">
        <v>45587</v>
      </c>
      <c r="D3770" t="inlineStr">
        <is>
          <t>GÄVLEBORGS LÄN</t>
        </is>
      </c>
      <c r="E3770" t="inlineStr">
        <is>
          <t>HUDIKSVALL</t>
        </is>
      </c>
      <c r="G3770" t="n">
        <v>4.4</v>
      </c>
      <c r="H3770" t="n">
        <v>0</v>
      </c>
      <c r="I3770" t="n">
        <v>0</v>
      </c>
      <c r="J3770" t="n">
        <v>0</v>
      </c>
      <c r="K3770" t="n">
        <v>0</v>
      </c>
      <c r="L3770" t="n">
        <v>0</v>
      </c>
      <c r="M3770" t="n">
        <v>0</v>
      </c>
      <c r="N3770" t="n">
        <v>0</v>
      </c>
      <c r="O3770" t="n">
        <v>0</v>
      </c>
      <c r="P3770" t="n">
        <v>0</v>
      </c>
      <c r="Q3770" t="n">
        <v>0</v>
      </c>
      <c r="R3770" s="2" t="inlineStr"/>
    </row>
    <row r="3771" ht="15" customHeight="1">
      <c r="A3771" t="inlineStr">
        <is>
          <t>A 57632-2021</t>
        </is>
      </c>
      <c r="B3771" s="1" t="n">
        <v>44484</v>
      </c>
      <c r="C3771" s="1" t="n">
        <v>45587</v>
      </c>
      <c r="D3771" t="inlineStr">
        <is>
          <t>GÄVLEBORGS LÄN</t>
        </is>
      </c>
      <c r="E3771" t="inlineStr">
        <is>
          <t>HOFORS</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57798-2021</t>
        </is>
      </c>
      <c r="B3772" s="1" t="n">
        <v>44484</v>
      </c>
      <c r="C3772" s="1" t="n">
        <v>45587</v>
      </c>
      <c r="D3772" t="inlineStr">
        <is>
          <t>GÄVLEBORGS LÄN</t>
        </is>
      </c>
      <c r="E3772" t="inlineStr">
        <is>
          <t>OVANÅKER</t>
        </is>
      </c>
      <c r="G3772" t="n">
        <v>13.4</v>
      </c>
      <c r="H3772" t="n">
        <v>0</v>
      </c>
      <c r="I3772" t="n">
        <v>0</v>
      </c>
      <c r="J3772" t="n">
        <v>0</v>
      </c>
      <c r="K3772" t="n">
        <v>0</v>
      </c>
      <c r="L3772" t="n">
        <v>0</v>
      </c>
      <c r="M3772" t="n">
        <v>0</v>
      </c>
      <c r="N3772" t="n">
        <v>0</v>
      </c>
      <c r="O3772" t="n">
        <v>0</v>
      </c>
      <c r="P3772" t="n">
        <v>0</v>
      </c>
      <c r="Q3772" t="n">
        <v>0</v>
      </c>
      <c r="R3772" s="2" t="inlineStr"/>
    </row>
    <row r="3773" ht="15" customHeight="1">
      <c r="A3773" t="inlineStr">
        <is>
          <t>A 58198-2021</t>
        </is>
      </c>
      <c r="B3773" s="1" t="n">
        <v>44487</v>
      </c>
      <c r="C3773" s="1" t="n">
        <v>45587</v>
      </c>
      <c r="D3773" t="inlineStr">
        <is>
          <t>GÄVLEBORGS LÄN</t>
        </is>
      </c>
      <c r="E3773" t="inlineStr">
        <is>
          <t>SÖDERHAMN</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58112-2021</t>
        </is>
      </c>
      <c r="B3774" s="1" t="n">
        <v>44487</v>
      </c>
      <c r="C3774" s="1" t="n">
        <v>45587</v>
      </c>
      <c r="D3774" t="inlineStr">
        <is>
          <t>GÄVLEBORGS LÄN</t>
        </is>
      </c>
      <c r="E3774" t="inlineStr">
        <is>
          <t>BOLLNÄS</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58240-2021</t>
        </is>
      </c>
      <c r="B3775" s="1" t="n">
        <v>44487</v>
      </c>
      <c r="C3775" s="1" t="n">
        <v>45587</v>
      </c>
      <c r="D3775" t="inlineStr">
        <is>
          <t>GÄVLEBORGS LÄN</t>
        </is>
      </c>
      <c r="E3775" t="inlineStr">
        <is>
          <t>HOFORS</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58356-2021</t>
        </is>
      </c>
      <c r="B3776" s="1" t="n">
        <v>44488</v>
      </c>
      <c r="C3776" s="1" t="n">
        <v>45587</v>
      </c>
      <c r="D3776" t="inlineStr">
        <is>
          <t>GÄVLEBORGS LÄN</t>
        </is>
      </c>
      <c r="E3776" t="inlineStr">
        <is>
          <t>OCKELBO</t>
        </is>
      </c>
      <c r="F3776" t="inlineStr">
        <is>
          <t>Bergvik skog väst AB</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58397-2021</t>
        </is>
      </c>
      <c r="B3777" s="1" t="n">
        <v>44488</v>
      </c>
      <c r="C3777" s="1" t="n">
        <v>45587</v>
      </c>
      <c r="D3777" t="inlineStr">
        <is>
          <t>GÄVLEBORGS LÄN</t>
        </is>
      </c>
      <c r="E3777" t="inlineStr">
        <is>
          <t>LJUSDAL</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58374-2021</t>
        </is>
      </c>
      <c r="B3778" s="1" t="n">
        <v>44488</v>
      </c>
      <c r="C3778" s="1" t="n">
        <v>45587</v>
      </c>
      <c r="D3778" t="inlineStr">
        <is>
          <t>GÄVLEBORGS LÄN</t>
        </is>
      </c>
      <c r="E3778" t="inlineStr">
        <is>
          <t>OCKELBO</t>
        </is>
      </c>
      <c r="F3778" t="inlineStr">
        <is>
          <t>Bergvik skog väst AB</t>
        </is>
      </c>
      <c r="G3778" t="n">
        <v>10.3</v>
      </c>
      <c r="H3778" t="n">
        <v>0</v>
      </c>
      <c r="I3778" t="n">
        <v>0</v>
      </c>
      <c r="J3778" t="n">
        <v>0</v>
      </c>
      <c r="K3778" t="n">
        <v>0</v>
      </c>
      <c r="L3778" t="n">
        <v>0</v>
      </c>
      <c r="M3778" t="n">
        <v>0</v>
      </c>
      <c r="N3778" t="n">
        <v>0</v>
      </c>
      <c r="O3778" t="n">
        <v>0</v>
      </c>
      <c r="P3778" t="n">
        <v>0</v>
      </c>
      <c r="Q3778" t="n">
        <v>0</v>
      </c>
      <c r="R3778" s="2" t="inlineStr"/>
    </row>
    <row r="3779" ht="15" customHeight="1">
      <c r="A3779" t="inlineStr">
        <is>
          <t>A 58385-2021</t>
        </is>
      </c>
      <c r="B3779" s="1" t="n">
        <v>44488</v>
      </c>
      <c r="C3779" s="1" t="n">
        <v>45587</v>
      </c>
      <c r="D3779" t="inlineStr">
        <is>
          <t>GÄVLEBORGS LÄN</t>
        </is>
      </c>
      <c r="E3779" t="inlineStr">
        <is>
          <t>LJUSDAL</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58434-2021</t>
        </is>
      </c>
      <c r="B3780" s="1" t="n">
        <v>44488</v>
      </c>
      <c r="C3780" s="1" t="n">
        <v>45587</v>
      </c>
      <c r="D3780" t="inlineStr">
        <is>
          <t>GÄVLEBORGS LÄN</t>
        </is>
      </c>
      <c r="E3780" t="inlineStr">
        <is>
          <t>BOLLNÄS</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58449-2021</t>
        </is>
      </c>
      <c r="B3781" s="1" t="n">
        <v>44488</v>
      </c>
      <c r="C3781" s="1" t="n">
        <v>45587</v>
      </c>
      <c r="D3781" t="inlineStr">
        <is>
          <t>GÄVLEBORGS LÄN</t>
        </is>
      </c>
      <c r="E3781" t="inlineStr">
        <is>
          <t>GÄVLE</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58431-2021</t>
        </is>
      </c>
      <c r="B3782" s="1" t="n">
        <v>44488</v>
      </c>
      <c r="C3782" s="1" t="n">
        <v>45587</v>
      </c>
      <c r="D3782" t="inlineStr">
        <is>
          <t>GÄVLEBORGS LÄN</t>
        </is>
      </c>
      <c r="E3782" t="inlineStr">
        <is>
          <t>BOLLNÄS</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58445-2021</t>
        </is>
      </c>
      <c r="B3783" s="1" t="n">
        <v>44488</v>
      </c>
      <c r="C3783" s="1" t="n">
        <v>45587</v>
      </c>
      <c r="D3783" t="inlineStr">
        <is>
          <t>GÄVLEBORGS LÄN</t>
        </is>
      </c>
      <c r="E3783" t="inlineStr">
        <is>
          <t>GÄVLE</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58523-2021</t>
        </is>
      </c>
      <c r="B3784" s="1" t="n">
        <v>44488</v>
      </c>
      <c r="C3784" s="1" t="n">
        <v>45587</v>
      </c>
      <c r="D3784" t="inlineStr">
        <is>
          <t>GÄVLEBORGS LÄN</t>
        </is>
      </c>
      <c r="E3784" t="inlineStr">
        <is>
          <t>BOLLNÄS</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58528-2021</t>
        </is>
      </c>
      <c r="B3785" s="1" t="n">
        <v>44488</v>
      </c>
      <c r="C3785" s="1" t="n">
        <v>45587</v>
      </c>
      <c r="D3785" t="inlineStr">
        <is>
          <t>GÄVLEBORGS LÄN</t>
        </is>
      </c>
      <c r="E3785" t="inlineStr">
        <is>
          <t>BOLLNÄS</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58648-2021</t>
        </is>
      </c>
      <c r="B3786" s="1" t="n">
        <v>44489</v>
      </c>
      <c r="C3786" s="1" t="n">
        <v>45587</v>
      </c>
      <c r="D3786" t="inlineStr">
        <is>
          <t>GÄVLEBORGS LÄN</t>
        </is>
      </c>
      <c r="E3786" t="inlineStr">
        <is>
          <t>LJUSDAL</t>
        </is>
      </c>
      <c r="F3786" t="inlineStr">
        <is>
          <t>Holmen skog AB</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58787-2021</t>
        </is>
      </c>
      <c r="B3787" s="1" t="n">
        <v>44489</v>
      </c>
      <c r="C3787" s="1" t="n">
        <v>45587</v>
      </c>
      <c r="D3787" t="inlineStr">
        <is>
          <t>GÄVLEBORGS LÄN</t>
        </is>
      </c>
      <c r="E3787" t="inlineStr">
        <is>
          <t>HOFORS</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58731-2021</t>
        </is>
      </c>
      <c r="B3788" s="1" t="n">
        <v>44489</v>
      </c>
      <c r="C3788" s="1" t="n">
        <v>45587</v>
      </c>
      <c r="D3788" t="inlineStr">
        <is>
          <t>GÄVLEBORGS LÄN</t>
        </is>
      </c>
      <c r="E3788" t="inlineStr">
        <is>
          <t>LJUSDAL</t>
        </is>
      </c>
      <c r="F3788" t="inlineStr">
        <is>
          <t>Holmen skog AB</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58624-2021</t>
        </is>
      </c>
      <c r="B3789" s="1" t="n">
        <v>44489</v>
      </c>
      <c r="C3789" s="1" t="n">
        <v>45587</v>
      </c>
      <c r="D3789" t="inlineStr">
        <is>
          <t>GÄVLEBORGS LÄN</t>
        </is>
      </c>
      <c r="E3789" t="inlineStr">
        <is>
          <t>LJUSDAL</t>
        </is>
      </c>
      <c r="F3789" t="inlineStr">
        <is>
          <t>Holmen skog AB</t>
        </is>
      </c>
      <c r="G3789" t="n">
        <v>33.3</v>
      </c>
      <c r="H3789" t="n">
        <v>0</v>
      </c>
      <c r="I3789" t="n">
        <v>0</v>
      </c>
      <c r="J3789" t="n">
        <v>0</v>
      </c>
      <c r="K3789" t="n">
        <v>0</v>
      </c>
      <c r="L3789" t="n">
        <v>0</v>
      </c>
      <c r="M3789" t="n">
        <v>0</v>
      </c>
      <c r="N3789" t="n">
        <v>0</v>
      </c>
      <c r="O3789" t="n">
        <v>0</v>
      </c>
      <c r="P3789" t="n">
        <v>0</v>
      </c>
      <c r="Q3789" t="n">
        <v>0</v>
      </c>
      <c r="R3789" s="2" t="inlineStr"/>
    </row>
    <row r="3790" ht="15" customHeight="1">
      <c r="A3790" t="inlineStr">
        <is>
          <t>A 58874-2021</t>
        </is>
      </c>
      <c r="B3790" s="1" t="n">
        <v>44489</v>
      </c>
      <c r="C3790" s="1" t="n">
        <v>45587</v>
      </c>
      <c r="D3790" t="inlineStr">
        <is>
          <t>GÄVLEBORGS LÄN</t>
        </is>
      </c>
      <c r="E3790" t="inlineStr">
        <is>
          <t>LJUSDAL</t>
        </is>
      </c>
      <c r="F3790" t="inlineStr">
        <is>
          <t>Holmen skog AB</t>
        </is>
      </c>
      <c r="G3790" t="n">
        <v>17.2</v>
      </c>
      <c r="H3790" t="n">
        <v>0</v>
      </c>
      <c r="I3790" t="n">
        <v>0</v>
      </c>
      <c r="J3790" t="n">
        <v>0</v>
      </c>
      <c r="K3790" t="n">
        <v>0</v>
      </c>
      <c r="L3790" t="n">
        <v>0</v>
      </c>
      <c r="M3790" t="n">
        <v>0</v>
      </c>
      <c r="N3790" t="n">
        <v>0</v>
      </c>
      <c r="O3790" t="n">
        <v>0</v>
      </c>
      <c r="P3790" t="n">
        <v>0</v>
      </c>
      <c r="Q3790" t="n">
        <v>0</v>
      </c>
      <c r="R3790" s="2" t="inlineStr"/>
    </row>
    <row r="3791" ht="15" customHeight="1">
      <c r="A3791" t="inlineStr">
        <is>
          <t>A 58891-2021</t>
        </is>
      </c>
      <c r="B3791" s="1" t="n">
        <v>44489</v>
      </c>
      <c r="C3791" s="1" t="n">
        <v>45587</v>
      </c>
      <c r="D3791" t="inlineStr">
        <is>
          <t>GÄVLEBORGS LÄN</t>
        </is>
      </c>
      <c r="E3791" t="inlineStr">
        <is>
          <t>NORDANSTIG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58720-2021</t>
        </is>
      </c>
      <c r="B3792" s="1" t="n">
        <v>44489</v>
      </c>
      <c r="C3792" s="1" t="n">
        <v>45587</v>
      </c>
      <c r="D3792" t="inlineStr">
        <is>
          <t>GÄVLEBORGS LÄN</t>
        </is>
      </c>
      <c r="E3792" t="inlineStr">
        <is>
          <t>BOLLNÄS</t>
        </is>
      </c>
      <c r="F3792" t="inlineStr">
        <is>
          <t>Holmen skog AB</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58753-2021</t>
        </is>
      </c>
      <c r="B3793" s="1" t="n">
        <v>44489</v>
      </c>
      <c r="C3793" s="1" t="n">
        <v>45587</v>
      </c>
      <c r="D3793" t="inlineStr">
        <is>
          <t>GÄVLEBORGS LÄN</t>
        </is>
      </c>
      <c r="E3793" t="inlineStr">
        <is>
          <t>BOLLNÄS</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58817-2021</t>
        </is>
      </c>
      <c r="B3794" s="1" t="n">
        <v>44489</v>
      </c>
      <c r="C3794" s="1" t="n">
        <v>45587</v>
      </c>
      <c r="D3794" t="inlineStr">
        <is>
          <t>GÄVLEBORGS LÄN</t>
        </is>
      </c>
      <c r="E3794" t="inlineStr">
        <is>
          <t>OVANÅKER</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59061-2021</t>
        </is>
      </c>
      <c r="B3795" s="1" t="n">
        <v>44490</v>
      </c>
      <c r="C3795" s="1" t="n">
        <v>45587</v>
      </c>
      <c r="D3795" t="inlineStr">
        <is>
          <t>GÄVLEBORGS LÄN</t>
        </is>
      </c>
      <c r="E3795" t="inlineStr">
        <is>
          <t>GÄVLE</t>
        </is>
      </c>
      <c r="F3795" t="inlineStr">
        <is>
          <t>Kyrkan</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59085-2021</t>
        </is>
      </c>
      <c r="B3796" s="1" t="n">
        <v>44490</v>
      </c>
      <c r="C3796" s="1" t="n">
        <v>45587</v>
      </c>
      <c r="D3796" t="inlineStr">
        <is>
          <t>GÄVLEBORGS LÄN</t>
        </is>
      </c>
      <c r="E3796" t="inlineStr">
        <is>
          <t>BOLLNÄS</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59129-2021</t>
        </is>
      </c>
      <c r="B3797" s="1" t="n">
        <v>44490</v>
      </c>
      <c r="C3797" s="1" t="n">
        <v>45587</v>
      </c>
      <c r="D3797" t="inlineStr">
        <is>
          <t>GÄVLEBORGS LÄN</t>
        </is>
      </c>
      <c r="E3797" t="inlineStr">
        <is>
          <t>LJUSDAL</t>
        </is>
      </c>
      <c r="F3797" t="inlineStr">
        <is>
          <t>Sveaskog</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59216-2021</t>
        </is>
      </c>
      <c r="B3798" s="1" t="n">
        <v>44490</v>
      </c>
      <c r="C3798" s="1" t="n">
        <v>45587</v>
      </c>
      <c r="D3798" t="inlineStr">
        <is>
          <t>GÄVLEBORGS LÄN</t>
        </is>
      </c>
      <c r="E3798" t="inlineStr">
        <is>
          <t>SÖDERHAMN</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59214-2021</t>
        </is>
      </c>
      <c r="B3799" s="1" t="n">
        <v>44490</v>
      </c>
      <c r="C3799" s="1" t="n">
        <v>45587</v>
      </c>
      <c r="D3799" t="inlineStr">
        <is>
          <t>GÄVLEBORGS LÄN</t>
        </is>
      </c>
      <c r="E3799" t="inlineStr">
        <is>
          <t>SÖDERHAMN</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59211-2021</t>
        </is>
      </c>
      <c r="B3800" s="1" t="n">
        <v>44490</v>
      </c>
      <c r="C3800" s="1" t="n">
        <v>45587</v>
      </c>
      <c r="D3800" t="inlineStr">
        <is>
          <t>GÄVLEBORGS LÄN</t>
        </is>
      </c>
      <c r="E3800" t="inlineStr">
        <is>
          <t>NORDANSTIG</t>
        </is>
      </c>
      <c r="F3800" t="inlineStr">
        <is>
          <t>Holmen skog AB</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59267-2021</t>
        </is>
      </c>
      <c r="B3801" s="1" t="n">
        <v>44490</v>
      </c>
      <c r="C3801" s="1" t="n">
        <v>45587</v>
      </c>
      <c r="D3801" t="inlineStr">
        <is>
          <t>GÄVLEBORGS LÄN</t>
        </is>
      </c>
      <c r="E3801" t="inlineStr">
        <is>
          <t>NORDANSTIG</t>
        </is>
      </c>
      <c r="G3801" t="n">
        <v>10.3</v>
      </c>
      <c r="H3801" t="n">
        <v>0</v>
      </c>
      <c r="I3801" t="n">
        <v>0</v>
      </c>
      <c r="J3801" t="n">
        <v>0</v>
      </c>
      <c r="K3801" t="n">
        <v>0</v>
      </c>
      <c r="L3801" t="n">
        <v>0</v>
      </c>
      <c r="M3801" t="n">
        <v>0</v>
      </c>
      <c r="N3801" t="n">
        <v>0</v>
      </c>
      <c r="O3801" t="n">
        <v>0</v>
      </c>
      <c r="P3801" t="n">
        <v>0</v>
      </c>
      <c r="Q3801" t="n">
        <v>0</v>
      </c>
      <c r="R3801" s="2" t="inlineStr"/>
    </row>
    <row r="3802" ht="15" customHeight="1">
      <c r="A3802" t="inlineStr">
        <is>
          <t>A 59270-2021</t>
        </is>
      </c>
      <c r="B3802" s="1" t="n">
        <v>44490</v>
      </c>
      <c r="C3802" s="1" t="n">
        <v>45587</v>
      </c>
      <c r="D3802" t="inlineStr">
        <is>
          <t>GÄVLEBORGS LÄN</t>
        </is>
      </c>
      <c r="E3802" t="inlineStr">
        <is>
          <t>NORDANSTIG</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59442-2021</t>
        </is>
      </c>
      <c r="B3803" s="1" t="n">
        <v>44491</v>
      </c>
      <c r="C3803" s="1" t="n">
        <v>45587</v>
      </c>
      <c r="D3803" t="inlineStr">
        <is>
          <t>GÄVLEBORGS LÄN</t>
        </is>
      </c>
      <c r="E3803" t="inlineStr">
        <is>
          <t>OVANÅKER</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59513-2021</t>
        </is>
      </c>
      <c r="B3804" s="1" t="n">
        <v>44491</v>
      </c>
      <c r="C3804" s="1" t="n">
        <v>45587</v>
      </c>
      <c r="D3804" t="inlineStr">
        <is>
          <t>GÄVLEBORGS LÄN</t>
        </is>
      </c>
      <c r="E3804" t="inlineStr">
        <is>
          <t>HUDIKSVALL</t>
        </is>
      </c>
      <c r="F3804" t="inlineStr">
        <is>
          <t>Holmen skog AB</t>
        </is>
      </c>
      <c r="G3804" t="n">
        <v>9.800000000000001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59611-2021</t>
        </is>
      </c>
      <c r="B3805" s="1" t="n">
        <v>44491</v>
      </c>
      <c r="C3805" s="1" t="n">
        <v>45587</v>
      </c>
      <c r="D3805" t="inlineStr">
        <is>
          <t>GÄVLEBORGS LÄN</t>
        </is>
      </c>
      <c r="E3805" t="inlineStr">
        <is>
          <t>SÖDERHAMN</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59515-2021</t>
        </is>
      </c>
      <c r="B3806" s="1" t="n">
        <v>44491</v>
      </c>
      <c r="C3806" s="1" t="n">
        <v>45587</v>
      </c>
      <c r="D3806" t="inlineStr">
        <is>
          <t>GÄVLEBORGS LÄN</t>
        </is>
      </c>
      <c r="E3806" t="inlineStr">
        <is>
          <t>GÄVLE</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59582-2021</t>
        </is>
      </c>
      <c r="B3807" s="1" t="n">
        <v>44491</v>
      </c>
      <c r="C3807" s="1" t="n">
        <v>45587</v>
      </c>
      <c r="D3807" t="inlineStr">
        <is>
          <t>GÄVLEBORGS LÄN</t>
        </is>
      </c>
      <c r="E3807" t="inlineStr">
        <is>
          <t>GÄVLE</t>
        </is>
      </c>
      <c r="F3807" t="inlineStr">
        <is>
          <t>Bergvik skog öst AB</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59583-2021</t>
        </is>
      </c>
      <c r="B3808" s="1" t="n">
        <v>44491</v>
      </c>
      <c r="C3808" s="1" t="n">
        <v>45587</v>
      </c>
      <c r="D3808" t="inlineStr">
        <is>
          <t>GÄVLEBORGS LÄN</t>
        </is>
      </c>
      <c r="E3808" t="inlineStr">
        <is>
          <t>NORDANSTIG</t>
        </is>
      </c>
      <c r="F3808" t="inlineStr">
        <is>
          <t>Holmen skog AB</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59593-2021</t>
        </is>
      </c>
      <c r="B3809" s="1" t="n">
        <v>44491</v>
      </c>
      <c r="C3809" s="1" t="n">
        <v>45587</v>
      </c>
      <c r="D3809" t="inlineStr">
        <is>
          <t>GÄVLEBORGS LÄN</t>
        </is>
      </c>
      <c r="E3809" t="inlineStr">
        <is>
          <t>HUDIKSVALL</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59629-2021</t>
        </is>
      </c>
      <c r="B3810" s="1" t="n">
        <v>44492</v>
      </c>
      <c r="C3810" s="1" t="n">
        <v>45587</v>
      </c>
      <c r="D3810" t="inlineStr">
        <is>
          <t>GÄVLEBORGS LÄN</t>
        </is>
      </c>
      <c r="E3810" t="inlineStr">
        <is>
          <t>OCKELBO</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59718-2021</t>
        </is>
      </c>
      <c r="B3811" s="1" t="n">
        <v>44494</v>
      </c>
      <c r="C3811" s="1" t="n">
        <v>45587</v>
      </c>
      <c r="D3811" t="inlineStr">
        <is>
          <t>GÄVLEBORGS LÄN</t>
        </is>
      </c>
      <c r="E3811" t="inlineStr">
        <is>
          <t>OVANÅKER</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59810-2021</t>
        </is>
      </c>
      <c r="B3812" s="1" t="n">
        <v>44494</v>
      </c>
      <c r="C3812" s="1" t="n">
        <v>45587</v>
      </c>
      <c r="D3812" t="inlineStr">
        <is>
          <t>GÄVLEBORGS LÄN</t>
        </is>
      </c>
      <c r="E3812" t="inlineStr">
        <is>
          <t>GÄVLE</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60127-2021</t>
        </is>
      </c>
      <c r="B3813" s="1" t="n">
        <v>44495</v>
      </c>
      <c r="C3813" s="1" t="n">
        <v>45587</v>
      </c>
      <c r="D3813" t="inlineStr">
        <is>
          <t>GÄVLEBORGS LÄN</t>
        </is>
      </c>
      <c r="E3813" t="inlineStr">
        <is>
          <t>BOLLNÄS</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60040-2021</t>
        </is>
      </c>
      <c r="B3814" s="1" t="n">
        <v>44495</v>
      </c>
      <c r="C3814" s="1" t="n">
        <v>45587</v>
      </c>
      <c r="D3814" t="inlineStr">
        <is>
          <t>GÄVLEBORGS LÄN</t>
        </is>
      </c>
      <c r="E3814" t="inlineStr">
        <is>
          <t>HUDIKSVALL</t>
        </is>
      </c>
      <c r="F3814" t="inlineStr">
        <is>
          <t>Holmen skog AB</t>
        </is>
      </c>
      <c r="G3814" t="n">
        <v>10.4</v>
      </c>
      <c r="H3814" t="n">
        <v>0</v>
      </c>
      <c r="I3814" t="n">
        <v>0</v>
      </c>
      <c r="J3814" t="n">
        <v>0</v>
      </c>
      <c r="K3814" t="n">
        <v>0</v>
      </c>
      <c r="L3814" t="n">
        <v>0</v>
      </c>
      <c r="M3814" t="n">
        <v>0</v>
      </c>
      <c r="N3814" t="n">
        <v>0</v>
      </c>
      <c r="O3814" t="n">
        <v>0</v>
      </c>
      <c r="P3814" t="n">
        <v>0</v>
      </c>
      <c r="Q3814" t="n">
        <v>0</v>
      </c>
      <c r="R3814" s="2" t="inlineStr"/>
    </row>
    <row r="3815" ht="15" customHeight="1">
      <c r="A3815" t="inlineStr">
        <is>
          <t>A 60149-2021</t>
        </is>
      </c>
      <c r="B3815" s="1" t="n">
        <v>44495</v>
      </c>
      <c r="C3815" s="1" t="n">
        <v>45587</v>
      </c>
      <c r="D3815" t="inlineStr">
        <is>
          <t>GÄVLEBORGS LÄN</t>
        </is>
      </c>
      <c r="E3815" t="inlineStr">
        <is>
          <t>BOLLNÄS</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60346-2021</t>
        </is>
      </c>
      <c r="B3816" s="1" t="n">
        <v>44496</v>
      </c>
      <c r="C3816" s="1" t="n">
        <v>45587</v>
      </c>
      <c r="D3816" t="inlineStr">
        <is>
          <t>GÄVLEBORGS LÄN</t>
        </is>
      </c>
      <c r="E3816" t="inlineStr">
        <is>
          <t>LJUSDAL</t>
        </is>
      </c>
      <c r="F3816" t="inlineStr">
        <is>
          <t>Kommuner</t>
        </is>
      </c>
      <c r="G3816" t="n">
        <v>8.1</v>
      </c>
      <c r="H3816" t="n">
        <v>0</v>
      </c>
      <c r="I3816" t="n">
        <v>0</v>
      </c>
      <c r="J3816" t="n">
        <v>0</v>
      </c>
      <c r="K3816" t="n">
        <v>0</v>
      </c>
      <c r="L3816" t="n">
        <v>0</v>
      </c>
      <c r="M3816" t="n">
        <v>0</v>
      </c>
      <c r="N3816" t="n">
        <v>0</v>
      </c>
      <c r="O3816" t="n">
        <v>0</v>
      </c>
      <c r="P3816" t="n">
        <v>0</v>
      </c>
      <c r="Q3816" t="n">
        <v>0</v>
      </c>
      <c r="R3816" s="2" t="inlineStr"/>
    </row>
    <row r="3817" ht="15" customHeight="1">
      <c r="A3817" t="inlineStr">
        <is>
          <t>A 60476-2021</t>
        </is>
      </c>
      <c r="B3817" s="1" t="n">
        <v>44496</v>
      </c>
      <c r="C3817" s="1" t="n">
        <v>45587</v>
      </c>
      <c r="D3817" t="inlineStr">
        <is>
          <t>GÄVLEBORGS LÄN</t>
        </is>
      </c>
      <c r="E3817" t="inlineStr">
        <is>
          <t>GÄVLE</t>
        </is>
      </c>
      <c r="F3817" t="inlineStr">
        <is>
          <t>Bergvik skog väst AB</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60481-2021</t>
        </is>
      </c>
      <c r="B3818" s="1" t="n">
        <v>44496</v>
      </c>
      <c r="C3818" s="1" t="n">
        <v>45587</v>
      </c>
      <c r="D3818" t="inlineStr">
        <is>
          <t>GÄVLEBORGS LÄN</t>
        </is>
      </c>
      <c r="E3818" t="inlineStr">
        <is>
          <t>BOLLNÄS</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60347-2021</t>
        </is>
      </c>
      <c r="B3819" s="1" t="n">
        <v>44496</v>
      </c>
      <c r="C3819" s="1" t="n">
        <v>45587</v>
      </c>
      <c r="D3819" t="inlineStr">
        <is>
          <t>GÄVLEBORGS LÄN</t>
        </is>
      </c>
      <c r="E3819" t="inlineStr">
        <is>
          <t>BOLLNÄS</t>
        </is>
      </c>
      <c r="F3819" t="inlineStr">
        <is>
          <t>Bergvik skog väst AB</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60569-2021</t>
        </is>
      </c>
      <c r="B3820" s="1" t="n">
        <v>44496</v>
      </c>
      <c r="C3820" s="1" t="n">
        <v>45587</v>
      </c>
      <c r="D3820" t="inlineStr">
        <is>
          <t>GÄVLEBORGS LÄN</t>
        </is>
      </c>
      <c r="E3820" t="inlineStr">
        <is>
          <t>LJUSDAL</t>
        </is>
      </c>
      <c r="F3820" t="inlineStr">
        <is>
          <t>Bergvik skog väst AB</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60497-2021</t>
        </is>
      </c>
      <c r="B3821" s="1" t="n">
        <v>44496</v>
      </c>
      <c r="C3821" s="1" t="n">
        <v>45587</v>
      </c>
      <c r="D3821" t="inlineStr">
        <is>
          <t>GÄVLEBORGS LÄN</t>
        </is>
      </c>
      <c r="E3821" t="inlineStr">
        <is>
          <t>OCKELBO</t>
        </is>
      </c>
      <c r="F3821" t="inlineStr">
        <is>
          <t>Bergvik skog väst AB</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60626-2021</t>
        </is>
      </c>
      <c r="B3822" s="1" t="n">
        <v>44496</v>
      </c>
      <c r="C3822" s="1" t="n">
        <v>45587</v>
      </c>
      <c r="D3822" t="inlineStr">
        <is>
          <t>GÄVLEBORGS LÄN</t>
        </is>
      </c>
      <c r="E3822" t="inlineStr">
        <is>
          <t>HUDIKSVALL</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60405-2021</t>
        </is>
      </c>
      <c r="B3823" s="1" t="n">
        <v>44496</v>
      </c>
      <c r="C3823" s="1" t="n">
        <v>45587</v>
      </c>
      <c r="D3823" t="inlineStr">
        <is>
          <t>GÄVLEBORGS LÄN</t>
        </is>
      </c>
      <c r="E3823" t="inlineStr">
        <is>
          <t>SANDVIKEN</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60574-2021</t>
        </is>
      </c>
      <c r="B3824" s="1" t="n">
        <v>44496</v>
      </c>
      <c r="C3824" s="1" t="n">
        <v>45587</v>
      </c>
      <c r="D3824" t="inlineStr">
        <is>
          <t>GÄVLEBORGS LÄN</t>
        </is>
      </c>
      <c r="E3824" t="inlineStr">
        <is>
          <t>OCKELBO</t>
        </is>
      </c>
      <c r="F3824" t="inlineStr">
        <is>
          <t>Bergvik skog väst AB</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60689-2021</t>
        </is>
      </c>
      <c r="B3825" s="1" t="n">
        <v>44496</v>
      </c>
      <c r="C3825" s="1" t="n">
        <v>45587</v>
      </c>
      <c r="D3825" t="inlineStr">
        <is>
          <t>GÄVLEBORGS LÄN</t>
        </is>
      </c>
      <c r="E3825" t="inlineStr">
        <is>
          <t>LJUSDAL</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60755-2021</t>
        </is>
      </c>
      <c r="B3826" s="1" t="n">
        <v>44496</v>
      </c>
      <c r="C3826" s="1" t="n">
        <v>45587</v>
      </c>
      <c r="D3826" t="inlineStr">
        <is>
          <t>GÄVLEBORGS LÄN</t>
        </is>
      </c>
      <c r="E3826" t="inlineStr">
        <is>
          <t>HUDIKSVALL</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60768-2021</t>
        </is>
      </c>
      <c r="B3827" s="1" t="n">
        <v>44497</v>
      </c>
      <c r="C3827" s="1" t="n">
        <v>45587</v>
      </c>
      <c r="D3827" t="inlineStr">
        <is>
          <t>GÄVLEBORGS LÄN</t>
        </is>
      </c>
      <c r="E3827" t="inlineStr">
        <is>
          <t>LJUSDAL</t>
        </is>
      </c>
      <c r="F3827" t="inlineStr">
        <is>
          <t>SCA</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60999-2021</t>
        </is>
      </c>
      <c r="B3828" s="1" t="n">
        <v>44497</v>
      </c>
      <c r="C3828" s="1" t="n">
        <v>45587</v>
      </c>
      <c r="D3828" t="inlineStr">
        <is>
          <t>GÄVLEBORGS LÄN</t>
        </is>
      </c>
      <c r="E3828" t="inlineStr">
        <is>
          <t>OVANÅKER</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61012-2021</t>
        </is>
      </c>
      <c r="B3829" s="1" t="n">
        <v>44497</v>
      </c>
      <c r="C3829" s="1" t="n">
        <v>45587</v>
      </c>
      <c r="D3829" t="inlineStr">
        <is>
          <t>GÄVLEBORGS LÄN</t>
        </is>
      </c>
      <c r="E3829" t="inlineStr">
        <is>
          <t>LJUSDAL</t>
        </is>
      </c>
      <c r="F3829" t="inlineStr">
        <is>
          <t>Holmen skog AB</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61010-2021</t>
        </is>
      </c>
      <c r="B3830" s="1" t="n">
        <v>44497</v>
      </c>
      <c r="C3830" s="1" t="n">
        <v>45587</v>
      </c>
      <c r="D3830" t="inlineStr">
        <is>
          <t>GÄVLEBORGS LÄN</t>
        </is>
      </c>
      <c r="E3830" t="inlineStr">
        <is>
          <t>LJUSDAL</t>
        </is>
      </c>
      <c r="F3830" t="inlineStr">
        <is>
          <t>Holmen skog AB</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61164-2021</t>
        </is>
      </c>
      <c r="B3831" s="1" t="n">
        <v>44497</v>
      </c>
      <c r="C3831" s="1" t="n">
        <v>45587</v>
      </c>
      <c r="D3831" t="inlineStr">
        <is>
          <t>GÄVLEBORGS LÄN</t>
        </is>
      </c>
      <c r="E3831" t="inlineStr">
        <is>
          <t>LJUSDAL</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60902-2021</t>
        </is>
      </c>
      <c r="B3832" s="1" t="n">
        <v>44497</v>
      </c>
      <c r="C3832" s="1" t="n">
        <v>45587</v>
      </c>
      <c r="D3832" t="inlineStr">
        <is>
          <t>GÄVLEBORGS LÄN</t>
        </is>
      </c>
      <c r="E3832" t="inlineStr">
        <is>
          <t>LJUSDAL</t>
        </is>
      </c>
      <c r="F3832" t="inlineStr">
        <is>
          <t>Holmen skog AB</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61020-2021</t>
        </is>
      </c>
      <c r="B3833" s="1" t="n">
        <v>44497</v>
      </c>
      <c r="C3833" s="1" t="n">
        <v>45587</v>
      </c>
      <c r="D3833" t="inlineStr">
        <is>
          <t>GÄVLEBORGS LÄN</t>
        </is>
      </c>
      <c r="E3833" t="inlineStr">
        <is>
          <t>OVANÅKER</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61062-2021</t>
        </is>
      </c>
      <c r="B3834" s="1" t="n">
        <v>44497</v>
      </c>
      <c r="C3834" s="1" t="n">
        <v>45587</v>
      </c>
      <c r="D3834" t="inlineStr">
        <is>
          <t>GÄVLEBORGS LÄN</t>
        </is>
      </c>
      <c r="E3834" t="inlineStr">
        <is>
          <t>GÄVLE</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61162-2021</t>
        </is>
      </c>
      <c r="B3835" s="1" t="n">
        <v>44497</v>
      </c>
      <c r="C3835" s="1" t="n">
        <v>45587</v>
      </c>
      <c r="D3835" t="inlineStr">
        <is>
          <t>GÄVLEBORGS LÄN</t>
        </is>
      </c>
      <c r="E3835" t="inlineStr">
        <is>
          <t>LJUSDAL</t>
        </is>
      </c>
      <c r="G3835" t="n">
        <v>11.2</v>
      </c>
      <c r="H3835" t="n">
        <v>0</v>
      </c>
      <c r="I3835" t="n">
        <v>0</v>
      </c>
      <c r="J3835" t="n">
        <v>0</v>
      </c>
      <c r="K3835" t="n">
        <v>0</v>
      </c>
      <c r="L3835" t="n">
        <v>0</v>
      </c>
      <c r="M3835" t="n">
        <v>0</v>
      </c>
      <c r="N3835" t="n">
        <v>0</v>
      </c>
      <c r="O3835" t="n">
        <v>0</v>
      </c>
      <c r="P3835" t="n">
        <v>0</v>
      </c>
      <c r="Q3835" t="n">
        <v>0</v>
      </c>
      <c r="R3835" s="2" t="inlineStr"/>
    </row>
    <row r="3836" ht="15" customHeight="1">
      <c r="A3836" t="inlineStr">
        <is>
          <t>A 60968-2021</t>
        </is>
      </c>
      <c r="B3836" s="1" t="n">
        <v>44497</v>
      </c>
      <c r="C3836" s="1" t="n">
        <v>45587</v>
      </c>
      <c r="D3836" t="inlineStr">
        <is>
          <t>GÄVLEBORGS LÄN</t>
        </is>
      </c>
      <c r="E3836" t="inlineStr">
        <is>
          <t>NORDANSTIG</t>
        </is>
      </c>
      <c r="F3836" t="inlineStr">
        <is>
          <t>Holmen skog AB</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61222-2021</t>
        </is>
      </c>
      <c r="B3837" s="1" t="n">
        <v>44498</v>
      </c>
      <c r="C3837" s="1" t="n">
        <v>45587</v>
      </c>
      <c r="D3837" t="inlineStr">
        <is>
          <t>GÄVLEBORGS LÄN</t>
        </is>
      </c>
      <c r="E3837" t="inlineStr">
        <is>
          <t>GÄVLE</t>
        </is>
      </c>
      <c r="F3837" t="inlineStr">
        <is>
          <t>Bergvik skog öst AB</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61351-2021</t>
        </is>
      </c>
      <c r="B3838" s="1" t="n">
        <v>44498</v>
      </c>
      <c r="C3838" s="1" t="n">
        <v>45587</v>
      </c>
      <c r="D3838" t="inlineStr">
        <is>
          <t>GÄVLEBORGS LÄN</t>
        </is>
      </c>
      <c r="E3838" t="inlineStr">
        <is>
          <t>GÄVLE</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61352-2021</t>
        </is>
      </c>
      <c r="B3839" s="1" t="n">
        <v>44498</v>
      </c>
      <c r="C3839" s="1" t="n">
        <v>45587</v>
      </c>
      <c r="D3839" t="inlineStr">
        <is>
          <t>GÄVLEBORGS LÄN</t>
        </is>
      </c>
      <c r="E3839" t="inlineStr">
        <is>
          <t>GÄVLE</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61502-2021</t>
        </is>
      </c>
      <c r="B3840" s="1" t="n">
        <v>44498</v>
      </c>
      <c r="C3840" s="1" t="n">
        <v>45587</v>
      </c>
      <c r="D3840" t="inlineStr">
        <is>
          <t>GÄVLEBORGS LÄN</t>
        </is>
      </c>
      <c r="E3840" t="inlineStr">
        <is>
          <t>SÖDERHAMN</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61670-2021</t>
        </is>
      </c>
      <c r="B3841" s="1" t="n">
        <v>44501</v>
      </c>
      <c r="C3841" s="1" t="n">
        <v>45587</v>
      </c>
      <c r="D3841" t="inlineStr">
        <is>
          <t>GÄVLEBORGS LÄN</t>
        </is>
      </c>
      <c r="E3841" t="inlineStr">
        <is>
          <t>LJUSDAL</t>
        </is>
      </c>
      <c r="F3841" t="inlineStr">
        <is>
          <t>Holmen skog AB</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61622-2021</t>
        </is>
      </c>
      <c r="B3842" s="1" t="n">
        <v>44501</v>
      </c>
      <c r="C3842" s="1" t="n">
        <v>45587</v>
      </c>
      <c r="D3842" t="inlineStr">
        <is>
          <t>GÄVLEBORGS LÄN</t>
        </is>
      </c>
      <c r="E3842" t="inlineStr">
        <is>
          <t>OCKELBO</t>
        </is>
      </c>
      <c r="F3842" t="inlineStr">
        <is>
          <t>Bergvik skog väst AB</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61694-2021</t>
        </is>
      </c>
      <c r="B3843" s="1" t="n">
        <v>44501</v>
      </c>
      <c r="C3843" s="1" t="n">
        <v>45587</v>
      </c>
      <c r="D3843" t="inlineStr">
        <is>
          <t>GÄVLEBORGS LÄN</t>
        </is>
      </c>
      <c r="E3843" t="inlineStr">
        <is>
          <t>SANDVIKEN</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61616-2021</t>
        </is>
      </c>
      <c r="B3844" s="1" t="n">
        <v>44501</v>
      </c>
      <c r="C3844" s="1" t="n">
        <v>45587</v>
      </c>
      <c r="D3844" t="inlineStr">
        <is>
          <t>GÄVLEBORGS LÄN</t>
        </is>
      </c>
      <c r="E3844" t="inlineStr">
        <is>
          <t>SANDVIKEN</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61729-2021</t>
        </is>
      </c>
      <c r="B3845" s="1" t="n">
        <v>44501</v>
      </c>
      <c r="C3845" s="1" t="n">
        <v>45587</v>
      </c>
      <c r="D3845" t="inlineStr">
        <is>
          <t>GÄVLEBORGS LÄN</t>
        </is>
      </c>
      <c r="E3845" t="inlineStr">
        <is>
          <t>SANDVIKEN</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61777-2021</t>
        </is>
      </c>
      <c r="B3846" s="1" t="n">
        <v>44501</v>
      </c>
      <c r="C3846" s="1" t="n">
        <v>45587</v>
      </c>
      <c r="D3846" t="inlineStr">
        <is>
          <t>GÄVLEBORGS LÄN</t>
        </is>
      </c>
      <c r="E3846" t="inlineStr">
        <is>
          <t>NORDANSTIG</t>
        </is>
      </c>
      <c r="F3846" t="inlineStr">
        <is>
          <t>Holmen skog AB</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61687-2021</t>
        </is>
      </c>
      <c r="B3847" s="1" t="n">
        <v>44501</v>
      </c>
      <c r="C3847" s="1" t="n">
        <v>45587</v>
      </c>
      <c r="D3847" t="inlineStr">
        <is>
          <t>GÄVLEBORGS LÄN</t>
        </is>
      </c>
      <c r="E3847" t="inlineStr">
        <is>
          <t>HOFORS</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61772-2021</t>
        </is>
      </c>
      <c r="B3848" s="1" t="n">
        <v>44501</v>
      </c>
      <c r="C3848" s="1" t="n">
        <v>45587</v>
      </c>
      <c r="D3848" t="inlineStr">
        <is>
          <t>GÄVLEBORGS LÄN</t>
        </is>
      </c>
      <c r="E3848" t="inlineStr">
        <is>
          <t>NORDANSTIG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62089-2021</t>
        </is>
      </c>
      <c r="B3849" s="1" t="n">
        <v>44502</v>
      </c>
      <c r="C3849" s="1" t="n">
        <v>45587</v>
      </c>
      <c r="D3849" t="inlineStr">
        <is>
          <t>GÄVLEBORGS LÄN</t>
        </is>
      </c>
      <c r="E3849" t="inlineStr">
        <is>
          <t>NORDANSTIG</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62111-2021</t>
        </is>
      </c>
      <c r="B3850" s="1" t="n">
        <v>44502</v>
      </c>
      <c r="C3850" s="1" t="n">
        <v>45587</v>
      </c>
      <c r="D3850" t="inlineStr">
        <is>
          <t>GÄVLEBORGS LÄN</t>
        </is>
      </c>
      <c r="E3850" t="inlineStr">
        <is>
          <t>NORDANSTIG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62065-2021</t>
        </is>
      </c>
      <c r="B3851" s="1" t="n">
        <v>44502</v>
      </c>
      <c r="C3851" s="1" t="n">
        <v>45587</v>
      </c>
      <c r="D3851" t="inlineStr">
        <is>
          <t>GÄVLEBORGS LÄN</t>
        </is>
      </c>
      <c r="E3851" t="inlineStr">
        <is>
          <t>NORDANSTIG</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62107-2021</t>
        </is>
      </c>
      <c r="B3852" s="1" t="n">
        <v>44502</v>
      </c>
      <c r="C3852" s="1" t="n">
        <v>45587</v>
      </c>
      <c r="D3852" t="inlineStr">
        <is>
          <t>GÄVLEBORGS LÄN</t>
        </is>
      </c>
      <c r="E3852" t="inlineStr">
        <is>
          <t>BOLLNÄS</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62146-2021</t>
        </is>
      </c>
      <c r="B3853" s="1" t="n">
        <v>44502</v>
      </c>
      <c r="C3853" s="1" t="n">
        <v>45587</v>
      </c>
      <c r="D3853" t="inlineStr">
        <is>
          <t>GÄVLEBORGS LÄN</t>
        </is>
      </c>
      <c r="E3853" t="inlineStr">
        <is>
          <t>LJUSDAL</t>
        </is>
      </c>
      <c r="G3853" t="n">
        <v>6</v>
      </c>
      <c r="H3853" t="n">
        <v>0</v>
      </c>
      <c r="I3853" t="n">
        <v>0</v>
      </c>
      <c r="J3853" t="n">
        <v>0</v>
      </c>
      <c r="K3853" t="n">
        <v>0</v>
      </c>
      <c r="L3853" t="n">
        <v>0</v>
      </c>
      <c r="M3853" t="n">
        <v>0</v>
      </c>
      <c r="N3853" t="n">
        <v>0</v>
      </c>
      <c r="O3853" t="n">
        <v>0</v>
      </c>
      <c r="P3853" t="n">
        <v>0</v>
      </c>
      <c r="Q3853" t="n">
        <v>0</v>
      </c>
      <c r="R3853" s="2" t="inlineStr"/>
    </row>
    <row r="3854" ht="15" customHeight="1">
      <c r="A3854" t="inlineStr">
        <is>
          <t>A 62192-2021</t>
        </is>
      </c>
      <c r="B3854" s="1" t="n">
        <v>44502</v>
      </c>
      <c r="C3854" s="1" t="n">
        <v>45587</v>
      </c>
      <c r="D3854" t="inlineStr">
        <is>
          <t>GÄVLEBORGS LÄN</t>
        </is>
      </c>
      <c r="E3854" t="inlineStr">
        <is>
          <t>GÄVLE</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62250-2021</t>
        </is>
      </c>
      <c r="B3855" s="1" t="n">
        <v>44503</v>
      </c>
      <c r="C3855" s="1" t="n">
        <v>45587</v>
      </c>
      <c r="D3855" t="inlineStr">
        <is>
          <t>GÄVLEBORGS LÄN</t>
        </is>
      </c>
      <c r="E3855" t="inlineStr">
        <is>
          <t>BOLLNÄS</t>
        </is>
      </c>
      <c r="F3855" t="inlineStr">
        <is>
          <t>Bergvik skog väst AB</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62424-2021</t>
        </is>
      </c>
      <c r="B3856" s="1" t="n">
        <v>44503</v>
      </c>
      <c r="C3856" s="1" t="n">
        <v>45587</v>
      </c>
      <c r="D3856" t="inlineStr">
        <is>
          <t>GÄVLEBORGS LÄN</t>
        </is>
      </c>
      <c r="E3856" t="inlineStr">
        <is>
          <t>LJUSDAL</t>
        </is>
      </c>
      <c r="F3856" t="inlineStr">
        <is>
          <t>Holmen skog AB</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62256-2021</t>
        </is>
      </c>
      <c r="B3857" s="1" t="n">
        <v>44503</v>
      </c>
      <c r="C3857" s="1" t="n">
        <v>45587</v>
      </c>
      <c r="D3857" t="inlineStr">
        <is>
          <t>GÄVLEBORGS LÄN</t>
        </is>
      </c>
      <c r="E3857" t="inlineStr">
        <is>
          <t>LJUSDAL</t>
        </is>
      </c>
      <c r="F3857" t="inlineStr">
        <is>
          <t>Holmen skog AB</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62522-2021</t>
        </is>
      </c>
      <c r="B3858" s="1" t="n">
        <v>44503</v>
      </c>
      <c r="C3858" s="1" t="n">
        <v>45587</v>
      </c>
      <c r="D3858" t="inlineStr">
        <is>
          <t>GÄVLEBORGS LÄN</t>
        </is>
      </c>
      <c r="E3858" t="inlineStr">
        <is>
          <t>HUDIKSVALL</t>
        </is>
      </c>
      <c r="F3858" t="inlineStr">
        <is>
          <t>Holmen skog AB</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62583-2021</t>
        </is>
      </c>
      <c r="B3859" s="1" t="n">
        <v>44503</v>
      </c>
      <c r="C3859" s="1" t="n">
        <v>45587</v>
      </c>
      <c r="D3859" t="inlineStr">
        <is>
          <t>GÄVLEBORGS LÄN</t>
        </is>
      </c>
      <c r="E3859" t="inlineStr">
        <is>
          <t>LJUSDAL</t>
        </is>
      </c>
      <c r="F3859" t="inlineStr">
        <is>
          <t>Holmen skog AB</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62450-2021</t>
        </is>
      </c>
      <c r="B3860" s="1" t="n">
        <v>44503</v>
      </c>
      <c r="C3860" s="1" t="n">
        <v>45587</v>
      </c>
      <c r="D3860" t="inlineStr">
        <is>
          <t>GÄVLEBORGS LÄN</t>
        </is>
      </c>
      <c r="E3860" t="inlineStr">
        <is>
          <t>NORDANSTIG</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62321-2021</t>
        </is>
      </c>
      <c r="B3861" s="1" t="n">
        <v>44503</v>
      </c>
      <c r="C3861" s="1" t="n">
        <v>45587</v>
      </c>
      <c r="D3861" t="inlineStr">
        <is>
          <t>GÄVLEBORGS LÄN</t>
        </is>
      </c>
      <c r="E3861" t="inlineStr">
        <is>
          <t>HUDIKSVALL</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62505-2021</t>
        </is>
      </c>
      <c r="B3862" s="1" t="n">
        <v>44503</v>
      </c>
      <c r="C3862" s="1" t="n">
        <v>45587</v>
      </c>
      <c r="D3862" t="inlineStr">
        <is>
          <t>GÄVLEBORGS LÄN</t>
        </is>
      </c>
      <c r="E3862" t="inlineStr">
        <is>
          <t>LJUSDAL</t>
        </is>
      </c>
      <c r="F3862" t="inlineStr">
        <is>
          <t>Holmen skog AB</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62595-2021</t>
        </is>
      </c>
      <c r="B3863" s="1" t="n">
        <v>44503</v>
      </c>
      <c r="C3863" s="1" t="n">
        <v>45587</v>
      </c>
      <c r="D3863" t="inlineStr">
        <is>
          <t>GÄVLEBORGS LÄN</t>
        </is>
      </c>
      <c r="E3863" t="inlineStr">
        <is>
          <t>OVANÅKER</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62465-2021</t>
        </is>
      </c>
      <c r="B3864" s="1" t="n">
        <v>44503</v>
      </c>
      <c r="C3864" s="1" t="n">
        <v>45587</v>
      </c>
      <c r="D3864" t="inlineStr">
        <is>
          <t>GÄVLEBORGS LÄN</t>
        </is>
      </c>
      <c r="E3864" t="inlineStr">
        <is>
          <t>NORDANSTIG</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62532-2021</t>
        </is>
      </c>
      <c r="B3865" s="1" t="n">
        <v>44503</v>
      </c>
      <c r="C3865" s="1" t="n">
        <v>45587</v>
      </c>
      <c r="D3865" t="inlineStr">
        <is>
          <t>GÄVLEBORGS LÄN</t>
        </is>
      </c>
      <c r="E3865" t="inlineStr">
        <is>
          <t>HUDIKSVALL</t>
        </is>
      </c>
      <c r="F3865" t="inlineStr">
        <is>
          <t>Holmen skog AB</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62538-2021</t>
        </is>
      </c>
      <c r="B3866" s="1" t="n">
        <v>44503</v>
      </c>
      <c r="C3866" s="1" t="n">
        <v>45587</v>
      </c>
      <c r="D3866" t="inlineStr">
        <is>
          <t>GÄVLEBORGS LÄN</t>
        </is>
      </c>
      <c r="E3866" t="inlineStr">
        <is>
          <t>SÖDERHAMN</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62568-2021</t>
        </is>
      </c>
      <c r="B3867" s="1" t="n">
        <v>44503</v>
      </c>
      <c r="C3867" s="1" t="n">
        <v>45587</v>
      </c>
      <c r="D3867" t="inlineStr">
        <is>
          <t>GÄVLEBORGS LÄN</t>
        </is>
      </c>
      <c r="E3867" t="inlineStr">
        <is>
          <t>HUDIKSVALL</t>
        </is>
      </c>
      <c r="F3867" t="inlineStr">
        <is>
          <t>Holmen skog AB</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62589-2021</t>
        </is>
      </c>
      <c r="B3868" s="1" t="n">
        <v>44503</v>
      </c>
      <c r="C3868" s="1" t="n">
        <v>45587</v>
      </c>
      <c r="D3868" t="inlineStr">
        <is>
          <t>GÄVLEBORGS LÄN</t>
        </is>
      </c>
      <c r="E3868" t="inlineStr">
        <is>
          <t>OCKELBO</t>
        </is>
      </c>
      <c r="F3868" t="inlineStr">
        <is>
          <t>Bergvik skog väst AB</t>
        </is>
      </c>
      <c r="G3868" t="n">
        <v>6.5</v>
      </c>
      <c r="H3868" t="n">
        <v>0</v>
      </c>
      <c r="I3868" t="n">
        <v>0</v>
      </c>
      <c r="J3868" t="n">
        <v>0</v>
      </c>
      <c r="K3868" t="n">
        <v>0</v>
      </c>
      <c r="L3868" t="n">
        <v>0</v>
      </c>
      <c r="M3868" t="n">
        <v>0</v>
      </c>
      <c r="N3868" t="n">
        <v>0</v>
      </c>
      <c r="O3868" t="n">
        <v>0</v>
      </c>
      <c r="P3868" t="n">
        <v>0</v>
      </c>
      <c r="Q3868" t="n">
        <v>0</v>
      </c>
      <c r="R3868" s="2" t="inlineStr"/>
    </row>
    <row r="3869" ht="15" customHeight="1">
      <c r="A3869" t="inlineStr">
        <is>
          <t>A 62650-2021</t>
        </is>
      </c>
      <c r="B3869" s="1" t="n">
        <v>44503</v>
      </c>
      <c r="C3869" s="1" t="n">
        <v>45587</v>
      </c>
      <c r="D3869" t="inlineStr">
        <is>
          <t>GÄVLEBORGS LÄN</t>
        </is>
      </c>
      <c r="E3869" t="inlineStr">
        <is>
          <t>LJUSDAL</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62774-2021</t>
        </is>
      </c>
      <c r="B3870" s="1" t="n">
        <v>44503</v>
      </c>
      <c r="C3870" s="1" t="n">
        <v>45587</v>
      </c>
      <c r="D3870" t="inlineStr">
        <is>
          <t>GÄVLEBORGS LÄN</t>
        </is>
      </c>
      <c r="E3870" t="inlineStr">
        <is>
          <t>OVANÅKER</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62707-2021</t>
        </is>
      </c>
      <c r="B3871" s="1" t="n">
        <v>44504</v>
      </c>
      <c r="C3871" s="1" t="n">
        <v>45587</v>
      </c>
      <c r="D3871" t="inlineStr">
        <is>
          <t>GÄVLEBORGS LÄN</t>
        </is>
      </c>
      <c r="E3871" t="inlineStr">
        <is>
          <t>LJUSDAL</t>
        </is>
      </c>
      <c r="F3871" t="inlineStr">
        <is>
          <t>Holmen skog AB</t>
        </is>
      </c>
      <c r="G3871" t="n">
        <v>0.2</v>
      </c>
      <c r="H3871" t="n">
        <v>0</v>
      </c>
      <c r="I3871" t="n">
        <v>0</v>
      </c>
      <c r="J3871" t="n">
        <v>0</v>
      </c>
      <c r="K3871" t="n">
        <v>0</v>
      </c>
      <c r="L3871" t="n">
        <v>0</v>
      </c>
      <c r="M3871" t="n">
        <v>0</v>
      </c>
      <c r="N3871" t="n">
        <v>0</v>
      </c>
      <c r="O3871" t="n">
        <v>0</v>
      </c>
      <c r="P3871" t="n">
        <v>0</v>
      </c>
      <c r="Q3871" t="n">
        <v>0</v>
      </c>
      <c r="R3871" s="2" t="inlineStr"/>
    </row>
    <row r="3872" ht="15" customHeight="1">
      <c r="A3872" t="inlineStr">
        <is>
          <t>A 62875-2021</t>
        </is>
      </c>
      <c r="B3872" s="1" t="n">
        <v>44504</v>
      </c>
      <c r="C3872" s="1" t="n">
        <v>45587</v>
      </c>
      <c r="D3872" t="inlineStr">
        <is>
          <t>GÄVLEBORGS LÄN</t>
        </is>
      </c>
      <c r="E3872" t="inlineStr">
        <is>
          <t>HOFORS</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63108-2021</t>
        </is>
      </c>
      <c r="B3873" s="1" t="n">
        <v>44505</v>
      </c>
      <c r="C3873" s="1" t="n">
        <v>45587</v>
      </c>
      <c r="D3873" t="inlineStr">
        <is>
          <t>GÄVLEBORGS LÄN</t>
        </is>
      </c>
      <c r="E3873" t="inlineStr">
        <is>
          <t>BOLLNÄS</t>
        </is>
      </c>
      <c r="F3873" t="inlineStr">
        <is>
          <t>Bergvik skog väst AB</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63128-2021</t>
        </is>
      </c>
      <c r="B3874" s="1" t="n">
        <v>44505</v>
      </c>
      <c r="C3874" s="1" t="n">
        <v>45587</v>
      </c>
      <c r="D3874" t="inlineStr">
        <is>
          <t>GÄVLEBORGS LÄN</t>
        </is>
      </c>
      <c r="E3874" t="inlineStr">
        <is>
          <t>BOLLNÄS</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62990-2021</t>
        </is>
      </c>
      <c r="B3875" s="1" t="n">
        <v>44505</v>
      </c>
      <c r="C3875" s="1" t="n">
        <v>45587</v>
      </c>
      <c r="D3875" t="inlineStr">
        <is>
          <t>GÄVLEBORGS LÄN</t>
        </is>
      </c>
      <c r="E3875" t="inlineStr">
        <is>
          <t>BOLLNÄS</t>
        </is>
      </c>
      <c r="F3875" t="inlineStr">
        <is>
          <t>Bergvik skog väst AB</t>
        </is>
      </c>
      <c r="G3875" t="n">
        <v>11.6</v>
      </c>
      <c r="H3875" t="n">
        <v>0</v>
      </c>
      <c r="I3875" t="n">
        <v>0</v>
      </c>
      <c r="J3875" t="n">
        <v>0</v>
      </c>
      <c r="K3875" t="n">
        <v>0</v>
      </c>
      <c r="L3875" t="n">
        <v>0</v>
      </c>
      <c r="M3875" t="n">
        <v>0</v>
      </c>
      <c r="N3875" t="n">
        <v>0</v>
      </c>
      <c r="O3875" t="n">
        <v>0</v>
      </c>
      <c r="P3875" t="n">
        <v>0</v>
      </c>
      <c r="Q3875" t="n">
        <v>0</v>
      </c>
      <c r="R3875" s="2" t="inlineStr"/>
    </row>
    <row r="3876" ht="15" customHeight="1">
      <c r="A3876" t="inlineStr">
        <is>
          <t>A 62983-2021</t>
        </is>
      </c>
      <c r="B3876" s="1" t="n">
        <v>44505</v>
      </c>
      <c r="C3876" s="1" t="n">
        <v>45587</v>
      </c>
      <c r="D3876" t="inlineStr">
        <is>
          <t>GÄVLEBORGS LÄN</t>
        </is>
      </c>
      <c r="E3876" t="inlineStr">
        <is>
          <t>BOLLNÄS</t>
        </is>
      </c>
      <c r="F3876" t="inlineStr">
        <is>
          <t>Bergvik skog väst AB</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62991-2021</t>
        </is>
      </c>
      <c r="B3877" s="1" t="n">
        <v>44505</v>
      </c>
      <c r="C3877" s="1" t="n">
        <v>45587</v>
      </c>
      <c r="D3877" t="inlineStr">
        <is>
          <t>GÄVLEBORGS LÄN</t>
        </is>
      </c>
      <c r="E3877" t="inlineStr">
        <is>
          <t>LJUSDAL</t>
        </is>
      </c>
      <c r="F3877" t="inlineStr">
        <is>
          <t>Bergvik skog väst AB</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62978-2021</t>
        </is>
      </c>
      <c r="B3878" s="1" t="n">
        <v>44505</v>
      </c>
      <c r="C3878" s="1" t="n">
        <v>45587</v>
      </c>
      <c r="D3878" t="inlineStr">
        <is>
          <t>GÄVLEBORGS LÄN</t>
        </is>
      </c>
      <c r="E3878" t="inlineStr">
        <is>
          <t>BOLLNÄS</t>
        </is>
      </c>
      <c r="F3878" t="inlineStr">
        <is>
          <t>Bergvik skog väst AB</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63084-2021</t>
        </is>
      </c>
      <c r="B3879" s="1" t="n">
        <v>44505</v>
      </c>
      <c r="C3879" s="1" t="n">
        <v>45587</v>
      </c>
      <c r="D3879" t="inlineStr">
        <is>
          <t>GÄVLEBORGS LÄN</t>
        </is>
      </c>
      <c r="E3879" t="inlineStr">
        <is>
          <t>SANDVIKEN</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63109-2021</t>
        </is>
      </c>
      <c r="B3880" s="1" t="n">
        <v>44505</v>
      </c>
      <c r="C3880" s="1" t="n">
        <v>45587</v>
      </c>
      <c r="D3880" t="inlineStr">
        <is>
          <t>GÄVLEBORGS LÄN</t>
        </is>
      </c>
      <c r="E3880" t="inlineStr">
        <is>
          <t>OVANÅKER</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63121-2021</t>
        </is>
      </c>
      <c r="B3881" s="1" t="n">
        <v>44505</v>
      </c>
      <c r="C3881" s="1" t="n">
        <v>45587</v>
      </c>
      <c r="D3881" t="inlineStr">
        <is>
          <t>GÄVLEBORGS LÄN</t>
        </is>
      </c>
      <c r="E3881" t="inlineStr">
        <is>
          <t>BOLLNÄS</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63033-2021</t>
        </is>
      </c>
      <c r="B3882" s="1" t="n">
        <v>44505</v>
      </c>
      <c r="C3882" s="1" t="n">
        <v>45587</v>
      </c>
      <c r="D3882" t="inlineStr">
        <is>
          <t>GÄVLEBORGS LÄN</t>
        </is>
      </c>
      <c r="E3882" t="inlineStr">
        <is>
          <t>SANDVIKEN</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63127-2021</t>
        </is>
      </c>
      <c r="B3883" s="1" t="n">
        <v>44505</v>
      </c>
      <c r="C3883" s="1" t="n">
        <v>45587</v>
      </c>
      <c r="D3883" t="inlineStr">
        <is>
          <t>GÄVLEBORGS LÄN</t>
        </is>
      </c>
      <c r="E3883" t="inlineStr">
        <is>
          <t>BOLLNÄS</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63086-2021</t>
        </is>
      </c>
      <c r="B3884" s="1" t="n">
        <v>44505</v>
      </c>
      <c r="C3884" s="1" t="n">
        <v>45587</v>
      </c>
      <c r="D3884" t="inlineStr">
        <is>
          <t>GÄVLEBORGS LÄN</t>
        </is>
      </c>
      <c r="E3884" t="inlineStr">
        <is>
          <t>SANDVIKEN</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63149-2021</t>
        </is>
      </c>
      <c r="B3885" s="1" t="n">
        <v>44505</v>
      </c>
      <c r="C3885" s="1" t="n">
        <v>45587</v>
      </c>
      <c r="D3885" t="inlineStr">
        <is>
          <t>GÄVLEBORGS LÄN</t>
        </is>
      </c>
      <c r="E3885" t="inlineStr">
        <is>
          <t>LJUSDAL</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63528-2021</t>
        </is>
      </c>
      <c r="B3886" s="1" t="n">
        <v>44508</v>
      </c>
      <c r="C3886" s="1" t="n">
        <v>45587</v>
      </c>
      <c r="D3886" t="inlineStr">
        <is>
          <t>GÄVLEBORGS LÄN</t>
        </is>
      </c>
      <c r="E3886" t="inlineStr">
        <is>
          <t>LJUSDAL</t>
        </is>
      </c>
      <c r="F3886" t="inlineStr">
        <is>
          <t>Holmen skog AB</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63249-2021</t>
        </is>
      </c>
      <c r="B3887" s="1" t="n">
        <v>44508</v>
      </c>
      <c r="C3887" s="1" t="n">
        <v>45587</v>
      </c>
      <c r="D3887" t="inlineStr">
        <is>
          <t>GÄVLEBORGS LÄN</t>
        </is>
      </c>
      <c r="E3887" t="inlineStr">
        <is>
          <t>OCKELBO</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63423-2021</t>
        </is>
      </c>
      <c r="B3888" s="1" t="n">
        <v>44508</v>
      </c>
      <c r="C3888" s="1" t="n">
        <v>45587</v>
      </c>
      <c r="D3888" t="inlineStr">
        <is>
          <t>GÄVLEBORGS LÄN</t>
        </is>
      </c>
      <c r="E3888" t="inlineStr">
        <is>
          <t>SÖDERHAMN</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63431-2021</t>
        </is>
      </c>
      <c r="B3889" s="1" t="n">
        <v>44508</v>
      </c>
      <c r="C3889" s="1" t="n">
        <v>45587</v>
      </c>
      <c r="D3889" t="inlineStr">
        <is>
          <t>GÄVLEBORGS LÄN</t>
        </is>
      </c>
      <c r="E3889" t="inlineStr">
        <is>
          <t>SÖDERHAMN</t>
        </is>
      </c>
      <c r="F3889" t="inlineStr">
        <is>
          <t>Bergvik skog väst AB</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63731-2021</t>
        </is>
      </c>
      <c r="B3890" s="1" t="n">
        <v>44509</v>
      </c>
      <c r="C3890" s="1" t="n">
        <v>45587</v>
      </c>
      <c r="D3890" t="inlineStr">
        <is>
          <t>GÄVLEBORGS LÄN</t>
        </is>
      </c>
      <c r="E3890" t="inlineStr">
        <is>
          <t>OCKELBO</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63803-2021</t>
        </is>
      </c>
      <c r="B3891" s="1" t="n">
        <v>44509</v>
      </c>
      <c r="C3891" s="1" t="n">
        <v>45587</v>
      </c>
      <c r="D3891" t="inlineStr">
        <is>
          <t>GÄVLEBORGS LÄN</t>
        </is>
      </c>
      <c r="E3891" t="inlineStr">
        <is>
          <t>BOLLNÄS</t>
        </is>
      </c>
      <c r="F3891" t="inlineStr">
        <is>
          <t>Bergvik skog väst AB</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63825-2021</t>
        </is>
      </c>
      <c r="B3892" s="1" t="n">
        <v>44509</v>
      </c>
      <c r="C3892" s="1" t="n">
        <v>45587</v>
      </c>
      <c r="D3892" t="inlineStr">
        <is>
          <t>GÄVLEBORGS LÄN</t>
        </is>
      </c>
      <c r="E3892" t="inlineStr">
        <is>
          <t>HUDIKSVALL</t>
        </is>
      </c>
      <c r="F3892" t="inlineStr">
        <is>
          <t>Holmen skog AB</t>
        </is>
      </c>
      <c r="G3892" t="n">
        <v>14.3</v>
      </c>
      <c r="H3892" t="n">
        <v>0</v>
      </c>
      <c r="I3892" t="n">
        <v>0</v>
      </c>
      <c r="J3892" t="n">
        <v>0</v>
      </c>
      <c r="K3892" t="n">
        <v>0</v>
      </c>
      <c r="L3892" t="n">
        <v>0</v>
      </c>
      <c r="M3892" t="n">
        <v>0</v>
      </c>
      <c r="N3892" t="n">
        <v>0</v>
      </c>
      <c r="O3892" t="n">
        <v>0</v>
      </c>
      <c r="P3892" t="n">
        <v>0</v>
      </c>
      <c r="Q3892" t="n">
        <v>0</v>
      </c>
      <c r="R3892" s="2" t="inlineStr"/>
    </row>
    <row r="3893" ht="15" customHeight="1">
      <c r="A3893" t="inlineStr">
        <is>
          <t>A 63621-2021</t>
        </is>
      </c>
      <c r="B3893" s="1" t="n">
        <v>44509</v>
      </c>
      <c r="C3893" s="1" t="n">
        <v>45587</v>
      </c>
      <c r="D3893" t="inlineStr">
        <is>
          <t>GÄVLEBORGS LÄN</t>
        </is>
      </c>
      <c r="E3893" t="inlineStr">
        <is>
          <t>SANDVIKEN</t>
        </is>
      </c>
      <c r="F3893" t="inlineStr">
        <is>
          <t>Kommuner</t>
        </is>
      </c>
      <c r="G3893" t="n">
        <v>18.3</v>
      </c>
      <c r="H3893" t="n">
        <v>0</v>
      </c>
      <c r="I3893" t="n">
        <v>0</v>
      </c>
      <c r="J3893" t="n">
        <v>0</v>
      </c>
      <c r="K3893" t="n">
        <v>0</v>
      </c>
      <c r="L3893" t="n">
        <v>0</v>
      </c>
      <c r="M3893" t="n">
        <v>0</v>
      </c>
      <c r="N3893" t="n">
        <v>0</v>
      </c>
      <c r="O3893" t="n">
        <v>0</v>
      </c>
      <c r="P3893" t="n">
        <v>0</v>
      </c>
      <c r="Q3893" t="n">
        <v>0</v>
      </c>
      <c r="R3893" s="2" t="inlineStr"/>
    </row>
    <row r="3894" ht="15" customHeight="1">
      <c r="A3894" t="inlineStr">
        <is>
          <t>A 63695-2021</t>
        </is>
      </c>
      <c r="B3894" s="1" t="n">
        <v>44509</v>
      </c>
      <c r="C3894" s="1" t="n">
        <v>45587</v>
      </c>
      <c r="D3894" t="inlineStr">
        <is>
          <t>GÄVLEBORGS LÄN</t>
        </is>
      </c>
      <c r="E3894" t="inlineStr">
        <is>
          <t>BOLLNÄS</t>
        </is>
      </c>
      <c r="F3894" t="inlineStr">
        <is>
          <t>Bergvik skog väst AB</t>
        </is>
      </c>
      <c r="G3894" t="n">
        <v>5.1</v>
      </c>
      <c r="H3894" t="n">
        <v>0</v>
      </c>
      <c r="I3894" t="n">
        <v>0</v>
      </c>
      <c r="J3894" t="n">
        <v>0</v>
      </c>
      <c r="K3894" t="n">
        <v>0</v>
      </c>
      <c r="L3894" t="n">
        <v>0</v>
      </c>
      <c r="M3894" t="n">
        <v>0</v>
      </c>
      <c r="N3894" t="n">
        <v>0</v>
      </c>
      <c r="O3894" t="n">
        <v>0</v>
      </c>
      <c r="P3894" t="n">
        <v>0</v>
      </c>
      <c r="Q3894" t="n">
        <v>0</v>
      </c>
      <c r="R3894" s="2" t="inlineStr"/>
    </row>
    <row r="3895" ht="15" customHeight="1">
      <c r="A3895" t="inlineStr">
        <is>
          <t>A 63702-2021</t>
        </is>
      </c>
      <c r="B3895" s="1" t="n">
        <v>44509</v>
      </c>
      <c r="C3895" s="1" t="n">
        <v>45587</v>
      </c>
      <c r="D3895" t="inlineStr">
        <is>
          <t>GÄVLEBORGS LÄN</t>
        </is>
      </c>
      <c r="E3895" t="inlineStr">
        <is>
          <t>BOLLNÄS</t>
        </is>
      </c>
      <c r="F3895" t="inlineStr">
        <is>
          <t>Bergvik skog väst AB</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63758-2021</t>
        </is>
      </c>
      <c r="B3896" s="1" t="n">
        <v>44509</v>
      </c>
      <c r="C3896" s="1" t="n">
        <v>45587</v>
      </c>
      <c r="D3896" t="inlineStr">
        <is>
          <t>GÄVLEBORGS LÄN</t>
        </is>
      </c>
      <c r="E3896" t="inlineStr">
        <is>
          <t>BOLLNÄS</t>
        </is>
      </c>
      <c r="F3896" t="inlineStr">
        <is>
          <t>Bergvik skog väst AB</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63656-2021</t>
        </is>
      </c>
      <c r="B3897" s="1" t="n">
        <v>44509</v>
      </c>
      <c r="C3897" s="1" t="n">
        <v>45587</v>
      </c>
      <c r="D3897" t="inlineStr">
        <is>
          <t>GÄVLEBORGS LÄN</t>
        </is>
      </c>
      <c r="E3897" t="inlineStr">
        <is>
          <t>NORDANSTIG</t>
        </is>
      </c>
      <c r="F3897" t="inlineStr">
        <is>
          <t>Holmen skog AB</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63706-2021</t>
        </is>
      </c>
      <c r="B3898" s="1" t="n">
        <v>44509</v>
      </c>
      <c r="C3898" s="1" t="n">
        <v>45587</v>
      </c>
      <c r="D3898" t="inlineStr">
        <is>
          <t>GÄVLEBORGS LÄN</t>
        </is>
      </c>
      <c r="E3898" t="inlineStr">
        <is>
          <t>BOLLNÄS</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63727-2021</t>
        </is>
      </c>
      <c r="B3899" s="1" t="n">
        <v>44509</v>
      </c>
      <c r="C3899" s="1" t="n">
        <v>45587</v>
      </c>
      <c r="D3899" t="inlineStr">
        <is>
          <t>GÄVLEBORGS LÄN</t>
        </is>
      </c>
      <c r="E3899" t="inlineStr">
        <is>
          <t>BOLLNÄS</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63783-2021</t>
        </is>
      </c>
      <c r="B3900" s="1" t="n">
        <v>44509</v>
      </c>
      <c r="C3900" s="1" t="n">
        <v>45587</v>
      </c>
      <c r="D3900" t="inlineStr">
        <is>
          <t>GÄVLEBORGS LÄN</t>
        </is>
      </c>
      <c r="E3900" t="inlineStr">
        <is>
          <t>HUDIKSVALL</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63798-2021</t>
        </is>
      </c>
      <c r="B3901" s="1" t="n">
        <v>44509</v>
      </c>
      <c r="C3901" s="1" t="n">
        <v>45587</v>
      </c>
      <c r="D3901" t="inlineStr">
        <is>
          <t>GÄVLEBORGS LÄN</t>
        </is>
      </c>
      <c r="E3901" t="inlineStr">
        <is>
          <t>HUDIKSVALL</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63882-2021</t>
        </is>
      </c>
      <c r="B3902" s="1" t="n">
        <v>44509</v>
      </c>
      <c r="C3902" s="1" t="n">
        <v>45587</v>
      </c>
      <c r="D3902" t="inlineStr">
        <is>
          <t>GÄVLEBORGS LÄN</t>
        </is>
      </c>
      <c r="E3902" t="inlineStr">
        <is>
          <t>BOLLNÄS</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63697-2021</t>
        </is>
      </c>
      <c r="B3903" s="1" t="n">
        <v>44509</v>
      </c>
      <c r="C3903" s="1" t="n">
        <v>45587</v>
      </c>
      <c r="D3903" t="inlineStr">
        <is>
          <t>GÄVLEBORGS LÄN</t>
        </is>
      </c>
      <c r="E3903" t="inlineStr">
        <is>
          <t>BOLLNÄS</t>
        </is>
      </c>
      <c r="F3903" t="inlineStr">
        <is>
          <t>Bergvik skog väst AB</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63703-2021</t>
        </is>
      </c>
      <c r="B3904" s="1" t="n">
        <v>44509</v>
      </c>
      <c r="C3904" s="1" t="n">
        <v>45587</v>
      </c>
      <c r="D3904" t="inlineStr">
        <is>
          <t>GÄVLEBORGS LÄN</t>
        </is>
      </c>
      <c r="E3904" t="inlineStr">
        <is>
          <t>NORDANSTIG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63716-2021</t>
        </is>
      </c>
      <c r="B3905" s="1" t="n">
        <v>44509</v>
      </c>
      <c r="C3905" s="1" t="n">
        <v>45587</v>
      </c>
      <c r="D3905" t="inlineStr">
        <is>
          <t>GÄVLEBORGS LÄN</t>
        </is>
      </c>
      <c r="E3905" t="inlineStr">
        <is>
          <t>BOLLNÄS</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63750-2021</t>
        </is>
      </c>
      <c r="B3906" s="1" t="n">
        <v>44509</v>
      </c>
      <c r="C3906" s="1" t="n">
        <v>45587</v>
      </c>
      <c r="D3906" t="inlineStr">
        <is>
          <t>GÄVLEBORGS LÄN</t>
        </is>
      </c>
      <c r="E3906" t="inlineStr">
        <is>
          <t>BOLLNÄS</t>
        </is>
      </c>
      <c r="F3906" t="inlineStr">
        <is>
          <t>Bergvik skog väst AB</t>
        </is>
      </c>
      <c r="G3906" t="n">
        <v>14.2</v>
      </c>
      <c r="H3906" t="n">
        <v>0</v>
      </c>
      <c r="I3906" t="n">
        <v>0</v>
      </c>
      <c r="J3906" t="n">
        <v>0</v>
      </c>
      <c r="K3906" t="n">
        <v>0</v>
      </c>
      <c r="L3906" t="n">
        <v>0</v>
      </c>
      <c r="M3906" t="n">
        <v>0</v>
      </c>
      <c r="N3906" t="n">
        <v>0</v>
      </c>
      <c r="O3906" t="n">
        <v>0</v>
      </c>
      <c r="P3906" t="n">
        <v>0</v>
      </c>
      <c r="Q3906" t="n">
        <v>0</v>
      </c>
      <c r="R3906" s="2" t="inlineStr"/>
    </row>
    <row r="3907" ht="15" customHeight="1">
      <c r="A3907" t="inlineStr">
        <is>
          <t>A 63760-2021</t>
        </is>
      </c>
      <c r="B3907" s="1" t="n">
        <v>44509</v>
      </c>
      <c r="C3907" s="1" t="n">
        <v>45587</v>
      </c>
      <c r="D3907" t="inlineStr">
        <is>
          <t>GÄVLEBORGS LÄN</t>
        </is>
      </c>
      <c r="E3907" t="inlineStr">
        <is>
          <t>LJUSDAL</t>
        </is>
      </c>
      <c r="F3907" t="inlineStr">
        <is>
          <t>Holmen skog AB</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63884-2021</t>
        </is>
      </c>
      <c r="B3908" s="1" t="n">
        <v>44509</v>
      </c>
      <c r="C3908" s="1" t="n">
        <v>45587</v>
      </c>
      <c r="D3908" t="inlineStr">
        <is>
          <t>GÄVLEBORGS LÄN</t>
        </is>
      </c>
      <c r="E3908" t="inlineStr">
        <is>
          <t>BOLLNÄS</t>
        </is>
      </c>
      <c r="F3908" t="inlineStr">
        <is>
          <t>Bergvik skog väst AB</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64068-2021</t>
        </is>
      </c>
      <c r="B3909" s="1" t="n">
        <v>44510</v>
      </c>
      <c r="C3909" s="1" t="n">
        <v>45587</v>
      </c>
      <c r="D3909" t="inlineStr">
        <is>
          <t>GÄVLEBORGS LÄN</t>
        </is>
      </c>
      <c r="E3909" t="inlineStr">
        <is>
          <t>SANDVIKEN</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64152-2021</t>
        </is>
      </c>
      <c r="B3910" s="1" t="n">
        <v>44510</v>
      </c>
      <c r="C3910" s="1" t="n">
        <v>45587</v>
      </c>
      <c r="D3910" t="inlineStr">
        <is>
          <t>GÄVLEBORGS LÄN</t>
        </is>
      </c>
      <c r="E3910" t="inlineStr">
        <is>
          <t>SÖDERHAMN</t>
        </is>
      </c>
      <c r="F3910" t="inlineStr">
        <is>
          <t>Bergvik skog väst AB</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64120-2021</t>
        </is>
      </c>
      <c r="B3911" s="1" t="n">
        <v>44510</v>
      </c>
      <c r="C3911" s="1" t="n">
        <v>45587</v>
      </c>
      <c r="D3911" t="inlineStr">
        <is>
          <t>GÄVLEBORGS LÄN</t>
        </is>
      </c>
      <c r="E3911" t="inlineStr">
        <is>
          <t>LJUSDAL</t>
        </is>
      </c>
      <c r="F3911" t="inlineStr">
        <is>
          <t>Kommuner</t>
        </is>
      </c>
      <c r="G3911" t="n">
        <v>7.3</v>
      </c>
      <c r="H3911" t="n">
        <v>0</v>
      </c>
      <c r="I3911" t="n">
        <v>0</v>
      </c>
      <c r="J3911" t="n">
        <v>0</v>
      </c>
      <c r="K3911" t="n">
        <v>0</v>
      </c>
      <c r="L3911" t="n">
        <v>0</v>
      </c>
      <c r="M3911" t="n">
        <v>0</v>
      </c>
      <c r="N3911" t="n">
        <v>0</v>
      </c>
      <c r="O3911" t="n">
        <v>0</v>
      </c>
      <c r="P3911" t="n">
        <v>0</v>
      </c>
      <c r="Q3911" t="n">
        <v>0</v>
      </c>
      <c r="R3911" s="2" t="inlineStr"/>
    </row>
    <row r="3912" ht="15" customHeight="1">
      <c r="A3912" t="inlineStr">
        <is>
          <t>A 64215-2021</t>
        </is>
      </c>
      <c r="B3912" s="1" t="n">
        <v>44510</v>
      </c>
      <c r="C3912" s="1" t="n">
        <v>45587</v>
      </c>
      <c r="D3912" t="inlineStr">
        <is>
          <t>GÄVLEBORGS LÄN</t>
        </is>
      </c>
      <c r="E3912" t="inlineStr">
        <is>
          <t>SÖDERHAMN</t>
        </is>
      </c>
      <c r="F3912" t="inlineStr">
        <is>
          <t>Bergvik skog väst AB</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64225-2021</t>
        </is>
      </c>
      <c r="B3913" s="1" t="n">
        <v>44510</v>
      </c>
      <c r="C3913" s="1" t="n">
        <v>45587</v>
      </c>
      <c r="D3913" t="inlineStr">
        <is>
          <t>GÄVLEBORGS LÄN</t>
        </is>
      </c>
      <c r="E3913" t="inlineStr">
        <is>
          <t>SANDVIKEN</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64344-2021</t>
        </is>
      </c>
      <c r="B3914" s="1" t="n">
        <v>44511</v>
      </c>
      <c r="C3914" s="1" t="n">
        <v>45587</v>
      </c>
      <c r="D3914" t="inlineStr">
        <is>
          <t>GÄVLEBORGS LÄN</t>
        </is>
      </c>
      <c r="E3914" t="inlineStr">
        <is>
          <t>HUDIKSVALL</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64423-2021</t>
        </is>
      </c>
      <c r="B3915" s="1" t="n">
        <v>44511</v>
      </c>
      <c r="C3915" s="1" t="n">
        <v>45587</v>
      </c>
      <c r="D3915" t="inlineStr">
        <is>
          <t>GÄVLEBORGS LÄN</t>
        </is>
      </c>
      <c r="E3915" t="inlineStr">
        <is>
          <t>LJUSDAL</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64556-2021</t>
        </is>
      </c>
      <c r="B3916" s="1" t="n">
        <v>44511</v>
      </c>
      <c r="C3916" s="1" t="n">
        <v>45587</v>
      </c>
      <c r="D3916" t="inlineStr">
        <is>
          <t>GÄVLEBORGS LÄN</t>
        </is>
      </c>
      <c r="E3916" t="inlineStr">
        <is>
          <t>LJUSDAL</t>
        </is>
      </c>
      <c r="F3916" t="inlineStr">
        <is>
          <t>Holmen skog AB</t>
        </is>
      </c>
      <c r="G3916" t="n">
        <v>4.3</v>
      </c>
      <c r="H3916" t="n">
        <v>0</v>
      </c>
      <c r="I3916" t="n">
        <v>0</v>
      </c>
      <c r="J3916" t="n">
        <v>0</v>
      </c>
      <c r="K3916" t="n">
        <v>0</v>
      </c>
      <c r="L3916" t="n">
        <v>0</v>
      </c>
      <c r="M3916" t="n">
        <v>0</v>
      </c>
      <c r="N3916" t="n">
        <v>0</v>
      </c>
      <c r="O3916" t="n">
        <v>0</v>
      </c>
      <c r="P3916" t="n">
        <v>0</v>
      </c>
      <c r="Q3916" t="n">
        <v>0</v>
      </c>
      <c r="R3916" s="2" t="inlineStr"/>
    </row>
    <row r="3917" ht="15" customHeight="1">
      <c r="A3917" t="inlineStr">
        <is>
          <t>A 64632-2021</t>
        </is>
      </c>
      <c r="B3917" s="1" t="n">
        <v>44511</v>
      </c>
      <c r="C3917" s="1" t="n">
        <v>45587</v>
      </c>
      <c r="D3917" t="inlineStr">
        <is>
          <t>GÄVLEBORGS LÄN</t>
        </is>
      </c>
      <c r="E3917" t="inlineStr">
        <is>
          <t>HUDIKSVALL</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64538-2021</t>
        </is>
      </c>
      <c r="B3918" s="1" t="n">
        <v>44511</v>
      </c>
      <c r="C3918" s="1" t="n">
        <v>45587</v>
      </c>
      <c r="D3918" t="inlineStr">
        <is>
          <t>GÄVLEBORGS LÄN</t>
        </is>
      </c>
      <c r="E3918" t="inlineStr">
        <is>
          <t>BOLLNÄS</t>
        </is>
      </c>
      <c r="F3918" t="inlineStr">
        <is>
          <t>Bergvik skog väst AB</t>
        </is>
      </c>
      <c r="G3918" t="n">
        <v>5.2</v>
      </c>
      <c r="H3918" t="n">
        <v>0</v>
      </c>
      <c r="I3918" t="n">
        <v>0</v>
      </c>
      <c r="J3918" t="n">
        <v>0</v>
      </c>
      <c r="K3918" t="n">
        <v>0</v>
      </c>
      <c r="L3918" t="n">
        <v>0</v>
      </c>
      <c r="M3918" t="n">
        <v>0</v>
      </c>
      <c r="N3918" t="n">
        <v>0</v>
      </c>
      <c r="O3918" t="n">
        <v>0</v>
      </c>
      <c r="P3918" t="n">
        <v>0</v>
      </c>
      <c r="Q3918" t="n">
        <v>0</v>
      </c>
      <c r="R3918" s="2" t="inlineStr"/>
    </row>
    <row r="3919" ht="15" customHeight="1">
      <c r="A3919" t="inlineStr">
        <is>
          <t>A 64601-2021</t>
        </is>
      </c>
      <c r="B3919" s="1" t="n">
        <v>44511</v>
      </c>
      <c r="C3919" s="1" t="n">
        <v>45587</v>
      </c>
      <c r="D3919" t="inlineStr">
        <is>
          <t>GÄVLEBORGS LÄN</t>
        </is>
      </c>
      <c r="E3919" t="inlineStr">
        <is>
          <t>LJUSDAL</t>
        </is>
      </c>
      <c r="F3919" t="inlineStr">
        <is>
          <t>Kommuner</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64633-2021</t>
        </is>
      </c>
      <c r="B3920" s="1" t="n">
        <v>44511</v>
      </c>
      <c r="C3920" s="1" t="n">
        <v>45587</v>
      </c>
      <c r="D3920" t="inlineStr">
        <is>
          <t>GÄVLEBORGS LÄN</t>
        </is>
      </c>
      <c r="E3920" t="inlineStr">
        <is>
          <t>BOLLNÄS</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64706-2021</t>
        </is>
      </c>
      <c r="B3921" s="1" t="n">
        <v>44512</v>
      </c>
      <c r="C3921" s="1" t="n">
        <v>45587</v>
      </c>
      <c r="D3921" t="inlineStr">
        <is>
          <t>GÄVLEBORGS LÄN</t>
        </is>
      </c>
      <c r="E3921" t="inlineStr">
        <is>
          <t>HOFORS</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64829-2021</t>
        </is>
      </c>
      <c r="B3922" s="1" t="n">
        <v>44512</v>
      </c>
      <c r="C3922" s="1" t="n">
        <v>45587</v>
      </c>
      <c r="D3922" t="inlineStr">
        <is>
          <t>GÄVLEBORGS LÄN</t>
        </is>
      </c>
      <c r="E3922" t="inlineStr">
        <is>
          <t>BOLLNÄS</t>
        </is>
      </c>
      <c r="F3922" t="inlineStr">
        <is>
          <t>Bergvik skog väst AB</t>
        </is>
      </c>
      <c r="G3922" t="n">
        <v>5.7</v>
      </c>
      <c r="H3922" t="n">
        <v>0</v>
      </c>
      <c r="I3922" t="n">
        <v>0</v>
      </c>
      <c r="J3922" t="n">
        <v>0</v>
      </c>
      <c r="K3922" t="n">
        <v>0</v>
      </c>
      <c r="L3922" t="n">
        <v>0</v>
      </c>
      <c r="M3922" t="n">
        <v>0</v>
      </c>
      <c r="N3922" t="n">
        <v>0</v>
      </c>
      <c r="O3922" t="n">
        <v>0</v>
      </c>
      <c r="P3922" t="n">
        <v>0</v>
      </c>
      <c r="Q3922" t="n">
        <v>0</v>
      </c>
      <c r="R3922" s="2" t="inlineStr"/>
    </row>
    <row r="3923" ht="15" customHeight="1">
      <c r="A3923" t="inlineStr">
        <is>
          <t>A 64712-2021</t>
        </is>
      </c>
      <c r="B3923" s="1" t="n">
        <v>44512</v>
      </c>
      <c r="C3923" s="1" t="n">
        <v>45587</v>
      </c>
      <c r="D3923" t="inlineStr">
        <is>
          <t>GÄVLEBORGS LÄN</t>
        </is>
      </c>
      <c r="E3923" t="inlineStr">
        <is>
          <t>NORDANSTIG</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64720-2021</t>
        </is>
      </c>
      <c r="B3924" s="1" t="n">
        <v>44512</v>
      </c>
      <c r="C3924" s="1" t="n">
        <v>45587</v>
      </c>
      <c r="D3924" t="inlineStr">
        <is>
          <t>GÄVLEBORGS LÄN</t>
        </is>
      </c>
      <c r="E3924" t="inlineStr">
        <is>
          <t>SANDVIKEN</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64835-2021</t>
        </is>
      </c>
      <c r="B3925" s="1" t="n">
        <v>44512</v>
      </c>
      <c r="C3925" s="1" t="n">
        <v>45587</v>
      </c>
      <c r="D3925" t="inlineStr">
        <is>
          <t>GÄVLEBORGS LÄN</t>
        </is>
      </c>
      <c r="E3925" t="inlineStr">
        <is>
          <t>NORDANSTIG</t>
        </is>
      </c>
      <c r="F3925" t="inlineStr">
        <is>
          <t>Holmen skog AB</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64843-2021</t>
        </is>
      </c>
      <c r="B3926" s="1" t="n">
        <v>44512</v>
      </c>
      <c r="C3926" s="1" t="n">
        <v>45587</v>
      </c>
      <c r="D3926" t="inlineStr">
        <is>
          <t>GÄVLEBORGS LÄN</t>
        </is>
      </c>
      <c r="E3926" t="inlineStr">
        <is>
          <t>OVANÅKER</t>
        </is>
      </c>
      <c r="F3926" t="inlineStr">
        <is>
          <t>Bergvik skog väst AB</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64875-2021</t>
        </is>
      </c>
      <c r="B3927" s="1" t="n">
        <v>44512</v>
      </c>
      <c r="C3927" s="1" t="n">
        <v>45587</v>
      </c>
      <c r="D3927" t="inlineStr">
        <is>
          <t>GÄVLEBORGS LÄN</t>
        </is>
      </c>
      <c r="E3927" t="inlineStr">
        <is>
          <t>LJUSDAL</t>
        </is>
      </c>
      <c r="F3927" t="inlineStr">
        <is>
          <t>Sveaskog</t>
        </is>
      </c>
      <c r="G3927" t="n">
        <v>19.8</v>
      </c>
      <c r="H3927" t="n">
        <v>0</v>
      </c>
      <c r="I3927" t="n">
        <v>0</v>
      </c>
      <c r="J3927" t="n">
        <v>0</v>
      </c>
      <c r="K3927" t="n">
        <v>0</v>
      </c>
      <c r="L3927" t="n">
        <v>0</v>
      </c>
      <c r="M3927" t="n">
        <v>0</v>
      </c>
      <c r="N3927" t="n">
        <v>0</v>
      </c>
      <c r="O3927" t="n">
        <v>0</v>
      </c>
      <c r="P3927" t="n">
        <v>0</v>
      </c>
      <c r="Q3927" t="n">
        <v>0</v>
      </c>
      <c r="R3927" s="2" t="inlineStr"/>
    </row>
    <row r="3928" ht="15" customHeight="1">
      <c r="A3928" t="inlineStr">
        <is>
          <t>A 65030-2021</t>
        </is>
      </c>
      <c r="B3928" s="1" t="n">
        <v>44515</v>
      </c>
      <c r="C3928" s="1" t="n">
        <v>45587</v>
      </c>
      <c r="D3928" t="inlineStr">
        <is>
          <t>GÄVLEBORGS LÄN</t>
        </is>
      </c>
      <c r="E3928" t="inlineStr">
        <is>
          <t>BOLLNÄS</t>
        </is>
      </c>
      <c r="F3928" t="inlineStr">
        <is>
          <t>Bergvik skog väst AB</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65027-2021</t>
        </is>
      </c>
      <c r="B3929" s="1" t="n">
        <v>44515</v>
      </c>
      <c r="C3929" s="1" t="n">
        <v>45587</v>
      </c>
      <c r="D3929" t="inlineStr">
        <is>
          <t>GÄVLEBORGS LÄN</t>
        </is>
      </c>
      <c r="E3929" t="inlineStr">
        <is>
          <t>BOLLNÄS</t>
        </is>
      </c>
      <c r="F3929" t="inlineStr">
        <is>
          <t>Bergvik skog väst AB</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65041-2021</t>
        </is>
      </c>
      <c r="B3930" s="1" t="n">
        <v>44515</v>
      </c>
      <c r="C3930" s="1" t="n">
        <v>45587</v>
      </c>
      <c r="D3930" t="inlineStr">
        <is>
          <t>GÄVLEBORGS LÄN</t>
        </is>
      </c>
      <c r="E3930" t="inlineStr">
        <is>
          <t>BOLLNÄS</t>
        </is>
      </c>
      <c r="F3930" t="inlineStr">
        <is>
          <t>Bergvik skog väst AB</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65270-2021</t>
        </is>
      </c>
      <c r="B3931" s="1" t="n">
        <v>44515</v>
      </c>
      <c r="C3931" s="1" t="n">
        <v>45587</v>
      </c>
      <c r="D3931" t="inlineStr">
        <is>
          <t>GÄVLEBORGS LÄN</t>
        </is>
      </c>
      <c r="E3931" t="inlineStr">
        <is>
          <t>SANDVIKEN</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65345-2021</t>
        </is>
      </c>
      <c r="B3932" s="1" t="n">
        <v>44515</v>
      </c>
      <c r="C3932" s="1" t="n">
        <v>45587</v>
      </c>
      <c r="D3932" t="inlineStr">
        <is>
          <t>GÄVLEBORGS LÄN</t>
        </is>
      </c>
      <c r="E3932" t="inlineStr">
        <is>
          <t>LJUSDAL</t>
        </is>
      </c>
      <c r="F3932" t="inlineStr">
        <is>
          <t>Holmen skog AB</t>
        </is>
      </c>
      <c r="G3932" t="n">
        <v>9.300000000000001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65403-2021</t>
        </is>
      </c>
      <c r="B3933" s="1" t="n">
        <v>44515</v>
      </c>
      <c r="C3933" s="1" t="n">
        <v>45587</v>
      </c>
      <c r="D3933" t="inlineStr">
        <is>
          <t>GÄVLEBORGS LÄN</t>
        </is>
      </c>
      <c r="E3933" t="inlineStr">
        <is>
          <t>BOLLNÄS</t>
        </is>
      </c>
      <c r="F3933" t="inlineStr">
        <is>
          <t>Bergvik skog väst AB</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65363-2021</t>
        </is>
      </c>
      <c r="B3934" s="1" t="n">
        <v>44515</v>
      </c>
      <c r="C3934" s="1" t="n">
        <v>45587</v>
      </c>
      <c r="D3934" t="inlineStr">
        <is>
          <t>GÄVLEBORGS LÄN</t>
        </is>
      </c>
      <c r="E3934" t="inlineStr">
        <is>
          <t>HUDIKSVALL</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65470-2021</t>
        </is>
      </c>
      <c r="B3935" s="1" t="n">
        <v>44516</v>
      </c>
      <c r="C3935" s="1" t="n">
        <v>45587</v>
      </c>
      <c r="D3935" t="inlineStr">
        <is>
          <t>GÄVLEBORGS LÄN</t>
        </is>
      </c>
      <c r="E3935" t="inlineStr">
        <is>
          <t>SANDVIKEN</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65542-2021</t>
        </is>
      </c>
      <c r="B3936" s="1" t="n">
        <v>44516</v>
      </c>
      <c r="C3936" s="1" t="n">
        <v>45587</v>
      </c>
      <c r="D3936" t="inlineStr">
        <is>
          <t>GÄVLEBORGS LÄN</t>
        </is>
      </c>
      <c r="E3936" t="inlineStr">
        <is>
          <t>OVANÅKER</t>
        </is>
      </c>
      <c r="G3936" t="n">
        <v>9</v>
      </c>
      <c r="H3936" t="n">
        <v>0</v>
      </c>
      <c r="I3936" t="n">
        <v>0</v>
      </c>
      <c r="J3936" t="n">
        <v>0</v>
      </c>
      <c r="K3936" t="n">
        <v>0</v>
      </c>
      <c r="L3936" t="n">
        <v>0</v>
      </c>
      <c r="M3936" t="n">
        <v>0</v>
      </c>
      <c r="N3936" t="n">
        <v>0</v>
      </c>
      <c r="O3936" t="n">
        <v>0</v>
      </c>
      <c r="P3936" t="n">
        <v>0</v>
      </c>
      <c r="Q3936" t="n">
        <v>0</v>
      </c>
      <c r="R3936" s="2" t="inlineStr"/>
    </row>
    <row r="3937" ht="15" customHeight="1">
      <c r="A3937" t="inlineStr">
        <is>
          <t>A 65592-2021</t>
        </is>
      </c>
      <c r="B3937" s="1" t="n">
        <v>44516</v>
      </c>
      <c r="C3937" s="1" t="n">
        <v>45587</v>
      </c>
      <c r="D3937" t="inlineStr">
        <is>
          <t>GÄVLEBORGS LÄN</t>
        </is>
      </c>
      <c r="E3937" t="inlineStr">
        <is>
          <t>GÄVLE</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65601-2021</t>
        </is>
      </c>
      <c r="B3938" s="1" t="n">
        <v>44516</v>
      </c>
      <c r="C3938" s="1" t="n">
        <v>45587</v>
      </c>
      <c r="D3938" t="inlineStr">
        <is>
          <t>GÄVLEBORGS LÄN</t>
        </is>
      </c>
      <c r="E3938" t="inlineStr">
        <is>
          <t>SANDVIKEN</t>
        </is>
      </c>
      <c r="F3938" t="inlineStr">
        <is>
          <t>Kommuner</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65606-2021</t>
        </is>
      </c>
      <c r="B3939" s="1" t="n">
        <v>44516</v>
      </c>
      <c r="C3939" s="1" t="n">
        <v>45587</v>
      </c>
      <c r="D3939" t="inlineStr">
        <is>
          <t>GÄVLEBORGS LÄN</t>
        </is>
      </c>
      <c r="E3939" t="inlineStr">
        <is>
          <t>NORDANSTIG</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65907-2021</t>
        </is>
      </c>
      <c r="B3940" s="1" t="n">
        <v>44517</v>
      </c>
      <c r="C3940" s="1" t="n">
        <v>45587</v>
      </c>
      <c r="D3940" t="inlineStr">
        <is>
          <t>GÄVLEBORGS LÄN</t>
        </is>
      </c>
      <c r="E3940" t="inlineStr">
        <is>
          <t>HUDIKSVALL</t>
        </is>
      </c>
      <c r="F3940" t="inlineStr">
        <is>
          <t>Holmen skog AB</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65936-2021</t>
        </is>
      </c>
      <c r="B3941" s="1" t="n">
        <v>44517</v>
      </c>
      <c r="C3941" s="1" t="n">
        <v>45587</v>
      </c>
      <c r="D3941" t="inlineStr">
        <is>
          <t>GÄVLEBORGS LÄN</t>
        </is>
      </c>
      <c r="E3941" t="inlineStr">
        <is>
          <t>HUDIKSVALL</t>
        </is>
      </c>
      <c r="F3941" t="inlineStr">
        <is>
          <t>Holmen skog AB</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65879-2021</t>
        </is>
      </c>
      <c r="B3942" s="1" t="n">
        <v>44517</v>
      </c>
      <c r="C3942" s="1" t="n">
        <v>45587</v>
      </c>
      <c r="D3942" t="inlineStr">
        <is>
          <t>GÄVLEBORGS LÄN</t>
        </is>
      </c>
      <c r="E3942" t="inlineStr">
        <is>
          <t>GÄVLE</t>
        </is>
      </c>
      <c r="F3942" t="inlineStr">
        <is>
          <t>Kyrkan</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65960-2021</t>
        </is>
      </c>
      <c r="B3943" s="1" t="n">
        <v>44517</v>
      </c>
      <c r="C3943" s="1" t="n">
        <v>45587</v>
      </c>
      <c r="D3943" t="inlineStr">
        <is>
          <t>GÄVLEBORGS LÄN</t>
        </is>
      </c>
      <c r="E3943" t="inlineStr">
        <is>
          <t>OVANÅKER</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66083-2021</t>
        </is>
      </c>
      <c r="B3944" s="1" t="n">
        <v>44517</v>
      </c>
      <c r="C3944" s="1" t="n">
        <v>45587</v>
      </c>
      <c r="D3944" t="inlineStr">
        <is>
          <t>GÄVLEBORGS LÄN</t>
        </is>
      </c>
      <c r="E3944" t="inlineStr">
        <is>
          <t>OVANÅKER</t>
        </is>
      </c>
      <c r="F3944" t="inlineStr">
        <is>
          <t>Bergvik skog väst AB</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66042-2021</t>
        </is>
      </c>
      <c r="B3945" s="1" t="n">
        <v>44517</v>
      </c>
      <c r="C3945" s="1" t="n">
        <v>45587</v>
      </c>
      <c r="D3945" t="inlineStr">
        <is>
          <t>GÄVLEBORGS LÄN</t>
        </is>
      </c>
      <c r="E3945" t="inlineStr">
        <is>
          <t>BOLLNÄS</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66120-2021</t>
        </is>
      </c>
      <c r="B3946" s="1" t="n">
        <v>44517</v>
      </c>
      <c r="C3946" s="1" t="n">
        <v>45587</v>
      </c>
      <c r="D3946" t="inlineStr">
        <is>
          <t>GÄVLEBORGS LÄN</t>
        </is>
      </c>
      <c r="E3946" t="inlineStr">
        <is>
          <t>BOLLNÄS</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66129-2021</t>
        </is>
      </c>
      <c r="B3947" s="1" t="n">
        <v>44517</v>
      </c>
      <c r="C3947" s="1" t="n">
        <v>45587</v>
      </c>
      <c r="D3947" t="inlineStr">
        <is>
          <t>GÄVLEBORGS LÄN</t>
        </is>
      </c>
      <c r="E3947" t="inlineStr">
        <is>
          <t>BOLLNÄS</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66125-2021</t>
        </is>
      </c>
      <c r="B3948" s="1" t="n">
        <v>44517</v>
      </c>
      <c r="C3948" s="1" t="n">
        <v>45587</v>
      </c>
      <c r="D3948" t="inlineStr">
        <is>
          <t>GÄVLEBORGS LÄN</t>
        </is>
      </c>
      <c r="E3948" t="inlineStr">
        <is>
          <t>BOLLNÄS</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66121-2021</t>
        </is>
      </c>
      <c r="B3949" s="1" t="n">
        <v>44517</v>
      </c>
      <c r="C3949" s="1" t="n">
        <v>45587</v>
      </c>
      <c r="D3949" t="inlineStr">
        <is>
          <t>GÄVLEBORGS LÄN</t>
        </is>
      </c>
      <c r="E3949" t="inlineStr">
        <is>
          <t>BOLLNÄS</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66118-2021</t>
        </is>
      </c>
      <c r="B3950" s="1" t="n">
        <v>44517</v>
      </c>
      <c r="C3950" s="1" t="n">
        <v>45587</v>
      </c>
      <c r="D3950" t="inlineStr">
        <is>
          <t>GÄVLEBORGS LÄN</t>
        </is>
      </c>
      <c r="E3950" t="inlineStr">
        <is>
          <t>OCKELBO</t>
        </is>
      </c>
      <c r="F3950" t="inlineStr">
        <is>
          <t>Bergvik skog väst AB</t>
        </is>
      </c>
      <c r="G3950" t="n">
        <v>7.6</v>
      </c>
      <c r="H3950" t="n">
        <v>0</v>
      </c>
      <c r="I3950" t="n">
        <v>0</v>
      </c>
      <c r="J3950" t="n">
        <v>0</v>
      </c>
      <c r="K3950" t="n">
        <v>0</v>
      </c>
      <c r="L3950" t="n">
        <v>0</v>
      </c>
      <c r="M3950" t="n">
        <v>0</v>
      </c>
      <c r="N3950" t="n">
        <v>0</v>
      </c>
      <c r="O3950" t="n">
        <v>0</v>
      </c>
      <c r="P3950" t="n">
        <v>0</v>
      </c>
      <c r="Q3950" t="n">
        <v>0</v>
      </c>
      <c r="R3950" s="2" t="inlineStr"/>
    </row>
    <row r="3951" ht="15" customHeight="1">
      <c r="A3951" t="inlineStr">
        <is>
          <t>A 66128-2021</t>
        </is>
      </c>
      <c r="B3951" s="1" t="n">
        <v>44517</v>
      </c>
      <c r="C3951" s="1" t="n">
        <v>45587</v>
      </c>
      <c r="D3951" t="inlineStr">
        <is>
          <t>GÄVLEBORGS LÄN</t>
        </is>
      </c>
      <c r="E3951" t="inlineStr">
        <is>
          <t>BOLLNÄS</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66208-2021</t>
        </is>
      </c>
      <c r="B3952" s="1" t="n">
        <v>44518</v>
      </c>
      <c r="C3952" s="1" t="n">
        <v>45587</v>
      </c>
      <c r="D3952" t="inlineStr">
        <is>
          <t>GÄVLEBORGS LÄN</t>
        </is>
      </c>
      <c r="E3952" t="inlineStr">
        <is>
          <t>LJUSDAL</t>
        </is>
      </c>
      <c r="F3952" t="inlineStr">
        <is>
          <t>Sveaskog</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66217-2021</t>
        </is>
      </c>
      <c r="B3953" s="1" t="n">
        <v>44518</v>
      </c>
      <c r="C3953" s="1" t="n">
        <v>45587</v>
      </c>
      <c r="D3953" t="inlineStr">
        <is>
          <t>GÄVLEBORGS LÄN</t>
        </is>
      </c>
      <c r="E3953" t="inlineStr">
        <is>
          <t>NORDANSTIG</t>
        </is>
      </c>
      <c r="G3953" t="n">
        <v>6.9</v>
      </c>
      <c r="H3953" t="n">
        <v>0</v>
      </c>
      <c r="I3953" t="n">
        <v>0</v>
      </c>
      <c r="J3953" t="n">
        <v>0</v>
      </c>
      <c r="K3953" t="n">
        <v>0</v>
      </c>
      <c r="L3953" t="n">
        <v>0</v>
      </c>
      <c r="M3953" t="n">
        <v>0</v>
      </c>
      <c r="N3953" t="n">
        <v>0</v>
      </c>
      <c r="O3953" t="n">
        <v>0</v>
      </c>
      <c r="P3953" t="n">
        <v>0</v>
      </c>
      <c r="Q3953" t="n">
        <v>0</v>
      </c>
      <c r="R3953" s="2" t="inlineStr"/>
    </row>
    <row r="3954" ht="15" customHeight="1">
      <c r="A3954" t="inlineStr">
        <is>
          <t>A 66299-2021</t>
        </is>
      </c>
      <c r="B3954" s="1" t="n">
        <v>44518</v>
      </c>
      <c r="C3954" s="1" t="n">
        <v>45587</v>
      </c>
      <c r="D3954" t="inlineStr">
        <is>
          <t>GÄVLEBORGS LÄN</t>
        </is>
      </c>
      <c r="E3954" t="inlineStr">
        <is>
          <t>OVANÅKER</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66316-2021</t>
        </is>
      </c>
      <c r="B3955" s="1" t="n">
        <v>44518</v>
      </c>
      <c r="C3955" s="1" t="n">
        <v>45587</v>
      </c>
      <c r="D3955" t="inlineStr">
        <is>
          <t>GÄVLEBORGS LÄN</t>
        </is>
      </c>
      <c r="E3955" t="inlineStr">
        <is>
          <t>SANDVIKEN</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66345-2021</t>
        </is>
      </c>
      <c r="B3956" s="1" t="n">
        <v>44518</v>
      </c>
      <c r="C3956" s="1" t="n">
        <v>45587</v>
      </c>
      <c r="D3956" t="inlineStr">
        <is>
          <t>GÄVLEBORGS LÄN</t>
        </is>
      </c>
      <c r="E3956" t="inlineStr">
        <is>
          <t>SANDVIKEN</t>
        </is>
      </c>
      <c r="G3956" t="n">
        <v>7</v>
      </c>
      <c r="H3956" t="n">
        <v>0</v>
      </c>
      <c r="I3956" t="n">
        <v>0</v>
      </c>
      <c r="J3956" t="n">
        <v>0</v>
      </c>
      <c r="K3956" t="n">
        <v>0</v>
      </c>
      <c r="L3956" t="n">
        <v>0</v>
      </c>
      <c r="M3956" t="n">
        <v>0</v>
      </c>
      <c r="N3956" t="n">
        <v>0</v>
      </c>
      <c r="O3956" t="n">
        <v>0</v>
      </c>
      <c r="P3956" t="n">
        <v>0</v>
      </c>
      <c r="Q3956" t="n">
        <v>0</v>
      </c>
      <c r="R3956" s="2" t="inlineStr"/>
    </row>
    <row r="3957" ht="15" customHeight="1">
      <c r="A3957" t="inlineStr">
        <is>
          <t>A 66351-2021</t>
        </is>
      </c>
      <c r="B3957" s="1" t="n">
        <v>44518</v>
      </c>
      <c r="C3957" s="1" t="n">
        <v>45587</v>
      </c>
      <c r="D3957" t="inlineStr">
        <is>
          <t>GÄVLEBORGS LÄN</t>
        </is>
      </c>
      <c r="E3957" t="inlineStr">
        <is>
          <t>GÄVLE</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66420-2021</t>
        </is>
      </c>
      <c r="B3958" s="1" t="n">
        <v>44518</v>
      </c>
      <c r="C3958" s="1" t="n">
        <v>45587</v>
      </c>
      <c r="D3958" t="inlineStr">
        <is>
          <t>GÄVLEBORGS LÄN</t>
        </is>
      </c>
      <c r="E3958" t="inlineStr">
        <is>
          <t>OCKELBO</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66359-2021</t>
        </is>
      </c>
      <c r="B3959" s="1" t="n">
        <v>44518</v>
      </c>
      <c r="C3959" s="1" t="n">
        <v>45587</v>
      </c>
      <c r="D3959" t="inlineStr">
        <is>
          <t>GÄVLEBORGS LÄN</t>
        </is>
      </c>
      <c r="E3959" t="inlineStr">
        <is>
          <t>OCKELBO</t>
        </is>
      </c>
      <c r="G3959" t="n">
        <v>13.8</v>
      </c>
      <c r="H3959" t="n">
        <v>0</v>
      </c>
      <c r="I3959" t="n">
        <v>0</v>
      </c>
      <c r="J3959" t="n">
        <v>0</v>
      </c>
      <c r="K3959" t="n">
        <v>0</v>
      </c>
      <c r="L3959" t="n">
        <v>0</v>
      </c>
      <c r="M3959" t="n">
        <v>0</v>
      </c>
      <c r="N3959" t="n">
        <v>0</v>
      </c>
      <c r="O3959" t="n">
        <v>0</v>
      </c>
      <c r="P3959" t="n">
        <v>0</v>
      </c>
      <c r="Q3959" t="n">
        <v>0</v>
      </c>
      <c r="R3959" s="2" t="inlineStr"/>
    </row>
    <row r="3960" ht="15" customHeight="1">
      <c r="A3960" t="inlineStr">
        <is>
          <t>A 66403-2021</t>
        </is>
      </c>
      <c r="B3960" s="1" t="n">
        <v>44518</v>
      </c>
      <c r="C3960" s="1" t="n">
        <v>45587</v>
      </c>
      <c r="D3960" t="inlineStr">
        <is>
          <t>GÄVLEBORGS LÄN</t>
        </is>
      </c>
      <c r="E3960" t="inlineStr">
        <is>
          <t>OVANÅKER</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66418-2021</t>
        </is>
      </c>
      <c r="B3961" s="1" t="n">
        <v>44518</v>
      </c>
      <c r="C3961" s="1" t="n">
        <v>45587</v>
      </c>
      <c r="D3961" t="inlineStr">
        <is>
          <t>GÄVLEBORGS LÄN</t>
        </is>
      </c>
      <c r="E3961" t="inlineStr">
        <is>
          <t>HUDIKSVALL</t>
        </is>
      </c>
      <c r="F3961" t="inlineStr">
        <is>
          <t>Holmen skog AB</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66494-2021</t>
        </is>
      </c>
      <c r="B3962" s="1" t="n">
        <v>44519</v>
      </c>
      <c r="C3962" s="1" t="n">
        <v>45587</v>
      </c>
      <c r="D3962" t="inlineStr">
        <is>
          <t>GÄVLEBORGS LÄN</t>
        </is>
      </c>
      <c r="E3962" t="inlineStr">
        <is>
          <t>GÄVLE</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66590-2021</t>
        </is>
      </c>
      <c r="B3963" s="1" t="n">
        <v>44519</v>
      </c>
      <c r="C3963" s="1" t="n">
        <v>45587</v>
      </c>
      <c r="D3963" t="inlineStr">
        <is>
          <t>GÄVLEBORGS LÄN</t>
        </is>
      </c>
      <c r="E3963" t="inlineStr">
        <is>
          <t>SANDVIKEN</t>
        </is>
      </c>
      <c r="G3963" t="n">
        <v>7.2</v>
      </c>
      <c r="H3963" t="n">
        <v>0</v>
      </c>
      <c r="I3963" t="n">
        <v>0</v>
      </c>
      <c r="J3963" t="n">
        <v>0</v>
      </c>
      <c r="K3963" t="n">
        <v>0</v>
      </c>
      <c r="L3963" t="n">
        <v>0</v>
      </c>
      <c r="M3963" t="n">
        <v>0</v>
      </c>
      <c r="N3963" t="n">
        <v>0</v>
      </c>
      <c r="O3963" t="n">
        <v>0</v>
      </c>
      <c r="P3963" t="n">
        <v>0</v>
      </c>
      <c r="Q3963" t="n">
        <v>0</v>
      </c>
      <c r="R3963" s="2" t="inlineStr"/>
    </row>
    <row r="3964" ht="15" customHeight="1">
      <c r="A3964" t="inlineStr">
        <is>
          <t>A 66493-2021</t>
        </is>
      </c>
      <c r="B3964" s="1" t="n">
        <v>44519</v>
      </c>
      <c r="C3964" s="1" t="n">
        <v>45587</v>
      </c>
      <c r="D3964" t="inlineStr">
        <is>
          <t>GÄVLEBORGS LÄN</t>
        </is>
      </c>
      <c r="E3964" t="inlineStr">
        <is>
          <t>GÄVLE</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66491-2021</t>
        </is>
      </c>
      <c r="B3965" s="1" t="n">
        <v>44519</v>
      </c>
      <c r="C3965" s="1" t="n">
        <v>45587</v>
      </c>
      <c r="D3965" t="inlineStr">
        <is>
          <t>GÄVLEBORGS LÄN</t>
        </is>
      </c>
      <c r="E3965" t="inlineStr">
        <is>
          <t>GÄVLE</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66718-2021</t>
        </is>
      </c>
      <c r="B3966" s="1" t="n">
        <v>44519</v>
      </c>
      <c r="C3966" s="1" t="n">
        <v>45587</v>
      </c>
      <c r="D3966" t="inlineStr">
        <is>
          <t>GÄVLEBORGS LÄN</t>
        </is>
      </c>
      <c r="E3966" t="inlineStr">
        <is>
          <t>OCKELBO</t>
        </is>
      </c>
      <c r="F3966" t="inlineStr">
        <is>
          <t>Bergvik skog väst AB</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66758-2021</t>
        </is>
      </c>
      <c r="B3967" s="1" t="n">
        <v>44521</v>
      </c>
      <c r="C3967" s="1" t="n">
        <v>45587</v>
      </c>
      <c r="D3967" t="inlineStr">
        <is>
          <t>GÄVLEBORGS LÄN</t>
        </is>
      </c>
      <c r="E3967" t="inlineStr">
        <is>
          <t>HUDIKSVALL</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66814-2021</t>
        </is>
      </c>
      <c r="B3968" s="1" t="n">
        <v>44522</v>
      </c>
      <c r="C3968" s="1" t="n">
        <v>45587</v>
      </c>
      <c r="D3968" t="inlineStr">
        <is>
          <t>GÄVLEBORGS LÄN</t>
        </is>
      </c>
      <c r="E3968" t="inlineStr">
        <is>
          <t>NORDANSTIG</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66825-2021</t>
        </is>
      </c>
      <c r="B3969" s="1" t="n">
        <v>44522</v>
      </c>
      <c r="C3969" s="1" t="n">
        <v>45587</v>
      </c>
      <c r="D3969" t="inlineStr">
        <is>
          <t>GÄVLEBORGS LÄN</t>
        </is>
      </c>
      <c r="E3969" t="inlineStr">
        <is>
          <t>OCKELBO</t>
        </is>
      </c>
      <c r="F3969" t="inlineStr">
        <is>
          <t>Bergvik skog väst AB</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66986-2021</t>
        </is>
      </c>
      <c r="B3970" s="1" t="n">
        <v>44522</v>
      </c>
      <c r="C3970" s="1" t="n">
        <v>45587</v>
      </c>
      <c r="D3970" t="inlineStr">
        <is>
          <t>GÄVLEBORGS LÄN</t>
        </is>
      </c>
      <c r="E3970" t="inlineStr">
        <is>
          <t>BOLLNÄS</t>
        </is>
      </c>
      <c r="F3970" t="inlineStr">
        <is>
          <t>Kommuner</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67049-2021</t>
        </is>
      </c>
      <c r="B3971" s="1" t="n">
        <v>44522</v>
      </c>
      <c r="C3971" s="1" t="n">
        <v>45587</v>
      </c>
      <c r="D3971" t="inlineStr">
        <is>
          <t>GÄVLEBORGS LÄN</t>
        </is>
      </c>
      <c r="E3971" t="inlineStr">
        <is>
          <t>HUDIKSVALL</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67082-2021</t>
        </is>
      </c>
      <c r="B3972" s="1" t="n">
        <v>44522</v>
      </c>
      <c r="C3972" s="1" t="n">
        <v>45587</v>
      </c>
      <c r="D3972" t="inlineStr">
        <is>
          <t>GÄVLEBORGS LÄN</t>
        </is>
      </c>
      <c r="E3972" t="inlineStr">
        <is>
          <t>HUDIKSVALL</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67043-2021</t>
        </is>
      </c>
      <c r="B3973" s="1" t="n">
        <v>44522</v>
      </c>
      <c r="C3973" s="1" t="n">
        <v>45587</v>
      </c>
      <c r="D3973" t="inlineStr">
        <is>
          <t>GÄVLEBORGS LÄN</t>
        </is>
      </c>
      <c r="E3973" t="inlineStr">
        <is>
          <t>HUDIKSVALL</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67088-2021</t>
        </is>
      </c>
      <c r="B3974" s="1" t="n">
        <v>44522</v>
      </c>
      <c r="C3974" s="1" t="n">
        <v>45587</v>
      </c>
      <c r="D3974" t="inlineStr">
        <is>
          <t>GÄVLEBORGS LÄN</t>
        </is>
      </c>
      <c r="E3974" t="inlineStr">
        <is>
          <t>HUDIKSVALL</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67180-2021</t>
        </is>
      </c>
      <c r="B3975" s="1" t="n">
        <v>44523</v>
      </c>
      <c r="C3975" s="1" t="n">
        <v>45587</v>
      </c>
      <c r="D3975" t="inlineStr">
        <is>
          <t>GÄVLEBORGS LÄN</t>
        </is>
      </c>
      <c r="E3975" t="inlineStr">
        <is>
          <t>SANDVIKEN</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67188-2021</t>
        </is>
      </c>
      <c r="B3976" s="1" t="n">
        <v>44523</v>
      </c>
      <c r="C3976" s="1" t="n">
        <v>45587</v>
      </c>
      <c r="D3976" t="inlineStr">
        <is>
          <t>GÄVLEBORGS LÄN</t>
        </is>
      </c>
      <c r="E3976" t="inlineStr">
        <is>
          <t>OVANÅKER</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67300-2021</t>
        </is>
      </c>
      <c r="B3977" s="1" t="n">
        <v>44523</v>
      </c>
      <c r="C3977" s="1" t="n">
        <v>45587</v>
      </c>
      <c r="D3977" t="inlineStr">
        <is>
          <t>GÄVLEBORGS LÄN</t>
        </is>
      </c>
      <c r="E3977" t="inlineStr">
        <is>
          <t>SÖDERHAMN</t>
        </is>
      </c>
      <c r="G3977" t="n">
        <v>9.5</v>
      </c>
      <c r="H3977" t="n">
        <v>0</v>
      </c>
      <c r="I3977" t="n">
        <v>0</v>
      </c>
      <c r="J3977" t="n">
        <v>0</v>
      </c>
      <c r="K3977" t="n">
        <v>0</v>
      </c>
      <c r="L3977" t="n">
        <v>0</v>
      </c>
      <c r="M3977" t="n">
        <v>0</v>
      </c>
      <c r="N3977" t="n">
        <v>0</v>
      </c>
      <c r="O3977" t="n">
        <v>0</v>
      </c>
      <c r="P3977" t="n">
        <v>0</v>
      </c>
      <c r="Q3977" t="n">
        <v>0</v>
      </c>
      <c r="R3977" s="2" t="inlineStr"/>
    </row>
    <row r="3978" ht="15" customHeight="1">
      <c r="A3978" t="inlineStr">
        <is>
          <t>A 67307-2021</t>
        </is>
      </c>
      <c r="B3978" s="1" t="n">
        <v>44523</v>
      </c>
      <c r="C3978" s="1" t="n">
        <v>45587</v>
      </c>
      <c r="D3978" t="inlineStr">
        <is>
          <t>GÄVLEBORGS LÄN</t>
        </is>
      </c>
      <c r="E3978" t="inlineStr">
        <is>
          <t>HUDIKSVALL</t>
        </is>
      </c>
      <c r="F3978" t="inlineStr">
        <is>
          <t>Naturvårdsverket</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67315-2021</t>
        </is>
      </c>
      <c r="B3979" s="1" t="n">
        <v>44523</v>
      </c>
      <c r="C3979" s="1" t="n">
        <v>45587</v>
      </c>
      <c r="D3979" t="inlineStr">
        <is>
          <t>GÄVLEBORGS LÄN</t>
        </is>
      </c>
      <c r="E3979" t="inlineStr">
        <is>
          <t>OVANÅKER</t>
        </is>
      </c>
      <c r="F3979" t="inlineStr">
        <is>
          <t>Bergvik skog väst AB</t>
        </is>
      </c>
      <c r="G3979" t="n">
        <v>5.4</v>
      </c>
      <c r="H3979" t="n">
        <v>0</v>
      </c>
      <c r="I3979" t="n">
        <v>0</v>
      </c>
      <c r="J3979" t="n">
        <v>0</v>
      </c>
      <c r="K3979" t="n">
        <v>0</v>
      </c>
      <c r="L3979" t="n">
        <v>0</v>
      </c>
      <c r="M3979" t="n">
        <v>0</v>
      </c>
      <c r="N3979" t="n">
        <v>0</v>
      </c>
      <c r="O3979" t="n">
        <v>0</v>
      </c>
      <c r="P3979" t="n">
        <v>0</v>
      </c>
      <c r="Q3979" t="n">
        <v>0</v>
      </c>
      <c r="R3979" s="2" t="inlineStr"/>
    </row>
    <row r="3980" ht="15" customHeight="1">
      <c r="A3980" t="inlineStr">
        <is>
          <t>A 67327-2021</t>
        </is>
      </c>
      <c r="B3980" s="1" t="n">
        <v>44523</v>
      </c>
      <c r="C3980" s="1" t="n">
        <v>45587</v>
      </c>
      <c r="D3980" t="inlineStr">
        <is>
          <t>GÄVLEBORGS LÄN</t>
        </is>
      </c>
      <c r="E3980" t="inlineStr">
        <is>
          <t>LJUSDAL</t>
        </is>
      </c>
      <c r="F3980" t="inlineStr">
        <is>
          <t>Holmen skog AB</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67334-2021</t>
        </is>
      </c>
      <c r="B3981" s="1" t="n">
        <v>44523</v>
      </c>
      <c r="C3981" s="1" t="n">
        <v>45587</v>
      </c>
      <c r="D3981" t="inlineStr">
        <is>
          <t>GÄVLEBORGS LÄN</t>
        </is>
      </c>
      <c r="E3981" t="inlineStr">
        <is>
          <t>GÄVLE</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67380-2021</t>
        </is>
      </c>
      <c r="B3982" s="1" t="n">
        <v>44523</v>
      </c>
      <c r="C3982" s="1" t="n">
        <v>45587</v>
      </c>
      <c r="D3982" t="inlineStr">
        <is>
          <t>GÄVLEBORGS LÄN</t>
        </is>
      </c>
      <c r="E3982" t="inlineStr">
        <is>
          <t>LJUSDAL</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67527-2021</t>
        </is>
      </c>
      <c r="B3983" s="1" t="n">
        <v>44524</v>
      </c>
      <c r="C3983" s="1" t="n">
        <v>45587</v>
      </c>
      <c r="D3983" t="inlineStr">
        <is>
          <t>GÄVLEBORGS LÄN</t>
        </is>
      </c>
      <c r="E3983" t="inlineStr">
        <is>
          <t>BOLLNÄS</t>
        </is>
      </c>
      <c r="F3983" t="inlineStr">
        <is>
          <t>Övriga statliga verk och myndigheter</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67558-2021</t>
        </is>
      </c>
      <c r="B3984" s="1" t="n">
        <v>44524</v>
      </c>
      <c r="C3984" s="1" t="n">
        <v>45587</v>
      </c>
      <c r="D3984" t="inlineStr">
        <is>
          <t>GÄVLEBORGS LÄN</t>
        </is>
      </c>
      <c r="E3984" t="inlineStr">
        <is>
          <t>HUDIKSVALL</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67547-2021</t>
        </is>
      </c>
      <c r="B3985" s="1" t="n">
        <v>44524</v>
      </c>
      <c r="C3985" s="1" t="n">
        <v>45587</v>
      </c>
      <c r="D3985" t="inlineStr">
        <is>
          <t>GÄVLEBORGS LÄN</t>
        </is>
      </c>
      <c r="E3985" t="inlineStr">
        <is>
          <t>BOLLNÄS</t>
        </is>
      </c>
      <c r="F3985" t="inlineStr">
        <is>
          <t>Övriga statliga verk och myndigheter</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67573-2021</t>
        </is>
      </c>
      <c r="B3986" s="1" t="n">
        <v>44524</v>
      </c>
      <c r="C3986" s="1" t="n">
        <v>45587</v>
      </c>
      <c r="D3986" t="inlineStr">
        <is>
          <t>GÄVLEBORGS LÄN</t>
        </is>
      </c>
      <c r="E3986" t="inlineStr">
        <is>
          <t>SANDVIKEN</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67634-2021</t>
        </is>
      </c>
      <c r="B3987" s="1" t="n">
        <v>44524</v>
      </c>
      <c r="C3987" s="1" t="n">
        <v>45587</v>
      </c>
      <c r="D3987" t="inlineStr">
        <is>
          <t>GÄVLEBORGS LÄN</t>
        </is>
      </c>
      <c r="E3987" t="inlineStr">
        <is>
          <t>SÖDERHAMN</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67716-2021</t>
        </is>
      </c>
      <c r="B3988" s="1" t="n">
        <v>44525</v>
      </c>
      <c r="C3988" s="1" t="n">
        <v>45587</v>
      </c>
      <c r="D3988" t="inlineStr">
        <is>
          <t>GÄVLEBORGS LÄN</t>
        </is>
      </c>
      <c r="E3988" t="inlineStr">
        <is>
          <t>NORDANSTIG</t>
        </is>
      </c>
      <c r="F3988" t="inlineStr">
        <is>
          <t>Holmen skog AB</t>
        </is>
      </c>
      <c r="G3988" t="n">
        <v>7.4</v>
      </c>
      <c r="H3988" t="n">
        <v>0</v>
      </c>
      <c r="I3988" t="n">
        <v>0</v>
      </c>
      <c r="J3988" t="n">
        <v>0</v>
      </c>
      <c r="K3988" t="n">
        <v>0</v>
      </c>
      <c r="L3988" t="n">
        <v>0</v>
      </c>
      <c r="M3988" t="n">
        <v>0</v>
      </c>
      <c r="N3988" t="n">
        <v>0</v>
      </c>
      <c r="O3988" t="n">
        <v>0</v>
      </c>
      <c r="P3988" t="n">
        <v>0</v>
      </c>
      <c r="Q3988" t="n">
        <v>0</v>
      </c>
      <c r="R3988" s="2" t="inlineStr"/>
    </row>
    <row r="3989" ht="15" customHeight="1">
      <c r="A3989" t="inlineStr">
        <is>
          <t>A 67768-2021</t>
        </is>
      </c>
      <c r="B3989" s="1" t="n">
        <v>44525</v>
      </c>
      <c r="C3989" s="1" t="n">
        <v>45587</v>
      </c>
      <c r="D3989" t="inlineStr">
        <is>
          <t>GÄVLEBORGS LÄN</t>
        </is>
      </c>
      <c r="E3989" t="inlineStr">
        <is>
          <t>OCKELBO</t>
        </is>
      </c>
      <c r="F3989" t="inlineStr">
        <is>
          <t>Bergvik skog väst AB</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67781-2021</t>
        </is>
      </c>
      <c r="B3990" s="1" t="n">
        <v>44525</v>
      </c>
      <c r="C3990" s="1" t="n">
        <v>45587</v>
      </c>
      <c r="D3990" t="inlineStr">
        <is>
          <t>GÄVLEBORGS LÄN</t>
        </is>
      </c>
      <c r="E3990" t="inlineStr">
        <is>
          <t>LJUSDAL</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67757-2021</t>
        </is>
      </c>
      <c r="B3991" s="1" t="n">
        <v>44525</v>
      </c>
      <c r="C3991" s="1" t="n">
        <v>45587</v>
      </c>
      <c r="D3991" t="inlineStr">
        <is>
          <t>GÄVLEBORGS LÄN</t>
        </is>
      </c>
      <c r="E3991" t="inlineStr">
        <is>
          <t>SANDVIKEN</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67776-2021</t>
        </is>
      </c>
      <c r="B3992" s="1" t="n">
        <v>44525</v>
      </c>
      <c r="C3992" s="1" t="n">
        <v>45587</v>
      </c>
      <c r="D3992" t="inlineStr">
        <is>
          <t>GÄVLEBORGS LÄN</t>
        </is>
      </c>
      <c r="E3992" t="inlineStr">
        <is>
          <t>LJUSDAL</t>
        </is>
      </c>
      <c r="F3992" t="inlineStr">
        <is>
          <t>Holmen skog AB</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67854-2021</t>
        </is>
      </c>
      <c r="B3993" s="1" t="n">
        <v>44525</v>
      </c>
      <c r="C3993" s="1" t="n">
        <v>45587</v>
      </c>
      <c r="D3993" t="inlineStr">
        <is>
          <t>GÄVLEBORGS LÄN</t>
        </is>
      </c>
      <c r="E3993" t="inlineStr">
        <is>
          <t>LJUSDAL</t>
        </is>
      </c>
      <c r="F3993" t="inlineStr">
        <is>
          <t>Bergvik skog väst AB</t>
        </is>
      </c>
      <c r="G3993" t="n">
        <v>10.1</v>
      </c>
      <c r="H3993" t="n">
        <v>0</v>
      </c>
      <c r="I3993" t="n">
        <v>0</v>
      </c>
      <c r="J3993" t="n">
        <v>0</v>
      </c>
      <c r="K3993" t="n">
        <v>0</v>
      </c>
      <c r="L3993" t="n">
        <v>0</v>
      </c>
      <c r="M3993" t="n">
        <v>0</v>
      </c>
      <c r="N3993" t="n">
        <v>0</v>
      </c>
      <c r="O3993" t="n">
        <v>0</v>
      </c>
      <c r="P3993" t="n">
        <v>0</v>
      </c>
      <c r="Q3993" t="n">
        <v>0</v>
      </c>
      <c r="R3993" s="2" t="inlineStr"/>
    </row>
    <row r="3994" ht="15" customHeight="1">
      <c r="A3994" t="inlineStr">
        <is>
          <t>A 67794-2021</t>
        </is>
      </c>
      <c r="B3994" s="1" t="n">
        <v>44525</v>
      </c>
      <c r="C3994" s="1" t="n">
        <v>45587</v>
      </c>
      <c r="D3994" t="inlineStr">
        <is>
          <t>GÄVLEBORGS LÄN</t>
        </is>
      </c>
      <c r="E3994" t="inlineStr">
        <is>
          <t>LJUSDAL</t>
        </is>
      </c>
      <c r="F3994" t="inlineStr">
        <is>
          <t>Allmännings- och besparingsskogar</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67879-2021</t>
        </is>
      </c>
      <c r="B3995" s="1" t="n">
        <v>44525</v>
      </c>
      <c r="C3995" s="1" t="n">
        <v>45587</v>
      </c>
      <c r="D3995" t="inlineStr">
        <is>
          <t>GÄVLEBORGS LÄN</t>
        </is>
      </c>
      <c r="E3995" t="inlineStr">
        <is>
          <t>NORDANSTIG</t>
        </is>
      </c>
      <c r="F3995" t="inlineStr">
        <is>
          <t>Holmen skog AB</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67923-2021</t>
        </is>
      </c>
      <c r="B3996" s="1" t="n">
        <v>44525</v>
      </c>
      <c r="C3996" s="1" t="n">
        <v>45587</v>
      </c>
      <c r="D3996" t="inlineStr">
        <is>
          <t>GÄVLEBORGS LÄN</t>
        </is>
      </c>
      <c r="E3996" t="inlineStr">
        <is>
          <t>LJUSDAL</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67931-2021</t>
        </is>
      </c>
      <c r="B3997" s="1" t="n">
        <v>44525</v>
      </c>
      <c r="C3997" s="1" t="n">
        <v>45587</v>
      </c>
      <c r="D3997" t="inlineStr">
        <is>
          <t>GÄVLEBORGS LÄN</t>
        </is>
      </c>
      <c r="E3997" t="inlineStr">
        <is>
          <t>NORDANSTIG</t>
        </is>
      </c>
      <c r="F3997" t="inlineStr">
        <is>
          <t>Holmen skog AB</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68154-2021</t>
        </is>
      </c>
      <c r="B3998" s="1" t="n">
        <v>44526</v>
      </c>
      <c r="C3998" s="1" t="n">
        <v>45587</v>
      </c>
      <c r="D3998" t="inlineStr">
        <is>
          <t>GÄVLEBORGS LÄN</t>
        </is>
      </c>
      <c r="E3998" t="inlineStr">
        <is>
          <t>HUDIKSVALL</t>
        </is>
      </c>
      <c r="F3998" t="inlineStr">
        <is>
          <t>Holmen skog AB</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68242-2021</t>
        </is>
      </c>
      <c r="B3999" s="1" t="n">
        <v>44526</v>
      </c>
      <c r="C3999" s="1" t="n">
        <v>45587</v>
      </c>
      <c r="D3999" t="inlineStr">
        <is>
          <t>GÄVLEBORGS LÄN</t>
        </is>
      </c>
      <c r="E3999" t="inlineStr">
        <is>
          <t>BOLLNÄS</t>
        </is>
      </c>
      <c r="F3999" t="inlineStr">
        <is>
          <t>Holmen skog AB</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68516-2021</t>
        </is>
      </c>
      <c r="B4000" s="1" t="n">
        <v>44526</v>
      </c>
      <c r="C4000" s="1" t="n">
        <v>45587</v>
      </c>
      <c r="D4000" t="inlineStr">
        <is>
          <t>GÄVLEBORGS LÄN</t>
        </is>
      </c>
      <c r="E4000" t="inlineStr">
        <is>
          <t>BOLLNÄS</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68079-2021</t>
        </is>
      </c>
      <c r="B4001" s="1" t="n">
        <v>44526</v>
      </c>
      <c r="C4001" s="1" t="n">
        <v>45587</v>
      </c>
      <c r="D4001" t="inlineStr">
        <is>
          <t>GÄVLEBORGS LÄN</t>
        </is>
      </c>
      <c r="E4001" t="inlineStr">
        <is>
          <t>HOFORS</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68156-2021</t>
        </is>
      </c>
      <c r="B4002" s="1" t="n">
        <v>44526</v>
      </c>
      <c r="C4002" s="1" t="n">
        <v>45587</v>
      </c>
      <c r="D4002" t="inlineStr">
        <is>
          <t>GÄVLEBORGS LÄN</t>
        </is>
      </c>
      <c r="E4002" t="inlineStr">
        <is>
          <t>BOLLNÄS</t>
        </is>
      </c>
      <c r="F4002" t="inlineStr">
        <is>
          <t>Kyrkan</t>
        </is>
      </c>
      <c r="G4002" t="n">
        <v>6.3</v>
      </c>
      <c r="H4002" t="n">
        <v>0</v>
      </c>
      <c r="I4002" t="n">
        <v>0</v>
      </c>
      <c r="J4002" t="n">
        <v>0</v>
      </c>
      <c r="K4002" t="n">
        <v>0</v>
      </c>
      <c r="L4002" t="n">
        <v>0</v>
      </c>
      <c r="M4002" t="n">
        <v>0</v>
      </c>
      <c r="N4002" t="n">
        <v>0</v>
      </c>
      <c r="O4002" t="n">
        <v>0</v>
      </c>
      <c r="P4002" t="n">
        <v>0</v>
      </c>
      <c r="Q4002" t="n">
        <v>0</v>
      </c>
      <c r="R4002" s="2" t="inlineStr"/>
    </row>
    <row r="4003" ht="15" customHeight="1">
      <c r="A4003" t="inlineStr">
        <is>
          <t>A 68076-2021</t>
        </is>
      </c>
      <c r="B4003" s="1" t="n">
        <v>44526</v>
      </c>
      <c r="C4003" s="1" t="n">
        <v>45587</v>
      </c>
      <c r="D4003" t="inlineStr">
        <is>
          <t>GÄVLEBORGS LÄN</t>
        </is>
      </c>
      <c r="E4003" t="inlineStr">
        <is>
          <t>HOFORS</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68119-2021</t>
        </is>
      </c>
      <c r="B4004" s="1" t="n">
        <v>44526</v>
      </c>
      <c r="C4004" s="1" t="n">
        <v>45587</v>
      </c>
      <c r="D4004" t="inlineStr">
        <is>
          <t>GÄVLEBORGS LÄN</t>
        </is>
      </c>
      <c r="E4004" t="inlineStr">
        <is>
          <t>GÄVLE</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68078-2021</t>
        </is>
      </c>
      <c r="B4005" s="1" t="n">
        <v>44526</v>
      </c>
      <c r="C4005" s="1" t="n">
        <v>45587</v>
      </c>
      <c r="D4005" t="inlineStr">
        <is>
          <t>GÄVLEBORGS LÄN</t>
        </is>
      </c>
      <c r="E4005" t="inlineStr">
        <is>
          <t>HOFORS</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68112-2021</t>
        </is>
      </c>
      <c r="B4006" s="1" t="n">
        <v>44526</v>
      </c>
      <c r="C4006" s="1" t="n">
        <v>45587</v>
      </c>
      <c r="D4006" t="inlineStr">
        <is>
          <t>GÄVLEBORGS LÄN</t>
        </is>
      </c>
      <c r="E4006" t="inlineStr">
        <is>
          <t>BOLLNÄS</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68245-2021</t>
        </is>
      </c>
      <c r="B4007" s="1" t="n">
        <v>44526</v>
      </c>
      <c r="C4007" s="1" t="n">
        <v>45587</v>
      </c>
      <c r="D4007" t="inlineStr">
        <is>
          <t>GÄVLEBORGS LÄN</t>
        </is>
      </c>
      <c r="E4007" t="inlineStr">
        <is>
          <t>OVANÅKER</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68342-2021</t>
        </is>
      </c>
      <c r="B4008" s="1" t="n">
        <v>44528</v>
      </c>
      <c r="C4008" s="1" t="n">
        <v>45587</v>
      </c>
      <c r="D4008" t="inlineStr">
        <is>
          <t>GÄVLEBORGS LÄN</t>
        </is>
      </c>
      <c r="E4008" t="inlineStr">
        <is>
          <t>HUDIKSVALL</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68541-2021</t>
        </is>
      </c>
      <c r="B4009" s="1" t="n">
        <v>44529</v>
      </c>
      <c r="C4009" s="1" t="n">
        <v>45587</v>
      </c>
      <c r="D4009" t="inlineStr">
        <is>
          <t>GÄVLEBORGS LÄN</t>
        </is>
      </c>
      <c r="E4009" t="inlineStr">
        <is>
          <t>OCKELBO</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68659-2021</t>
        </is>
      </c>
      <c r="B4010" s="1" t="n">
        <v>44529</v>
      </c>
      <c r="C4010" s="1" t="n">
        <v>45587</v>
      </c>
      <c r="D4010" t="inlineStr">
        <is>
          <t>GÄVLEBORGS LÄN</t>
        </is>
      </c>
      <c r="E4010" t="inlineStr">
        <is>
          <t>HUDIKSVALL</t>
        </is>
      </c>
      <c r="F4010" t="inlineStr">
        <is>
          <t>Holmen skog AB</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68396-2021</t>
        </is>
      </c>
      <c r="B4011" s="1" t="n">
        <v>44529</v>
      </c>
      <c r="C4011" s="1" t="n">
        <v>45587</v>
      </c>
      <c r="D4011" t="inlineStr">
        <is>
          <t>GÄVLEBORGS LÄN</t>
        </is>
      </c>
      <c r="E4011" t="inlineStr">
        <is>
          <t>NORDANSTIG</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68612-2021</t>
        </is>
      </c>
      <c r="B4012" s="1" t="n">
        <v>44529</v>
      </c>
      <c r="C4012" s="1" t="n">
        <v>45587</v>
      </c>
      <c r="D4012" t="inlineStr">
        <is>
          <t>GÄVLEBORGS LÄN</t>
        </is>
      </c>
      <c r="E4012" t="inlineStr">
        <is>
          <t>SÖDERHAMN</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68662-2021</t>
        </is>
      </c>
      <c r="B4013" s="1" t="n">
        <v>44529</v>
      </c>
      <c r="C4013" s="1" t="n">
        <v>45587</v>
      </c>
      <c r="D4013" t="inlineStr">
        <is>
          <t>GÄVLEBORGS LÄN</t>
        </is>
      </c>
      <c r="E4013" t="inlineStr">
        <is>
          <t>HUDIKSVALL</t>
        </is>
      </c>
      <c r="F4013" t="inlineStr">
        <is>
          <t>Holmen skog AB</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68730-2021</t>
        </is>
      </c>
      <c r="B4014" s="1" t="n">
        <v>44529</v>
      </c>
      <c r="C4014" s="1" t="n">
        <v>45587</v>
      </c>
      <c r="D4014" t="inlineStr">
        <is>
          <t>GÄVLEBORGS LÄN</t>
        </is>
      </c>
      <c r="E4014" t="inlineStr">
        <is>
          <t>HUDIKSVALL</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69001-2021</t>
        </is>
      </c>
      <c r="B4015" s="1" t="n">
        <v>44530</v>
      </c>
      <c r="C4015" s="1" t="n">
        <v>45587</v>
      </c>
      <c r="D4015" t="inlineStr">
        <is>
          <t>GÄVLEBORGS LÄN</t>
        </is>
      </c>
      <c r="E4015" t="inlineStr">
        <is>
          <t>OVANÅKER</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69057-2021</t>
        </is>
      </c>
      <c r="B4016" s="1" t="n">
        <v>44530</v>
      </c>
      <c r="C4016" s="1" t="n">
        <v>45587</v>
      </c>
      <c r="D4016" t="inlineStr">
        <is>
          <t>GÄVLEBORGS LÄN</t>
        </is>
      </c>
      <c r="E4016" t="inlineStr">
        <is>
          <t>LJUSDAL</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69127-2021</t>
        </is>
      </c>
      <c r="B4017" s="1" t="n">
        <v>44530</v>
      </c>
      <c r="C4017" s="1" t="n">
        <v>45587</v>
      </c>
      <c r="D4017" t="inlineStr">
        <is>
          <t>GÄVLEBORGS LÄN</t>
        </is>
      </c>
      <c r="E4017" t="inlineStr">
        <is>
          <t>NORDANSTIG</t>
        </is>
      </c>
      <c r="G4017" t="n">
        <v>7.8</v>
      </c>
      <c r="H4017" t="n">
        <v>0</v>
      </c>
      <c r="I4017" t="n">
        <v>0</v>
      </c>
      <c r="J4017" t="n">
        <v>0</v>
      </c>
      <c r="K4017" t="n">
        <v>0</v>
      </c>
      <c r="L4017" t="n">
        <v>0</v>
      </c>
      <c r="M4017" t="n">
        <v>0</v>
      </c>
      <c r="N4017" t="n">
        <v>0</v>
      </c>
      <c r="O4017" t="n">
        <v>0</v>
      </c>
      <c r="P4017" t="n">
        <v>0</v>
      </c>
      <c r="Q4017" t="n">
        <v>0</v>
      </c>
      <c r="R4017" s="2" t="inlineStr"/>
    </row>
    <row r="4018" ht="15" customHeight="1">
      <c r="A4018" t="inlineStr">
        <is>
          <t>A 69007-2021</t>
        </is>
      </c>
      <c r="B4018" s="1" t="n">
        <v>44530</v>
      </c>
      <c r="C4018" s="1" t="n">
        <v>45587</v>
      </c>
      <c r="D4018" t="inlineStr">
        <is>
          <t>GÄVLEBORGS LÄN</t>
        </is>
      </c>
      <c r="E4018" t="inlineStr">
        <is>
          <t>OVANÅKER</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69125-2021</t>
        </is>
      </c>
      <c r="B4019" s="1" t="n">
        <v>44530</v>
      </c>
      <c r="C4019" s="1" t="n">
        <v>45587</v>
      </c>
      <c r="D4019" t="inlineStr">
        <is>
          <t>GÄVLEBORGS LÄN</t>
        </is>
      </c>
      <c r="E4019" t="inlineStr">
        <is>
          <t>NORDANSTIG</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69184-2021</t>
        </is>
      </c>
      <c r="B4020" s="1" t="n">
        <v>44531</v>
      </c>
      <c r="C4020" s="1" t="n">
        <v>45587</v>
      </c>
      <c r="D4020" t="inlineStr">
        <is>
          <t>GÄVLEBORGS LÄN</t>
        </is>
      </c>
      <c r="E4020" t="inlineStr">
        <is>
          <t>BOLLNÄS</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69378-2021</t>
        </is>
      </c>
      <c r="B4021" s="1" t="n">
        <v>44531</v>
      </c>
      <c r="C4021" s="1" t="n">
        <v>45587</v>
      </c>
      <c r="D4021" t="inlineStr">
        <is>
          <t>GÄVLEBORGS LÄN</t>
        </is>
      </c>
      <c r="E4021" t="inlineStr">
        <is>
          <t>BOLLNÄS</t>
        </is>
      </c>
      <c r="F4021" t="inlineStr">
        <is>
          <t>Bergvik skog väst AB</t>
        </is>
      </c>
      <c r="G4021" t="n">
        <v>5</v>
      </c>
      <c r="H4021" t="n">
        <v>0</v>
      </c>
      <c r="I4021" t="n">
        <v>0</v>
      </c>
      <c r="J4021" t="n">
        <v>0</v>
      </c>
      <c r="K4021" t="n">
        <v>0</v>
      </c>
      <c r="L4021" t="n">
        <v>0</v>
      </c>
      <c r="M4021" t="n">
        <v>0</v>
      </c>
      <c r="N4021" t="n">
        <v>0</v>
      </c>
      <c r="O4021" t="n">
        <v>0</v>
      </c>
      <c r="P4021" t="n">
        <v>0</v>
      </c>
      <c r="Q4021" t="n">
        <v>0</v>
      </c>
      <c r="R4021" s="2" t="inlineStr"/>
    </row>
    <row r="4022" ht="15" customHeight="1">
      <c r="A4022" t="inlineStr">
        <is>
          <t>A 69406-2021</t>
        </is>
      </c>
      <c r="B4022" s="1" t="n">
        <v>44531</v>
      </c>
      <c r="C4022" s="1" t="n">
        <v>45587</v>
      </c>
      <c r="D4022" t="inlineStr">
        <is>
          <t>GÄVLEBORGS LÄN</t>
        </is>
      </c>
      <c r="E4022" t="inlineStr">
        <is>
          <t>BOLLNÄS</t>
        </is>
      </c>
      <c r="F4022" t="inlineStr">
        <is>
          <t>Holmen skog AB</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69445-2021</t>
        </is>
      </c>
      <c r="B4023" s="1" t="n">
        <v>44531</v>
      </c>
      <c r="C4023" s="1" t="n">
        <v>45587</v>
      </c>
      <c r="D4023" t="inlineStr">
        <is>
          <t>GÄVLEBORGS LÄN</t>
        </is>
      </c>
      <c r="E4023" t="inlineStr">
        <is>
          <t>OVANÅKER</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69521-2021</t>
        </is>
      </c>
      <c r="B4024" s="1" t="n">
        <v>44531</v>
      </c>
      <c r="C4024" s="1" t="n">
        <v>45587</v>
      </c>
      <c r="D4024" t="inlineStr">
        <is>
          <t>GÄVLEBORGS LÄN</t>
        </is>
      </c>
      <c r="E4024" t="inlineStr">
        <is>
          <t>SANDVIKEN</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69572-2021</t>
        </is>
      </c>
      <c r="B4025" s="1" t="n">
        <v>44532</v>
      </c>
      <c r="C4025" s="1" t="n">
        <v>45587</v>
      </c>
      <c r="D4025" t="inlineStr">
        <is>
          <t>GÄVLEBORGS LÄN</t>
        </is>
      </c>
      <c r="E4025" t="inlineStr">
        <is>
          <t>OCKELBO</t>
        </is>
      </c>
      <c r="F4025" t="inlineStr">
        <is>
          <t>Bergvik skog väst AB</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69580-2021</t>
        </is>
      </c>
      <c r="B4026" s="1" t="n">
        <v>44532</v>
      </c>
      <c r="C4026" s="1" t="n">
        <v>45587</v>
      </c>
      <c r="D4026" t="inlineStr">
        <is>
          <t>GÄVLEBORGS LÄN</t>
        </is>
      </c>
      <c r="E4026" t="inlineStr">
        <is>
          <t>OCKELBO</t>
        </is>
      </c>
      <c r="F4026" t="inlineStr">
        <is>
          <t>Bergvik skog väst AB</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69613-2021</t>
        </is>
      </c>
      <c r="B4027" s="1" t="n">
        <v>44532</v>
      </c>
      <c r="C4027" s="1" t="n">
        <v>45587</v>
      </c>
      <c r="D4027" t="inlineStr">
        <is>
          <t>GÄVLEBORGS LÄN</t>
        </is>
      </c>
      <c r="E4027" t="inlineStr">
        <is>
          <t>BOLLNÄS</t>
        </is>
      </c>
      <c r="F4027" t="inlineStr">
        <is>
          <t>Bergvik skog väst AB</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69620-2021</t>
        </is>
      </c>
      <c r="B4028" s="1" t="n">
        <v>44532</v>
      </c>
      <c r="C4028" s="1" t="n">
        <v>45587</v>
      </c>
      <c r="D4028" t="inlineStr">
        <is>
          <t>GÄVLEBORGS LÄN</t>
        </is>
      </c>
      <c r="E4028" t="inlineStr">
        <is>
          <t>BOLLNÄS</t>
        </is>
      </c>
      <c r="F4028" t="inlineStr">
        <is>
          <t>Bergvik skog väst AB</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69617-2021</t>
        </is>
      </c>
      <c r="B4029" s="1" t="n">
        <v>44532</v>
      </c>
      <c r="C4029" s="1" t="n">
        <v>45587</v>
      </c>
      <c r="D4029" t="inlineStr">
        <is>
          <t>GÄVLEBORGS LÄN</t>
        </is>
      </c>
      <c r="E4029" t="inlineStr">
        <is>
          <t>NORDANSTIG</t>
        </is>
      </c>
      <c r="F4029" t="inlineStr">
        <is>
          <t>Holmen skog AB</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69688-2021</t>
        </is>
      </c>
      <c r="B4030" s="1" t="n">
        <v>44532</v>
      </c>
      <c r="C4030" s="1" t="n">
        <v>45587</v>
      </c>
      <c r="D4030" t="inlineStr">
        <is>
          <t>GÄVLEBORGS LÄN</t>
        </is>
      </c>
      <c r="E4030" t="inlineStr">
        <is>
          <t>OVANÅKER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69851-2021</t>
        </is>
      </c>
      <c r="B4031" s="1" t="n">
        <v>44532</v>
      </c>
      <c r="C4031" s="1" t="n">
        <v>45587</v>
      </c>
      <c r="D4031" t="inlineStr">
        <is>
          <t>GÄVLEBORGS LÄN</t>
        </is>
      </c>
      <c r="E4031" t="inlineStr">
        <is>
          <t>HUDIKSVALL</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69836-2021</t>
        </is>
      </c>
      <c r="B4032" s="1" t="n">
        <v>44532</v>
      </c>
      <c r="C4032" s="1" t="n">
        <v>45587</v>
      </c>
      <c r="D4032" t="inlineStr">
        <is>
          <t>GÄVLEBORGS LÄN</t>
        </is>
      </c>
      <c r="E4032" t="inlineStr">
        <is>
          <t>BOLLNÄS</t>
        </is>
      </c>
      <c r="F4032" t="inlineStr">
        <is>
          <t>Sveaskog</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69784-2021</t>
        </is>
      </c>
      <c r="B4033" s="1" t="n">
        <v>44532</v>
      </c>
      <c r="C4033" s="1" t="n">
        <v>45587</v>
      </c>
      <c r="D4033" t="inlineStr">
        <is>
          <t>GÄVLEBORGS LÄN</t>
        </is>
      </c>
      <c r="E4033" t="inlineStr">
        <is>
          <t>BOLLNÄS</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69833-2021</t>
        </is>
      </c>
      <c r="B4034" s="1" t="n">
        <v>44532</v>
      </c>
      <c r="C4034" s="1" t="n">
        <v>45587</v>
      </c>
      <c r="D4034" t="inlineStr">
        <is>
          <t>GÄVLEBORGS LÄN</t>
        </is>
      </c>
      <c r="E4034" t="inlineStr">
        <is>
          <t>OCKELBO</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69880-2021</t>
        </is>
      </c>
      <c r="B4035" s="1" t="n">
        <v>44532</v>
      </c>
      <c r="C4035" s="1" t="n">
        <v>45587</v>
      </c>
      <c r="D4035" t="inlineStr">
        <is>
          <t>GÄVLEBORGS LÄN</t>
        </is>
      </c>
      <c r="E4035" t="inlineStr">
        <is>
          <t>OCKELBO</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69942-2021</t>
        </is>
      </c>
      <c r="B4036" s="1" t="n">
        <v>44533</v>
      </c>
      <c r="C4036" s="1" t="n">
        <v>45587</v>
      </c>
      <c r="D4036" t="inlineStr">
        <is>
          <t>GÄVLEBORGS LÄN</t>
        </is>
      </c>
      <c r="E4036" t="inlineStr">
        <is>
          <t>SÖDERHAMN</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70150-2021</t>
        </is>
      </c>
      <c r="B4037" s="1" t="n">
        <v>44533</v>
      </c>
      <c r="C4037" s="1" t="n">
        <v>45587</v>
      </c>
      <c r="D4037" t="inlineStr">
        <is>
          <t>GÄVLEBORGS LÄN</t>
        </is>
      </c>
      <c r="E4037" t="inlineStr">
        <is>
          <t>SANDVIKEN</t>
        </is>
      </c>
      <c r="F4037" t="inlineStr">
        <is>
          <t>Naturvårdsverket</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70096-2021</t>
        </is>
      </c>
      <c r="B4038" s="1" t="n">
        <v>44533</v>
      </c>
      <c r="C4038" s="1" t="n">
        <v>45587</v>
      </c>
      <c r="D4038" t="inlineStr">
        <is>
          <t>GÄVLEBORGS LÄN</t>
        </is>
      </c>
      <c r="E4038" t="inlineStr">
        <is>
          <t>BOLLNÄS</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70043-2021</t>
        </is>
      </c>
      <c r="B4039" s="1" t="n">
        <v>44533</v>
      </c>
      <c r="C4039" s="1" t="n">
        <v>45587</v>
      </c>
      <c r="D4039" t="inlineStr">
        <is>
          <t>GÄVLEBORGS LÄN</t>
        </is>
      </c>
      <c r="E4039" t="inlineStr">
        <is>
          <t>GÄVLE</t>
        </is>
      </c>
      <c r="F4039" t="inlineStr">
        <is>
          <t>Bergvik skog öst AB</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70219-2021</t>
        </is>
      </c>
      <c r="B4040" s="1" t="n">
        <v>44535</v>
      </c>
      <c r="C4040" s="1" t="n">
        <v>45587</v>
      </c>
      <c r="D4040" t="inlineStr">
        <is>
          <t>GÄVLEBORGS LÄN</t>
        </is>
      </c>
      <c r="E4040" t="inlineStr">
        <is>
          <t>HUDIKSVALL</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70305-2021</t>
        </is>
      </c>
      <c r="B4041" s="1" t="n">
        <v>44536</v>
      </c>
      <c r="C4041" s="1" t="n">
        <v>45587</v>
      </c>
      <c r="D4041" t="inlineStr">
        <is>
          <t>GÄVLEBORGS LÄN</t>
        </is>
      </c>
      <c r="E4041" t="inlineStr">
        <is>
          <t>OVANÅKER</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70264-2021</t>
        </is>
      </c>
      <c r="B4042" s="1" t="n">
        <v>44536</v>
      </c>
      <c r="C4042" s="1" t="n">
        <v>45587</v>
      </c>
      <c r="D4042" t="inlineStr">
        <is>
          <t>GÄVLEBORGS LÄN</t>
        </is>
      </c>
      <c r="E4042" t="inlineStr">
        <is>
          <t>HUDIKSVALL</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70288-2021</t>
        </is>
      </c>
      <c r="B4043" s="1" t="n">
        <v>44536</v>
      </c>
      <c r="C4043" s="1" t="n">
        <v>45587</v>
      </c>
      <c r="D4043" t="inlineStr">
        <is>
          <t>GÄVLEBORGS LÄN</t>
        </is>
      </c>
      <c r="E4043" t="inlineStr">
        <is>
          <t>SANDVIKEN</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70258-2021</t>
        </is>
      </c>
      <c r="B4044" s="1" t="n">
        <v>44536</v>
      </c>
      <c r="C4044" s="1" t="n">
        <v>45587</v>
      </c>
      <c r="D4044" t="inlineStr">
        <is>
          <t>GÄVLEBORGS LÄN</t>
        </is>
      </c>
      <c r="E4044" t="inlineStr">
        <is>
          <t>HUDIKSVALL</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70432-2021</t>
        </is>
      </c>
      <c r="B4045" s="1" t="n">
        <v>44536</v>
      </c>
      <c r="C4045" s="1" t="n">
        <v>45587</v>
      </c>
      <c r="D4045" t="inlineStr">
        <is>
          <t>GÄVLEBORGS LÄN</t>
        </is>
      </c>
      <c r="E4045" t="inlineStr">
        <is>
          <t>HUDIKSVALL</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70478-2021</t>
        </is>
      </c>
      <c r="B4046" s="1" t="n">
        <v>44536</v>
      </c>
      <c r="C4046" s="1" t="n">
        <v>45587</v>
      </c>
      <c r="D4046" t="inlineStr">
        <is>
          <t>GÄVLEBORGS LÄN</t>
        </is>
      </c>
      <c r="E4046" t="inlineStr">
        <is>
          <t>LJUSDAL</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70473-2021</t>
        </is>
      </c>
      <c r="B4047" s="1" t="n">
        <v>44536</v>
      </c>
      <c r="C4047" s="1" t="n">
        <v>45587</v>
      </c>
      <c r="D4047" t="inlineStr">
        <is>
          <t>GÄVLEBORGS LÄN</t>
        </is>
      </c>
      <c r="E4047" t="inlineStr">
        <is>
          <t>BOLLNÄS</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70454-2021</t>
        </is>
      </c>
      <c r="B4048" s="1" t="n">
        <v>44536</v>
      </c>
      <c r="C4048" s="1" t="n">
        <v>45587</v>
      </c>
      <c r="D4048" t="inlineStr">
        <is>
          <t>GÄVLEBORGS LÄN</t>
        </is>
      </c>
      <c r="E4048" t="inlineStr">
        <is>
          <t>HUDIKSVALL</t>
        </is>
      </c>
      <c r="G4048" t="n">
        <v>7.8</v>
      </c>
      <c r="H4048" t="n">
        <v>0</v>
      </c>
      <c r="I4048" t="n">
        <v>0</v>
      </c>
      <c r="J4048" t="n">
        <v>0</v>
      </c>
      <c r="K4048" t="n">
        <v>0</v>
      </c>
      <c r="L4048" t="n">
        <v>0</v>
      </c>
      <c r="M4048" t="n">
        <v>0</v>
      </c>
      <c r="N4048" t="n">
        <v>0</v>
      </c>
      <c r="O4048" t="n">
        <v>0</v>
      </c>
      <c r="P4048" t="n">
        <v>0</v>
      </c>
      <c r="Q4048" t="n">
        <v>0</v>
      </c>
      <c r="R4048" s="2" t="inlineStr"/>
    </row>
    <row r="4049" ht="15" customHeight="1">
      <c r="A4049" t="inlineStr">
        <is>
          <t>A 70573-2021</t>
        </is>
      </c>
      <c r="B4049" s="1" t="n">
        <v>44537</v>
      </c>
      <c r="C4049" s="1" t="n">
        <v>45587</v>
      </c>
      <c r="D4049" t="inlineStr">
        <is>
          <t>GÄVLEBORGS LÄN</t>
        </is>
      </c>
      <c r="E4049" t="inlineStr">
        <is>
          <t>OVANÅKER</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70972-2021</t>
        </is>
      </c>
      <c r="B4050" s="1" t="n">
        <v>44538</v>
      </c>
      <c r="C4050" s="1" t="n">
        <v>45587</v>
      </c>
      <c r="D4050" t="inlineStr">
        <is>
          <t>GÄVLEBORGS LÄN</t>
        </is>
      </c>
      <c r="E4050" t="inlineStr">
        <is>
          <t>OCKELBO</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70914-2021</t>
        </is>
      </c>
      <c r="B4051" s="1" t="n">
        <v>44538</v>
      </c>
      <c r="C4051" s="1" t="n">
        <v>45587</v>
      </c>
      <c r="D4051" t="inlineStr">
        <is>
          <t>GÄVLEBORGS LÄN</t>
        </is>
      </c>
      <c r="E4051" t="inlineStr">
        <is>
          <t>BOLLNÄS</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71070-2021</t>
        </is>
      </c>
      <c r="B4052" s="1" t="n">
        <v>44538</v>
      </c>
      <c r="C4052" s="1" t="n">
        <v>45587</v>
      </c>
      <c r="D4052" t="inlineStr">
        <is>
          <t>GÄVLEBORGS LÄN</t>
        </is>
      </c>
      <c r="E4052" t="inlineStr">
        <is>
          <t>LJUSDAL</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71068-2021</t>
        </is>
      </c>
      <c r="B4053" s="1" t="n">
        <v>44538</v>
      </c>
      <c r="C4053" s="1" t="n">
        <v>45587</v>
      </c>
      <c r="D4053" t="inlineStr">
        <is>
          <t>GÄVLEBORGS LÄN</t>
        </is>
      </c>
      <c r="E4053" t="inlineStr">
        <is>
          <t>LJUSDAL</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71057-2021</t>
        </is>
      </c>
      <c r="B4054" s="1" t="n">
        <v>44538</v>
      </c>
      <c r="C4054" s="1" t="n">
        <v>45587</v>
      </c>
      <c r="D4054" t="inlineStr">
        <is>
          <t>GÄVLEBORGS LÄN</t>
        </is>
      </c>
      <c r="E4054" t="inlineStr">
        <is>
          <t>GÄVLE</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71249-2021</t>
        </is>
      </c>
      <c r="B4055" s="1" t="n">
        <v>44539</v>
      </c>
      <c r="C4055" s="1" t="n">
        <v>45587</v>
      </c>
      <c r="D4055" t="inlineStr">
        <is>
          <t>GÄVLEBORGS LÄN</t>
        </is>
      </c>
      <c r="E4055" t="inlineStr">
        <is>
          <t>GÄVLE</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71215-2021</t>
        </is>
      </c>
      <c r="B4056" s="1" t="n">
        <v>44539</v>
      </c>
      <c r="C4056" s="1" t="n">
        <v>45587</v>
      </c>
      <c r="D4056" t="inlineStr">
        <is>
          <t>GÄVLEBORGS LÄN</t>
        </is>
      </c>
      <c r="E4056" t="inlineStr">
        <is>
          <t>GÄVLE</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71305-2021</t>
        </is>
      </c>
      <c r="B4057" s="1" t="n">
        <v>44539</v>
      </c>
      <c r="C4057" s="1" t="n">
        <v>45587</v>
      </c>
      <c r="D4057" t="inlineStr">
        <is>
          <t>GÄVLEBORGS LÄN</t>
        </is>
      </c>
      <c r="E4057" t="inlineStr">
        <is>
          <t>LJUSDAL</t>
        </is>
      </c>
      <c r="F4057" t="inlineStr">
        <is>
          <t>Kommuner</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71489-2021</t>
        </is>
      </c>
      <c r="B4058" s="1" t="n">
        <v>44540</v>
      </c>
      <c r="C4058" s="1" t="n">
        <v>45587</v>
      </c>
      <c r="D4058" t="inlineStr">
        <is>
          <t>GÄVLEBORGS LÄN</t>
        </is>
      </c>
      <c r="E4058" t="inlineStr">
        <is>
          <t>BOLLNÄS</t>
        </is>
      </c>
      <c r="F4058" t="inlineStr">
        <is>
          <t>Holmen skog AB</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71408-2021</t>
        </is>
      </c>
      <c r="B4059" s="1" t="n">
        <v>44540</v>
      </c>
      <c r="C4059" s="1" t="n">
        <v>45587</v>
      </c>
      <c r="D4059" t="inlineStr">
        <is>
          <t>GÄVLEBORGS LÄN</t>
        </is>
      </c>
      <c r="E4059" t="inlineStr">
        <is>
          <t>HUDIKSVALL</t>
        </is>
      </c>
      <c r="F4059" t="inlineStr">
        <is>
          <t>Holmen skog AB</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71415-2021</t>
        </is>
      </c>
      <c r="B4060" s="1" t="n">
        <v>44540</v>
      </c>
      <c r="C4060" s="1" t="n">
        <v>45587</v>
      </c>
      <c r="D4060" t="inlineStr">
        <is>
          <t>GÄVLEBORGS LÄN</t>
        </is>
      </c>
      <c r="E4060" t="inlineStr">
        <is>
          <t>NORDANSTIG</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71442-2021</t>
        </is>
      </c>
      <c r="B4061" s="1" t="n">
        <v>44540</v>
      </c>
      <c r="C4061" s="1" t="n">
        <v>45587</v>
      </c>
      <c r="D4061" t="inlineStr">
        <is>
          <t>GÄVLEBORGS LÄN</t>
        </is>
      </c>
      <c r="E4061" t="inlineStr">
        <is>
          <t>NORDANSTIG</t>
        </is>
      </c>
      <c r="F4061" t="inlineStr">
        <is>
          <t>Holmen skog AB</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71515-2021</t>
        </is>
      </c>
      <c r="B4062" s="1" t="n">
        <v>44540</v>
      </c>
      <c r="C4062" s="1" t="n">
        <v>45587</v>
      </c>
      <c r="D4062" t="inlineStr">
        <is>
          <t>GÄVLEBORGS LÄN</t>
        </is>
      </c>
      <c r="E4062" t="inlineStr">
        <is>
          <t>BOLLNÄS</t>
        </is>
      </c>
      <c r="F4062" t="inlineStr">
        <is>
          <t>Holmen skog AB</t>
        </is>
      </c>
      <c r="G4062" t="n">
        <v>13.5</v>
      </c>
      <c r="H4062" t="n">
        <v>0</v>
      </c>
      <c r="I4062" t="n">
        <v>0</v>
      </c>
      <c r="J4062" t="n">
        <v>0</v>
      </c>
      <c r="K4062" t="n">
        <v>0</v>
      </c>
      <c r="L4062" t="n">
        <v>0</v>
      </c>
      <c r="M4062" t="n">
        <v>0</v>
      </c>
      <c r="N4062" t="n">
        <v>0</v>
      </c>
      <c r="O4062" t="n">
        <v>0</v>
      </c>
      <c r="P4062" t="n">
        <v>0</v>
      </c>
      <c r="Q4062" t="n">
        <v>0</v>
      </c>
      <c r="R4062" s="2" t="inlineStr"/>
    </row>
    <row r="4063" ht="15" customHeight="1">
      <c r="A4063" t="inlineStr">
        <is>
          <t>A 71532-2021</t>
        </is>
      </c>
      <c r="B4063" s="1" t="n">
        <v>44540</v>
      </c>
      <c r="C4063" s="1" t="n">
        <v>45587</v>
      </c>
      <c r="D4063" t="inlineStr">
        <is>
          <t>GÄVLEBORGS LÄN</t>
        </is>
      </c>
      <c r="E4063" t="inlineStr">
        <is>
          <t>NORDANSTIG</t>
        </is>
      </c>
      <c r="F4063" t="inlineStr">
        <is>
          <t>Holmen skog AB</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71490-2021</t>
        </is>
      </c>
      <c r="B4064" s="1" t="n">
        <v>44540</v>
      </c>
      <c r="C4064" s="1" t="n">
        <v>45587</v>
      </c>
      <c r="D4064" t="inlineStr">
        <is>
          <t>GÄVLEBORGS LÄN</t>
        </is>
      </c>
      <c r="E4064" t="inlineStr">
        <is>
          <t>NORDANSTIG</t>
        </is>
      </c>
      <c r="F4064" t="inlineStr">
        <is>
          <t>Holmen skog AB</t>
        </is>
      </c>
      <c r="G4064" t="n">
        <v>5.9</v>
      </c>
      <c r="H4064" t="n">
        <v>0</v>
      </c>
      <c r="I4064" t="n">
        <v>0</v>
      </c>
      <c r="J4064" t="n">
        <v>0</v>
      </c>
      <c r="K4064" t="n">
        <v>0</v>
      </c>
      <c r="L4064" t="n">
        <v>0</v>
      </c>
      <c r="M4064" t="n">
        <v>0</v>
      </c>
      <c r="N4064" t="n">
        <v>0</v>
      </c>
      <c r="O4064" t="n">
        <v>0</v>
      </c>
      <c r="P4064" t="n">
        <v>0</v>
      </c>
      <c r="Q4064" t="n">
        <v>0</v>
      </c>
      <c r="R4064" s="2" t="inlineStr"/>
    </row>
    <row r="4065" ht="15" customHeight="1">
      <c r="A4065" t="inlineStr">
        <is>
          <t>A 71526-2021</t>
        </is>
      </c>
      <c r="B4065" s="1" t="n">
        <v>44540</v>
      </c>
      <c r="C4065" s="1" t="n">
        <v>45587</v>
      </c>
      <c r="D4065" t="inlineStr">
        <is>
          <t>GÄVLEBORGS LÄN</t>
        </is>
      </c>
      <c r="E4065" t="inlineStr">
        <is>
          <t>NORDANSTIG</t>
        </is>
      </c>
      <c r="F4065" t="inlineStr">
        <is>
          <t>Holmen skog AB</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71698-2021</t>
        </is>
      </c>
      <c r="B4066" s="1" t="n">
        <v>44543</v>
      </c>
      <c r="C4066" s="1" t="n">
        <v>45587</v>
      </c>
      <c r="D4066" t="inlineStr">
        <is>
          <t>GÄVLEBORGS LÄN</t>
        </is>
      </c>
      <c r="E4066" t="inlineStr">
        <is>
          <t>LJUSDAL</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71710-2021</t>
        </is>
      </c>
      <c r="B4067" s="1" t="n">
        <v>44543</v>
      </c>
      <c r="C4067" s="1" t="n">
        <v>45587</v>
      </c>
      <c r="D4067" t="inlineStr">
        <is>
          <t>GÄVLEBORGS LÄN</t>
        </is>
      </c>
      <c r="E4067" t="inlineStr">
        <is>
          <t>GÄVLE</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71645-2021</t>
        </is>
      </c>
      <c r="B4068" s="1" t="n">
        <v>44543</v>
      </c>
      <c r="C4068" s="1" t="n">
        <v>45587</v>
      </c>
      <c r="D4068" t="inlineStr">
        <is>
          <t>GÄVLEBORGS LÄN</t>
        </is>
      </c>
      <c r="E4068" t="inlineStr">
        <is>
          <t>SÖDERHAMN</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71657-2021</t>
        </is>
      </c>
      <c r="B4069" s="1" t="n">
        <v>44543</v>
      </c>
      <c r="C4069" s="1" t="n">
        <v>45587</v>
      </c>
      <c r="D4069" t="inlineStr">
        <is>
          <t>GÄVLEBORGS LÄN</t>
        </is>
      </c>
      <c r="E4069" t="inlineStr">
        <is>
          <t>BOLLNÄS</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71658-2021</t>
        </is>
      </c>
      <c r="B4070" s="1" t="n">
        <v>44543</v>
      </c>
      <c r="C4070" s="1" t="n">
        <v>45587</v>
      </c>
      <c r="D4070" t="inlineStr">
        <is>
          <t>GÄVLEBORGS LÄN</t>
        </is>
      </c>
      <c r="E4070" t="inlineStr">
        <is>
          <t>OCKELBO</t>
        </is>
      </c>
      <c r="F4070" t="inlineStr">
        <is>
          <t>Kyrkan</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71678-2021</t>
        </is>
      </c>
      <c r="B4071" s="1" t="n">
        <v>44543</v>
      </c>
      <c r="C4071" s="1" t="n">
        <v>45587</v>
      </c>
      <c r="D4071" t="inlineStr">
        <is>
          <t>GÄVLEBORGS LÄN</t>
        </is>
      </c>
      <c r="E4071" t="inlineStr">
        <is>
          <t>BOLLNÄS</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71790-2021</t>
        </is>
      </c>
      <c r="B4072" s="1" t="n">
        <v>44543</v>
      </c>
      <c r="C4072" s="1" t="n">
        <v>45587</v>
      </c>
      <c r="D4072" t="inlineStr">
        <is>
          <t>GÄVLEBORGS LÄN</t>
        </is>
      </c>
      <c r="E4072" t="inlineStr">
        <is>
          <t>SANDVIKEN</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71680-2021</t>
        </is>
      </c>
      <c r="B4073" s="1" t="n">
        <v>44543</v>
      </c>
      <c r="C4073" s="1" t="n">
        <v>45587</v>
      </c>
      <c r="D4073" t="inlineStr">
        <is>
          <t>GÄVLEBORGS LÄN</t>
        </is>
      </c>
      <c r="E4073" t="inlineStr">
        <is>
          <t>LJUSDAL</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72077-2021</t>
        </is>
      </c>
      <c r="B4074" s="1" t="n">
        <v>44544</v>
      </c>
      <c r="C4074" s="1" t="n">
        <v>45587</v>
      </c>
      <c r="D4074" t="inlineStr">
        <is>
          <t>GÄVLEBORGS LÄN</t>
        </is>
      </c>
      <c r="E4074" t="inlineStr">
        <is>
          <t>HUDIKSVALL</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72083-2021</t>
        </is>
      </c>
      <c r="B4075" s="1" t="n">
        <v>44544</v>
      </c>
      <c r="C4075" s="1" t="n">
        <v>45587</v>
      </c>
      <c r="D4075" t="inlineStr">
        <is>
          <t>GÄVLEBORGS LÄN</t>
        </is>
      </c>
      <c r="E4075" t="inlineStr">
        <is>
          <t>HUDIKSVALL</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71995-2021</t>
        </is>
      </c>
      <c r="B4076" s="1" t="n">
        <v>44544</v>
      </c>
      <c r="C4076" s="1" t="n">
        <v>45587</v>
      </c>
      <c r="D4076" t="inlineStr">
        <is>
          <t>GÄVLEBORGS LÄN</t>
        </is>
      </c>
      <c r="E4076" t="inlineStr">
        <is>
          <t>SANDVIKEN</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72150-2021</t>
        </is>
      </c>
      <c r="B4077" s="1" t="n">
        <v>44544</v>
      </c>
      <c r="C4077" s="1" t="n">
        <v>45587</v>
      </c>
      <c r="D4077" t="inlineStr">
        <is>
          <t>GÄVLEBORGS LÄN</t>
        </is>
      </c>
      <c r="E4077" t="inlineStr">
        <is>
          <t>LJUSDAL</t>
        </is>
      </c>
      <c r="F4077" t="inlineStr">
        <is>
          <t>Holmen skog AB</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71973-2021</t>
        </is>
      </c>
      <c r="B4078" s="1" t="n">
        <v>44544</v>
      </c>
      <c r="C4078" s="1" t="n">
        <v>45587</v>
      </c>
      <c r="D4078" t="inlineStr">
        <is>
          <t>GÄVLEBORGS LÄN</t>
        </is>
      </c>
      <c r="E4078" t="inlineStr">
        <is>
          <t>NORDANSTIG</t>
        </is>
      </c>
      <c r="F4078" t="inlineStr">
        <is>
          <t>Holmen skog AB</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72082-2021</t>
        </is>
      </c>
      <c r="B4079" s="1" t="n">
        <v>44544</v>
      </c>
      <c r="C4079" s="1" t="n">
        <v>45587</v>
      </c>
      <c r="D4079" t="inlineStr">
        <is>
          <t>GÄVLEBORGS LÄN</t>
        </is>
      </c>
      <c r="E4079" t="inlineStr">
        <is>
          <t>NORDANSTIG</t>
        </is>
      </c>
      <c r="F4079" t="inlineStr">
        <is>
          <t>Holmen skog AB</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72087-2021</t>
        </is>
      </c>
      <c r="B4080" s="1" t="n">
        <v>44544</v>
      </c>
      <c r="C4080" s="1" t="n">
        <v>45587</v>
      </c>
      <c r="D4080" t="inlineStr">
        <is>
          <t>GÄVLEBORGS LÄN</t>
        </is>
      </c>
      <c r="E4080" t="inlineStr">
        <is>
          <t>SÖDERHAMN</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72105-2021</t>
        </is>
      </c>
      <c r="B4081" s="1" t="n">
        <v>44544</v>
      </c>
      <c r="C4081" s="1" t="n">
        <v>45587</v>
      </c>
      <c r="D4081" t="inlineStr">
        <is>
          <t>GÄVLEBORGS LÄN</t>
        </is>
      </c>
      <c r="E4081" t="inlineStr">
        <is>
          <t>NORDANSTIG</t>
        </is>
      </c>
      <c r="F4081" t="inlineStr">
        <is>
          <t>Holmen skog AB</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72144-2021</t>
        </is>
      </c>
      <c r="B4082" s="1" t="n">
        <v>44544</v>
      </c>
      <c r="C4082" s="1" t="n">
        <v>45587</v>
      </c>
      <c r="D4082" t="inlineStr">
        <is>
          <t>GÄVLEBORGS LÄN</t>
        </is>
      </c>
      <c r="E4082" t="inlineStr">
        <is>
          <t>HUDIKSVALL</t>
        </is>
      </c>
      <c r="F4082" t="inlineStr">
        <is>
          <t>Holmen skog AB</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72164-2021</t>
        </is>
      </c>
      <c r="B4083" s="1" t="n">
        <v>44544</v>
      </c>
      <c r="C4083" s="1" t="n">
        <v>45587</v>
      </c>
      <c r="D4083" t="inlineStr">
        <is>
          <t>GÄVLEBORGS LÄN</t>
        </is>
      </c>
      <c r="E4083" t="inlineStr">
        <is>
          <t>SÖDERHAMN</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72056-2021</t>
        </is>
      </c>
      <c r="B4084" s="1" t="n">
        <v>44544</v>
      </c>
      <c r="C4084" s="1" t="n">
        <v>45587</v>
      </c>
      <c r="D4084" t="inlineStr">
        <is>
          <t>GÄVLEBORGS LÄN</t>
        </is>
      </c>
      <c r="E4084" t="inlineStr">
        <is>
          <t>NORDANSTIG</t>
        </is>
      </c>
      <c r="F4084" t="inlineStr">
        <is>
          <t>Holmen skog AB</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72080-2021</t>
        </is>
      </c>
      <c r="B4085" s="1" t="n">
        <v>44544</v>
      </c>
      <c r="C4085" s="1" t="n">
        <v>45587</v>
      </c>
      <c r="D4085" t="inlineStr">
        <is>
          <t>GÄVLEBORGS LÄN</t>
        </is>
      </c>
      <c r="E4085" t="inlineStr">
        <is>
          <t>NORDANSTIG</t>
        </is>
      </c>
      <c r="F4085" t="inlineStr">
        <is>
          <t>Holmen skog AB</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72102-2021</t>
        </is>
      </c>
      <c r="B4086" s="1" t="n">
        <v>44544</v>
      </c>
      <c r="C4086" s="1" t="n">
        <v>45587</v>
      </c>
      <c r="D4086" t="inlineStr">
        <is>
          <t>GÄVLEBORGS LÄN</t>
        </is>
      </c>
      <c r="E4086" t="inlineStr">
        <is>
          <t>NORDANSTIG</t>
        </is>
      </c>
      <c r="F4086" t="inlineStr">
        <is>
          <t>Holmen skog AB</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72110-2021</t>
        </is>
      </c>
      <c r="B4087" s="1" t="n">
        <v>44544</v>
      </c>
      <c r="C4087" s="1" t="n">
        <v>45587</v>
      </c>
      <c r="D4087" t="inlineStr">
        <is>
          <t>GÄVLEBORGS LÄN</t>
        </is>
      </c>
      <c r="E4087" t="inlineStr">
        <is>
          <t>OVANÅKER</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72229-2021</t>
        </is>
      </c>
      <c r="B4088" s="1" t="n">
        <v>44544</v>
      </c>
      <c r="C4088" s="1" t="n">
        <v>45587</v>
      </c>
      <c r="D4088" t="inlineStr">
        <is>
          <t>GÄVLEBORGS LÄN</t>
        </is>
      </c>
      <c r="E4088" t="inlineStr">
        <is>
          <t>HUDIKSVALL</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72391-2021</t>
        </is>
      </c>
      <c r="B4089" s="1" t="n">
        <v>44545</v>
      </c>
      <c r="C4089" s="1" t="n">
        <v>45587</v>
      </c>
      <c r="D4089" t="inlineStr">
        <is>
          <t>GÄVLEBORGS LÄN</t>
        </is>
      </c>
      <c r="E4089" t="inlineStr">
        <is>
          <t>GÄVLE</t>
        </is>
      </c>
      <c r="F4089" t="inlineStr">
        <is>
          <t>Bergvik skog öst AB</t>
        </is>
      </c>
      <c r="G4089" t="n">
        <v>11.5</v>
      </c>
      <c r="H4089" t="n">
        <v>0</v>
      </c>
      <c r="I4089" t="n">
        <v>0</v>
      </c>
      <c r="J4089" t="n">
        <v>0</v>
      </c>
      <c r="K4089" t="n">
        <v>0</v>
      </c>
      <c r="L4089" t="n">
        <v>0</v>
      </c>
      <c r="M4089" t="n">
        <v>0</v>
      </c>
      <c r="N4089" t="n">
        <v>0</v>
      </c>
      <c r="O4089" t="n">
        <v>0</v>
      </c>
      <c r="P4089" t="n">
        <v>0</v>
      </c>
      <c r="Q4089" t="n">
        <v>0</v>
      </c>
      <c r="R4089" s="2" t="inlineStr"/>
    </row>
    <row r="4090" ht="15" customHeight="1">
      <c r="A4090" t="inlineStr">
        <is>
          <t>A 72457-2021</t>
        </is>
      </c>
      <c r="B4090" s="1" t="n">
        <v>44545</v>
      </c>
      <c r="C4090" s="1" t="n">
        <v>45587</v>
      </c>
      <c r="D4090" t="inlineStr">
        <is>
          <t>GÄVLEBORGS LÄN</t>
        </is>
      </c>
      <c r="E4090" t="inlineStr">
        <is>
          <t>LJUSDAL</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72256-2021</t>
        </is>
      </c>
      <c r="B4091" s="1" t="n">
        <v>44545</v>
      </c>
      <c r="C4091" s="1" t="n">
        <v>45587</v>
      </c>
      <c r="D4091" t="inlineStr">
        <is>
          <t>GÄVLEBORGS LÄN</t>
        </is>
      </c>
      <c r="E4091" t="inlineStr">
        <is>
          <t>HUDIKSVALL</t>
        </is>
      </c>
      <c r="F4091" t="inlineStr">
        <is>
          <t>Holmen skog AB</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72435-2021</t>
        </is>
      </c>
      <c r="B4092" s="1" t="n">
        <v>44545</v>
      </c>
      <c r="C4092" s="1" t="n">
        <v>45587</v>
      </c>
      <c r="D4092" t="inlineStr">
        <is>
          <t>GÄVLEBORGS LÄN</t>
        </is>
      </c>
      <c r="E4092" t="inlineStr">
        <is>
          <t>NORDANSTIG</t>
        </is>
      </c>
      <c r="G4092" t="n">
        <v>0.1</v>
      </c>
      <c r="H4092" t="n">
        <v>0</v>
      </c>
      <c r="I4092" t="n">
        <v>0</v>
      </c>
      <c r="J4092" t="n">
        <v>0</v>
      </c>
      <c r="K4092" t="n">
        <v>0</v>
      </c>
      <c r="L4092" t="n">
        <v>0</v>
      </c>
      <c r="M4092" t="n">
        <v>0</v>
      </c>
      <c r="N4092" t="n">
        <v>0</v>
      </c>
      <c r="O4092" t="n">
        <v>0</v>
      </c>
      <c r="P4092" t="n">
        <v>0</v>
      </c>
      <c r="Q4092" t="n">
        <v>0</v>
      </c>
      <c r="R4092" s="2" t="inlineStr"/>
    </row>
    <row r="4093" ht="15" customHeight="1">
      <c r="A4093" t="inlineStr">
        <is>
          <t>A 72464-2021</t>
        </is>
      </c>
      <c r="B4093" s="1" t="n">
        <v>44545</v>
      </c>
      <c r="C4093" s="1" t="n">
        <v>45587</v>
      </c>
      <c r="D4093" t="inlineStr">
        <is>
          <t>GÄVLEBORGS LÄN</t>
        </is>
      </c>
      <c r="E4093" t="inlineStr">
        <is>
          <t>LJUSDAL</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72541-2021</t>
        </is>
      </c>
      <c r="B4094" s="1" t="n">
        <v>44546</v>
      </c>
      <c r="C4094" s="1" t="n">
        <v>45587</v>
      </c>
      <c r="D4094" t="inlineStr">
        <is>
          <t>GÄVLEBORGS LÄN</t>
        </is>
      </c>
      <c r="E4094" t="inlineStr">
        <is>
          <t>GÄVLE</t>
        </is>
      </c>
      <c r="G4094" t="n">
        <v>6.4</v>
      </c>
      <c r="H4094" t="n">
        <v>0</v>
      </c>
      <c r="I4094" t="n">
        <v>0</v>
      </c>
      <c r="J4094" t="n">
        <v>0</v>
      </c>
      <c r="K4094" t="n">
        <v>0</v>
      </c>
      <c r="L4094" t="n">
        <v>0</v>
      </c>
      <c r="M4094" t="n">
        <v>0</v>
      </c>
      <c r="N4094" t="n">
        <v>0</v>
      </c>
      <c r="O4094" t="n">
        <v>0</v>
      </c>
      <c r="P4094" t="n">
        <v>0</v>
      </c>
      <c r="Q4094" t="n">
        <v>0</v>
      </c>
      <c r="R4094" s="2" t="inlineStr"/>
    </row>
    <row r="4095" ht="15" customHeight="1">
      <c r="A4095" t="inlineStr">
        <is>
          <t>A 72504-2021</t>
        </is>
      </c>
      <c r="B4095" s="1" t="n">
        <v>44546</v>
      </c>
      <c r="C4095" s="1" t="n">
        <v>45587</v>
      </c>
      <c r="D4095" t="inlineStr">
        <is>
          <t>GÄVLEBORGS LÄN</t>
        </is>
      </c>
      <c r="E4095" t="inlineStr">
        <is>
          <t>GÄVLE</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72535-2021</t>
        </is>
      </c>
      <c r="B4096" s="1" t="n">
        <v>44546</v>
      </c>
      <c r="C4096" s="1" t="n">
        <v>45587</v>
      </c>
      <c r="D4096" t="inlineStr">
        <is>
          <t>GÄVLEBORGS LÄN</t>
        </is>
      </c>
      <c r="E4096" t="inlineStr">
        <is>
          <t>HUDIKSVALL</t>
        </is>
      </c>
      <c r="F4096" t="inlineStr">
        <is>
          <t>Sveaskog</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72594-2021</t>
        </is>
      </c>
      <c r="B4097" s="1" t="n">
        <v>44546</v>
      </c>
      <c r="C4097" s="1" t="n">
        <v>45587</v>
      </c>
      <c r="D4097" t="inlineStr">
        <is>
          <t>GÄVLEBORGS LÄN</t>
        </is>
      </c>
      <c r="E4097" t="inlineStr">
        <is>
          <t>NORDANSTIG</t>
        </is>
      </c>
      <c r="G4097" t="n">
        <v>5.7</v>
      </c>
      <c r="H4097" t="n">
        <v>0</v>
      </c>
      <c r="I4097" t="n">
        <v>0</v>
      </c>
      <c r="J4097" t="n">
        <v>0</v>
      </c>
      <c r="K4097" t="n">
        <v>0</v>
      </c>
      <c r="L4097" t="n">
        <v>0</v>
      </c>
      <c r="M4097" t="n">
        <v>0</v>
      </c>
      <c r="N4097" t="n">
        <v>0</v>
      </c>
      <c r="O4097" t="n">
        <v>0</v>
      </c>
      <c r="P4097" t="n">
        <v>0</v>
      </c>
      <c r="Q4097" t="n">
        <v>0</v>
      </c>
      <c r="R4097" s="2" t="inlineStr"/>
    </row>
    <row r="4098" ht="15" customHeight="1">
      <c r="A4098" t="inlineStr">
        <is>
          <t>A 72730-2021</t>
        </is>
      </c>
      <c r="B4098" s="1" t="n">
        <v>44546</v>
      </c>
      <c r="C4098" s="1" t="n">
        <v>45587</v>
      </c>
      <c r="D4098" t="inlineStr">
        <is>
          <t>GÄVLEBORGS LÄN</t>
        </is>
      </c>
      <c r="E4098" t="inlineStr">
        <is>
          <t>GÄVLE</t>
        </is>
      </c>
      <c r="F4098" t="inlineStr">
        <is>
          <t>Bergvik skog väst AB</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72734-2021</t>
        </is>
      </c>
      <c r="B4099" s="1" t="n">
        <v>44546</v>
      </c>
      <c r="C4099" s="1" t="n">
        <v>45587</v>
      </c>
      <c r="D4099" t="inlineStr">
        <is>
          <t>GÄVLEBORGS LÄN</t>
        </is>
      </c>
      <c r="E4099" t="inlineStr">
        <is>
          <t>GÄVLE</t>
        </is>
      </c>
      <c r="F4099" t="inlineStr">
        <is>
          <t>Kommuner</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72644-2021</t>
        </is>
      </c>
      <c r="B4100" s="1" t="n">
        <v>44546</v>
      </c>
      <c r="C4100" s="1" t="n">
        <v>45587</v>
      </c>
      <c r="D4100" t="inlineStr">
        <is>
          <t>GÄVLEBORGS LÄN</t>
        </is>
      </c>
      <c r="E4100" t="inlineStr">
        <is>
          <t>SÖDERHAMN</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72645-2021</t>
        </is>
      </c>
      <c r="B4101" s="1" t="n">
        <v>44546</v>
      </c>
      <c r="C4101" s="1" t="n">
        <v>45587</v>
      </c>
      <c r="D4101" t="inlineStr">
        <is>
          <t>GÄVLEBORGS LÄN</t>
        </is>
      </c>
      <c r="E4101" t="inlineStr">
        <is>
          <t>SÖDERHAMN</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72678-2021</t>
        </is>
      </c>
      <c r="B4102" s="1" t="n">
        <v>44546</v>
      </c>
      <c r="C4102" s="1" t="n">
        <v>45587</v>
      </c>
      <c r="D4102" t="inlineStr">
        <is>
          <t>GÄVLEBORGS LÄN</t>
        </is>
      </c>
      <c r="E4102" t="inlineStr">
        <is>
          <t>HUDIKSVALL</t>
        </is>
      </c>
      <c r="F4102" t="inlineStr">
        <is>
          <t>Holmen skog AB</t>
        </is>
      </c>
      <c r="G4102" t="n">
        <v>5.4</v>
      </c>
      <c r="H4102" t="n">
        <v>0</v>
      </c>
      <c r="I4102" t="n">
        <v>0</v>
      </c>
      <c r="J4102" t="n">
        <v>0</v>
      </c>
      <c r="K4102" t="n">
        <v>0</v>
      </c>
      <c r="L4102" t="n">
        <v>0</v>
      </c>
      <c r="M4102" t="n">
        <v>0</v>
      </c>
      <c r="N4102" t="n">
        <v>0</v>
      </c>
      <c r="O4102" t="n">
        <v>0</v>
      </c>
      <c r="P4102" t="n">
        <v>0</v>
      </c>
      <c r="Q4102" t="n">
        <v>0</v>
      </c>
      <c r="R4102" s="2" t="inlineStr"/>
    </row>
    <row r="4103" ht="15" customHeight="1">
      <c r="A4103" t="inlineStr">
        <is>
          <t>A 72711-2021</t>
        </is>
      </c>
      <c r="B4103" s="1" t="n">
        <v>44546</v>
      </c>
      <c r="C4103" s="1" t="n">
        <v>45587</v>
      </c>
      <c r="D4103" t="inlineStr">
        <is>
          <t>GÄVLEBORGS LÄN</t>
        </is>
      </c>
      <c r="E4103" t="inlineStr">
        <is>
          <t>LJUSDAL</t>
        </is>
      </c>
      <c r="F4103" t="inlineStr">
        <is>
          <t>Sveaskog</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72815-2021</t>
        </is>
      </c>
      <c r="B4104" s="1" t="n">
        <v>44547</v>
      </c>
      <c r="C4104" s="1" t="n">
        <v>45587</v>
      </c>
      <c r="D4104" t="inlineStr">
        <is>
          <t>GÄVLEBORGS LÄN</t>
        </is>
      </c>
      <c r="E4104" t="inlineStr">
        <is>
          <t>NORDANSTIG</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72854-2021</t>
        </is>
      </c>
      <c r="B4105" s="1" t="n">
        <v>44547</v>
      </c>
      <c r="C4105" s="1" t="n">
        <v>45587</v>
      </c>
      <c r="D4105" t="inlineStr">
        <is>
          <t>GÄVLEBORGS LÄN</t>
        </is>
      </c>
      <c r="E4105" t="inlineStr">
        <is>
          <t>OVANÅKER</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72820-2021</t>
        </is>
      </c>
      <c r="B4106" s="1" t="n">
        <v>44547</v>
      </c>
      <c r="C4106" s="1" t="n">
        <v>45587</v>
      </c>
      <c r="D4106" t="inlineStr">
        <is>
          <t>GÄVLEBORGS LÄN</t>
        </is>
      </c>
      <c r="E4106" t="inlineStr">
        <is>
          <t>NORDANSTIG</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72899-2021</t>
        </is>
      </c>
      <c r="B4107" s="1" t="n">
        <v>44547</v>
      </c>
      <c r="C4107" s="1" t="n">
        <v>45587</v>
      </c>
      <c r="D4107" t="inlineStr">
        <is>
          <t>GÄVLEBORGS LÄN</t>
        </is>
      </c>
      <c r="E4107" t="inlineStr">
        <is>
          <t>HUDIKSVALL</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72997-2021</t>
        </is>
      </c>
      <c r="B4108" s="1" t="n">
        <v>44549</v>
      </c>
      <c r="C4108" s="1" t="n">
        <v>45587</v>
      </c>
      <c r="D4108" t="inlineStr">
        <is>
          <t>GÄVLEBORGS LÄN</t>
        </is>
      </c>
      <c r="E4108" t="inlineStr">
        <is>
          <t>SANDVIKEN</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73223-2021</t>
        </is>
      </c>
      <c r="B4109" s="1" t="n">
        <v>44550</v>
      </c>
      <c r="C4109" s="1" t="n">
        <v>45587</v>
      </c>
      <c r="D4109" t="inlineStr">
        <is>
          <t>GÄVLEBORGS LÄN</t>
        </is>
      </c>
      <c r="E4109" t="inlineStr">
        <is>
          <t>OCKELBO</t>
        </is>
      </c>
      <c r="F4109" t="inlineStr">
        <is>
          <t>Bergvik skog väst AB</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73164-2021</t>
        </is>
      </c>
      <c r="B4110" s="1" t="n">
        <v>44550</v>
      </c>
      <c r="C4110" s="1" t="n">
        <v>45587</v>
      </c>
      <c r="D4110" t="inlineStr">
        <is>
          <t>GÄVLEBORGS LÄN</t>
        </is>
      </c>
      <c r="E4110" t="inlineStr">
        <is>
          <t>HUDIKSVALL</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73190-2021</t>
        </is>
      </c>
      <c r="B4111" s="1" t="n">
        <v>44550</v>
      </c>
      <c r="C4111" s="1" t="n">
        <v>45587</v>
      </c>
      <c r="D4111" t="inlineStr">
        <is>
          <t>GÄVLEBORGS LÄN</t>
        </is>
      </c>
      <c r="E4111" t="inlineStr">
        <is>
          <t>LJUSDAL</t>
        </is>
      </c>
      <c r="F4111" t="inlineStr">
        <is>
          <t>Holmen skog AB</t>
        </is>
      </c>
      <c r="G4111" t="n">
        <v>4.9</v>
      </c>
      <c r="H4111" t="n">
        <v>0</v>
      </c>
      <c r="I4111" t="n">
        <v>0</v>
      </c>
      <c r="J4111" t="n">
        <v>0</v>
      </c>
      <c r="K4111" t="n">
        <v>0</v>
      </c>
      <c r="L4111" t="n">
        <v>0</v>
      </c>
      <c r="M4111" t="n">
        <v>0</v>
      </c>
      <c r="N4111" t="n">
        <v>0</v>
      </c>
      <c r="O4111" t="n">
        <v>0</v>
      </c>
      <c r="P4111" t="n">
        <v>0</v>
      </c>
      <c r="Q4111" t="n">
        <v>0</v>
      </c>
      <c r="R4111" s="2" t="inlineStr"/>
    </row>
    <row r="4112" ht="15" customHeight="1">
      <c r="A4112" t="inlineStr">
        <is>
          <t>A 73241-2021</t>
        </is>
      </c>
      <c r="B4112" s="1" t="n">
        <v>44550</v>
      </c>
      <c r="C4112" s="1" t="n">
        <v>45587</v>
      </c>
      <c r="D4112" t="inlineStr">
        <is>
          <t>GÄVLEBORGS LÄN</t>
        </is>
      </c>
      <c r="E4112" t="inlineStr">
        <is>
          <t>LJUSDAL</t>
        </is>
      </c>
      <c r="F4112" t="inlineStr">
        <is>
          <t>Allmännings- och besparingsskogar</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73555-2021</t>
        </is>
      </c>
      <c r="B4113" s="1" t="n">
        <v>44551</v>
      </c>
      <c r="C4113" s="1" t="n">
        <v>45587</v>
      </c>
      <c r="D4113" t="inlineStr">
        <is>
          <t>GÄVLEBORGS LÄN</t>
        </is>
      </c>
      <c r="E4113" t="inlineStr">
        <is>
          <t>LJUSDAL</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73447-2021</t>
        </is>
      </c>
      <c r="B4114" s="1" t="n">
        <v>44551</v>
      </c>
      <c r="C4114" s="1" t="n">
        <v>45587</v>
      </c>
      <c r="D4114" t="inlineStr">
        <is>
          <t>GÄVLEBORGS LÄN</t>
        </is>
      </c>
      <c r="E4114" t="inlineStr">
        <is>
          <t>SÖDERHAMN</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73331-2021</t>
        </is>
      </c>
      <c r="B4115" s="1" t="n">
        <v>44551</v>
      </c>
      <c r="C4115" s="1" t="n">
        <v>45587</v>
      </c>
      <c r="D4115" t="inlineStr">
        <is>
          <t>GÄVLEBORGS LÄN</t>
        </is>
      </c>
      <c r="E4115" t="inlineStr">
        <is>
          <t>SANDVIKEN</t>
        </is>
      </c>
      <c r="F4115" t="inlineStr">
        <is>
          <t>Bergvik skog öst AB</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73389-2021</t>
        </is>
      </c>
      <c r="B4116" s="1" t="n">
        <v>44551</v>
      </c>
      <c r="C4116" s="1" t="n">
        <v>45587</v>
      </c>
      <c r="D4116" t="inlineStr">
        <is>
          <t>GÄVLEBORGS LÄN</t>
        </is>
      </c>
      <c r="E4116" t="inlineStr">
        <is>
          <t>NORDANSTIG</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73554-2021</t>
        </is>
      </c>
      <c r="B4117" s="1" t="n">
        <v>44551</v>
      </c>
      <c r="C4117" s="1" t="n">
        <v>45587</v>
      </c>
      <c r="D4117" t="inlineStr">
        <is>
          <t>GÄVLEBORGS LÄN</t>
        </is>
      </c>
      <c r="E4117" t="inlineStr">
        <is>
          <t>LJUSDAL</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73725-2021</t>
        </is>
      </c>
      <c r="B4118" s="1" t="n">
        <v>44552</v>
      </c>
      <c r="C4118" s="1" t="n">
        <v>45587</v>
      </c>
      <c r="D4118" t="inlineStr">
        <is>
          <t>GÄVLEBORGS LÄN</t>
        </is>
      </c>
      <c r="E4118" t="inlineStr">
        <is>
          <t>NORDANSTIG</t>
        </is>
      </c>
      <c r="F4118" t="inlineStr">
        <is>
          <t>Holmen skog AB</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73672-2021</t>
        </is>
      </c>
      <c r="B4119" s="1" t="n">
        <v>44552</v>
      </c>
      <c r="C4119" s="1" t="n">
        <v>45587</v>
      </c>
      <c r="D4119" t="inlineStr">
        <is>
          <t>GÄVLEBORGS LÄN</t>
        </is>
      </c>
      <c r="E4119" t="inlineStr">
        <is>
          <t>LJUSDAL</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73750-2021</t>
        </is>
      </c>
      <c r="B4120" s="1" t="n">
        <v>44552</v>
      </c>
      <c r="C4120" s="1" t="n">
        <v>45587</v>
      </c>
      <c r="D4120" t="inlineStr">
        <is>
          <t>GÄVLEBORGS LÄN</t>
        </is>
      </c>
      <c r="E4120" t="inlineStr">
        <is>
          <t>LJUSDAL</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73583-2021</t>
        </is>
      </c>
      <c r="B4121" s="1" t="n">
        <v>44552</v>
      </c>
      <c r="C4121" s="1" t="n">
        <v>45587</v>
      </c>
      <c r="D4121" t="inlineStr">
        <is>
          <t>GÄVLEBORGS LÄN</t>
        </is>
      </c>
      <c r="E4121" t="inlineStr">
        <is>
          <t>NORDANSTIG</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73642-2021</t>
        </is>
      </c>
      <c r="B4122" s="1" t="n">
        <v>44552</v>
      </c>
      <c r="C4122" s="1" t="n">
        <v>45587</v>
      </c>
      <c r="D4122" t="inlineStr">
        <is>
          <t>GÄVLEBORGS LÄN</t>
        </is>
      </c>
      <c r="E4122" t="inlineStr">
        <is>
          <t>SÖDERHAMN</t>
        </is>
      </c>
      <c r="G4122" t="n">
        <v>5.9</v>
      </c>
      <c r="H4122" t="n">
        <v>0</v>
      </c>
      <c r="I4122" t="n">
        <v>0</v>
      </c>
      <c r="J4122" t="n">
        <v>0</v>
      </c>
      <c r="K4122" t="n">
        <v>0</v>
      </c>
      <c r="L4122" t="n">
        <v>0</v>
      </c>
      <c r="M4122" t="n">
        <v>0</v>
      </c>
      <c r="N4122" t="n">
        <v>0</v>
      </c>
      <c r="O4122" t="n">
        <v>0</v>
      </c>
      <c r="P4122" t="n">
        <v>0</v>
      </c>
      <c r="Q4122" t="n">
        <v>0</v>
      </c>
      <c r="R4122" s="2" t="inlineStr"/>
    </row>
    <row r="4123" ht="15" customHeight="1">
      <c r="A4123" t="inlineStr">
        <is>
          <t>A 73740-2021</t>
        </is>
      </c>
      <c r="B4123" s="1" t="n">
        <v>44552</v>
      </c>
      <c r="C4123" s="1" t="n">
        <v>45587</v>
      </c>
      <c r="D4123" t="inlineStr">
        <is>
          <t>GÄVLEBORGS LÄN</t>
        </is>
      </c>
      <c r="E4123" t="inlineStr">
        <is>
          <t>NORDANSTIG</t>
        </is>
      </c>
      <c r="F4123" t="inlineStr">
        <is>
          <t>Holmen skog AB</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73748-2021</t>
        </is>
      </c>
      <c r="B4124" s="1" t="n">
        <v>44552</v>
      </c>
      <c r="C4124" s="1" t="n">
        <v>45587</v>
      </c>
      <c r="D4124" t="inlineStr">
        <is>
          <t>GÄVLEBORGS LÄN</t>
        </is>
      </c>
      <c r="E4124" t="inlineStr">
        <is>
          <t>NORDANSTIG</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73868-2021</t>
        </is>
      </c>
      <c r="B4125" s="1" t="n">
        <v>44553</v>
      </c>
      <c r="C4125" s="1" t="n">
        <v>45587</v>
      </c>
      <c r="D4125" t="inlineStr">
        <is>
          <t>GÄVLEBORGS LÄN</t>
        </is>
      </c>
      <c r="E4125" t="inlineStr">
        <is>
          <t>BOLLNÄS</t>
        </is>
      </c>
      <c r="G4125" t="n">
        <v>6.7</v>
      </c>
      <c r="H4125" t="n">
        <v>0</v>
      </c>
      <c r="I4125" t="n">
        <v>0</v>
      </c>
      <c r="J4125" t="n">
        <v>0</v>
      </c>
      <c r="K4125" t="n">
        <v>0</v>
      </c>
      <c r="L4125" t="n">
        <v>0</v>
      </c>
      <c r="M4125" t="n">
        <v>0</v>
      </c>
      <c r="N4125" t="n">
        <v>0</v>
      </c>
      <c r="O4125" t="n">
        <v>0</v>
      </c>
      <c r="P4125" t="n">
        <v>0</v>
      </c>
      <c r="Q4125" t="n">
        <v>0</v>
      </c>
      <c r="R4125" s="2" t="inlineStr"/>
    </row>
    <row r="4126" ht="15" customHeight="1">
      <c r="A4126" t="inlineStr">
        <is>
          <t>A 73925-2021</t>
        </is>
      </c>
      <c r="B4126" s="1" t="n">
        <v>44553</v>
      </c>
      <c r="C4126" s="1" t="n">
        <v>45587</v>
      </c>
      <c r="D4126" t="inlineStr">
        <is>
          <t>GÄVLEBORGS LÄN</t>
        </is>
      </c>
      <c r="E4126" t="inlineStr">
        <is>
          <t>SANDVIKEN</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74009-2021</t>
        </is>
      </c>
      <c r="B4127" s="1" t="n">
        <v>44557</v>
      </c>
      <c r="C4127" s="1" t="n">
        <v>45587</v>
      </c>
      <c r="D4127" t="inlineStr">
        <is>
          <t>GÄVLEBORGS LÄN</t>
        </is>
      </c>
      <c r="E4127" t="inlineStr">
        <is>
          <t>HUDIKSVALL</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74101-2021</t>
        </is>
      </c>
      <c r="B4128" s="1" t="n">
        <v>44557</v>
      </c>
      <c r="C4128" s="1" t="n">
        <v>45587</v>
      </c>
      <c r="D4128" t="inlineStr">
        <is>
          <t>GÄVLEBORGS LÄN</t>
        </is>
      </c>
      <c r="E4128" t="inlineStr">
        <is>
          <t>GÄVLE</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74193-2021</t>
        </is>
      </c>
      <c r="B4129" s="1" t="n">
        <v>44558</v>
      </c>
      <c r="C4129" s="1" t="n">
        <v>45587</v>
      </c>
      <c r="D4129" t="inlineStr">
        <is>
          <t>GÄVLEBORGS LÄN</t>
        </is>
      </c>
      <c r="E4129" t="inlineStr">
        <is>
          <t>NORDANSTIG</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74255-2021</t>
        </is>
      </c>
      <c r="B4130" s="1" t="n">
        <v>44558</v>
      </c>
      <c r="C4130" s="1" t="n">
        <v>45587</v>
      </c>
      <c r="D4130" t="inlineStr">
        <is>
          <t>GÄVLEBORGS LÄN</t>
        </is>
      </c>
      <c r="E4130" t="inlineStr">
        <is>
          <t>HOFORS</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74254-2021</t>
        </is>
      </c>
      <c r="B4131" s="1" t="n">
        <v>44558</v>
      </c>
      <c r="C4131" s="1" t="n">
        <v>45587</v>
      </c>
      <c r="D4131" t="inlineStr">
        <is>
          <t>GÄVLEBORGS LÄN</t>
        </is>
      </c>
      <c r="E4131" t="inlineStr">
        <is>
          <t>HOFORS</t>
        </is>
      </c>
      <c r="G4131" t="n">
        <v>8.1</v>
      </c>
      <c r="H4131" t="n">
        <v>0</v>
      </c>
      <c r="I4131" t="n">
        <v>0</v>
      </c>
      <c r="J4131" t="n">
        <v>0</v>
      </c>
      <c r="K4131" t="n">
        <v>0</v>
      </c>
      <c r="L4131" t="n">
        <v>0</v>
      </c>
      <c r="M4131" t="n">
        <v>0</v>
      </c>
      <c r="N4131" t="n">
        <v>0</v>
      </c>
      <c r="O4131" t="n">
        <v>0</v>
      </c>
      <c r="P4131" t="n">
        <v>0</v>
      </c>
      <c r="Q4131" t="n">
        <v>0</v>
      </c>
      <c r="R4131" s="2" t="inlineStr"/>
    </row>
    <row r="4132" ht="15" customHeight="1">
      <c r="A4132" t="inlineStr">
        <is>
          <t>A 74337-2021</t>
        </is>
      </c>
      <c r="B4132" s="1" t="n">
        <v>44559</v>
      </c>
      <c r="C4132" s="1" t="n">
        <v>45587</v>
      </c>
      <c r="D4132" t="inlineStr">
        <is>
          <t>GÄVLEBORGS LÄN</t>
        </is>
      </c>
      <c r="E4132" t="inlineStr">
        <is>
          <t>LJUSDAL</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74469-2021</t>
        </is>
      </c>
      <c r="B4133" s="1" t="n">
        <v>44560</v>
      </c>
      <c r="C4133" s="1" t="n">
        <v>45587</v>
      </c>
      <c r="D4133" t="inlineStr">
        <is>
          <t>GÄVLEBORGS LÄN</t>
        </is>
      </c>
      <c r="E4133" t="inlineStr">
        <is>
          <t>GÄVLE</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74460-2021</t>
        </is>
      </c>
      <c r="B4134" s="1" t="n">
        <v>44560</v>
      </c>
      <c r="C4134" s="1" t="n">
        <v>45587</v>
      </c>
      <c r="D4134" t="inlineStr">
        <is>
          <t>GÄVLEBORGS LÄN</t>
        </is>
      </c>
      <c r="E4134" t="inlineStr">
        <is>
          <t>NORDANSTIG</t>
        </is>
      </c>
      <c r="F4134" t="inlineStr">
        <is>
          <t>Holmen skog AB</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139-2022</t>
        </is>
      </c>
      <c r="B4135" s="1" t="n">
        <v>44564</v>
      </c>
      <c r="C4135" s="1" t="n">
        <v>45587</v>
      </c>
      <c r="D4135" t="inlineStr">
        <is>
          <t>GÄVLEBORGS LÄN</t>
        </is>
      </c>
      <c r="E4135" t="inlineStr">
        <is>
          <t>SANDVIKEN</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80-2022</t>
        </is>
      </c>
      <c r="B4136" s="1" t="n">
        <v>44564</v>
      </c>
      <c r="C4136" s="1" t="n">
        <v>45587</v>
      </c>
      <c r="D4136" t="inlineStr">
        <is>
          <t>GÄVLEBORGS LÄN</t>
        </is>
      </c>
      <c r="E4136" t="inlineStr">
        <is>
          <t>OVANÅKER</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254-2022</t>
        </is>
      </c>
      <c r="B4137" s="1" t="n">
        <v>44564</v>
      </c>
      <c r="C4137" s="1" t="n">
        <v>45587</v>
      </c>
      <c r="D4137" t="inlineStr">
        <is>
          <t>GÄVLEBORGS LÄN</t>
        </is>
      </c>
      <c r="E4137" t="inlineStr">
        <is>
          <t>SÖDERHAMN</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30-2022</t>
        </is>
      </c>
      <c r="B4138" s="1" t="n">
        <v>44564</v>
      </c>
      <c r="C4138" s="1" t="n">
        <v>45587</v>
      </c>
      <c r="D4138" t="inlineStr">
        <is>
          <t>GÄVLEBORGS LÄN</t>
        </is>
      </c>
      <c r="E4138" t="inlineStr">
        <is>
          <t>LJUSDAL</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65-2022</t>
        </is>
      </c>
      <c r="B4139" s="1" t="n">
        <v>44564</v>
      </c>
      <c r="C4139" s="1" t="n">
        <v>45587</v>
      </c>
      <c r="D4139" t="inlineStr">
        <is>
          <t>GÄVLEBORGS LÄN</t>
        </is>
      </c>
      <c r="E4139" t="inlineStr">
        <is>
          <t>OVANÅKER</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331-2022</t>
        </is>
      </c>
      <c r="B4140" s="1" t="n">
        <v>44565</v>
      </c>
      <c r="C4140" s="1" t="n">
        <v>45587</v>
      </c>
      <c r="D4140" t="inlineStr">
        <is>
          <t>GÄVLEBORGS LÄN</t>
        </is>
      </c>
      <c r="E4140" t="inlineStr">
        <is>
          <t>LJUSDAL</t>
        </is>
      </c>
      <c r="F4140" t="inlineStr">
        <is>
          <t>Holmen skog AB</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480-2022</t>
        </is>
      </c>
      <c r="B4141" s="1" t="n">
        <v>44566</v>
      </c>
      <c r="C4141" s="1" t="n">
        <v>45587</v>
      </c>
      <c r="D4141" t="inlineStr">
        <is>
          <t>GÄVLEBORGS LÄN</t>
        </is>
      </c>
      <c r="E4141" t="inlineStr">
        <is>
          <t>HUDIKSVALL</t>
        </is>
      </c>
      <c r="G4141" t="n">
        <v>4.9</v>
      </c>
      <c r="H4141" t="n">
        <v>0</v>
      </c>
      <c r="I4141" t="n">
        <v>0</v>
      </c>
      <c r="J4141" t="n">
        <v>0</v>
      </c>
      <c r="K4141" t="n">
        <v>0</v>
      </c>
      <c r="L4141" t="n">
        <v>0</v>
      </c>
      <c r="M4141" t="n">
        <v>0</v>
      </c>
      <c r="N4141" t="n">
        <v>0</v>
      </c>
      <c r="O4141" t="n">
        <v>0</v>
      </c>
      <c r="P4141" t="n">
        <v>0</v>
      </c>
      <c r="Q4141" t="n">
        <v>0</v>
      </c>
      <c r="R4141" s="2" t="inlineStr"/>
    </row>
    <row r="4142" ht="15" customHeight="1">
      <c r="A4142" t="inlineStr">
        <is>
          <t>A 541-2022</t>
        </is>
      </c>
      <c r="B4142" s="1" t="n">
        <v>44566</v>
      </c>
      <c r="C4142" s="1" t="n">
        <v>45587</v>
      </c>
      <c r="D4142" t="inlineStr">
        <is>
          <t>GÄVLEBORGS LÄN</t>
        </is>
      </c>
      <c r="E4142" t="inlineStr">
        <is>
          <t>BOLLNÄS</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549-2022</t>
        </is>
      </c>
      <c r="B4143" s="1" t="n">
        <v>44566</v>
      </c>
      <c r="C4143" s="1" t="n">
        <v>45587</v>
      </c>
      <c r="D4143" t="inlineStr">
        <is>
          <t>GÄVLEBORGS LÄN</t>
        </is>
      </c>
      <c r="E4143" t="inlineStr">
        <is>
          <t>SANDVIKEN</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486-2022</t>
        </is>
      </c>
      <c r="B4144" s="1" t="n">
        <v>44566</v>
      </c>
      <c r="C4144" s="1" t="n">
        <v>45587</v>
      </c>
      <c r="D4144" t="inlineStr">
        <is>
          <t>GÄVLEBORGS LÄN</t>
        </is>
      </c>
      <c r="E4144" t="inlineStr">
        <is>
          <t>HUDIKSVALL</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522-2022</t>
        </is>
      </c>
      <c r="B4145" s="1" t="n">
        <v>44566</v>
      </c>
      <c r="C4145" s="1" t="n">
        <v>45587</v>
      </c>
      <c r="D4145" t="inlineStr">
        <is>
          <t>GÄVLEBORGS LÄN</t>
        </is>
      </c>
      <c r="E4145" t="inlineStr">
        <is>
          <t>BOLLNÄS</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534-2022</t>
        </is>
      </c>
      <c r="B4146" s="1" t="n">
        <v>44566</v>
      </c>
      <c r="C4146" s="1" t="n">
        <v>45587</v>
      </c>
      <c r="D4146" t="inlineStr">
        <is>
          <t>GÄVLEBORGS LÄN</t>
        </is>
      </c>
      <c r="E4146" t="inlineStr">
        <is>
          <t>BOLLNÄS</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574-2022</t>
        </is>
      </c>
      <c r="B4147" s="1" t="n">
        <v>44566</v>
      </c>
      <c r="C4147" s="1" t="n">
        <v>45587</v>
      </c>
      <c r="D4147" t="inlineStr">
        <is>
          <t>GÄVLEBORGS LÄN</t>
        </is>
      </c>
      <c r="E4147" t="inlineStr">
        <is>
          <t>LJUSDAL</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575-2022</t>
        </is>
      </c>
      <c r="B4148" s="1" t="n">
        <v>44566</v>
      </c>
      <c r="C4148" s="1" t="n">
        <v>45587</v>
      </c>
      <c r="D4148" t="inlineStr">
        <is>
          <t>GÄVLEBORGS LÄN</t>
        </is>
      </c>
      <c r="E4148" t="inlineStr">
        <is>
          <t>NORDANSTIG</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884-2022</t>
        </is>
      </c>
      <c r="B4149" s="1" t="n">
        <v>44568</v>
      </c>
      <c r="C4149" s="1" t="n">
        <v>45587</v>
      </c>
      <c r="D4149" t="inlineStr">
        <is>
          <t>GÄVLEBORGS LÄN</t>
        </is>
      </c>
      <c r="E4149" t="inlineStr">
        <is>
          <t>HUDIKSVALL</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926-2022</t>
        </is>
      </c>
      <c r="B4150" s="1" t="n">
        <v>44571</v>
      </c>
      <c r="C4150" s="1" t="n">
        <v>45587</v>
      </c>
      <c r="D4150" t="inlineStr">
        <is>
          <t>GÄVLEBORGS LÄN</t>
        </is>
      </c>
      <c r="E4150" t="inlineStr">
        <is>
          <t>OVANÅKER</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983-2022</t>
        </is>
      </c>
      <c r="B4151" s="1" t="n">
        <v>44571</v>
      </c>
      <c r="C4151" s="1" t="n">
        <v>45587</v>
      </c>
      <c r="D4151" t="inlineStr">
        <is>
          <t>GÄVLEBORGS LÄN</t>
        </is>
      </c>
      <c r="E4151" t="inlineStr">
        <is>
          <t>LJUSDAL</t>
        </is>
      </c>
      <c r="F4151" t="inlineStr">
        <is>
          <t>Holmen skog AB</t>
        </is>
      </c>
      <c r="G4151" t="n">
        <v>10.6</v>
      </c>
      <c r="H4151" t="n">
        <v>0</v>
      </c>
      <c r="I4151" t="n">
        <v>0</v>
      </c>
      <c r="J4151" t="n">
        <v>0</v>
      </c>
      <c r="K4151" t="n">
        <v>0</v>
      </c>
      <c r="L4151" t="n">
        <v>0</v>
      </c>
      <c r="M4151" t="n">
        <v>0</v>
      </c>
      <c r="N4151" t="n">
        <v>0</v>
      </c>
      <c r="O4151" t="n">
        <v>0</v>
      </c>
      <c r="P4151" t="n">
        <v>0</v>
      </c>
      <c r="Q4151" t="n">
        <v>0</v>
      </c>
      <c r="R4151" s="2" t="inlineStr"/>
    </row>
    <row r="4152" ht="15" customHeight="1">
      <c r="A4152" t="inlineStr">
        <is>
          <t>A 816-2022</t>
        </is>
      </c>
      <c r="B4152" s="1" t="n">
        <v>44571</v>
      </c>
      <c r="C4152" s="1" t="n">
        <v>45587</v>
      </c>
      <c r="D4152" t="inlineStr">
        <is>
          <t>GÄVLEBORGS LÄN</t>
        </is>
      </c>
      <c r="E4152" t="inlineStr">
        <is>
          <t>HUDIKSVALL</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892-2022</t>
        </is>
      </c>
      <c r="B4153" s="1" t="n">
        <v>44571</v>
      </c>
      <c r="C4153" s="1" t="n">
        <v>45587</v>
      </c>
      <c r="D4153" t="inlineStr">
        <is>
          <t>GÄVLEBORGS LÄN</t>
        </is>
      </c>
      <c r="E4153" t="inlineStr">
        <is>
          <t>OVANÅKER</t>
        </is>
      </c>
      <c r="F4153" t="inlineStr">
        <is>
          <t>Holmen skog AB</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960-2022</t>
        </is>
      </c>
      <c r="B4154" s="1" t="n">
        <v>44571</v>
      </c>
      <c r="C4154" s="1" t="n">
        <v>45587</v>
      </c>
      <c r="D4154" t="inlineStr">
        <is>
          <t>GÄVLEBORGS LÄN</t>
        </is>
      </c>
      <c r="E4154" t="inlineStr">
        <is>
          <t>NORDANSTIG</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1031-2022</t>
        </is>
      </c>
      <c r="B4155" s="1" t="n">
        <v>44571</v>
      </c>
      <c r="C4155" s="1" t="n">
        <v>45587</v>
      </c>
      <c r="D4155" t="inlineStr">
        <is>
          <t>GÄVLEBORGS LÄN</t>
        </is>
      </c>
      <c r="E4155" t="inlineStr">
        <is>
          <t>GÄVLE</t>
        </is>
      </c>
      <c r="G4155" t="n">
        <v>12.2</v>
      </c>
      <c r="H4155" t="n">
        <v>0</v>
      </c>
      <c r="I4155" t="n">
        <v>0</v>
      </c>
      <c r="J4155" t="n">
        <v>0</v>
      </c>
      <c r="K4155" t="n">
        <v>0</v>
      </c>
      <c r="L4155" t="n">
        <v>0</v>
      </c>
      <c r="M4155" t="n">
        <v>0</v>
      </c>
      <c r="N4155" t="n">
        <v>0</v>
      </c>
      <c r="O4155" t="n">
        <v>0</v>
      </c>
      <c r="P4155" t="n">
        <v>0</v>
      </c>
      <c r="Q4155" t="n">
        <v>0</v>
      </c>
      <c r="R4155" s="2" t="inlineStr"/>
    </row>
    <row r="4156" ht="15" customHeight="1">
      <c r="A4156" t="inlineStr">
        <is>
          <t>A 1049-2022</t>
        </is>
      </c>
      <c r="B4156" s="1" t="n">
        <v>44571</v>
      </c>
      <c r="C4156" s="1" t="n">
        <v>45587</v>
      </c>
      <c r="D4156" t="inlineStr">
        <is>
          <t>GÄVLEBORGS LÄN</t>
        </is>
      </c>
      <c r="E4156" t="inlineStr">
        <is>
          <t>SANDVIKEN</t>
        </is>
      </c>
      <c r="G4156" t="n">
        <v>5.1</v>
      </c>
      <c r="H4156" t="n">
        <v>0</v>
      </c>
      <c r="I4156" t="n">
        <v>0</v>
      </c>
      <c r="J4156" t="n">
        <v>0</v>
      </c>
      <c r="K4156" t="n">
        <v>0</v>
      </c>
      <c r="L4156" t="n">
        <v>0</v>
      </c>
      <c r="M4156" t="n">
        <v>0</v>
      </c>
      <c r="N4156" t="n">
        <v>0</v>
      </c>
      <c r="O4156" t="n">
        <v>0</v>
      </c>
      <c r="P4156" t="n">
        <v>0</v>
      </c>
      <c r="Q4156" t="n">
        <v>0</v>
      </c>
      <c r="R4156" s="2" t="inlineStr"/>
    </row>
    <row r="4157" ht="15" customHeight="1">
      <c r="A4157" t="inlineStr">
        <is>
          <t>A 1250-2022</t>
        </is>
      </c>
      <c r="B4157" s="1" t="n">
        <v>44572</v>
      </c>
      <c r="C4157" s="1" t="n">
        <v>45587</v>
      </c>
      <c r="D4157" t="inlineStr">
        <is>
          <t>GÄVLEBORGS LÄN</t>
        </is>
      </c>
      <c r="E4157" t="inlineStr">
        <is>
          <t>LJUSDAL</t>
        </is>
      </c>
      <c r="G4157" t="n">
        <v>11.5</v>
      </c>
      <c r="H4157" t="n">
        <v>0</v>
      </c>
      <c r="I4157" t="n">
        <v>0</v>
      </c>
      <c r="J4157" t="n">
        <v>0</v>
      </c>
      <c r="K4157" t="n">
        <v>0</v>
      </c>
      <c r="L4157" t="n">
        <v>0</v>
      </c>
      <c r="M4157" t="n">
        <v>0</v>
      </c>
      <c r="N4157" t="n">
        <v>0</v>
      </c>
      <c r="O4157" t="n">
        <v>0</v>
      </c>
      <c r="P4157" t="n">
        <v>0</v>
      </c>
      <c r="Q4157" t="n">
        <v>0</v>
      </c>
      <c r="R4157" s="2" t="inlineStr"/>
    </row>
    <row r="4158" ht="15" customHeight="1">
      <c r="A4158" t="inlineStr">
        <is>
          <t>A 1306-2022</t>
        </is>
      </c>
      <c r="B4158" s="1" t="n">
        <v>44572</v>
      </c>
      <c r="C4158" s="1" t="n">
        <v>45587</v>
      </c>
      <c r="D4158" t="inlineStr">
        <is>
          <t>GÄVLEBORGS LÄN</t>
        </is>
      </c>
      <c r="E4158" t="inlineStr">
        <is>
          <t>BOLLNÄS</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1511-2022</t>
        </is>
      </c>
      <c r="B4159" s="1" t="n">
        <v>44573</v>
      </c>
      <c r="C4159" s="1" t="n">
        <v>45587</v>
      </c>
      <c r="D4159" t="inlineStr">
        <is>
          <t>GÄVLEBORGS LÄN</t>
        </is>
      </c>
      <c r="E4159" t="inlineStr">
        <is>
          <t>SÖDERHAMN</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1377-2022</t>
        </is>
      </c>
      <c r="B4160" s="1" t="n">
        <v>44573</v>
      </c>
      <c r="C4160" s="1" t="n">
        <v>45587</v>
      </c>
      <c r="D4160" t="inlineStr">
        <is>
          <t>GÄVLEBORGS LÄN</t>
        </is>
      </c>
      <c r="E4160" t="inlineStr">
        <is>
          <t>HUDIKSVALL</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1483-2022</t>
        </is>
      </c>
      <c r="B4161" s="1" t="n">
        <v>44573</v>
      </c>
      <c r="C4161" s="1" t="n">
        <v>45587</v>
      </c>
      <c r="D4161" t="inlineStr">
        <is>
          <t>GÄVLEBORGS LÄN</t>
        </is>
      </c>
      <c r="E4161" t="inlineStr">
        <is>
          <t>NORDANSTIG</t>
        </is>
      </c>
      <c r="G4161" t="n">
        <v>7.8</v>
      </c>
      <c r="H4161" t="n">
        <v>0</v>
      </c>
      <c r="I4161" t="n">
        <v>0</v>
      </c>
      <c r="J4161" t="n">
        <v>0</v>
      </c>
      <c r="K4161" t="n">
        <v>0</v>
      </c>
      <c r="L4161" t="n">
        <v>0</v>
      </c>
      <c r="M4161" t="n">
        <v>0</v>
      </c>
      <c r="N4161" t="n">
        <v>0</v>
      </c>
      <c r="O4161" t="n">
        <v>0</v>
      </c>
      <c r="P4161" t="n">
        <v>0</v>
      </c>
      <c r="Q4161" t="n">
        <v>0</v>
      </c>
      <c r="R4161" s="2" t="inlineStr"/>
    </row>
    <row r="4162" ht="15" customHeight="1">
      <c r="A4162" t="inlineStr">
        <is>
          <t>A 1474-2022</t>
        </is>
      </c>
      <c r="B4162" s="1" t="n">
        <v>44573</v>
      </c>
      <c r="C4162" s="1" t="n">
        <v>45587</v>
      </c>
      <c r="D4162" t="inlineStr">
        <is>
          <t>GÄVLEBORGS LÄN</t>
        </is>
      </c>
      <c r="E4162" t="inlineStr">
        <is>
          <t>BOLLNÄS</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1530-2022</t>
        </is>
      </c>
      <c r="B4163" s="1" t="n">
        <v>44573</v>
      </c>
      <c r="C4163" s="1" t="n">
        <v>45587</v>
      </c>
      <c r="D4163" t="inlineStr">
        <is>
          <t>GÄVLEBORGS LÄN</t>
        </is>
      </c>
      <c r="E4163" t="inlineStr">
        <is>
          <t>OVANÅKER</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1588-2022</t>
        </is>
      </c>
      <c r="B4164" s="1" t="n">
        <v>44573</v>
      </c>
      <c r="C4164" s="1" t="n">
        <v>45587</v>
      </c>
      <c r="D4164" t="inlineStr">
        <is>
          <t>GÄVLEBORGS LÄN</t>
        </is>
      </c>
      <c r="E4164" t="inlineStr">
        <is>
          <t>OVANÅKER</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1594-2022</t>
        </is>
      </c>
      <c r="B4165" s="1" t="n">
        <v>44573</v>
      </c>
      <c r="C4165" s="1" t="n">
        <v>45587</v>
      </c>
      <c r="D4165" t="inlineStr">
        <is>
          <t>GÄVLEBORGS LÄN</t>
        </is>
      </c>
      <c r="E4165" t="inlineStr">
        <is>
          <t>OVANÅKER</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1634-2022</t>
        </is>
      </c>
      <c r="B4166" s="1" t="n">
        <v>44573</v>
      </c>
      <c r="C4166" s="1" t="n">
        <v>45587</v>
      </c>
      <c r="D4166" t="inlineStr">
        <is>
          <t>GÄVLEBORGS LÄN</t>
        </is>
      </c>
      <c r="E4166" t="inlineStr">
        <is>
          <t>GÄVLE</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1598-2022</t>
        </is>
      </c>
      <c r="B4167" s="1" t="n">
        <v>44573</v>
      </c>
      <c r="C4167" s="1" t="n">
        <v>45587</v>
      </c>
      <c r="D4167" t="inlineStr">
        <is>
          <t>GÄVLEBORGS LÄN</t>
        </is>
      </c>
      <c r="E4167" t="inlineStr">
        <is>
          <t>OCKELBO</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1699-2022</t>
        </is>
      </c>
      <c r="B4168" s="1" t="n">
        <v>44574</v>
      </c>
      <c r="C4168" s="1" t="n">
        <v>45587</v>
      </c>
      <c r="D4168" t="inlineStr">
        <is>
          <t>GÄVLEBORGS LÄN</t>
        </is>
      </c>
      <c r="E4168" t="inlineStr">
        <is>
          <t>HUDIKSVALL</t>
        </is>
      </c>
      <c r="F4168" t="inlineStr">
        <is>
          <t>Holmen skog AB</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1765-2022</t>
        </is>
      </c>
      <c r="B4169" s="1" t="n">
        <v>44574</v>
      </c>
      <c r="C4169" s="1" t="n">
        <v>45587</v>
      </c>
      <c r="D4169" t="inlineStr">
        <is>
          <t>GÄVLEBORGS LÄN</t>
        </is>
      </c>
      <c r="E4169" t="inlineStr">
        <is>
          <t>NORDANSTIG</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1707-2022</t>
        </is>
      </c>
      <c r="B4170" s="1" t="n">
        <v>44574</v>
      </c>
      <c r="C4170" s="1" t="n">
        <v>45587</v>
      </c>
      <c r="D4170" t="inlineStr">
        <is>
          <t>GÄVLEBORGS LÄN</t>
        </is>
      </c>
      <c r="E4170" t="inlineStr">
        <is>
          <t>HUDIKSVALL</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1996-2022</t>
        </is>
      </c>
      <c r="B4171" s="1" t="n">
        <v>44575</v>
      </c>
      <c r="C4171" s="1" t="n">
        <v>45587</v>
      </c>
      <c r="D4171" t="inlineStr">
        <is>
          <t>GÄVLEBORGS LÄN</t>
        </is>
      </c>
      <c r="E4171" t="inlineStr">
        <is>
          <t>NORDANSTIG</t>
        </is>
      </c>
      <c r="F4171" t="inlineStr">
        <is>
          <t>Holmen skog AB</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2023-2022</t>
        </is>
      </c>
      <c r="B4172" s="1" t="n">
        <v>44575</v>
      </c>
      <c r="C4172" s="1" t="n">
        <v>45587</v>
      </c>
      <c r="D4172" t="inlineStr">
        <is>
          <t>GÄVLEBORGS LÄN</t>
        </is>
      </c>
      <c r="E4172" t="inlineStr">
        <is>
          <t>NORDANSTIG</t>
        </is>
      </c>
      <c r="F4172" t="inlineStr">
        <is>
          <t>Holmen skog AB</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2267-2022</t>
        </is>
      </c>
      <c r="B4173" s="1" t="n">
        <v>44578</v>
      </c>
      <c r="C4173" s="1" t="n">
        <v>45587</v>
      </c>
      <c r="D4173" t="inlineStr">
        <is>
          <t>GÄVLEBORGS LÄN</t>
        </is>
      </c>
      <c r="E4173" t="inlineStr">
        <is>
          <t>HUDIKSVALL</t>
        </is>
      </c>
      <c r="G4173" t="n">
        <v>5.6</v>
      </c>
      <c r="H4173" t="n">
        <v>0</v>
      </c>
      <c r="I4173" t="n">
        <v>0</v>
      </c>
      <c r="J4173" t="n">
        <v>0</v>
      </c>
      <c r="K4173" t="n">
        <v>0</v>
      </c>
      <c r="L4173" t="n">
        <v>0</v>
      </c>
      <c r="M4173" t="n">
        <v>0</v>
      </c>
      <c r="N4173" t="n">
        <v>0</v>
      </c>
      <c r="O4173" t="n">
        <v>0</v>
      </c>
      <c r="P4173" t="n">
        <v>0</v>
      </c>
      <c r="Q4173" t="n">
        <v>0</v>
      </c>
      <c r="R4173" s="2" t="inlineStr"/>
    </row>
    <row r="4174" ht="15" customHeight="1">
      <c r="A4174" t="inlineStr">
        <is>
          <t>A 2198-2022</t>
        </is>
      </c>
      <c r="B4174" s="1" t="n">
        <v>44578</v>
      </c>
      <c r="C4174" s="1" t="n">
        <v>45587</v>
      </c>
      <c r="D4174" t="inlineStr">
        <is>
          <t>GÄVLEBORGS LÄN</t>
        </is>
      </c>
      <c r="E4174" t="inlineStr">
        <is>
          <t>OCKELBO</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2232-2022</t>
        </is>
      </c>
      <c r="B4175" s="1" t="n">
        <v>44578</v>
      </c>
      <c r="C4175" s="1" t="n">
        <v>45587</v>
      </c>
      <c r="D4175" t="inlineStr">
        <is>
          <t>GÄVLEBORGS LÄN</t>
        </is>
      </c>
      <c r="E4175" t="inlineStr">
        <is>
          <t>HUDIKSVALL</t>
        </is>
      </c>
      <c r="F4175" t="inlineStr">
        <is>
          <t>Holmen skog AB</t>
        </is>
      </c>
      <c r="G4175" t="n">
        <v>8.699999999999999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2280-2022</t>
        </is>
      </c>
      <c r="B4176" s="1" t="n">
        <v>44578</v>
      </c>
      <c r="C4176" s="1" t="n">
        <v>45587</v>
      </c>
      <c r="D4176" t="inlineStr">
        <is>
          <t>GÄVLEBORGS LÄN</t>
        </is>
      </c>
      <c r="E4176" t="inlineStr">
        <is>
          <t>HUDIKSVALL</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2449-2022</t>
        </is>
      </c>
      <c r="B4177" s="1" t="n">
        <v>44579</v>
      </c>
      <c r="C4177" s="1" t="n">
        <v>45587</v>
      </c>
      <c r="D4177" t="inlineStr">
        <is>
          <t>GÄVLEBORGS LÄN</t>
        </is>
      </c>
      <c r="E4177" t="inlineStr">
        <is>
          <t>LJUSDAL</t>
        </is>
      </c>
      <c r="F4177" t="inlineStr">
        <is>
          <t>Holmen skog AB</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2417-2022</t>
        </is>
      </c>
      <c r="B4178" s="1" t="n">
        <v>44579</v>
      </c>
      <c r="C4178" s="1" t="n">
        <v>45587</v>
      </c>
      <c r="D4178" t="inlineStr">
        <is>
          <t>GÄVLEBORGS LÄN</t>
        </is>
      </c>
      <c r="E4178" t="inlineStr">
        <is>
          <t>OVANÅKER</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2489-2022</t>
        </is>
      </c>
      <c r="B4179" s="1" t="n">
        <v>44579</v>
      </c>
      <c r="C4179" s="1" t="n">
        <v>45587</v>
      </c>
      <c r="D4179" t="inlineStr">
        <is>
          <t>GÄVLEBORGS LÄN</t>
        </is>
      </c>
      <c r="E4179" t="inlineStr">
        <is>
          <t>NORDANSTIG</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2546-2022</t>
        </is>
      </c>
      <c r="B4180" s="1" t="n">
        <v>44579</v>
      </c>
      <c r="C4180" s="1" t="n">
        <v>45587</v>
      </c>
      <c r="D4180" t="inlineStr">
        <is>
          <t>GÄVLEBORGS LÄN</t>
        </is>
      </c>
      <c r="E4180" t="inlineStr">
        <is>
          <t>GÄVLE</t>
        </is>
      </c>
      <c r="F4180" t="inlineStr">
        <is>
          <t>Bergvik skog väst AB</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2547-2022</t>
        </is>
      </c>
      <c r="B4181" s="1" t="n">
        <v>44580</v>
      </c>
      <c r="C4181" s="1" t="n">
        <v>45587</v>
      </c>
      <c r="D4181" t="inlineStr">
        <is>
          <t>GÄVLEBORGS LÄN</t>
        </is>
      </c>
      <c r="E4181" t="inlineStr">
        <is>
          <t>GÄVLE</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2611-2022</t>
        </is>
      </c>
      <c r="B4182" s="1" t="n">
        <v>44580</v>
      </c>
      <c r="C4182" s="1" t="n">
        <v>45587</v>
      </c>
      <c r="D4182" t="inlineStr">
        <is>
          <t>GÄVLEBORGS LÄN</t>
        </is>
      </c>
      <c r="E4182" t="inlineStr">
        <is>
          <t>BOLLNÄS</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2755-2022</t>
        </is>
      </c>
      <c r="B4183" s="1" t="n">
        <v>44580</v>
      </c>
      <c r="C4183" s="1" t="n">
        <v>45587</v>
      </c>
      <c r="D4183" t="inlineStr">
        <is>
          <t>GÄVLEBORGS LÄN</t>
        </is>
      </c>
      <c r="E4183" t="inlineStr">
        <is>
          <t>SÖDERHAMN</t>
        </is>
      </c>
      <c r="G4183" t="n">
        <v>5.8</v>
      </c>
      <c r="H4183" t="n">
        <v>0</v>
      </c>
      <c r="I4183" t="n">
        <v>0</v>
      </c>
      <c r="J4183" t="n">
        <v>0</v>
      </c>
      <c r="K4183" t="n">
        <v>0</v>
      </c>
      <c r="L4183" t="n">
        <v>0</v>
      </c>
      <c r="M4183" t="n">
        <v>0</v>
      </c>
      <c r="N4183" t="n">
        <v>0</v>
      </c>
      <c r="O4183" t="n">
        <v>0</v>
      </c>
      <c r="P4183" t="n">
        <v>0</v>
      </c>
      <c r="Q4183" t="n">
        <v>0</v>
      </c>
      <c r="R4183" s="2" t="inlineStr"/>
    </row>
    <row r="4184" ht="15" customHeight="1">
      <c r="A4184" t="inlineStr">
        <is>
          <t>A 2946-2022</t>
        </is>
      </c>
      <c r="B4184" s="1" t="n">
        <v>44581</v>
      </c>
      <c r="C4184" s="1" t="n">
        <v>45587</v>
      </c>
      <c r="D4184" t="inlineStr">
        <is>
          <t>GÄVLEBORGS LÄN</t>
        </is>
      </c>
      <c r="E4184" t="inlineStr">
        <is>
          <t>OVANÅKER</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2960-2022</t>
        </is>
      </c>
      <c r="B4185" s="1" t="n">
        <v>44581</v>
      </c>
      <c r="C4185" s="1" t="n">
        <v>45587</v>
      </c>
      <c r="D4185" t="inlineStr">
        <is>
          <t>GÄVLEBORGS LÄN</t>
        </is>
      </c>
      <c r="E4185" t="inlineStr">
        <is>
          <t>NORDANSTIG</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3047-2022</t>
        </is>
      </c>
      <c r="B4186" s="1" t="n">
        <v>44581</v>
      </c>
      <c r="C4186" s="1" t="n">
        <v>45587</v>
      </c>
      <c r="D4186" t="inlineStr">
        <is>
          <t>GÄVLEBORGS LÄN</t>
        </is>
      </c>
      <c r="E4186" t="inlineStr">
        <is>
          <t>OVANÅKER</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3031-2022</t>
        </is>
      </c>
      <c r="B4187" s="1" t="n">
        <v>44582</v>
      </c>
      <c r="C4187" s="1" t="n">
        <v>45587</v>
      </c>
      <c r="D4187" t="inlineStr">
        <is>
          <t>GÄVLEBORGS LÄN</t>
        </is>
      </c>
      <c r="E4187" t="inlineStr">
        <is>
          <t>SÖDERHAMN</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3052-2022</t>
        </is>
      </c>
      <c r="B4188" s="1" t="n">
        <v>44582</v>
      </c>
      <c r="C4188" s="1" t="n">
        <v>45587</v>
      </c>
      <c r="D4188" t="inlineStr">
        <is>
          <t>GÄVLEBORGS LÄN</t>
        </is>
      </c>
      <c r="E4188" t="inlineStr">
        <is>
          <t>HOFORS</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3119-2022</t>
        </is>
      </c>
      <c r="B4189" s="1" t="n">
        <v>44582</v>
      </c>
      <c r="C4189" s="1" t="n">
        <v>45587</v>
      </c>
      <c r="D4189" t="inlineStr">
        <is>
          <t>GÄVLEBORGS LÄN</t>
        </is>
      </c>
      <c r="E4189" t="inlineStr">
        <is>
          <t>SANDVIKEN</t>
        </is>
      </c>
      <c r="F4189" t="inlineStr">
        <is>
          <t>Kyrkan</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3098-2022</t>
        </is>
      </c>
      <c r="B4190" s="1" t="n">
        <v>44582</v>
      </c>
      <c r="C4190" s="1" t="n">
        <v>45587</v>
      </c>
      <c r="D4190" t="inlineStr">
        <is>
          <t>GÄVLEBORGS LÄN</t>
        </is>
      </c>
      <c r="E4190" t="inlineStr">
        <is>
          <t>LJUSDAL</t>
        </is>
      </c>
      <c r="G4190" t="n">
        <v>0.1</v>
      </c>
      <c r="H4190" t="n">
        <v>0</v>
      </c>
      <c r="I4190" t="n">
        <v>0</v>
      </c>
      <c r="J4190" t="n">
        <v>0</v>
      </c>
      <c r="K4190" t="n">
        <v>0</v>
      </c>
      <c r="L4190" t="n">
        <v>0</v>
      </c>
      <c r="M4190" t="n">
        <v>0</v>
      </c>
      <c r="N4190" t="n">
        <v>0</v>
      </c>
      <c r="O4190" t="n">
        <v>0</v>
      </c>
      <c r="P4190" t="n">
        <v>0</v>
      </c>
      <c r="Q4190" t="n">
        <v>0</v>
      </c>
      <c r="R4190" s="2" t="inlineStr"/>
    </row>
    <row r="4191" ht="15" customHeight="1">
      <c r="A4191" t="inlineStr">
        <is>
          <t>A 3334-2022</t>
        </is>
      </c>
      <c r="B4191" s="1" t="n">
        <v>44585</v>
      </c>
      <c r="C4191" s="1" t="n">
        <v>45587</v>
      </c>
      <c r="D4191" t="inlineStr">
        <is>
          <t>GÄVLEBORGS LÄN</t>
        </is>
      </c>
      <c r="E4191" t="inlineStr">
        <is>
          <t>GÄVLE</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3402-2022</t>
        </is>
      </c>
      <c r="B4192" s="1" t="n">
        <v>44585</v>
      </c>
      <c r="C4192" s="1" t="n">
        <v>45587</v>
      </c>
      <c r="D4192" t="inlineStr">
        <is>
          <t>GÄVLEBORGS LÄN</t>
        </is>
      </c>
      <c r="E4192" t="inlineStr">
        <is>
          <t>OVANÅKER</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3429-2022</t>
        </is>
      </c>
      <c r="B4193" s="1" t="n">
        <v>44585</v>
      </c>
      <c r="C4193" s="1" t="n">
        <v>45587</v>
      </c>
      <c r="D4193" t="inlineStr">
        <is>
          <t>GÄVLEBORGS LÄN</t>
        </is>
      </c>
      <c r="E4193" t="inlineStr">
        <is>
          <t>BOLLNÄS</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3444-2022</t>
        </is>
      </c>
      <c r="B4194" s="1" t="n">
        <v>44585</v>
      </c>
      <c r="C4194" s="1" t="n">
        <v>45587</v>
      </c>
      <c r="D4194" t="inlineStr">
        <is>
          <t>GÄVLEBORGS LÄN</t>
        </is>
      </c>
      <c r="E4194" t="inlineStr">
        <is>
          <t>BOLLNÄS</t>
        </is>
      </c>
      <c r="G4194" t="n">
        <v>5.6</v>
      </c>
      <c r="H4194" t="n">
        <v>0</v>
      </c>
      <c r="I4194" t="n">
        <v>0</v>
      </c>
      <c r="J4194" t="n">
        <v>0</v>
      </c>
      <c r="K4194" t="n">
        <v>0</v>
      </c>
      <c r="L4194" t="n">
        <v>0</v>
      </c>
      <c r="M4194" t="n">
        <v>0</v>
      </c>
      <c r="N4194" t="n">
        <v>0</v>
      </c>
      <c r="O4194" t="n">
        <v>0</v>
      </c>
      <c r="P4194" t="n">
        <v>0</v>
      </c>
      <c r="Q4194" t="n">
        <v>0</v>
      </c>
      <c r="R4194" s="2" t="inlineStr"/>
    </row>
    <row r="4195" ht="15" customHeight="1">
      <c r="A4195" t="inlineStr">
        <is>
          <t>A 3472-2022</t>
        </is>
      </c>
      <c r="B4195" s="1" t="n">
        <v>44585</v>
      </c>
      <c r="C4195" s="1" t="n">
        <v>45587</v>
      </c>
      <c r="D4195" t="inlineStr">
        <is>
          <t>GÄVLEBORGS LÄN</t>
        </is>
      </c>
      <c r="E4195" t="inlineStr">
        <is>
          <t>GÄVLE</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3632-2022</t>
        </is>
      </c>
      <c r="B4196" s="1" t="n">
        <v>44586</v>
      </c>
      <c r="C4196" s="1" t="n">
        <v>45587</v>
      </c>
      <c r="D4196" t="inlineStr">
        <is>
          <t>GÄVLEBORGS LÄN</t>
        </is>
      </c>
      <c r="E4196" t="inlineStr">
        <is>
          <t>NORDANSTIG</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3679-2022</t>
        </is>
      </c>
      <c r="B4197" s="1" t="n">
        <v>44586</v>
      </c>
      <c r="C4197" s="1" t="n">
        <v>45587</v>
      </c>
      <c r="D4197" t="inlineStr">
        <is>
          <t>GÄVLEBORGS LÄN</t>
        </is>
      </c>
      <c r="E4197" t="inlineStr">
        <is>
          <t>SANDVIKEN</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3569-2022</t>
        </is>
      </c>
      <c r="B4198" s="1" t="n">
        <v>44586</v>
      </c>
      <c r="C4198" s="1" t="n">
        <v>45587</v>
      </c>
      <c r="D4198" t="inlineStr">
        <is>
          <t>GÄVLEBORGS LÄN</t>
        </is>
      </c>
      <c r="E4198" t="inlineStr">
        <is>
          <t>GÄVLE</t>
        </is>
      </c>
      <c r="F4198" t="inlineStr">
        <is>
          <t>Bergvik skog väst AB</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3639-2022</t>
        </is>
      </c>
      <c r="B4199" s="1" t="n">
        <v>44586</v>
      </c>
      <c r="C4199" s="1" t="n">
        <v>45587</v>
      </c>
      <c r="D4199" t="inlineStr">
        <is>
          <t>GÄVLEBORGS LÄN</t>
        </is>
      </c>
      <c r="E4199" t="inlineStr">
        <is>
          <t>GÄVLE</t>
        </is>
      </c>
      <c r="F4199" t="inlineStr">
        <is>
          <t>Bergvik skog öst AB</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3662-2022</t>
        </is>
      </c>
      <c r="B4200" s="1" t="n">
        <v>44586</v>
      </c>
      <c r="C4200" s="1" t="n">
        <v>45587</v>
      </c>
      <c r="D4200" t="inlineStr">
        <is>
          <t>GÄVLEBORGS LÄN</t>
        </is>
      </c>
      <c r="E4200" t="inlineStr">
        <is>
          <t>GÄVLE</t>
        </is>
      </c>
      <c r="F4200" t="inlineStr">
        <is>
          <t>Bergvik skog öst AB</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3692-2022</t>
        </is>
      </c>
      <c r="B4201" s="1" t="n">
        <v>44586</v>
      </c>
      <c r="C4201" s="1" t="n">
        <v>45587</v>
      </c>
      <c r="D4201" t="inlineStr">
        <is>
          <t>GÄVLEBORGS LÄN</t>
        </is>
      </c>
      <c r="E4201" t="inlineStr">
        <is>
          <t>NORDANSTIG</t>
        </is>
      </c>
      <c r="F4201" t="inlineStr">
        <is>
          <t>Holmen skog AB</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3745-2022</t>
        </is>
      </c>
      <c r="B4202" s="1" t="n">
        <v>44586</v>
      </c>
      <c r="C4202" s="1" t="n">
        <v>45587</v>
      </c>
      <c r="D4202" t="inlineStr">
        <is>
          <t>GÄVLEBORGS LÄN</t>
        </is>
      </c>
      <c r="E4202" t="inlineStr">
        <is>
          <t>OCKELBO</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3748-2022</t>
        </is>
      </c>
      <c r="B4203" s="1" t="n">
        <v>44586</v>
      </c>
      <c r="C4203" s="1" t="n">
        <v>45587</v>
      </c>
      <c r="D4203" t="inlineStr">
        <is>
          <t>GÄVLEBORGS LÄN</t>
        </is>
      </c>
      <c r="E4203" t="inlineStr">
        <is>
          <t>SANDVIKEN</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3851-2022</t>
        </is>
      </c>
      <c r="B4204" s="1" t="n">
        <v>44587</v>
      </c>
      <c r="C4204" s="1" t="n">
        <v>45587</v>
      </c>
      <c r="D4204" t="inlineStr">
        <is>
          <t>GÄVLEBORGS LÄN</t>
        </is>
      </c>
      <c r="E4204" t="inlineStr">
        <is>
          <t>HUDIKSVALL</t>
        </is>
      </c>
      <c r="F4204" t="inlineStr">
        <is>
          <t>Holmen skog AB</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3868-2022</t>
        </is>
      </c>
      <c r="B4205" s="1" t="n">
        <v>44587</v>
      </c>
      <c r="C4205" s="1" t="n">
        <v>45587</v>
      </c>
      <c r="D4205" t="inlineStr">
        <is>
          <t>GÄVLEBORGS LÄN</t>
        </is>
      </c>
      <c r="E4205" t="inlineStr">
        <is>
          <t>LJUSDAL</t>
        </is>
      </c>
      <c r="F4205" t="inlineStr">
        <is>
          <t>Sveaskog</t>
        </is>
      </c>
      <c r="G4205" t="n">
        <v>0.2</v>
      </c>
      <c r="H4205" t="n">
        <v>0</v>
      </c>
      <c r="I4205" t="n">
        <v>0</v>
      </c>
      <c r="J4205" t="n">
        <v>0</v>
      </c>
      <c r="K4205" t="n">
        <v>0</v>
      </c>
      <c r="L4205" t="n">
        <v>0</v>
      </c>
      <c r="M4205" t="n">
        <v>0</v>
      </c>
      <c r="N4205" t="n">
        <v>0</v>
      </c>
      <c r="O4205" t="n">
        <v>0</v>
      </c>
      <c r="P4205" t="n">
        <v>0</v>
      </c>
      <c r="Q4205" t="n">
        <v>0</v>
      </c>
      <c r="R4205" s="2" t="inlineStr"/>
    </row>
    <row r="4206" ht="15" customHeight="1">
      <c r="A4206" t="inlineStr">
        <is>
          <t>A 3899-2022</t>
        </is>
      </c>
      <c r="B4206" s="1" t="n">
        <v>44587</v>
      </c>
      <c r="C4206" s="1" t="n">
        <v>45587</v>
      </c>
      <c r="D4206" t="inlineStr">
        <is>
          <t>GÄVLEBORGS LÄN</t>
        </is>
      </c>
      <c r="E4206" t="inlineStr">
        <is>
          <t>SANDVIKEN</t>
        </is>
      </c>
      <c r="F4206" t="inlineStr">
        <is>
          <t>Kyrkan</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3909-2022</t>
        </is>
      </c>
      <c r="B4207" s="1" t="n">
        <v>44587</v>
      </c>
      <c r="C4207" s="1" t="n">
        <v>45587</v>
      </c>
      <c r="D4207" t="inlineStr">
        <is>
          <t>GÄVLEBORGS LÄN</t>
        </is>
      </c>
      <c r="E4207" t="inlineStr">
        <is>
          <t>SANDVIKEN</t>
        </is>
      </c>
      <c r="F4207" t="inlineStr">
        <is>
          <t>Kyrkan</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4152-2022</t>
        </is>
      </c>
      <c r="B4208" s="1" t="n">
        <v>44588</v>
      </c>
      <c r="C4208" s="1" t="n">
        <v>45587</v>
      </c>
      <c r="D4208" t="inlineStr">
        <is>
          <t>GÄVLEBORGS LÄN</t>
        </is>
      </c>
      <c r="E4208" t="inlineStr">
        <is>
          <t>GÄVLE</t>
        </is>
      </c>
      <c r="F4208" t="inlineStr">
        <is>
          <t>Bergvik skog öst AB</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4225-2022</t>
        </is>
      </c>
      <c r="B4209" s="1" t="n">
        <v>44588</v>
      </c>
      <c r="C4209" s="1" t="n">
        <v>45587</v>
      </c>
      <c r="D4209" t="inlineStr">
        <is>
          <t>GÄVLEBORGS LÄN</t>
        </is>
      </c>
      <c r="E4209" t="inlineStr">
        <is>
          <t>HUDIKSVALL</t>
        </is>
      </c>
      <c r="F4209" t="inlineStr">
        <is>
          <t>Holmen skog AB</t>
        </is>
      </c>
      <c r="G4209" t="n">
        <v>8.5</v>
      </c>
      <c r="H4209" t="n">
        <v>0</v>
      </c>
      <c r="I4209" t="n">
        <v>0</v>
      </c>
      <c r="J4209" t="n">
        <v>0</v>
      </c>
      <c r="K4209" t="n">
        <v>0</v>
      </c>
      <c r="L4209" t="n">
        <v>0</v>
      </c>
      <c r="M4209" t="n">
        <v>0</v>
      </c>
      <c r="N4209" t="n">
        <v>0</v>
      </c>
      <c r="O4209" t="n">
        <v>0</v>
      </c>
      <c r="P4209" t="n">
        <v>0</v>
      </c>
      <c r="Q4209" t="n">
        <v>0</v>
      </c>
      <c r="R4209" s="2" t="inlineStr"/>
    </row>
    <row r="4210" ht="15" customHeight="1">
      <c r="A4210" t="inlineStr">
        <is>
          <t>A 4313-2022</t>
        </is>
      </c>
      <c r="B4210" s="1" t="n">
        <v>44588</v>
      </c>
      <c r="C4210" s="1" t="n">
        <v>45587</v>
      </c>
      <c r="D4210" t="inlineStr">
        <is>
          <t>GÄVLEBORGS LÄN</t>
        </is>
      </c>
      <c r="E4210" t="inlineStr">
        <is>
          <t>OCKELBO</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4433-2022</t>
        </is>
      </c>
      <c r="B4211" s="1" t="n">
        <v>44589</v>
      </c>
      <c r="C4211" s="1" t="n">
        <v>45587</v>
      </c>
      <c r="D4211" t="inlineStr">
        <is>
          <t>GÄVLEBORGS LÄN</t>
        </is>
      </c>
      <c r="E4211" t="inlineStr">
        <is>
          <t>LJUSDAL</t>
        </is>
      </c>
      <c r="G4211" t="n">
        <v>10.3</v>
      </c>
      <c r="H4211" t="n">
        <v>0</v>
      </c>
      <c r="I4211" t="n">
        <v>0</v>
      </c>
      <c r="J4211" t="n">
        <v>0</v>
      </c>
      <c r="K4211" t="n">
        <v>0</v>
      </c>
      <c r="L4211" t="n">
        <v>0</v>
      </c>
      <c r="M4211" t="n">
        <v>0</v>
      </c>
      <c r="N4211" t="n">
        <v>0</v>
      </c>
      <c r="O4211" t="n">
        <v>0</v>
      </c>
      <c r="P4211" t="n">
        <v>0</v>
      </c>
      <c r="Q4211" t="n">
        <v>0</v>
      </c>
      <c r="R4211" s="2" t="inlineStr"/>
    </row>
    <row r="4212" ht="15" customHeight="1">
      <c r="A4212" t="inlineStr">
        <is>
          <t>A 4482-2022</t>
        </is>
      </c>
      <c r="B4212" s="1" t="n">
        <v>44589</v>
      </c>
      <c r="C4212" s="1" t="n">
        <v>45587</v>
      </c>
      <c r="D4212" t="inlineStr">
        <is>
          <t>GÄVLEBORGS LÄN</t>
        </is>
      </c>
      <c r="E4212" t="inlineStr">
        <is>
          <t>GÄVLE</t>
        </is>
      </c>
      <c r="F4212" t="inlineStr">
        <is>
          <t>Bergvik skog öst AB</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4414-2022</t>
        </is>
      </c>
      <c r="B4213" s="1" t="n">
        <v>44589</v>
      </c>
      <c r="C4213" s="1" t="n">
        <v>45587</v>
      </c>
      <c r="D4213" t="inlineStr">
        <is>
          <t>GÄVLEBORGS LÄN</t>
        </is>
      </c>
      <c r="E4213" t="inlineStr">
        <is>
          <t>NORDANSTIG</t>
        </is>
      </c>
      <c r="G4213" t="n">
        <v>12.6</v>
      </c>
      <c r="H4213" t="n">
        <v>0</v>
      </c>
      <c r="I4213" t="n">
        <v>0</v>
      </c>
      <c r="J4213" t="n">
        <v>0</v>
      </c>
      <c r="K4213" t="n">
        <v>0</v>
      </c>
      <c r="L4213" t="n">
        <v>0</v>
      </c>
      <c r="M4213" t="n">
        <v>0</v>
      </c>
      <c r="N4213" t="n">
        <v>0</v>
      </c>
      <c r="O4213" t="n">
        <v>0</v>
      </c>
      <c r="P4213" t="n">
        <v>0</v>
      </c>
      <c r="Q4213" t="n">
        <v>0</v>
      </c>
      <c r="R4213" s="2" t="inlineStr"/>
    </row>
    <row r="4214" ht="15" customHeight="1">
      <c r="A4214" t="inlineStr">
        <is>
          <t>A 4349-2022</t>
        </is>
      </c>
      <c r="B4214" s="1" t="n">
        <v>44589</v>
      </c>
      <c r="C4214" s="1" t="n">
        <v>45587</v>
      </c>
      <c r="D4214" t="inlineStr">
        <is>
          <t>GÄVLEBORGS LÄN</t>
        </is>
      </c>
      <c r="E4214" t="inlineStr">
        <is>
          <t>GÄVLE</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4543-2022</t>
        </is>
      </c>
      <c r="B4215" s="1" t="n">
        <v>44590</v>
      </c>
      <c r="C4215" s="1" t="n">
        <v>45587</v>
      </c>
      <c r="D4215" t="inlineStr">
        <is>
          <t>GÄVLEBORGS LÄN</t>
        </is>
      </c>
      <c r="E4215" t="inlineStr">
        <is>
          <t>LJUSDAL</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4759-2022</t>
        </is>
      </c>
      <c r="B4216" s="1" t="n">
        <v>44592</v>
      </c>
      <c r="C4216" s="1" t="n">
        <v>45587</v>
      </c>
      <c r="D4216" t="inlineStr">
        <is>
          <t>GÄVLEBORGS LÄN</t>
        </is>
      </c>
      <c r="E4216" t="inlineStr">
        <is>
          <t>HUDIKSVALL</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4813-2022</t>
        </is>
      </c>
      <c r="B4217" s="1" t="n">
        <v>44592</v>
      </c>
      <c r="C4217" s="1" t="n">
        <v>45587</v>
      </c>
      <c r="D4217" t="inlineStr">
        <is>
          <t>GÄVLEBORGS LÄN</t>
        </is>
      </c>
      <c r="E4217" t="inlineStr">
        <is>
          <t>LJUSDAL</t>
        </is>
      </c>
      <c r="F4217" t="inlineStr">
        <is>
          <t>Sveaskog</t>
        </is>
      </c>
      <c r="G4217" t="n">
        <v>0.1</v>
      </c>
      <c r="H4217" t="n">
        <v>0</v>
      </c>
      <c r="I4217" t="n">
        <v>0</v>
      </c>
      <c r="J4217" t="n">
        <v>0</v>
      </c>
      <c r="K4217" t="n">
        <v>0</v>
      </c>
      <c r="L4217" t="n">
        <v>0</v>
      </c>
      <c r="M4217" t="n">
        <v>0</v>
      </c>
      <c r="N4217" t="n">
        <v>0</v>
      </c>
      <c r="O4217" t="n">
        <v>0</v>
      </c>
      <c r="P4217" t="n">
        <v>0</v>
      </c>
      <c r="Q4217" t="n">
        <v>0</v>
      </c>
      <c r="R4217" s="2" t="inlineStr"/>
    </row>
    <row r="4218" ht="15" customHeight="1">
      <c r="A4218" t="inlineStr">
        <is>
          <t>A 4935-2022</t>
        </is>
      </c>
      <c r="B4218" s="1" t="n">
        <v>44593</v>
      </c>
      <c r="C4218" s="1" t="n">
        <v>45587</v>
      </c>
      <c r="D4218" t="inlineStr">
        <is>
          <t>GÄVLEBORGS LÄN</t>
        </is>
      </c>
      <c r="E4218" t="inlineStr">
        <is>
          <t>GÄVLE</t>
        </is>
      </c>
      <c r="F4218" t="inlineStr">
        <is>
          <t>Kyrkan</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5033-2022</t>
        </is>
      </c>
      <c r="B4219" s="1" t="n">
        <v>44593</v>
      </c>
      <c r="C4219" s="1" t="n">
        <v>45587</v>
      </c>
      <c r="D4219" t="inlineStr">
        <is>
          <t>GÄVLEBORGS LÄN</t>
        </is>
      </c>
      <c r="E4219" t="inlineStr">
        <is>
          <t>HUDIKSVALL</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5135-2022</t>
        </is>
      </c>
      <c r="B4220" s="1" t="n">
        <v>44594</v>
      </c>
      <c r="C4220" s="1" t="n">
        <v>45587</v>
      </c>
      <c r="D4220" t="inlineStr">
        <is>
          <t>GÄVLEBORGS LÄN</t>
        </is>
      </c>
      <c r="E4220" t="inlineStr">
        <is>
          <t>BOLLNÄS</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5149-2022</t>
        </is>
      </c>
      <c r="B4221" s="1" t="n">
        <v>44594</v>
      </c>
      <c r="C4221" s="1" t="n">
        <v>45587</v>
      </c>
      <c r="D4221" t="inlineStr">
        <is>
          <t>GÄVLEBORGS LÄN</t>
        </is>
      </c>
      <c r="E4221" t="inlineStr">
        <is>
          <t>GÄVLE</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5296-2022</t>
        </is>
      </c>
      <c r="B4222" s="1" t="n">
        <v>44594</v>
      </c>
      <c r="C4222" s="1" t="n">
        <v>45587</v>
      </c>
      <c r="D4222" t="inlineStr">
        <is>
          <t>GÄVLEBORGS LÄN</t>
        </is>
      </c>
      <c r="E4222" t="inlineStr">
        <is>
          <t>BOLLNÄS</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5294-2022</t>
        </is>
      </c>
      <c r="B4223" s="1" t="n">
        <v>44594</v>
      </c>
      <c r="C4223" s="1" t="n">
        <v>45587</v>
      </c>
      <c r="D4223" t="inlineStr">
        <is>
          <t>GÄVLEBORGS LÄN</t>
        </is>
      </c>
      <c r="E4223" t="inlineStr">
        <is>
          <t>NORDANSTIG</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5315-2022</t>
        </is>
      </c>
      <c r="B4224" s="1" t="n">
        <v>44594</v>
      </c>
      <c r="C4224" s="1" t="n">
        <v>45587</v>
      </c>
      <c r="D4224" t="inlineStr">
        <is>
          <t>GÄVLEBORGS LÄN</t>
        </is>
      </c>
      <c r="E4224" t="inlineStr">
        <is>
          <t>HUDIKSVALL</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5430-2022</t>
        </is>
      </c>
      <c r="B4225" s="1" t="n">
        <v>44595</v>
      </c>
      <c r="C4225" s="1" t="n">
        <v>45587</v>
      </c>
      <c r="D4225" t="inlineStr">
        <is>
          <t>GÄVLEBORGS LÄN</t>
        </is>
      </c>
      <c r="E4225" t="inlineStr">
        <is>
          <t>SANDVIKEN</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5411-2022</t>
        </is>
      </c>
      <c r="B4226" s="1" t="n">
        <v>44595</v>
      </c>
      <c r="C4226" s="1" t="n">
        <v>45587</v>
      </c>
      <c r="D4226" t="inlineStr">
        <is>
          <t>GÄVLEBORGS LÄN</t>
        </is>
      </c>
      <c r="E4226" t="inlineStr">
        <is>
          <t>NORDANSTIG</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5495-2022</t>
        </is>
      </c>
      <c r="B4227" s="1" t="n">
        <v>44595</v>
      </c>
      <c r="C4227" s="1" t="n">
        <v>45587</v>
      </c>
      <c r="D4227" t="inlineStr">
        <is>
          <t>GÄVLEBORGS LÄN</t>
        </is>
      </c>
      <c r="E4227" t="inlineStr">
        <is>
          <t>BOLLNÄS</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5579-2022</t>
        </is>
      </c>
      <c r="B4228" s="1" t="n">
        <v>44595</v>
      </c>
      <c r="C4228" s="1" t="n">
        <v>45587</v>
      </c>
      <c r="D4228" t="inlineStr">
        <is>
          <t>GÄVLEBORGS LÄN</t>
        </is>
      </c>
      <c r="E4228" t="inlineStr">
        <is>
          <t>BOLLNÄS</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5614-2022</t>
        </is>
      </c>
      <c r="B4229" s="1" t="n">
        <v>44595</v>
      </c>
      <c r="C4229" s="1" t="n">
        <v>45587</v>
      </c>
      <c r="D4229" t="inlineStr">
        <is>
          <t>GÄVLEBORGS LÄN</t>
        </is>
      </c>
      <c r="E4229" t="inlineStr">
        <is>
          <t>LJUSDAL</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5561-2022</t>
        </is>
      </c>
      <c r="B4230" s="1" t="n">
        <v>44595</v>
      </c>
      <c r="C4230" s="1" t="n">
        <v>45587</v>
      </c>
      <c r="D4230" t="inlineStr">
        <is>
          <t>GÄVLEBORGS LÄN</t>
        </is>
      </c>
      <c r="E4230" t="inlineStr">
        <is>
          <t>BOLLNÄS</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5610-2022</t>
        </is>
      </c>
      <c r="B4231" s="1" t="n">
        <v>44595</v>
      </c>
      <c r="C4231" s="1" t="n">
        <v>45587</v>
      </c>
      <c r="D4231" t="inlineStr">
        <is>
          <t>GÄVLEBORGS LÄN</t>
        </is>
      </c>
      <c r="E4231" t="inlineStr">
        <is>
          <t>SANDVIKEN</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5682-2022</t>
        </is>
      </c>
      <c r="B4232" s="1" t="n">
        <v>44596</v>
      </c>
      <c r="C4232" s="1" t="n">
        <v>45587</v>
      </c>
      <c r="D4232" t="inlineStr">
        <is>
          <t>GÄVLEBORGS LÄN</t>
        </is>
      </c>
      <c r="E4232" t="inlineStr">
        <is>
          <t>NORDANSTIG</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5691-2022</t>
        </is>
      </c>
      <c r="B4233" s="1" t="n">
        <v>44596</v>
      </c>
      <c r="C4233" s="1" t="n">
        <v>45587</v>
      </c>
      <c r="D4233" t="inlineStr">
        <is>
          <t>GÄVLEBORGS LÄN</t>
        </is>
      </c>
      <c r="E4233" t="inlineStr">
        <is>
          <t>BOLLNÄS</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5810-2022</t>
        </is>
      </c>
      <c r="B4234" s="1" t="n">
        <v>44596</v>
      </c>
      <c r="C4234" s="1" t="n">
        <v>45587</v>
      </c>
      <c r="D4234" t="inlineStr">
        <is>
          <t>GÄVLEBORGS LÄN</t>
        </is>
      </c>
      <c r="E4234" t="inlineStr">
        <is>
          <t>BOLLNÄS</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5825-2022</t>
        </is>
      </c>
      <c r="B4235" s="1" t="n">
        <v>44596</v>
      </c>
      <c r="C4235" s="1" t="n">
        <v>45587</v>
      </c>
      <c r="D4235" t="inlineStr">
        <is>
          <t>GÄVLEBORGS LÄN</t>
        </is>
      </c>
      <c r="E4235" t="inlineStr">
        <is>
          <t>SANDVIKEN</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5806-2022</t>
        </is>
      </c>
      <c r="B4236" s="1" t="n">
        <v>44596</v>
      </c>
      <c r="C4236" s="1" t="n">
        <v>45587</v>
      </c>
      <c r="D4236" t="inlineStr">
        <is>
          <t>GÄVLEBORGS LÄN</t>
        </is>
      </c>
      <c r="E4236" t="inlineStr">
        <is>
          <t>BOLLNÄS</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5857-2022</t>
        </is>
      </c>
      <c r="B4237" s="1" t="n">
        <v>44596</v>
      </c>
      <c r="C4237" s="1" t="n">
        <v>45587</v>
      </c>
      <c r="D4237" t="inlineStr">
        <is>
          <t>GÄVLEBORGS LÄN</t>
        </is>
      </c>
      <c r="E4237" t="inlineStr">
        <is>
          <t>NORDANSTIG</t>
        </is>
      </c>
      <c r="G4237" t="n">
        <v>4.6</v>
      </c>
      <c r="H4237" t="n">
        <v>0</v>
      </c>
      <c r="I4237" t="n">
        <v>0</v>
      </c>
      <c r="J4237" t="n">
        <v>0</v>
      </c>
      <c r="K4237" t="n">
        <v>0</v>
      </c>
      <c r="L4237" t="n">
        <v>0</v>
      </c>
      <c r="M4237" t="n">
        <v>0</v>
      </c>
      <c r="N4237" t="n">
        <v>0</v>
      </c>
      <c r="O4237" t="n">
        <v>0</v>
      </c>
      <c r="P4237" t="n">
        <v>0</v>
      </c>
      <c r="Q4237" t="n">
        <v>0</v>
      </c>
      <c r="R4237" s="2" t="inlineStr"/>
    </row>
    <row r="4238" ht="15" customHeight="1">
      <c r="A4238" t="inlineStr">
        <is>
          <t>A 5892-2022</t>
        </is>
      </c>
      <c r="B4238" s="1" t="n">
        <v>44596</v>
      </c>
      <c r="C4238" s="1" t="n">
        <v>45587</v>
      </c>
      <c r="D4238" t="inlineStr">
        <is>
          <t>GÄVLEBORGS LÄN</t>
        </is>
      </c>
      <c r="E4238" t="inlineStr">
        <is>
          <t>NORDANSTIG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5894-2022</t>
        </is>
      </c>
      <c r="B4239" s="1" t="n">
        <v>44596</v>
      </c>
      <c r="C4239" s="1" t="n">
        <v>45587</v>
      </c>
      <c r="D4239" t="inlineStr">
        <is>
          <t>GÄVLEBORGS LÄN</t>
        </is>
      </c>
      <c r="E4239" t="inlineStr">
        <is>
          <t>BOLLNÄS</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5889-2022</t>
        </is>
      </c>
      <c r="B4240" s="1" t="n">
        <v>44596</v>
      </c>
      <c r="C4240" s="1" t="n">
        <v>45587</v>
      </c>
      <c r="D4240" t="inlineStr">
        <is>
          <t>GÄVLEBORGS LÄN</t>
        </is>
      </c>
      <c r="E4240" t="inlineStr">
        <is>
          <t>LJUSDAL</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5891-2022</t>
        </is>
      </c>
      <c r="B4241" s="1" t="n">
        <v>44596</v>
      </c>
      <c r="C4241" s="1" t="n">
        <v>45587</v>
      </c>
      <c r="D4241" t="inlineStr">
        <is>
          <t>GÄVLEBORGS LÄN</t>
        </is>
      </c>
      <c r="E4241" t="inlineStr">
        <is>
          <t>NORDANSTIG</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5975-2022</t>
        </is>
      </c>
      <c r="B4242" s="1" t="n">
        <v>44599</v>
      </c>
      <c r="C4242" s="1" t="n">
        <v>45587</v>
      </c>
      <c r="D4242" t="inlineStr">
        <is>
          <t>GÄVLEBORGS LÄN</t>
        </is>
      </c>
      <c r="E4242" t="inlineStr">
        <is>
          <t>GÄVLE</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6001-2022</t>
        </is>
      </c>
      <c r="B4243" s="1" t="n">
        <v>44599</v>
      </c>
      <c r="C4243" s="1" t="n">
        <v>45587</v>
      </c>
      <c r="D4243" t="inlineStr">
        <is>
          <t>GÄVLEBORGS LÄN</t>
        </is>
      </c>
      <c r="E4243" t="inlineStr">
        <is>
          <t>GÄVLE</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6025-2022</t>
        </is>
      </c>
      <c r="B4244" s="1" t="n">
        <v>44599</v>
      </c>
      <c r="C4244" s="1" t="n">
        <v>45587</v>
      </c>
      <c r="D4244" t="inlineStr">
        <is>
          <t>GÄVLEBORGS LÄN</t>
        </is>
      </c>
      <c r="E4244" t="inlineStr">
        <is>
          <t>GÄVLE</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6096-2022</t>
        </is>
      </c>
      <c r="B4245" s="1" t="n">
        <v>44599</v>
      </c>
      <c r="C4245" s="1" t="n">
        <v>45587</v>
      </c>
      <c r="D4245" t="inlineStr">
        <is>
          <t>GÄVLEBORGS LÄN</t>
        </is>
      </c>
      <c r="E4245" t="inlineStr">
        <is>
          <t>NORDANSTIG</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6331-2022</t>
        </is>
      </c>
      <c r="B4246" s="1" t="n">
        <v>44600</v>
      </c>
      <c r="C4246" s="1" t="n">
        <v>45587</v>
      </c>
      <c r="D4246" t="inlineStr">
        <is>
          <t>GÄVLEBORGS LÄN</t>
        </is>
      </c>
      <c r="E4246" t="inlineStr">
        <is>
          <t>GÄVLE</t>
        </is>
      </c>
      <c r="F4246" t="inlineStr">
        <is>
          <t>Kyrkan</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6308-2022</t>
        </is>
      </c>
      <c r="B4247" s="1" t="n">
        <v>44600</v>
      </c>
      <c r="C4247" s="1" t="n">
        <v>45587</v>
      </c>
      <c r="D4247" t="inlineStr">
        <is>
          <t>GÄVLEBORGS LÄN</t>
        </is>
      </c>
      <c r="E4247" t="inlineStr">
        <is>
          <t>LJUSDAL</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6569-2022</t>
        </is>
      </c>
      <c r="B4248" s="1" t="n">
        <v>44601</v>
      </c>
      <c r="C4248" s="1" t="n">
        <v>45587</v>
      </c>
      <c r="D4248" t="inlineStr">
        <is>
          <t>GÄVLEBORGS LÄN</t>
        </is>
      </c>
      <c r="E4248" t="inlineStr">
        <is>
          <t>NORDANSTIG</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6500-2022</t>
        </is>
      </c>
      <c r="B4249" s="1" t="n">
        <v>44601</v>
      </c>
      <c r="C4249" s="1" t="n">
        <v>45587</v>
      </c>
      <c r="D4249" t="inlineStr">
        <is>
          <t>GÄVLEBORGS LÄN</t>
        </is>
      </c>
      <c r="E4249" t="inlineStr">
        <is>
          <t>NORDANSTIG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6549-2022</t>
        </is>
      </c>
      <c r="B4250" s="1" t="n">
        <v>44601</v>
      </c>
      <c r="C4250" s="1" t="n">
        <v>45587</v>
      </c>
      <c r="D4250" t="inlineStr">
        <is>
          <t>GÄVLEBORGS LÄN</t>
        </is>
      </c>
      <c r="E4250" t="inlineStr">
        <is>
          <t>BOLLNÄS</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6560-2022</t>
        </is>
      </c>
      <c r="B4251" s="1" t="n">
        <v>44601</v>
      </c>
      <c r="C4251" s="1" t="n">
        <v>45587</v>
      </c>
      <c r="D4251" t="inlineStr">
        <is>
          <t>GÄVLEBORGS LÄN</t>
        </is>
      </c>
      <c r="E4251" t="inlineStr">
        <is>
          <t>HOFORS</t>
        </is>
      </c>
      <c r="G4251" t="n">
        <v>12.2</v>
      </c>
      <c r="H4251" t="n">
        <v>0</v>
      </c>
      <c r="I4251" t="n">
        <v>0</v>
      </c>
      <c r="J4251" t="n">
        <v>0</v>
      </c>
      <c r="K4251" t="n">
        <v>0</v>
      </c>
      <c r="L4251" t="n">
        <v>0</v>
      </c>
      <c r="M4251" t="n">
        <v>0</v>
      </c>
      <c r="N4251" t="n">
        <v>0</v>
      </c>
      <c r="O4251" t="n">
        <v>0</v>
      </c>
      <c r="P4251" t="n">
        <v>0</v>
      </c>
      <c r="Q4251" t="n">
        <v>0</v>
      </c>
      <c r="R4251" s="2" t="inlineStr"/>
    </row>
    <row r="4252" ht="15" customHeight="1">
      <c r="A4252" t="inlineStr">
        <is>
          <t>A 6634-2022</t>
        </is>
      </c>
      <c r="B4252" s="1" t="n">
        <v>44601</v>
      </c>
      <c r="C4252" s="1" t="n">
        <v>45587</v>
      </c>
      <c r="D4252" t="inlineStr">
        <is>
          <t>GÄVLEBORGS LÄN</t>
        </is>
      </c>
      <c r="E4252" t="inlineStr">
        <is>
          <t>LJUSDAL</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6581-2022</t>
        </is>
      </c>
      <c r="B4253" s="1" t="n">
        <v>44601</v>
      </c>
      <c r="C4253" s="1" t="n">
        <v>45587</v>
      </c>
      <c r="D4253" t="inlineStr">
        <is>
          <t>GÄVLEBORGS LÄN</t>
        </is>
      </c>
      <c r="E4253" t="inlineStr">
        <is>
          <t>NORDANSTIG</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6583-2022</t>
        </is>
      </c>
      <c r="B4254" s="1" t="n">
        <v>44601</v>
      </c>
      <c r="C4254" s="1" t="n">
        <v>45587</v>
      </c>
      <c r="D4254" t="inlineStr">
        <is>
          <t>GÄVLEBORGS LÄN</t>
        </is>
      </c>
      <c r="E4254" t="inlineStr">
        <is>
          <t>NORDANSTIG</t>
        </is>
      </c>
      <c r="G4254" t="n">
        <v>8.800000000000001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6766-2022</t>
        </is>
      </c>
      <c r="B4255" s="1" t="n">
        <v>44602</v>
      </c>
      <c r="C4255" s="1" t="n">
        <v>45587</v>
      </c>
      <c r="D4255" t="inlineStr">
        <is>
          <t>GÄVLEBORGS LÄN</t>
        </is>
      </c>
      <c r="E4255" t="inlineStr">
        <is>
          <t>OVANÅKER</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7060-2022</t>
        </is>
      </c>
      <c r="B4256" s="1" t="n">
        <v>44603</v>
      </c>
      <c r="C4256" s="1" t="n">
        <v>45587</v>
      </c>
      <c r="D4256" t="inlineStr">
        <is>
          <t>GÄVLEBORGS LÄN</t>
        </is>
      </c>
      <c r="E4256" t="inlineStr">
        <is>
          <t>GÄVLE</t>
        </is>
      </c>
      <c r="G4256" t="n">
        <v>10</v>
      </c>
      <c r="H4256" t="n">
        <v>0</v>
      </c>
      <c r="I4256" t="n">
        <v>0</v>
      </c>
      <c r="J4256" t="n">
        <v>0</v>
      </c>
      <c r="K4256" t="n">
        <v>0</v>
      </c>
      <c r="L4256" t="n">
        <v>0</v>
      </c>
      <c r="M4256" t="n">
        <v>0</v>
      </c>
      <c r="N4256" t="n">
        <v>0</v>
      </c>
      <c r="O4256" t="n">
        <v>0</v>
      </c>
      <c r="P4256" t="n">
        <v>0</v>
      </c>
      <c r="Q4256" t="n">
        <v>0</v>
      </c>
      <c r="R4256" s="2" t="inlineStr"/>
    </row>
    <row r="4257" ht="15" customHeight="1">
      <c r="A4257" t="inlineStr">
        <is>
          <t>A 7079-2022</t>
        </is>
      </c>
      <c r="B4257" s="1" t="n">
        <v>44603</v>
      </c>
      <c r="C4257" s="1" t="n">
        <v>45587</v>
      </c>
      <c r="D4257" t="inlineStr">
        <is>
          <t>GÄVLEBORGS LÄN</t>
        </is>
      </c>
      <c r="E4257" t="inlineStr">
        <is>
          <t>BOLLNÄS</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6998-2022</t>
        </is>
      </c>
      <c r="B4258" s="1" t="n">
        <v>44603</v>
      </c>
      <c r="C4258" s="1" t="n">
        <v>45587</v>
      </c>
      <c r="D4258" t="inlineStr">
        <is>
          <t>GÄVLEBORGS LÄN</t>
        </is>
      </c>
      <c r="E4258" t="inlineStr">
        <is>
          <t>SANDVIKEN</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6956-2022</t>
        </is>
      </c>
      <c r="B4259" s="1" t="n">
        <v>44603</v>
      </c>
      <c r="C4259" s="1" t="n">
        <v>45587</v>
      </c>
      <c r="D4259" t="inlineStr">
        <is>
          <t>GÄVLEBORGS LÄN</t>
        </is>
      </c>
      <c r="E4259" t="inlineStr">
        <is>
          <t>OVANÅKER</t>
        </is>
      </c>
      <c r="G4259" t="n">
        <v>8.4</v>
      </c>
      <c r="H4259" t="n">
        <v>0</v>
      </c>
      <c r="I4259" t="n">
        <v>0</v>
      </c>
      <c r="J4259" t="n">
        <v>0</v>
      </c>
      <c r="K4259" t="n">
        <v>0</v>
      </c>
      <c r="L4259" t="n">
        <v>0</v>
      </c>
      <c r="M4259" t="n">
        <v>0</v>
      </c>
      <c r="N4259" t="n">
        <v>0</v>
      </c>
      <c r="O4259" t="n">
        <v>0</v>
      </c>
      <c r="P4259" t="n">
        <v>0</v>
      </c>
      <c r="Q4259" t="n">
        <v>0</v>
      </c>
      <c r="R4259" s="2" t="inlineStr"/>
    </row>
    <row r="4260" ht="15" customHeight="1">
      <c r="A4260" t="inlineStr">
        <is>
          <t>A 7075-2022</t>
        </is>
      </c>
      <c r="B4260" s="1" t="n">
        <v>44603</v>
      </c>
      <c r="C4260" s="1" t="n">
        <v>45587</v>
      </c>
      <c r="D4260" t="inlineStr">
        <is>
          <t>GÄVLEBORGS LÄN</t>
        </is>
      </c>
      <c r="E4260" t="inlineStr">
        <is>
          <t>BOLLNÄS</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6947-2022</t>
        </is>
      </c>
      <c r="B4261" s="1" t="n">
        <v>44603</v>
      </c>
      <c r="C4261" s="1" t="n">
        <v>45587</v>
      </c>
      <c r="D4261" t="inlineStr">
        <is>
          <t>GÄVLEBORGS LÄN</t>
        </is>
      </c>
      <c r="E4261" t="inlineStr">
        <is>
          <t>SANDVIKEN</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7020-2022</t>
        </is>
      </c>
      <c r="B4262" s="1" t="n">
        <v>44603</v>
      </c>
      <c r="C4262" s="1" t="n">
        <v>45587</v>
      </c>
      <c r="D4262" t="inlineStr">
        <is>
          <t>GÄVLEBORGS LÄN</t>
        </is>
      </c>
      <c r="E4262" t="inlineStr">
        <is>
          <t>GÄVLE</t>
        </is>
      </c>
      <c r="F4262" t="inlineStr">
        <is>
          <t>Bergvik skog öst AB</t>
        </is>
      </c>
      <c r="G4262" t="n">
        <v>6.8</v>
      </c>
      <c r="H4262" t="n">
        <v>0</v>
      </c>
      <c r="I4262" t="n">
        <v>0</v>
      </c>
      <c r="J4262" t="n">
        <v>0</v>
      </c>
      <c r="K4262" t="n">
        <v>0</v>
      </c>
      <c r="L4262" t="n">
        <v>0</v>
      </c>
      <c r="M4262" t="n">
        <v>0</v>
      </c>
      <c r="N4262" t="n">
        <v>0</v>
      </c>
      <c r="O4262" t="n">
        <v>0</v>
      </c>
      <c r="P4262" t="n">
        <v>0</v>
      </c>
      <c r="Q4262" t="n">
        <v>0</v>
      </c>
      <c r="R4262" s="2" t="inlineStr"/>
    </row>
    <row r="4263" ht="15" customHeight="1">
      <c r="A4263" t="inlineStr">
        <is>
          <t>A 7096-2022</t>
        </is>
      </c>
      <c r="B4263" s="1" t="n">
        <v>44603</v>
      </c>
      <c r="C4263" s="1" t="n">
        <v>45587</v>
      </c>
      <c r="D4263" t="inlineStr">
        <is>
          <t>GÄVLEBORGS LÄN</t>
        </is>
      </c>
      <c r="E4263" t="inlineStr">
        <is>
          <t>BOLLNÄS</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7092-2022</t>
        </is>
      </c>
      <c r="B4264" s="1" t="n">
        <v>44603</v>
      </c>
      <c r="C4264" s="1" t="n">
        <v>45587</v>
      </c>
      <c r="D4264" t="inlineStr">
        <is>
          <t>GÄVLEBORGS LÄN</t>
        </is>
      </c>
      <c r="E4264" t="inlineStr">
        <is>
          <t>BOLLNÄS</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7099-2022</t>
        </is>
      </c>
      <c r="B4265" s="1" t="n">
        <v>44603</v>
      </c>
      <c r="C4265" s="1" t="n">
        <v>45587</v>
      </c>
      <c r="D4265" t="inlineStr">
        <is>
          <t>GÄVLEBORGS LÄN</t>
        </is>
      </c>
      <c r="E4265" t="inlineStr">
        <is>
          <t>BOLLNÄS</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7149-2022</t>
        </is>
      </c>
      <c r="B4266" s="1" t="n">
        <v>44603</v>
      </c>
      <c r="C4266" s="1" t="n">
        <v>45587</v>
      </c>
      <c r="D4266" t="inlineStr">
        <is>
          <t>GÄVLEBORGS LÄN</t>
        </is>
      </c>
      <c r="E4266" t="inlineStr">
        <is>
          <t>NORDANSTIG</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7095-2022</t>
        </is>
      </c>
      <c r="B4267" s="1" t="n">
        <v>44603</v>
      </c>
      <c r="C4267" s="1" t="n">
        <v>45587</v>
      </c>
      <c r="D4267" t="inlineStr">
        <is>
          <t>GÄVLEBORGS LÄN</t>
        </is>
      </c>
      <c r="E4267" t="inlineStr">
        <is>
          <t>BOLLNÄS</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7102-2022</t>
        </is>
      </c>
      <c r="B4268" s="1" t="n">
        <v>44603</v>
      </c>
      <c r="C4268" s="1" t="n">
        <v>45587</v>
      </c>
      <c r="D4268" t="inlineStr">
        <is>
          <t>GÄVLEBORGS LÄN</t>
        </is>
      </c>
      <c r="E4268" t="inlineStr">
        <is>
          <t>BOLLNÄS</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7183-2022</t>
        </is>
      </c>
      <c r="B4269" s="1" t="n">
        <v>44605</v>
      </c>
      <c r="C4269" s="1" t="n">
        <v>45587</v>
      </c>
      <c r="D4269" t="inlineStr">
        <is>
          <t>GÄVLEBORGS LÄN</t>
        </is>
      </c>
      <c r="E4269" t="inlineStr">
        <is>
          <t>NORDANSTIG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7277-2022</t>
        </is>
      </c>
      <c r="B4270" s="1" t="n">
        <v>44606</v>
      </c>
      <c r="C4270" s="1" t="n">
        <v>45587</v>
      </c>
      <c r="D4270" t="inlineStr">
        <is>
          <t>GÄVLEBORGS LÄN</t>
        </is>
      </c>
      <c r="E4270" t="inlineStr">
        <is>
          <t>GÄVLE</t>
        </is>
      </c>
      <c r="F4270" t="inlineStr">
        <is>
          <t>Kyrkan</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7305-2022</t>
        </is>
      </c>
      <c r="B4271" s="1" t="n">
        <v>44606</v>
      </c>
      <c r="C4271" s="1" t="n">
        <v>45587</v>
      </c>
      <c r="D4271" t="inlineStr">
        <is>
          <t>GÄVLEBORGS LÄN</t>
        </is>
      </c>
      <c r="E4271" t="inlineStr">
        <is>
          <t>GÄVLE</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7542-2022</t>
        </is>
      </c>
      <c r="B4272" s="1" t="n">
        <v>44607</v>
      </c>
      <c r="C4272" s="1" t="n">
        <v>45587</v>
      </c>
      <c r="D4272" t="inlineStr">
        <is>
          <t>GÄVLEBORGS LÄN</t>
        </is>
      </c>
      <c r="E4272" t="inlineStr">
        <is>
          <t>NORDANSTIG</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7548-2022</t>
        </is>
      </c>
      <c r="B4273" s="1" t="n">
        <v>44607</v>
      </c>
      <c r="C4273" s="1" t="n">
        <v>45587</v>
      </c>
      <c r="D4273" t="inlineStr">
        <is>
          <t>GÄVLEBORGS LÄN</t>
        </is>
      </c>
      <c r="E4273" t="inlineStr">
        <is>
          <t>HUDIKSVALL</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7503-2022</t>
        </is>
      </c>
      <c r="B4274" s="1" t="n">
        <v>44607</v>
      </c>
      <c r="C4274" s="1" t="n">
        <v>45587</v>
      </c>
      <c r="D4274" t="inlineStr">
        <is>
          <t>GÄVLEBORGS LÄN</t>
        </is>
      </c>
      <c r="E4274" t="inlineStr">
        <is>
          <t>NORDANSTIG</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7472-2022</t>
        </is>
      </c>
      <c r="B4275" s="1" t="n">
        <v>44607</v>
      </c>
      <c r="C4275" s="1" t="n">
        <v>45587</v>
      </c>
      <c r="D4275" t="inlineStr">
        <is>
          <t>GÄVLEBORGS LÄN</t>
        </is>
      </c>
      <c r="E4275" t="inlineStr">
        <is>
          <t>LJUSDAL</t>
        </is>
      </c>
      <c r="F4275" t="inlineStr">
        <is>
          <t>Holmen skog AB</t>
        </is>
      </c>
      <c r="G4275" t="n">
        <v>7.3</v>
      </c>
      <c r="H4275" t="n">
        <v>0</v>
      </c>
      <c r="I4275" t="n">
        <v>0</v>
      </c>
      <c r="J4275" t="n">
        <v>0</v>
      </c>
      <c r="K4275" t="n">
        <v>0</v>
      </c>
      <c r="L4275" t="n">
        <v>0</v>
      </c>
      <c r="M4275" t="n">
        <v>0</v>
      </c>
      <c r="N4275" t="n">
        <v>0</v>
      </c>
      <c r="O4275" t="n">
        <v>0</v>
      </c>
      <c r="P4275" t="n">
        <v>0</v>
      </c>
      <c r="Q4275" t="n">
        <v>0</v>
      </c>
      <c r="R4275" s="2" t="inlineStr"/>
    </row>
    <row r="4276" ht="15" customHeight="1">
      <c r="A4276" t="inlineStr">
        <is>
          <t>A 7569-2022</t>
        </is>
      </c>
      <c r="B4276" s="1" t="n">
        <v>44607</v>
      </c>
      <c r="C4276" s="1" t="n">
        <v>45587</v>
      </c>
      <c r="D4276" t="inlineStr">
        <is>
          <t>GÄVLEBORGS LÄN</t>
        </is>
      </c>
      <c r="E4276" t="inlineStr">
        <is>
          <t>OVANÅKER</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7592-2022</t>
        </is>
      </c>
      <c r="B4277" s="1" t="n">
        <v>44607</v>
      </c>
      <c r="C4277" s="1" t="n">
        <v>45587</v>
      </c>
      <c r="D4277" t="inlineStr">
        <is>
          <t>GÄVLEBORGS LÄN</t>
        </is>
      </c>
      <c r="E4277" t="inlineStr">
        <is>
          <t>LJUSDAL</t>
        </is>
      </c>
      <c r="F4277" t="inlineStr">
        <is>
          <t>Holmen skog AB</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7606-2022</t>
        </is>
      </c>
      <c r="B4278" s="1" t="n">
        <v>44607</v>
      </c>
      <c r="C4278" s="1" t="n">
        <v>45587</v>
      </c>
      <c r="D4278" t="inlineStr">
        <is>
          <t>GÄVLEBORGS LÄN</t>
        </is>
      </c>
      <c r="E4278" t="inlineStr">
        <is>
          <t>LJUSDAL</t>
        </is>
      </c>
      <c r="F4278" t="inlineStr">
        <is>
          <t>Holmen skog AB</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7637-2022</t>
        </is>
      </c>
      <c r="B4279" s="1" t="n">
        <v>44607</v>
      </c>
      <c r="C4279" s="1" t="n">
        <v>45587</v>
      </c>
      <c r="D4279" t="inlineStr">
        <is>
          <t>GÄVLEBORGS LÄN</t>
        </is>
      </c>
      <c r="E4279" t="inlineStr">
        <is>
          <t>OCKELBO</t>
        </is>
      </c>
      <c r="F4279" t="inlineStr">
        <is>
          <t>Bergvik skog väst AB</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7728-2022</t>
        </is>
      </c>
      <c r="B4280" s="1" t="n">
        <v>44608</v>
      </c>
      <c r="C4280" s="1" t="n">
        <v>45587</v>
      </c>
      <c r="D4280" t="inlineStr">
        <is>
          <t>GÄVLEBORGS LÄN</t>
        </is>
      </c>
      <c r="E4280" t="inlineStr">
        <is>
          <t>NORDANSTIG</t>
        </is>
      </c>
      <c r="F4280" t="inlineStr">
        <is>
          <t>Holmen skog AB</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7766-2022</t>
        </is>
      </c>
      <c r="B4281" s="1" t="n">
        <v>44608</v>
      </c>
      <c r="C4281" s="1" t="n">
        <v>45587</v>
      </c>
      <c r="D4281" t="inlineStr">
        <is>
          <t>GÄVLEBORGS LÄN</t>
        </is>
      </c>
      <c r="E4281" t="inlineStr">
        <is>
          <t>BOLLNÄS</t>
        </is>
      </c>
      <c r="G4281" t="n">
        <v>6</v>
      </c>
      <c r="H4281" t="n">
        <v>0</v>
      </c>
      <c r="I4281" t="n">
        <v>0</v>
      </c>
      <c r="J4281" t="n">
        <v>0</v>
      </c>
      <c r="K4281" t="n">
        <v>0</v>
      </c>
      <c r="L4281" t="n">
        <v>0</v>
      </c>
      <c r="M4281" t="n">
        <v>0</v>
      </c>
      <c r="N4281" t="n">
        <v>0</v>
      </c>
      <c r="O4281" t="n">
        <v>0</v>
      </c>
      <c r="P4281" t="n">
        <v>0</v>
      </c>
      <c r="Q4281" t="n">
        <v>0</v>
      </c>
      <c r="R4281" s="2" t="inlineStr"/>
    </row>
    <row r="4282" ht="15" customHeight="1">
      <c r="A4282" t="inlineStr">
        <is>
          <t>A 7785-2022</t>
        </is>
      </c>
      <c r="B4282" s="1" t="n">
        <v>44608</v>
      </c>
      <c r="C4282" s="1" t="n">
        <v>45587</v>
      </c>
      <c r="D4282" t="inlineStr">
        <is>
          <t>GÄVLEBORGS LÄN</t>
        </is>
      </c>
      <c r="E4282" t="inlineStr">
        <is>
          <t>OVANÅKER</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7916-2022</t>
        </is>
      </c>
      <c r="B4283" s="1" t="n">
        <v>44608</v>
      </c>
      <c r="C4283" s="1" t="n">
        <v>45587</v>
      </c>
      <c r="D4283" t="inlineStr">
        <is>
          <t>GÄVLEBORGS LÄN</t>
        </is>
      </c>
      <c r="E4283" t="inlineStr">
        <is>
          <t>NORDANSTIG</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8005-2022</t>
        </is>
      </c>
      <c r="B4284" s="1" t="n">
        <v>44609</v>
      </c>
      <c r="C4284" s="1" t="n">
        <v>45587</v>
      </c>
      <c r="D4284" t="inlineStr">
        <is>
          <t>GÄVLEBORGS LÄN</t>
        </is>
      </c>
      <c r="E4284" t="inlineStr">
        <is>
          <t>HUDIKSVALL</t>
        </is>
      </c>
      <c r="F4284" t="inlineStr">
        <is>
          <t>Holmen skog AB</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8081-2022</t>
        </is>
      </c>
      <c r="B4285" s="1" t="n">
        <v>44609</v>
      </c>
      <c r="C4285" s="1" t="n">
        <v>45587</v>
      </c>
      <c r="D4285" t="inlineStr">
        <is>
          <t>GÄVLEBORGS LÄN</t>
        </is>
      </c>
      <c r="E4285" t="inlineStr">
        <is>
          <t>HUDIKSVALL</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8073-2022</t>
        </is>
      </c>
      <c r="B4286" s="1" t="n">
        <v>44609</v>
      </c>
      <c r="C4286" s="1" t="n">
        <v>45587</v>
      </c>
      <c r="D4286" t="inlineStr">
        <is>
          <t>GÄVLEBORGS LÄN</t>
        </is>
      </c>
      <c r="E4286" t="inlineStr">
        <is>
          <t>SÖDERHAMN</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8133-2022</t>
        </is>
      </c>
      <c r="B4287" s="1" t="n">
        <v>44609</v>
      </c>
      <c r="C4287" s="1" t="n">
        <v>45587</v>
      </c>
      <c r="D4287" t="inlineStr">
        <is>
          <t>GÄVLEBORGS LÄN</t>
        </is>
      </c>
      <c r="E4287" t="inlineStr">
        <is>
          <t>HUDIKSVALL</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8153-2022</t>
        </is>
      </c>
      <c r="B4288" s="1" t="n">
        <v>44609</v>
      </c>
      <c r="C4288" s="1" t="n">
        <v>45587</v>
      </c>
      <c r="D4288" t="inlineStr">
        <is>
          <t>GÄVLEBORGS LÄN</t>
        </is>
      </c>
      <c r="E4288" t="inlineStr">
        <is>
          <t>LJUSDAL</t>
        </is>
      </c>
      <c r="F4288" t="inlineStr">
        <is>
          <t>Holmen skog AB</t>
        </is>
      </c>
      <c r="G4288" t="n">
        <v>3.8</v>
      </c>
      <c r="H4288" t="n">
        <v>0</v>
      </c>
      <c r="I4288" t="n">
        <v>0</v>
      </c>
      <c r="J4288" t="n">
        <v>0</v>
      </c>
      <c r="K4288" t="n">
        <v>0</v>
      </c>
      <c r="L4288" t="n">
        <v>0</v>
      </c>
      <c r="M4288" t="n">
        <v>0</v>
      </c>
      <c r="N4288" t="n">
        <v>0</v>
      </c>
      <c r="O4288" t="n">
        <v>0</v>
      </c>
      <c r="P4288" t="n">
        <v>0</v>
      </c>
      <c r="Q4288" t="n">
        <v>0</v>
      </c>
      <c r="R4288" s="2" t="inlineStr"/>
    </row>
    <row r="4289" ht="15" customHeight="1">
      <c r="A4289" t="inlineStr">
        <is>
          <t>A 8246-2022</t>
        </is>
      </c>
      <c r="B4289" s="1" t="n">
        <v>44610</v>
      </c>
      <c r="C4289" s="1" t="n">
        <v>45587</v>
      </c>
      <c r="D4289" t="inlineStr">
        <is>
          <t>GÄVLEBORGS LÄN</t>
        </is>
      </c>
      <c r="E4289" t="inlineStr">
        <is>
          <t>HUDIKSVALL</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8268-2022</t>
        </is>
      </c>
      <c r="B4290" s="1" t="n">
        <v>44610</v>
      </c>
      <c r="C4290" s="1" t="n">
        <v>45587</v>
      </c>
      <c r="D4290" t="inlineStr">
        <is>
          <t>GÄVLEBORGS LÄN</t>
        </is>
      </c>
      <c r="E4290" t="inlineStr">
        <is>
          <t>HUDIKSVALL</t>
        </is>
      </c>
      <c r="G4290" t="n">
        <v>5.4</v>
      </c>
      <c r="H4290" t="n">
        <v>0</v>
      </c>
      <c r="I4290" t="n">
        <v>0</v>
      </c>
      <c r="J4290" t="n">
        <v>0</v>
      </c>
      <c r="K4290" t="n">
        <v>0</v>
      </c>
      <c r="L4290" t="n">
        <v>0</v>
      </c>
      <c r="M4290" t="n">
        <v>0</v>
      </c>
      <c r="N4290" t="n">
        <v>0</v>
      </c>
      <c r="O4290" t="n">
        <v>0</v>
      </c>
      <c r="P4290" t="n">
        <v>0</v>
      </c>
      <c r="Q4290" t="n">
        <v>0</v>
      </c>
      <c r="R4290" s="2" t="inlineStr"/>
    </row>
    <row r="4291" ht="15" customHeight="1">
      <c r="A4291" t="inlineStr">
        <is>
          <t>A 8328-2022</t>
        </is>
      </c>
      <c r="B4291" s="1" t="n">
        <v>44610</v>
      </c>
      <c r="C4291" s="1" t="n">
        <v>45587</v>
      </c>
      <c r="D4291" t="inlineStr">
        <is>
          <t>GÄVLEBORGS LÄN</t>
        </is>
      </c>
      <c r="E4291" t="inlineStr">
        <is>
          <t>HUDIKSVALL</t>
        </is>
      </c>
      <c r="G4291" t="n">
        <v>11.9</v>
      </c>
      <c r="H4291" t="n">
        <v>0</v>
      </c>
      <c r="I4291" t="n">
        <v>0</v>
      </c>
      <c r="J4291" t="n">
        <v>0</v>
      </c>
      <c r="K4291" t="n">
        <v>0</v>
      </c>
      <c r="L4291" t="n">
        <v>0</v>
      </c>
      <c r="M4291" t="n">
        <v>0</v>
      </c>
      <c r="N4291" t="n">
        <v>0</v>
      </c>
      <c r="O4291" t="n">
        <v>0</v>
      </c>
      <c r="P4291" t="n">
        <v>0</v>
      </c>
      <c r="Q4291" t="n">
        <v>0</v>
      </c>
      <c r="R4291" s="2" t="inlineStr"/>
    </row>
    <row r="4292" ht="15" customHeight="1">
      <c r="A4292" t="inlineStr">
        <is>
          <t>A 8269-2022</t>
        </is>
      </c>
      <c r="B4292" s="1" t="n">
        <v>44610</v>
      </c>
      <c r="C4292" s="1" t="n">
        <v>45587</v>
      </c>
      <c r="D4292" t="inlineStr">
        <is>
          <t>GÄVLEBORGS LÄN</t>
        </is>
      </c>
      <c r="E4292" t="inlineStr">
        <is>
          <t>HUDIKSVALL</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8281-2022</t>
        </is>
      </c>
      <c r="B4293" s="1" t="n">
        <v>44610</v>
      </c>
      <c r="C4293" s="1" t="n">
        <v>45587</v>
      </c>
      <c r="D4293" t="inlineStr">
        <is>
          <t>GÄVLEBORGS LÄN</t>
        </is>
      </c>
      <c r="E4293" t="inlineStr">
        <is>
          <t>HUDIKSVALL</t>
        </is>
      </c>
      <c r="G4293" t="n">
        <v>13.9</v>
      </c>
      <c r="H4293" t="n">
        <v>0</v>
      </c>
      <c r="I4293" t="n">
        <v>0</v>
      </c>
      <c r="J4293" t="n">
        <v>0</v>
      </c>
      <c r="K4293" t="n">
        <v>0</v>
      </c>
      <c r="L4293" t="n">
        <v>0</v>
      </c>
      <c r="M4293" t="n">
        <v>0</v>
      </c>
      <c r="N4293" t="n">
        <v>0</v>
      </c>
      <c r="O4293" t="n">
        <v>0</v>
      </c>
      <c r="P4293" t="n">
        <v>0</v>
      </c>
      <c r="Q4293" t="n">
        <v>0</v>
      </c>
      <c r="R4293" s="2" t="inlineStr"/>
    </row>
    <row r="4294" ht="15" customHeight="1">
      <c r="A4294" t="inlineStr">
        <is>
          <t>A 8680-2022</t>
        </is>
      </c>
      <c r="B4294" s="1" t="n">
        <v>44613</v>
      </c>
      <c r="C4294" s="1" t="n">
        <v>45587</v>
      </c>
      <c r="D4294" t="inlineStr">
        <is>
          <t>GÄVLEBORGS LÄN</t>
        </is>
      </c>
      <c r="E4294" t="inlineStr">
        <is>
          <t>HUDIKSVALL</t>
        </is>
      </c>
      <c r="G4294" t="n">
        <v>7.8</v>
      </c>
      <c r="H4294" t="n">
        <v>0</v>
      </c>
      <c r="I4294" t="n">
        <v>0</v>
      </c>
      <c r="J4294" t="n">
        <v>0</v>
      </c>
      <c r="K4294" t="n">
        <v>0</v>
      </c>
      <c r="L4294" t="n">
        <v>0</v>
      </c>
      <c r="M4294" t="n">
        <v>0</v>
      </c>
      <c r="N4294" t="n">
        <v>0</v>
      </c>
      <c r="O4294" t="n">
        <v>0</v>
      </c>
      <c r="P4294" t="n">
        <v>0</v>
      </c>
      <c r="Q4294" t="n">
        <v>0</v>
      </c>
      <c r="R4294" s="2" t="inlineStr"/>
    </row>
    <row r="4295" ht="15" customHeight="1">
      <c r="A4295" t="inlineStr">
        <is>
          <t>A 8707-2022</t>
        </is>
      </c>
      <c r="B4295" s="1" t="n">
        <v>44613</v>
      </c>
      <c r="C4295" s="1" t="n">
        <v>45587</v>
      </c>
      <c r="D4295" t="inlineStr">
        <is>
          <t>GÄVLEBORGS LÄN</t>
        </is>
      </c>
      <c r="E4295" t="inlineStr">
        <is>
          <t>NORDANSTIG</t>
        </is>
      </c>
      <c r="F4295" t="inlineStr">
        <is>
          <t>Holmen skog AB</t>
        </is>
      </c>
      <c r="G4295" t="n">
        <v>6.4</v>
      </c>
      <c r="H4295" t="n">
        <v>0</v>
      </c>
      <c r="I4295" t="n">
        <v>0</v>
      </c>
      <c r="J4295" t="n">
        <v>0</v>
      </c>
      <c r="K4295" t="n">
        <v>0</v>
      </c>
      <c r="L4295" t="n">
        <v>0</v>
      </c>
      <c r="M4295" t="n">
        <v>0</v>
      </c>
      <c r="N4295" t="n">
        <v>0</v>
      </c>
      <c r="O4295" t="n">
        <v>0</v>
      </c>
      <c r="P4295" t="n">
        <v>0</v>
      </c>
      <c r="Q4295" t="n">
        <v>0</v>
      </c>
      <c r="R4295" s="2" t="inlineStr"/>
    </row>
    <row r="4296" ht="15" customHeight="1">
      <c r="A4296" t="inlineStr">
        <is>
          <t>A 8534-2022</t>
        </is>
      </c>
      <c r="B4296" s="1" t="n">
        <v>44613</v>
      </c>
      <c r="C4296" s="1" t="n">
        <v>45587</v>
      </c>
      <c r="D4296" t="inlineStr">
        <is>
          <t>GÄVLEBORGS LÄN</t>
        </is>
      </c>
      <c r="E4296" t="inlineStr">
        <is>
          <t>OCKELBO</t>
        </is>
      </c>
      <c r="F4296" t="inlineStr">
        <is>
          <t>Bergvik skog väst AB</t>
        </is>
      </c>
      <c r="G4296" t="n">
        <v>4.6</v>
      </c>
      <c r="H4296" t="n">
        <v>0</v>
      </c>
      <c r="I4296" t="n">
        <v>0</v>
      </c>
      <c r="J4296" t="n">
        <v>0</v>
      </c>
      <c r="K4296" t="n">
        <v>0</v>
      </c>
      <c r="L4296" t="n">
        <v>0</v>
      </c>
      <c r="M4296" t="n">
        <v>0</v>
      </c>
      <c r="N4296" t="n">
        <v>0</v>
      </c>
      <c r="O4296" t="n">
        <v>0</v>
      </c>
      <c r="P4296" t="n">
        <v>0</v>
      </c>
      <c r="Q4296" t="n">
        <v>0</v>
      </c>
      <c r="R4296" s="2" t="inlineStr"/>
    </row>
    <row r="4297" ht="15" customHeight="1">
      <c r="A4297" t="inlineStr">
        <is>
          <t>A 8813-2022</t>
        </is>
      </c>
      <c r="B4297" s="1" t="n">
        <v>44614</v>
      </c>
      <c r="C4297" s="1" t="n">
        <v>45587</v>
      </c>
      <c r="D4297" t="inlineStr">
        <is>
          <t>GÄVLEBORGS LÄN</t>
        </is>
      </c>
      <c r="E4297" t="inlineStr">
        <is>
          <t>LJUSDAL</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8769-2022</t>
        </is>
      </c>
      <c r="B4298" s="1" t="n">
        <v>44614</v>
      </c>
      <c r="C4298" s="1" t="n">
        <v>45587</v>
      </c>
      <c r="D4298" t="inlineStr">
        <is>
          <t>GÄVLEBORGS LÄN</t>
        </is>
      </c>
      <c r="E4298" t="inlineStr">
        <is>
          <t>OVANÅKER</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8840-2022</t>
        </is>
      </c>
      <c r="B4299" s="1" t="n">
        <v>44614</v>
      </c>
      <c r="C4299" s="1" t="n">
        <v>45587</v>
      </c>
      <c r="D4299" t="inlineStr">
        <is>
          <t>GÄVLEBORGS LÄN</t>
        </is>
      </c>
      <c r="E4299" t="inlineStr">
        <is>
          <t>OVANÅKER</t>
        </is>
      </c>
      <c r="G4299" t="n">
        <v>5.7</v>
      </c>
      <c r="H4299" t="n">
        <v>0</v>
      </c>
      <c r="I4299" t="n">
        <v>0</v>
      </c>
      <c r="J4299" t="n">
        <v>0</v>
      </c>
      <c r="K4299" t="n">
        <v>0</v>
      </c>
      <c r="L4299" t="n">
        <v>0</v>
      </c>
      <c r="M4299" t="n">
        <v>0</v>
      </c>
      <c r="N4299" t="n">
        <v>0</v>
      </c>
      <c r="O4299" t="n">
        <v>0</v>
      </c>
      <c r="P4299" t="n">
        <v>0</v>
      </c>
      <c r="Q4299" t="n">
        <v>0</v>
      </c>
      <c r="R4299" s="2" t="inlineStr"/>
    </row>
    <row r="4300" ht="15" customHeight="1">
      <c r="A4300" t="inlineStr">
        <is>
          <t>A 8952-2022</t>
        </is>
      </c>
      <c r="B4300" s="1" t="n">
        <v>44614</v>
      </c>
      <c r="C4300" s="1" t="n">
        <v>45587</v>
      </c>
      <c r="D4300" t="inlineStr">
        <is>
          <t>GÄVLEBORGS LÄN</t>
        </is>
      </c>
      <c r="E4300" t="inlineStr">
        <is>
          <t>HUDIKSVALL</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8968-2022</t>
        </is>
      </c>
      <c r="B4301" s="1" t="n">
        <v>44614</v>
      </c>
      <c r="C4301" s="1" t="n">
        <v>45587</v>
      </c>
      <c r="D4301" t="inlineStr">
        <is>
          <t>GÄVLEBORGS LÄN</t>
        </is>
      </c>
      <c r="E4301" t="inlineStr">
        <is>
          <t>OVANÅKER</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8927-2022</t>
        </is>
      </c>
      <c r="B4302" s="1" t="n">
        <v>44614</v>
      </c>
      <c r="C4302" s="1" t="n">
        <v>45587</v>
      </c>
      <c r="D4302" t="inlineStr">
        <is>
          <t>GÄVLEBORGS LÄN</t>
        </is>
      </c>
      <c r="E4302" t="inlineStr">
        <is>
          <t>OVANÅKER</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8967-2022</t>
        </is>
      </c>
      <c r="B4303" s="1" t="n">
        <v>44614</v>
      </c>
      <c r="C4303" s="1" t="n">
        <v>45587</v>
      </c>
      <c r="D4303" t="inlineStr">
        <is>
          <t>GÄVLEBORGS LÄN</t>
        </is>
      </c>
      <c r="E4303" t="inlineStr">
        <is>
          <t>OVANÅKER</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9136-2022</t>
        </is>
      </c>
      <c r="B4304" s="1" t="n">
        <v>44615</v>
      </c>
      <c r="C4304" s="1" t="n">
        <v>45587</v>
      </c>
      <c r="D4304" t="inlineStr">
        <is>
          <t>GÄVLEBORGS LÄN</t>
        </is>
      </c>
      <c r="E4304" t="inlineStr">
        <is>
          <t>SANDVIKEN</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9191-2022</t>
        </is>
      </c>
      <c r="B4305" s="1" t="n">
        <v>44615</v>
      </c>
      <c r="C4305" s="1" t="n">
        <v>45587</v>
      </c>
      <c r="D4305" t="inlineStr">
        <is>
          <t>GÄVLEBORGS LÄN</t>
        </is>
      </c>
      <c r="E4305" t="inlineStr">
        <is>
          <t>LJUSDAL</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9194-2022</t>
        </is>
      </c>
      <c r="B4306" s="1" t="n">
        <v>44615</v>
      </c>
      <c r="C4306" s="1" t="n">
        <v>45587</v>
      </c>
      <c r="D4306" t="inlineStr">
        <is>
          <t>GÄVLEBORGS LÄN</t>
        </is>
      </c>
      <c r="E4306" t="inlineStr">
        <is>
          <t>LJUSDAL</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9376-2022</t>
        </is>
      </c>
      <c r="B4307" s="1" t="n">
        <v>44616</v>
      </c>
      <c r="C4307" s="1" t="n">
        <v>45587</v>
      </c>
      <c r="D4307" t="inlineStr">
        <is>
          <t>GÄVLEBORGS LÄN</t>
        </is>
      </c>
      <c r="E4307" t="inlineStr">
        <is>
          <t>NORDANSTIG</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9382-2022</t>
        </is>
      </c>
      <c r="B4308" s="1" t="n">
        <v>44616</v>
      </c>
      <c r="C4308" s="1" t="n">
        <v>45587</v>
      </c>
      <c r="D4308" t="inlineStr">
        <is>
          <t>GÄVLEBORGS LÄN</t>
        </is>
      </c>
      <c r="E4308" t="inlineStr">
        <is>
          <t>NORDANSTIG</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9261-2022</t>
        </is>
      </c>
      <c r="B4309" s="1" t="n">
        <v>44616</v>
      </c>
      <c r="C4309" s="1" t="n">
        <v>45587</v>
      </c>
      <c r="D4309" t="inlineStr">
        <is>
          <t>GÄVLEBORGS LÄN</t>
        </is>
      </c>
      <c r="E4309" t="inlineStr">
        <is>
          <t>SÖDERHAMN</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9277-2022</t>
        </is>
      </c>
      <c r="B4310" s="1" t="n">
        <v>44616</v>
      </c>
      <c r="C4310" s="1" t="n">
        <v>45587</v>
      </c>
      <c r="D4310" t="inlineStr">
        <is>
          <t>GÄVLEBORGS LÄN</t>
        </is>
      </c>
      <c r="E4310" t="inlineStr">
        <is>
          <t>OVANÅKER</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9235-2022</t>
        </is>
      </c>
      <c r="B4311" s="1" t="n">
        <v>44616</v>
      </c>
      <c r="C4311" s="1" t="n">
        <v>45587</v>
      </c>
      <c r="D4311" t="inlineStr">
        <is>
          <t>GÄVLEBORGS LÄN</t>
        </is>
      </c>
      <c r="E4311" t="inlineStr">
        <is>
          <t>GÄVLE</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9285-2022</t>
        </is>
      </c>
      <c r="B4312" s="1" t="n">
        <v>44616</v>
      </c>
      <c r="C4312" s="1" t="n">
        <v>45587</v>
      </c>
      <c r="D4312" t="inlineStr">
        <is>
          <t>GÄVLEBORGS LÄN</t>
        </is>
      </c>
      <c r="E4312" t="inlineStr">
        <is>
          <t>OVANÅKER</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9307-2022</t>
        </is>
      </c>
      <c r="B4313" s="1" t="n">
        <v>44616</v>
      </c>
      <c r="C4313" s="1" t="n">
        <v>45587</v>
      </c>
      <c r="D4313" t="inlineStr">
        <is>
          <t>GÄVLEBORGS LÄN</t>
        </is>
      </c>
      <c r="E4313" t="inlineStr">
        <is>
          <t>GÄVLE</t>
        </is>
      </c>
      <c r="G4313" t="n">
        <v>4.8</v>
      </c>
      <c r="H4313" t="n">
        <v>0</v>
      </c>
      <c r="I4313" t="n">
        <v>0</v>
      </c>
      <c r="J4313" t="n">
        <v>0</v>
      </c>
      <c r="K4313" t="n">
        <v>0</v>
      </c>
      <c r="L4313" t="n">
        <v>0</v>
      </c>
      <c r="M4313" t="n">
        <v>0</v>
      </c>
      <c r="N4313" t="n">
        <v>0</v>
      </c>
      <c r="O4313" t="n">
        <v>0</v>
      </c>
      <c r="P4313" t="n">
        <v>0</v>
      </c>
      <c r="Q4313" t="n">
        <v>0</v>
      </c>
      <c r="R4313" s="2" t="inlineStr"/>
    </row>
    <row r="4314" ht="15" customHeight="1">
      <c r="A4314" t="inlineStr">
        <is>
          <t>A 9286-2022</t>
        </is>
      </c>
      <c r="B4314" s="1" t="n">
        <v>44616</v>
      </c>
      <c r="C4314" s="1" t="n">
        <v>45587</v>
      </c>
      <c r="D4314" t="inlineStr">
        <is>
          <t>GÄVLEBORGS LÄN</t>
        </is>
      </c>
      <c r="E4314" t="inlineStr">
        <is>
          <t>OVANÅKER</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9309-2022</t>
        </is>
      </c>
      <c r="B4315" s="1" t="n">
        <v>44616</v>
      </c>
      <c r="C4315" s="1" t="n">
        <v>45587</v>
      </c>
      <c r="D4315" t="inlineStr">
        <is>
          <t>GÄVLEBORGS LÄN</t>
        </is>
      </c>
      <c r="E4315" t="inlineStr">
        <is>
          <t>HUDIKSVALL</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9367-2022</t>
        </is>
      </c>
      <c r="B4316" s="1" t="n">
        <v>44616</v>
      </c>
      <c r="C4316" s="1" t="n">
        <v>45587</v>
      </c>
      <c r="D4316" t="inlineStr">
        <is>
          <t>GÄVLEBORGS LÄN</t>
        </is>
      </c>
      <c r="E4316" t="inlineStr">
        <is>
          <t>BOLLNÄS</t>
        </is>
      </c>
      <c r="G4316" t="n">
        <v>12.8</v>
      </c>
      <c r="H4316" t="n">
        <v>0</v>
      </c>
      <c r="I4316" t="n">
        <v>0</v>
      </c>
      <c r="J4316" t="n">
        <v>0</v>
      </c>
      <c r="K4316" t="n">
        <v>0</v>
      </c>
      <c r="L4316" t="n">
        <v>0</v>
      </c>
      <c r="M4316" t="n">
        <v>0</v>
      </c>
      <c r="N4316" t="n">
        <v>0</v>
      </c>
      <c r="O4316" t="n">
        <v>0</v>
      </c>
      <c r="P4316" t="n">
        <v>0</v>
      </c>
      <c r="Q4316" t="n">
        <v>0</v>
      </c>
      <c r="R4316" s="2" t="inlineStr"/>
    </row>
    <row r="4317" ht="15" customHeight="1">
      <c r="A4317" t="inlineStr">
        <is>
          <t>A 9474-2022</t>
        </is>
      </c>
      <c r="B4317" s="1" t="n">
        <v>44616</v>
      </c>
      <c r="C4317" s="1" t="n">
        <v>45587</v>
      </c>
      <c r="D4317" t="inlineStr">
        <is>
          <t>GÄVLEBORGS LÄN</t>
        </is>
      </c>
      <c r="E4317" t="inlineStr">
        <is>
          <t>BOLLNÄS</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9462-2022</t>
        </is>
      </c>
      <c r="B4318" s="1" t="n">
        <v>44616</v>
      </c>
      <c r="C4318" s="1" t="n">
        <v>45587</v>
      </c>
      <c r="D4318" t="inlineStr">
        <is>
          <t>GÄVLEBORGS LÄN</t>
        </is>
      </c>
      <c r="E4318" t="inlineStr">
        <is>
          <t>LJUSDAL</t>
        </is>
      </c>
      <c r="G4318" t="n">
        <v>7.9</v>
      </c>
      <c r="H4318" t="n">
        <v>0</v>
      </c>
      <c r="I4318" t="n">
        <v>0</v>
      </c>
      <c r="J4318" t="n">
        <v>0</v>
      </c>
      <c r="K4318" t="n">
        <v>0</v>
      </c>
      <c r="L4318" t="n">
        <v>0</v>
      </c>
      <c r="M4318" t="n">
        <v>0</v>
      </c>
      <c r="N4318" t="n">
        <v>0</v>
      </c>
      <c r="O4318" t="n">
        <v>0</v>
      </c>
      <c r="P4318" t="n">
        <v>0</v>
      </c>
      <c r="Q4318" t="n">
        <v>0</v>
      </c>
      <c r="R4318" s="2" t="inlineStr"/>
    </row>
    <row r="4319" ht="15" customHeight="1">
      <c r="A4319" t="inlineStr">
        <is>
          <t>A 9475-2022</t>
        </is>
      </c>
      <c r="B4319" s="1" t="n">
        <v>44616</v>
      </c>
      <c r="C4319" s="1" t="n">
        <v>45587</v>
      </c>
      <c r="D4319" t="inlineStr">
        <is>
          <t>GÄVLEBORGS LÄN</t>
        </is>
      </c>
      <c r="E4319" t="inlineStr">
        <is>
          <t>BOLLNÄS</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9593-2022</t>
        </is>
      </c>
      <c r="B4320" s="1" t="n">
        <v>44617</v>
      </c>
      <c r="C4320" s="1" t="n">
        <v>45587</v>
      </c>
      <c r="D4320" t="inlineStr">
        <is>
          <t>GÄVLEBORGS LÄN</t>
        </is>
      </c>
      <c r="E4320" t="inlineStr">
        <is>
          <t>OVANÅKER</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9635-2022</t>
        </is>
      </c>
      <c r="B4321" s="1" t="n">
        <v>44617</v>
      </c>
      <c r="C4321" s="1" t="n">
        <v>45587</v>
      </c>
      <c r="D4321" t="inlineStr">
        <is>
          <t>GÄVLEBORGS LÄN</t>
        </is>
      </c>
      <c r="E4321" t="inlineStr">
        <is>
          <t>OVANÅKER</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9598-2022</t>
        </is>
      </c>
      <c r="B4322" s="1" t="n">
        <v>44617</v>
      </c>
      <c r="C4322" s="1" t="n">
        <v>45587</v>
      </c>
      <c r="D4322" t="inlineStr">
        <is>
          <t>GÄVLEBORGS LÄN</t>
        </is>
      </c>
      <c r="E4322" t="inlineStr">
        <is>
          <t>BOLLNÄS</t>
        </is>
      </c>
      <c r="G4322" t="n">
        <v>8.800000000000001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9782-2022</t>
        </is>
      </c>
      <c r="B4323" s="1" t="n">
        <v>44620</v>
      </c>
      <c r="C4323" s="1" t="n">
        <v>45587</v>
      </c>
      <c r="D4323" t="inlineStr">
        <is>
          <t>GÄVLEBORGS LÄN</t>
        </is>
      </c>
      <c r="E4323" t="inlineStr">
        <is>
          <t>BOLLNÄS</t>
        </is>
      </c>
      <c r="G4323" t="n">
        <v>7.6</v>
      </c>
      <c r="H4323" t="n">
        <v>0</v>
      </c>
      <c r="I4323" t="n">
        <v>0</v>
      </c>
      <c r="J4323" t="n">
        <v>0</v>
      </c>
      <c r="K4323" t="n">
        <v>0</v>
      </c>
      <c r="L4323" t="n">
        <v>0</v>
      </c>
      <c r="M4323" t="n">
        <v>0</v>
      </c>
      <c r="N4323" t="n">
        <v>0</v>
      </c>
      <c r="O4323" t="n">
        <v>0</v>
      </c>
      <c r="P4323" t="n">
        <v>0</v>
      </c>
      <c r="Q4323" t="n">
        <v>0</v>
      </c>
      <c r="R4323" s="2" t="inlineStr"/>
    </row>
    <row r="4324" ht="15" customHeight="1">
      <c r="A4324" t="inlineStr">
        <is>
          <t>A 9888-2022</t>
        </is>
      </c>
      <c r="B4324" s="1" t="n">
        <v>44620</v>
      </c>
      <c r="C4324" s="1" t="n">
        <v>45587</v>
      </c>
      <c r="D4324" t="inlineStr">
        <is>
          <t>GÄVLEBORGS LÄN</t>
        </is>
      </c>
      <c r="E4324" t="inlineStr">
        <is>
          <t>BOLLNÄS</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9883-2022</t>
        </is>
      </c>
      <c r="B4325" s="1" t="n">
        <v>44620</v>
      </c>
      <c r="C4325" s="1" t="n">
        <v>45587</v>
      </c>
      <c r="D4325" t="inlineStr">
        <is>
          <t>GÄVLEBORGS LÄN</t>
        </is>
      </c>
      <c r="E4325" t="inlineStr">
        <is>
          <t>BOLLNÄS</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9899-2022</t>
        </is>
      </c>
      <c r="B4326" s="1" t="n">
        <v>44620</v>
      </c>
      <c r="C4326" s="1" t="n">
        <v>45587</v>
      </c>
      <c r="D4326" t="inlineStr">
        <is>
          <t>GÄVLEBORGS LÄN</t>
        </is>
      </c>
      <c r="E4326" t="inlineStr">
        <is>
          <t>NORDANSTIG</t>
        </is>
      </c>
      <c r="G4326" t="n">
        <v>4.7</v>
      </c>
      <c r="H4326" t="n">
        <v>0</v>
      </c>
      <c r="I4326" t="n">
        <v>0</v>
      </c>
      <c r="J4326" t="n">
        <v>0</v>
      </c>
      <c r="K4326" t="n">
        <v>0</v>
      </c>
      <c r="L4326" t="n">
        <v>0</v>
      </c>
      <c r="M4326" t="n">
        <v>0</v>
      </c>
      <c r="N4326" t="n">
        <v>0</v>
      </c>
      <c r="O4326" t="n">
        <v>0</v>
      </c>
      <c r="P4326" t="n">
        <v>0</v>
      </c>
      <c r="Q4326" t="n">
        <v>0</v>
      </c>
      <c r="R4326" s="2" t="inlineStr"/>
    </row>
    <row r="4327" ht="15" customHeight="1">
      <c r="A4327" t="inlineStr">
        <is>
          <t>A 9877-2022</t>
        </is>
      </c>
      <c r="B4327" s="1" t="n">
        <v>44620</v>
      </c>
      <c r="C4327" s="1" t="n">
        <v>45587</v>
      </c>
      <c r="D4327" t="inlineStr">
        <is>
          <t>GÄVLEBORGS LÄN</t>
        </is>
      </c>
      <c r="E4327" t="inlineStr">
        <is>
          <t>BOLLNÄS</t>
        </is>
      </c>
      <c r="G4327" t="n">
        <v>5.9</v>
      </c>
      <c r="H4327" t="n">
        <v>0</v>
      </c>
      <c r="I4327" t="n">
        <v>0</v>
      </c>
      <c r="J4327" t="n">
        <v>0</v>
      </c>
      <c r="K4327" t="n">
        <v>0</v>
      </c>
      <c r="L4327" t="n">
        <v>0</v>
      </c>
      <c r="M4327" t="n">
        <v>0</v>
      </c>
      <c r="N4327" t="n">
        <v>0</v>
      </c>
      <c r="O4327" t="n">
        <v>0</v>
      </c>
      <c r="P4327" t="n">
        <v>0</v>
      </c>
      <c r="Q4327" t="n">
        <v>0</v>
      </c>
      <c r="R4327" s="2" t="inlineStr"/>
    </row>
    <row r="4328" ht="15" customHeight="1">
      <c r="A4328" t="inlineStr">
        <is>
          <t>A 9889-2022</t>
        </is>
      </c>
      <c r="B4328" s="1" t="n">
        <v>44620</v>
      </c>
      <c r="C4328" s="1" t="n">
        <v>45587</v>
      </c>
      <c r="D4328" t="inlineStr">
        <is>
          <t>GÄVLEBORGS LÄN</t>
        </is>
      </c>
      <c r="E4328" t="inlineStr">
        <is>
          <t>BOLLNÄS</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9935-2022</t>
        </is>
      </c>
      <c r="B4329" s="1" t="n">
        <v>44620</v>
      </c>
      <c r="C4329" s="1" t="n">
        <v>45587</v>
      </c>
      <c r="D4329" t="inlineStr">
        <is>
          <t>GÄVLEBORGS LÄN</t>
        </is>
      </c>
      <c r="E4329" t="inlineStr">
        <is>
          <t>LJUSDAL</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9936-2022</t>
        </is>
      </c>
      <c r="B4330" s="1" t="n">
        <v>44620</v>
      </c>
      <c r="C4330" s="1" t="n">
        <v>45587</v>
      </c>
      <c r="D4330" t="inlineStr">
        <is>
          <t>GÄVLEBORGS LÄN</t>
        </is>
      </c>
      <c r="E4330" t="inlineStr">
        <is>
          <t>LJUSDAL</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9980-2022</t>
        </is>
      </c>
      <c r="B4331" s="1" t="n">
        <v>44621</v>
      </c>
      <c r="C4331" s="1" t="n">
        <v>45587</v>
      </c>
      <c r="D4331" t="inlineStr">
        <is>
          <t>GÄVLEBORGS LÄN</t>
        </is>
      </c>
      <c r="E4331" t="inlineStr">
        <is>
          <t>OVANÅKER</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10074-2022</t>
        </is>
      </c>
      <c r="B4332" s="1" t="n">
        <v>44621</v>
      </c>
      <c r="C4332" s="1" t="n">
        <v>45587</v>
      </c>
      <c r="D4332" t="inlineStr">
        <is>
          <t>GÄVLEBORGS LÄN</t>
        </is>
      </c>
      <c r="E4332" t="inlineStr">
        <is>
          <t>LJUSDAL</t>
        </is>
      </c>
      <c r="F4332" t="inlineStr">
        <is>
          <t>Kommuner</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10180-2022</t>
        </is>
      </c>
      <c r="B4333" s="1" t="n">
        <v>44622</v>
      </c>
      <c r="C4333" s="1" t="n">
        <v>45587</v>
      </c>
      <c r="D4333" t="inlineStr">
        <is>
          <t>GÄVLEBORGS LÄN</t>
        </is>
      </c>
      <c r="E4333" t="inlineStr">
        <is>
          <t>BOLLNÄS</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10184-2022</t>
        </is>
      </c>
      <c r="B4334" s="1" t="n">
        <v>44622</v>
      </c>
      <c r="C4334" s="1" t="n">
        <v>45587</v>
      </c>
      <c r="D4334" t="inlineStr">
        <is>
          <t>GÄVLEBORGS LÄN</t>
        </is>
      </c>
      <c r="E4334" t="inlineStr">
        <is>
          <t>HOFORS</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10214-2022</t>
        </is>
      </c>
      <c r="B4335" s="1" t="n">
        <v>44622</v>
      </c>
      <c r="C4335" s="1" t="n">
        <v>45587</v>
      </c>
      <c r="D4335" t="inlineStr">
        <is>
          <t>GÄVLEBORGS LÄN</t>
        </is>
      </c>
      <c r="E4335" t="inlineStr">
        <is>
          <t>NORDANSTIG</t>
        </is>
      </c>
      <c r="F4335" t="inlineStr">
        <is>
          <t>Holmen skog AB</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10493-2022</t>
        </is>
      </c>
      <c r="B4336" s="1" t="n">
        <v>44623</v>
      </c>
      <c r="C4336" s="1" t="n">
        <v>45587</v>
      </c>
      <c r="D4336" t="inlineStr">
        <is>
          <t>GÄVLEBORGS LÄN</t>
        </is>
      </c>
      <c r="E4336" t="inlineStr">
        <is>
          <t>BOLLNÄS</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10587-2022</t>
        </is>
      </c>
      <c r="B4337" s="1" t="n">
        <v>44624</v>
      </c>
      <c r="C4337" s="1" t="n">
        <v>45587</v>
      </c>
      <c r="D4337" t="inlineStr">
        <is>
          <t>GÄVLEBORGS LÄN</t>
        </is>
      </c>
      <c r="E4337" t="inlineStr">
        <is>
          <t>HOFORS</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10602-2022</t>
        </is>
      </c>
      <c r="B4338" s="1" t="n">
        <v>44624</v>
      </c>
      <c r="C4338" s="1" t="n">
        <v>45587</v>
      </c>
      <c r="D4338" t="inlineStr">
        <is>
          <t>GÄVLEBORGS LÄN</t>
        </is>
      </c>
      <c r="E4338" t="inlineStr">
        <is>
          <t>HOFORS</t>
        </is>
      </c>
      <c r="G4338" t="n">
        <v>7</v>
      </c>
      <c r="H4338" t="n">
        <v>0</v>
      </c>
      <c r="I4338" t="n">
        <v>0</v>
      </c>
      <c r="J4338" t="n">
        <v>0</v>
      </c>
      <c r="K4338" t="n">
        <v>0</v>
      </c>
      <c r="L4338" t="n">
        <v>0</v>
      </c>
      <c r="M4338" t="n">
        <v>0</v>
      </c>
      <c r="N4338" t="n">
        <v>0</v>
      </c>
      <c r="O4338" t="n">
        <v>0</v>
      </c>
      <c r="P4338" t="n">
        <v>0</v>
      </c>
      <c r="Q4338" t="n">
        <v>0</v>
      </c>
      <c r="R4338" s="2" t="inlineStr"/>
    </row>
    <row r="4339" ht="15" customHeight="1">
      <c r="A4339" t="inlineStr">
        <is>
          <t>A 10591-2022</t>
        </is>
      </c>
      <c r="B4339" s="1" t="n">
        <v>44624</v>
      </c>
      <c r="C4339" s="1" t="n">
        <v>45587</v>
      </c>
      <c r="D4339" t="inlineStr">
        <is>
          <t>GÄVLEBORGS LÄN</t>
        </is>
      </c>
      <c r="E4339" t="inlineStr">
        <is>
          <t>LJUSDAL</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10829-2022</t>
        </is>
      </c>
      <c r="B4340" s="1" t="n">
        <v>44627</v>
      </c>
      <c r="C4340" s="1" t="n">
        <v>45587</v>
      </c>
      <c r="D4340" t="inlineStr">
        <is>
          <t>GÄVLEBORGS LÄN</t>
        </is>
      </c>
      <c r="E4340" t="inlineStr">
        <is>
          <t>HUDIKSVALL</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10807-2022</t>
        </is>
      </c>
      <c r="B4341" s="1" t="n">
        <v>44627</v>
      </c>
      <c r="C4341" s="1" t="n">
        <v>45587</v>
      </c>
      <c r="D4341" t="inlineStr">
        <is>
          <t>GÄVLEBORGS LÄN</t>
        </is>
      </c>
      <c r="E4341" t="inlineStr">
        <is>
          <t>OCKELBO</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10858-2022</t>
        </is>
      </c>
      <c r="B4342" s="1" t="n">
        <v>44627</v>
      </c>
      <c r="C4342" s="1" t="n">
        <v>45587</v>
      </c>
      <c r="D4342" t="inlineStr">
        <is>
          <t>GÄVLEBORGS LÄN</t>
        </is>
      </c>
      <c r="E4342" t="inlineStr">
        <is>
          <t>HUDIKSVALL</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10843-2022</t>
        </is>
      </c>
      <c r="B4343" s="1" t="n">
        <v>44627</v>
      </c>
      <c r="C4343" s="1" t="n">
        <v>45587</v>
      </c>
      <c r="D4343" t="inlineStr">
        <is>
          <t>GÄVLEBORGS LÄN</t>
        </is>
      </c>
      <c r="E4343" t="inlineStr">
        <is>
          <t>HUDIKSVALL</t>
        </is>
      </c>
      <c r="G4343" t="n">
        <v>15.4</v>
      </c>
      <c r="H4343" t="n">
        <v>0</v>
      </c>
      <c r="I4343" t="n">
        <v>0</v>
      </c>
      <c r="J4343" t="n">
        <v>0</v>
      </c>
      <c r="K4343" t="n">
        <v>0</v>
      </c>
      <c r="L4343" t="n">
        <v>0</v>
      </c>
      <c r="M4343" t="n">
        <v>0</v>
      </c>
      <c r="N4343" t="n">
        <v>0</v>
      </c>
      <c r="O4343" t="n">
        <v>0</v>
      </c>
      <c r="P4343" t="n">
        <v>0</v>
      </c>
      <c r="Q4343" t="n">
        <v>0</v>
      </c>
      <c r="R4343" s="2" t="inlineStr"/>
    </row>
    <row r="4344" ht="15" customHeight="1">
      <c r="A4344" t="inlineStr">
        <is>
          <t>A 10856-2022</t>
        </is>
      </c>
      <c r="B4344" s="1" t="n">
        <v>44627</v>
      </c>
      <c r="C4344" s="1" t="n">
        <v>45587</v>
      </c>
      <c r="D4344" t="inlineStr">
        <is>
          <t>GÄVLEBORGS LÄN</t>
        </is>
      </c>
      <c r="E4344" t="inlineStr">
        <is>
          <t>LJUSDAL</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10945-2022</t>
        </is>
      </c>
      <c r="B4345" s="1" t="n">
        <v>44627</v>
      </c>
      <c r="C4345" s="1" t="n">
        <v>45587</v>
      </c>
      <c r="D4345" t="inlineStr">
        <is>
          <t>GÄVLEBORGS LÄN</t>
        </is>
      </c>
      <c r="E4345" t="inlineStr">
        <is>
          <t>LJUSDAL</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10952-2022</t>
        </is>
      </c>
      <c r="B4346" s="1" t="n">
        <v>44628</v>
      </c>
      <c r="C4346" s="1" t="n">
        <v>45587</v>
      </c>
      <c r="D4346" t="inlineStr">
        <is>
          <t>GÄVLEBORGS LÄN</t>
        </is>
      </c>
      <c r="E4346" t="inlineStr">
        <is>
          <t>GÄVLE</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11087-2022</t>
        </is>
      </c>
      <c r="B4347" s="1" t="n">
        <v>44628</v>
      </c>
      <c r="C4347" s="1" t="n">
        <v>45587</v>
      </c>
      <c r="D4347" t="inlineStr">
        <is>
          <t>GÄVLEBORGS LÄN</t>
        </is>
      </c>
      <c r="E4347" t="inlineStr">
        <is>
          <t>NORDANSTIG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11078-2022</t>
        </is>
      </c>
      <c r="B4348" s="1" t="n">
        <v>44628</v>
      </c>
      <c r="C4348" s="1" t="n">
        <v>45587</v>
      </c>
      <c r="D4348" t="inlineStr">
        <is>
          <t>GÄVLEBORGS LÄN</t>
        </is>
      </c>
      <c r="E4348" t="inlineStr">
        <is>
          <t>NORDANSTIG</t>
        </is>
      </c>
      <c r="F4348" t="inlineStr">
        <is>
          <t>Holmen skog AB</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11189-2022</t>
        </is>
      </c>
      <c r="B4349" s="1" t="n">
        <v>44629</v>
      </c>
      <c r="C4349" s="1" t="n">
        <v>45587</v>
      </c>
      <c r="D4349" t="inlineStr">
        <is>
          <t>GÄVLEBORGS LÄN</t>
        </is>
      </c>
      <c r="E4349" t="inlineStr">
        <is>
          <t>GÄVLE</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11182-2022</t>
        </is>
      </c>
      <c r="B4350" s="1" t="n">
        <v>44629</v>
      </c>
      <c r="C4350" s="1" t="n">
        <v>45587</v>
      </c>
      <c r="D4350" t="inlineStr">
        <is>
          <t>GÄVLEBORGS LÄN</t>
        </is>
      </c>
      <c r="E4350" t="inlineStr">
        <is>
          <t>GÄVLE</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11172-2022</t>
        </is>
      </c>
      <c r="B4351" s="1" t="n">
        <v>44629</v>
      </c>
      <c r="C4351" s="1" t="n">
        <v>45587</v>
      </c>
      <c r="D4351" t="inlineStr">
        <is>
          <t>GÄVLEBORGS LÄN</t>
        </is>
      </c>
      <c r="E4351" t="inlineStr">
        <is>
          <t>HUDIKSVALL</t>
        </is>
      </c>
      <c r="F4351" t="inlineStr">
        <is>
          <t>Holmen skog AB</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11185-2022</t>
        </is>
      </c>
      <c r="B4352" s="1" t="n">
        <v>44629</v>
      </c>
      <c r="C4352" s="1" t="n">
        <v>45587</v>
      </c>
      <c r="D4352" t="inlineStr">
        <is>
          <t>GÄVLEBORGS LÄN</t>
        </is>
      </c>
      <c r="E4352" t="inlineStr">
        <is>
          <t>GÄVLE</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11235-2022</t>
        </is>
      </c>
      <c r="B4353" s="1" t="n">
        <v>44629</v>
      </c>
      <c r="C4353" s="1" t="n">
        <v>45587</v>
      </c>
      <c r="D4353" t="inlineStr">
        <is>
          <t>GÄVLEBORGS LÄN</t>
        </is>
      </c>
      <c r="E4353" t="inlineStr">
        <is>
          <t>GÄVLE</t>
        </is>
      </c>
      <c r="G4353" t="n">
        <v>5.9</v>
      </c>
      <c r="H4353" t="n">
        <v>0</v>
      </c>
      <c r="I4353" t="n">
        <v>0</v>
      </c>
      <c r="J4353" t="n">
        <v>0</v>
      </c>
      <c r="K4353" t="n">
        <v>0</v>
      </c>
      <c r="L4353" t="n">
        <v>0</v>
      </c>
      <c r="M4353" t="n">
        <v>0</v>
      </c>
      <c r="N4353" t="n">
        <v>0</v>
      </c>
      <c r="O4353" t="n">
        <v>0</v>
      </c>
      <c r="P4353" t="n">
        <v>0</v>
      </c>
      <c r="Q4353" t="n">
        <v>0</v>
      </c>
      <c r="R4353" s="2" t="inlineStr"/>
    </row>
    <row r="4354" ht="15" customHeight="1">
      <c r="A4354" t="inlineStr">
        <is>
          <t>A 11188-2022</t>
        </is>
      </c>
      <c r="B4354" s="1" t="n">
        <v>44629</v>
      </c>
      <c r="C4354" s="1" t="n">
        <v>45587</v>
      </c>
      <c r="D4354" t="inlineStr">
        <is>
          <t>GÄVLEBORGS LÄN</t>
        </is>
      </c>
      <c r="E4354" t="inlineStr">
        <is>
          <t>GÄVLE</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11237-2022</t>
        </is>
      </c>
      <c r="B4355" s="1" t="n">
        <v>44629</v>
      </c>
      <c r="C4355" s="1" t="n">
        <v>45587</v>
      </c>
      <c r="D4355" t="inlineStr">
        <is>
          <t>GÄVLEBORGS LÄN</t>
        </is>
      </c>
      <c r="E4355" t="inlineStr">
        <is>
          <t>GÄVLE</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11242-2022</t>
        </is>
      </c>
      <c r="B4356" s="1" t="n">
        <v>44629</v>
      </c>
      <c r="C4356" s="1" t="n">
        <v>45587</v>
      </c>
      <c r="D4356" t="inlineStr">
        <is>
          <t>GÄVLEBORGS LÄN</t>
        </is>
      </c>
      <c r="E4356" t="inlineStr">
        <is>
          <t>LJUSDAL</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11286-2022</t>
        </is>
      </c>
      <c r="B4357" s="1" t="n">
        <v>44629</v>
      </c>
      <c r="C4357" s="1" t="n">
        <v>45587</v>
      </c>
      <c r="D4357" t="inlineStr">
        <is>
          <t>GÄVLEBORGS LÄN</t>
        </is>
      </c>
      <c r="E4357" t="inlineStr">
        <is>
          <t>LJUSDAL</t>
        </is>
      </c>
      <c r="G4357" t="n">
        <v>11.5</v>
      </c>
      <c r="H4357" t="n">
        <v>0</v>
      </c>
      <c r="I4357" t="n">
        <v>0</v>
      </c>
      <c r="J4357" t="n">
        <v>0</v>
      </c>
      <c r="K4357" t="n">
        <v>0</v>
      </c>
      <c r="L4357" t="n">
        <v>0</v>
      </c>
      <c r="M4357" t="n">
        <v>0</v>
      </c>
      <c r="N4357" t="n">
        <v>0</v>
      </c>
      <c r="O4357" t="n">
        <v>0</v>
      </c>
      <c r="P4357" t="n">
        <v>0</v>
      </c>
      <c r="Q4357" t="n">
        <v>0</v>
      </c>
      <c r="R4357" s="2" t="inlineStr"/>
    </row>
    <row r="4358" ht="15" customHeight="1">
      <c r="A4358" t="inlineStr">
        <is>
          <t>A 11519-2022</t>
        </is>
      </c>
      <c r="B4358" s="1" t="n">
        <v>44631</v>
      </c>
      <c r="C4358" s="1" t="n">
        <v>45587</v>
      </c>
      <c r="D4358" t="inlineStr">
        <is>
          <t>GÄVLEBORGS LÄN</t>
        </is>
      </c>
      <c r="E4358" t="inlineStr">
        <is>
          <t>HUDIKSVALL</t>
        </is>
      </c>
      <c r="F4358" t="inlineStr">
        <is>
          <t>Holmen skog AB</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11613-2022</t>
        </is>
      </c>
      <c r="B4359" s="1" t="n">
        <v>44631</v>
      </c>
      <c r="C4359" s="1" t="n">
        <v>45587</v>
      </c>
      <c r="D4359" t="inlineStr">
        <is>
          <t>GÄVLEBORGS LÄN</t>
        </is>
      </c>
      <c r="E4359" t="inlineStr">
        <is>
          <t>GÄVLE</t>
        </is>
      </c>
      <c r="F4359" t="inlineStr">
        <is>
          <t>Bergvik skog öst AB</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11645-2022</t>
        </is>
      </c>
      <c r="B4360" s="1" t="n">
        <v>44631</v>
      </c>
      <c r="C4360" s="1" t="n">
        <v>45587</v>
      </c>
      <c r="D4360" t="inlineStr">
        <is>
          <t>GÄVLEBORGS LÄN</t>
        </is>
      </c>
      <c r="E4360" t="inlineStr">
        <is>
          <t>BOLLNÄS</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11759-2022</t>
        </is>
      </c>
      <c r="B4361" s="1" t="n">
        <v>44634</v>
      </c>
      <c r="C4361" s="1" t="n">
        <v>45587</v>
      </c>
      <c r="D4361" t="inlineStr">
        <is>
          <t>GÄVLEBORGS LÄN</t>
        </is>
      </c>
      <c r="E4361" t="inlineStr">
        <is>
          <t>HUDIKSVALL</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11706-2022</t>
        </is>
      </c>
      <c r="B4362" s="1" t="n">
        <v>44634</v>
      </c>
      <c r="C4362" s="1" t="n">
        <v>45587</v>
      </c>
      <c r="D4362" t="inlineStr">
        <is>
          <t>GÄVLEBORGS LÄN</t>
        </is>
      </c>
      <c r="E4362" t="inlineStr">
        <is>
          <t>NORDANSTIG</t>
        </is>
      </c>
      <c r="F4362" t="inlineStr">
        <is>
          <t>Holmen skog AB</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11817-2022</t>
        </is>
      </c>
      <c r="B4363" s="1" t="n">
        <v>44634</v>
      </c>
      <c r="C4363" s="1" t="n">
        <v>45587</v>
      </c>
      <c r="D4363" t="inlineStr">
        <is>
          <t>GÄVLEBORGS LÄN</t>
        </is>
      </c>
      <c r="E4363" t="inlineStr">
        <is>
          <t>GÄVLE</t>
        </is>
      </c>
      <c r="F4363" t="inlineStr">
        <is>
          <t>Bergvik skog öst AB</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11969-2022</t>
        </is>
      </c>
      <c r="B4364" s="1" t="n">
        <v>44635</v>
      </c>
      <c r="C4364" s="1" t="n">
        <v>45587</v>
      </c>
      <c r="D4364" t="inlineStr">
        <is>
          <t>GÄVLEBORGS LÄN</t>
        </is>
      </c>
      <c r="E4364" t="inlineStr">
        <is>
          <t>HUDIKSVALL</t>
        </is>
      </c>
      <c r="F4364" t="inlineStr">
        <is>
          <t>Holmen skog AB</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11993-2022</t>
        </is>
      </c>
      <c r="B4365" s="1" t="n">
        <v>44635</v>
      </c>
      <c r="C4365" s="1" t="n">
        <v>45587</v>
      </c>
      <c r="D4365" t="inlineStr">
        <is>
          <t>GÄVLEBORGS LÄN</t>
        </is>
      </c>
      <c r="E4365" t="inlineStr">
        <is>
          <t>SANDVIKEN</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11923-2022</t>
        </is>
      </c>
      <c r="B4366" s="1" t="n">
        <v>44635</v>
      </c>
      <c r="C4366" s="1" t="n">
        <v>45587</v>
      </c>
      <c r="D4366" t="inlineStr">
        <is>
          <t>GÄVLEBORGS LÄN</t>
        </is>
      </c>
      <c r="E4366" t="inlineStr">
        <is>
          <t>SANDVIKEN</t>
        </is>
      </c>
      <c r="G4366" t="n">
        <v>6.5</v>
      </c>
      <c r="H4366" t="n">
        <v>0</v>
      </c>
      <c r="I4366" t="n">
        <v>0</v>
      </c>
      <c r="J4366" t="n">
        <v>0</v>
      </c>
      <c r="K4366" t="n">
        <v>0</v>
      </c>
      <c r="L4366" t="n">
        <v>0</v>
      </c>
      <c r="M4366" t="n">
        <v>0</v>
      </c>
      <c r="N4366" t="n">
        <v>0</v>
      </c>
      <c r="O4366" t="n">
        <v>0</v>
      </c>
      <c r="P4366" t="n">
        <v>0</v>
      </c>
      <c r="Q4366" t="n">
        <v>0</v>
      </c>
      <c r="R4366" s="2" t="inlineStr"/>
    </row>
    <row r="4367" ht="15" customHeight="1">
      <c r="A4367" t="inlineStr">
        <is>
          <t>A 11964-2022</t>
        </is>
      </c>
      <c r="B4367" s="1" t="n">
        <v>44635</v>
      </c>
      <c r="C4367" s="1" t="n">
        <v>45587</v>
      </c>
      <c r="D4367" t="inlineStr">
        <is>
          <t>GÄVLEBORGS LÄN</t>
        </is>
      </c>
      <c r="E4367" t="inlineStr">
        <is>
          <t>HUDIKSVALL</t>
        </is>
      </c>
      <c r="F4367" t="inlineStr">
        <is>
          <t>Holmen skog AB</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12008-2022</t>
        </is>
      </c>
      <c r="B4368" s="1" t="n">
        <v>44635</v>
      </c>
      <c r="C4368" s="1" t="n">
        <v>45587</v>
      </c>
      <c r="D4368" t="inlineStr">
        <is>
          <t>GÄVLEBORGS LÄN</t>
        </is>
      </c>
      <c r="E4368" t="inlineStr">
        <is>
          <t>NORDANSTIG</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12017-2022</t>
        </is>
      </c>
      <c r="B4369" s="1" t="n">
        <v>44635</v>
      </c>
      <c r="C4369" s="1" t="n">
        <v>45587</v>
      </c>
      <c r="D4369" t="inlineStr">
        <is>
          <t>GÄVLEBORGS LÄN</t>
        </is>
      </c>
      <c r="E4369" t="inlineStr">
        <is>
          <t>NORDANSTIG</t>
        </is>
      </c>
      <c r="F4369" t="inlineStr">
        <is>
          <t>SCA</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11994-2022</t>
        </is>
      </c>
      <c r="B4370" s="1" t="n">
        <v>44635</v>
      </c>
      <c r="C4370" s="1" t="n">
        <v>45587</v>
      </c>
      <c r="D4370" t="inlineStr">
        <is>
          <t>GÄVLEBORGS LÄN</t>
        </is>
      </c>
      <c r="E4370" t="inlineStr">
        <is>
          <t>GÄVLE</t>
        </is>
      </c>
      <c r="F4370" t="inlineStr">
        <is>
          <t>Bergvik skog öst AB</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12095-2022</t>
        </is>
      </c>
      <c r="B4371" s="1" t="n">
        <v>44636</v>
      </c>
      <c r="C4371" s="1" t="n">
        <v>45587</v>
      </c>
      <c r="D4371" t="inlineStr">
        <is>
          <t>GÄVLEBORGS LÄN</t>
        </is>
      </c>
      <c r="E4371" t="inlineStr">
        <is>
          <t>GÄVLE</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12130-2022</t>
        </is>
      </c>
      <c r="B4372" s="1" t="n">
        <v>44636</v>
      </c>
      <c r="C4372" s="1" t="n">
        <v>45587</v>
      </c>
      <c r="D4372" t="inlineStr">
        <is>
          <t>GÄVLEBORGS LÄN</t>
        </is>
      </c>
      <c r="E4372" t="inlineStr">
        <is>
          <t>OVANÅKER</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12127-2022</t>
        </is>
      </c>
      <c r="B4373" s="1" t="n">
        <v>44636</v>
      </c>
      <c r="C4373" s="1" t="n">
        <v>45587</v>
      </c>
      <c r="D4373" t="inlineStr">
        <is>
          <t>GÄVLEBORGS LÄN</t>
        </is>
      </c>
      <c r="E4373" t="inlineStr">
        <is>
          <t>GÄVLE</t>
        </is>
      </c>
      <c r="F4373" t="inlineStr">
        <is>
          <t>Bergvik skog öst AB</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12108-2022</t>
        </is>
      </c>
      <c r="B4374" s="1" t="n">
        <v>44636</v>
      </c>
      <c r="C4374" s="1" t="n">
        <v>45587</v>
      </c>
      <c r="D4374" t="inlineStr">
        <is>
          <t>GÄVLEBORGS LÄN</t>
        </is>
      </c>
      <c r="E4374" t="inlineStr">
        <is>
          <t>BOLLNÄS</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12129-2022</t>
        </is>
      </c>
      <c r="B4375" s="1" t="n">
        <v>44636</v>
      </c>
      <c r="C4375" s="1" t="n">
        <v>45587</v>
      </c>
      <c r="D4375" t="inlineStr">
        <is>
          <t>GÄVLEBORGS LÄN</t>
        </is>
      </c>
      <c r="E4375" t="inlineStr">
        <is>
          <t>OVANÅKER</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12340-2022</t>
        </is>
      </c>
      <c r="B4376" s="1" t="n">
        <v>44637</v>
      </c>
      <c r="C4376" s="1" t="n">
        <v>45587</v>
      </c>
      <c r="D4376" t="inlineStr">
        <is>
          <t>GÄVLEBORGS LÄN</t>
        </is>
      </c>
      <c r="E4376" t="inlineStr">
        <is>
          <t>HUDIKSVALL</t>
        </is>
      </c>
      <c r="F4376" t="inlineStr">
        <is>
          <t>Holmen skog AB</t>
        </is>
      </c>
      <c r="G4376" t="n">
        <v>6</v>
      </c>
      <c r="H4376" t="n">
        <v>0</v>
      </c>
      <c r="I4376" t="n">
        <v>0</v>
      </c>
      <c r="J4376" t="n">
        <v>0</v>
      </c>
      <c r="K4376" t="n">
        <v>0</v>
      </c>
      <c r="L4376" t="n">
        <v>0</v>
      </c>
      <c r="M4376" t="n">
        <v>0</v>
      </c>
      <c r="N4376" t="n">
        <v>0</v>
      </c>
      <c r="O4376" t="n">
        <v>0</v>
      </c>
      <c r="P4376" t="n">
        <v>0</v>
      </c>
      <c r="Q4376" t="n">
        <v>0</v>
      </c>
      <c r="R4376" s="2" t="inlineStr"/>
    </row>
    <row r="4377" ht="15" customHeight="1">
      <c r="A4377" t="inlineStr">
        <is>
          <t>A 12342-2022</t>
        </is>
      </c>
      <c r="B4377" s="1" t="n">
        <v>44637</v>
      </c>
      <c r="C4377" s="1" t="n">
        <v>45587</v>
      </c>
      <c r="D4377" t="inlineStr">
        <is>
          <t>GÄVLEBORGS LÄN</t>
        </is>
      </c>
      <c r="E4377" t="inlineStr">
        <is>
          <t>SANDVIKEN</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12228-2022</t>
        </is>
      </c>
      <c r="B4378" s="1" t="n">
        <v>44637</v>
      </c>
      <c r="C4378" s="1" t="n">
        <v>45587</v>
      </c>
      <c r="D4378" t="inlineStr">
        <is>
          <t>GÄVLEBORGS LÄN</t>
        </is>
      </c>
      <c r="E4378" t="inlineStr">
        <is>
          <t>GÄVLE</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12339-2022</t>
        </is>
      </c>
      <c r="B4379" s="1" t="n">
        <v>44637</v>
      </c>
      <c r="C4379" s="1" t="n">
        <v>45587</v>
      </c>
      <c r="D4379" t="inlineStr">
        <is>
          <t>GÄVLEBORGS LÄN</t>
        </is>
      </c>
      <c r="E4379" t="inlineStr">
        <is>
          <t>OVANÅKER</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12330-2022</t>
        </is>
      </c>
      <c r="B4380" s="1" t="n">
        <v>44637</v>
      </c>
      <c r="C4380" s="1" t="n">
        <v>45587</v>
      </c>
      <c r="D4380" t="inlineStr">
        <is>
          <t>GÄVLEBORGS LÄN</t>
        </is>
      </c>
      <c r="E4380" t="inlineStr">
        <is>
          <t>OVANÅKER</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12358-2022</t>
        </is>
      </c>
      <c r="B4381" s="1" t="n">
        <v>44637</v>
      </c>
      <c r="C4381" s="1" t="n">
        <v>45587</v>
      </c>
      <c r="D4381" t="inlineStr">
        <is>
          <t>GÄVLEBORGS LÄN</t>
        </is>
      </c>
      <c r="E4381" t="inlineStr">
        <is>
          <t>SÖDERHAMN</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12594-2022</t>
        </is>
      </c>
      <c r="B4382" s="1" t="n">
        <v>44640</v>
      </c>
      <c r="C4382" s="1" t="n">
        <v>45587</v>
      </c>
      <c r="D4382" t="inlineStr">
        <is>
          <t>GÄVLEBORGS LÄN</t>
        </is>
      </c>
      <c r="E4382" t="inlineStr">
        <is>
          <t>OVANÅKER</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12675-2022</t>
        </is>
      </c>
      <c r="B4383" s="1" t="n">
        <v>44641</v>
      </c>
      <c r="C4383" s="1" t="n">
        <v>45587</v>
      </c>
      <c r="D4383" t="inlineStr">
        <is>
          <t>GÄVLEBORGS LÄN</t>
        </is>
      </c>
      <c r="E4383" t="inlineStr">
        <is>
          <t>NORDANSTIG</t>
        </is>
      </c>
      <c r="F4383" t="inlineStr">
        <is>
          <t>Holmen skog AB</t>
        </is>
      </c>
      <c r="G4383" t="n">
        <v>6.1</v>
      </c>
      <c r="H4383" t="n">
        <v>0</v>
      </c>
      <c r="I4383" t="n">
        <v>0</v>
      </c>
      <c r="J4383" t="n">
        <v>0</v>
      </c>
      <c r="K4383" t="n">
        <v>0</v>
      </c>
      <c r="L4383" t="n">
        <v>0</v>
      </c>
      <c r="M4383" t="n">
        <v>0</v>
      </c>
      <c r="N4383" t="n">
        <v>0</v>
      </c>
      <c r="O4383" t="n">
        <v>0</v>
      </c>
      <c r="P4383" t="n">
        <v>0</v>
      </c>
      <c r="Q4383" t="n">
        <v>0</v>
      </c>
      <c r="R4383" s="2" t="inlineStr"/>
    </row>
    <row r="4384" ht="15" customHeight="1">
      <c r="A4384" t="inlineStr">
        <is>
          <t>A 12737-2022</t>
        </is>
      </c>
      <c r="B4384" s="1" t="n">
        <v>44641</v>
      </c>
      <c r="C4384" s="1" t="n">
        <v>45587</v>
      </c>
      <c r="D4384" t="inlineStr">
        <is>
          <t>GÄVLEBORGS LÄN</t>
        </is>
      </c>
      <c r="E4384" t="inlineStr">
        <is>
          <t>GÄVLE</t>
        </is>
      </c>
      <c r="F4384" t="inlineStr">
        <is>
          <t>Bergvik skog öst AB</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12818-2022</t>
        </is>
      </c>
      <c r="B4385" s="1" t="n">
        <v>44642</v>
      </c>
      <c r="C4385" s="1" t="n">
        <v>45587</v>
      </c>
      <c r="D4385" t="inlineStr">
        <is>
          <t>GÄVLEBORGS LÄN</t>
        </is>
      </c>
      <c r="E4385" t="inlineStr">
        <is>
          <t>BOLLNÄS</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12984-2022</t>
        </is>
      </c>
      <c r="B4386" s="1" t="n">
        <v>44643</v>
      </c>
      <c r="C4386" s="1" t="n">
        <v>45587</v>
      </c>
      <c r="D4386" t="inlineStr">
        <is>
          <t>GÄVLEBORGS LÄN</t>
        </is>
      </c>
      <c r="E4386" t="inlineStr">
        <is>
          <t>OCKELBO</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12983-2022</t>
        </is>
      </c>
      <c r="B4387" s="1" t="n">
        <v>44643</v>
      </c>
      <c r="C4387" s="1" t="n">
        <v>45587</v>
      </c>
      <c r="D4387" t="inlineStr">
        <is>
          <t>GÄVLEBORGS LÄN</t>
        </is>
      </c>
      <c r="E4387" t="inlineStr">
        <is>
          <t>OCKELBO</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12987-2022</t>
        </is>
      </c>
      <c r="B4388" s="1" t="n">
        <v>44643</v>
      </c>
      <c r="C4388" s="1" t="n">
        <v>45587</v>
      </c>
      <c r="D4388" t="inlineStr">
        <is>
          <t>GÄVLEBORGS LÄN</t>
        </is>
      </c>
      <c r="E4388" t="inlineStr">
        <is>
          <t>OCKELBO</t>
        </is>
      </c>
      <c r="G4388" t="n">
        <v>7.6</v>
      </c>
      <c r="H4388" t="n">
        <v>0</v>
      </c>
      <c r="I4388" t="n">
        <v>0</v>
      </c>
      <c r="J4388" t="n">
        <v>0</v>
      </c>
      <c r="K4388" t="n">
        <v>0</v>
      </c>
      <c r="L4388" t="n">
        <v>0</v>
      </c>
      <c r="M4388" t="n">
        <v>0</v>
      </c>
      <c r="N4388" t="n">
        <v>0</v>
      </c>
      <c r="O4388" t="n">
        <v>0</v>
      </c>
      <c r="P4388" t="n">
        <v>0</v>
      </c>
      <c r="Q4388" t="n">
        <v>0</v>
      </c>
      <c r="R4388" s="2" t="inlineStr"/>
    </row>
    <row r="4389" ht="15" customHeight="1">
      <c r="A4389" t="inlineStr">
        <is>
          <t>A 13064-2022</t>
        </is>
      </c>
      <c r="B4389" s="1" t="n">
        <v>44643</v>
      </c>
      <c r="C4389" s="1" t="n">
        <v>45587</v>
      </c>
      <c r="D4389" t="inlineStr">
        <is>
          <t>GÄVLEBORGS LÄN</t>
        </is>
      </c>
      <c r="E4389" t="inlineStr">
        <is>
          <t>LJUSDAL</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13245-2022</t>
        </is>
      </c>
      <c r="B4390" s="1" t="n">
        <v>44644</v>
      </c>
      <c r="C4390" s="1" t="n">
        <v>45587</v>
      </c>
      <c r="D4390" t="inlineStr">
        <is>
          <t>GÄVLEBORGS LÄN</t>
        </is>
      </c>
      <c r="E4390" t="inlineStr">
        <is>
          <t>LJUSDAL</t>
        </is>
      </c>
      <c r="F4390" t="inlineStr">
        <is>
          <t>Holmen skog AB</t>
        </is>
      </c>
      <c r="G4390" t="n">
        <v>20</v>
      </c>
      <c r="H4390" t="n">
        <v>0</v>
      </c>
      <c r="I4390" t="n">
        <v>0</v>
      </c>
      <c r="J4390" t="n">
        <v>0</v>
      </c>
      <c r="K4390" t="n">
        <v>0</v>
      </c>
      <c r="L4390" t="n">
        <v>0</v>
      </c>
      <c r="M4390" t="n">
        <v>0</v>
      </c>
      <c r="N4390" t="n">
        <v>0</v>
      </c>
      <c r="O4390" t="n">
        <v>0</v>
      </c>
      <c r="P4390" t="n">
        <v>0</v>
      </c>
      <c r="Q4390" t="n">
        <v>0</v>
      </c>
      <c r="R4390" s="2" t="inlineStr"/>
    </row>
    <row r="4391" ht="15" customHeight="1">
      <c r="A4391" t="inlineStr">
        <is>
          <t>A 13235-2022</t>
        </is>
      </c>
      <c r="B4391" s="1" t="n">
        <v>44644</v>
      </c>
      <c r="C4391" s="1" t="n">
        <v>45587</v>
      </c>
      <c r="D4391" t="inlineStr">
        <is>
          <t>GÄVLEBORGS LÄN</t>
        </is>
      </c>
      <c r="E4391" t="inlineStr">
        <is>
          <t>HUDIKSVALL</t>
        </is>
      </c>
      <c r="F4391" t="inlineStr">
        <is>
          <t>Holmen skog AB</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13270-2022</t>
        </is>
      </c>
      <c r="B4392" s="1" t="n">
        <v>44644</v>
      </c>
      <c r="C4392" s="1" t="n">
        <v>45587</v>
      </c>
      <c r="D4392" t="inlineStr">
        <is>
          <t>GÄVLEBORGS LÄN</t>
        </is>
      </c>
      <c r="E4392" t="inlineStr">
        <is>
          <t>NORDANSTIG</t>
        </is>
      </c>
      <c r="G4392" t="n">
        <v>9</v>
      </c>
      <c r="H4392" t="n">
        <v>0</v>
      </c>
      <c r="I4392" t="n">
        <v>0</v>
      </c>
      <c r="J4392" t="n">
        <v>0</v>
      </c>
      <c r="K4392" t="n">
        <v>0</v>
      </c>
      <c r="L4392" t="n">
        <v>0</v>
      </c>
      <c r="M4392" t="n">
        <v>0</v>
      </c>
      <c r="N4392" t="n">
        <v>0</v>
      </c>
      <c r="O4392" t="n">
        <v>0</v>
      </c>
      <c r="P4392" t="n">
        <v>0</v>
      </c>
      <c r="Q4392" t="n">
        <v>0</v>
      </c>
      <c r="R4392" s="2" t="inlineStr"/>
    </row>
    <row r="4393" ht="15" customHeight="1">
      <c r="A4393" t="inlineStr">
        <is>
          <t>A 13405-2022</t>
        </is>
      </c>
      <c r="B4393" s="1" t="n">
        <v>44645</v>
      </c>
      <c r="C4393" s="1" t="n">
        <v>45587</v>
      </c>
      <c r="D4393" t="inlineStr">
        <is>
          <t>GÄVLEBORGS LÄN</t>
        </is>
      </c>
      <c r="E4393" t="inlineStr">
        <is>
          <t>BOLLNÄS</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13443-2022</t>
        </is>
      </c>
      <c r="B4394" s="1" t="n">
        <v>44645</v>
      </c>
      <c r="C4394" s="1" t="n">
        <v>45587</v>
      </c>
      <c r="D4394" t="inlineStr">
        <is>
          <t>GÄVLEBORGS LÄN</t>
        </is>
      </c>
      <c r="E4394" t="inlineStr">
        <is>
          <t>BOLLNÄS</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13402-2022</t>
        </is>
      </c>
      <c r="B4395" s="1" t="n">
        <v>44645</v>
      </c>
      <c r="C4395" s="1" t="n">
        <v>45587</v>
      </c>
      <c r="D4395" t="inlineStr">
        <is>
          <t>GÄVLEBORGS LÄN</t>
        </is>
      </c>
      <c r="E4395" t="inlineStr">
        <is>
          <t>BOLLNÄS</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13406-2022</t>
        </is>
      </c>
      <c r="B4396" s="1" t="n">
        <v>44645</v>
      </c>
      <c r="C4396" s="1" t="n">
        <v>45587</v>
      </c>
      <c r="D4396" t="inlineStr">
        <is>
          <t>GÄVLEBORGS LÄN</t>
        </is>
      </c>
      <c r="E4396" t="inlineStr">
        <is>
          <t>BOLLNÄS</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13401-2022</t>
        </is>
      </c>
      <c r="B4397" s="1" t="n">
        <v>44645</v>
      </c>
      <c r="C4397" s="1" t="n">
        <v>45587</v>
      </c>
      <c r="D4397" t="inlineStr">
        <is>
          <t>GÄVLEBORGS LÄN</t>
        </is>
      </c>
      <c r="E4397" t="inlineStr">
        <is>
          <t>BOLLNÄS</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13407-2022</t>
        </is>
      </c>
      <c r="B4398" s="1" t="n">
        <v>44645</v>
      </c>
      <c r="C4398" s="1" t="n">
        <v>45587</v>
      </c>
      <c r="D4398" t="inlineStr">
        <is>
          <t>GÄVLEBORGS LÄN</t>
        </is>
      </c>
      <c r="E4398" t="inlineStr">
        <is>
          <t>BOLLNÄS</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13620-2022</t>
        </is>
      </c>
      <c r="B4399" s="1" t="n">
        <v>44648</v>
      </c>
      <c r="C4399" s="1" t="n">
        <v>45587</v>
      </c>
      <c r="D4399" t="inlineStr">
        <is>
          <t>GÄVLEBORGS LÄN</t>
        </is>
      </c>
      <c r="E4399" t="inlineStr">
        <is>
          <t>SANDVIKEN</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13622-2022</t>
        </is>
      </c>
      <c r="B4400" s="1" t="n">
        <v>44648</v>
      </c>
      <c r="C4400" s="1" t="n">
        <v>45587</v>
      </c>
      <c r="D4400" t="inlineStr">
        <is>
          <t>GÄVLEBORGS LÄN</t>
        </is>
      </c>
      <c r="E4400" t="inlineStr">
        <is>
          <t>LJUSDAL</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13642-2022</t>
        </is>
      </c>
      <c r="B4401" s="1" t="n">
        <v>44648</v>
      </c>
      <c r="C4401" s="1" t="n">
        <v>45587</v>
      </c>
      <c r="D4401" t="inlineStr">
        <is>
          <t>GÄVLEBORGS LÄN</t>
        </is>
      </c>
      <c r="E4401" t="inlineStr">
        <is>
          <t>BOLLNÄS</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13795-2022</t>
        </is>
      </c>
      <c r="B4402" s="1" t="n">
        <v>44649</v>
      </c>
      <c r="C4402" s="1" t="n">
        <v>45587</v>
      </c>
      <c r="D4402" t="inlineStr">
        <is>
          <t>GÄVLEBORGS LÄN</t>
        </is>
      </c>
      <c r="E4402" t="inlineStr">
        <is>
          <t>HUDIKSVALL</t>
        </is>
      </c>
      <c r="F4402" t="inlineStr">
        <is>
          <t>Holmen skog AB</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13807-2022</t>
        </is>
      </c>
      <c r="B4403" s="1" t="n">
        <v>44649</v>
      </c>
      <c r="C4403" s="1" t="n">
        <v>45587</v>
      </c>
      <c r="D4403" t="inlineStr">
        <is>
          <t>GÄVLEBORGS LÄN</t>
        </is>
      </c>
      <c r="E4403" t="inlineStr">
        <is>
          <t>HOFORS</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13738-2022</t>
        </is>
      </c>
      <c r="B4404" s="1" t="n">
        <v>44649</v>
      </c>
      <c r="C4404" s="1" t="n">
        <v>45587</v>
      </c>
      <c r="D4404" t="inlineStr">
        <is>
          <t>GÄVLEBORGS LÄN</t>
        </is>
      </c>
      <c r="E4404" t="inlineStr">
        <is>
          <t>HUDIKSVALL</t>
        </is>
      </c>
      <c r="G4404" t="n">
        <v>6.3</v>
      </c>
      <c r="H4404" t="n">
        <v>0</v>
      </c>
      <c r="I4404" t="n">
        <v>0</v>
      </c>
      <c r="J4404" t="n">
        <v>0</v>
      </c>
      <c r="K4404" t="n">
        <v>0</v>
      </c>
      <c r="L4404" t="n">
        <v>0</v>
      </c>
      <c r="M4404" t="n">
        <v>0</v>
      </c>
      <c r="N4404" t="n">
        <v>0</v>
      </c>
      <c r="O4404" t="n">
        <v>0</v>
      </c>
      <c r="P4404" t="n">
        <v>0</v>
      </c>
      <c r="Q4404" t="n">
        <v>0</v>
      </c>
      <c r="R4404" s="2" t="inlineStr"/>
    </row>
    <row r="4405" ht="15" customHeight="1">
      <c r="A4405" t="inlineStr">
        <is>
          <t>A 13819-2022</t>
        </is>
      </c>
      <c r="B4405" s="1" t="n">
        <v>44649</v>
      </c>
      <c r="C4405" s="1" t="n">
        <v>45587</v>
      </c>
      <c r="D4405" t="inlineStr">
        <is>
          <t>GÄVLEBORGS LÄN</t>
        </is>
      </c>
      <c r="E4405" t="inlineStr">
        <is>
          <t>HUDIKSVALL</t>
        </is>
      </c>
      <c r="F4405" t="inlineStr">
        <is>
          <t>Holmen skog AB</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13734-2022</t>
        </is>
      </c>
      <c r="B4406" s="1" t="n">
        <v>44649</v>
      </c>
      <c r="C4406" s="1" t="n">
        <v>45587</v>
      </c>
      <c r="D4406" t="inlineStr">
        <is>
          <t>GÄVLEBORGS LÄN</t>
        </is>
      </c>
      <c r="E4406" t="inlineStr">
        <is>
          <t>HUDIKSVALL</t>
        </is>
      </c>
      <c r="G4406" t="n">
        <v>7.7</v>
      </c>
      <c r="H4406" t="n">
        <v>0</v>
      </c>
      <c r="I4406" t="n">
        <v>0</v>
      </c>
      <c r="J4406" t="n">
        <v>0</v>
      </c>
      <c r="K4406" t="n">
        <v>0</v>
      </c>
      <c r="L4406" t="n">
        <v>0</v>
      </c>
      <c r="M4406" t="n">
        <v>0</v>
      </c>
      <c r="N4406" t="n">
        <v>0</v>
      </c>
      <c r="O4406" t="n">
        <v>0</v>
      </c>
      <c r="P4406" t="n">
        <v>0</v>
      </c>
      <c r="Q4406" t="n">
        <v>0</v>
      </c>
      <c r="R4406" s="2" t="inlineStr"/>
    </row>
    <row r="4407" ht="15" customHeight="1">
      <c r="A4407" t="inlineStr">
        <is>
          <t>A 13740-2022</t>
        </is>
      </c>
      <c r="B4407" s="1" t="n">
        <v>44649</v>
      </c>
      <c r="C4407" s="1" t="n">
        <v>45587</v>
      </c>
      <c r="D4407" t="inlineStr">
        <is>
          <t>GÄVLEBORGS LÄN</t>
        </is>
      </c>
      <c r="E4407" t="inlineStr">
        <is>
          <t>HUDIKSVALL</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13759-2022</t>
        </is>
      </c>
      <c r="B4408" s="1" t="n">
        <v>44649</v>
      </c>
      <c r="C4408" s="1" t="n">
        <v>45587</v>
      </c>
      <c r="D4408" t="inlineStr">
        <is>
          <t>GÄVLEBORGS LÄN</t>
        </is>
      </c>
      <c r="E4408" t="inlineStr">
        <is>
          <t>HUDIKSVALL</t>
        </is>
      </c>
      <c r="F4408" t="inlineStr">
        <is>
          <t>Holmen skog AB</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13809-2022</t>
        </is>
      </c>
      <c r="B4409" s="1" t="n">
        <v>44649</v>
      </c>
      <c r="C4409" s="1" t="n">
        <v>45587</v>
      </c>
      <c r="D4409" t="inlineStr">
        <is>
          <t>GÄVLEBORGS LÄN</t>
        </is>
      </c>
      <c r="E4409" t="inlineStr">
        <is>
          <t>HUDIKSVALL</t>
        </is>
      </c>
      <c r="G4409" t="n">
        <v>9</v>
      </c>
      <c r="H4409" t="n">
        <v>0</v>
      </c>
      <c r="I4409" t="n">
        <v>0</v>
      </c>
      <c r="J4409" t="n">
        <v>0</v>
      </c>
      <c r="K4409" t="n">
        <v>0</v>
      </c>
      <c r="L4409" t="n">
        <v>0</v>
      </c>
      <c r="M4409" t="n">
        <v>0</v>
      </c>
      <c r="N4409" t="n">
        <v>0</v>
      </c>
      <c r="O4409" t="n">
        <v>0</v>
      </c>
      <c r="P4409" t="n">
        <v>0</v>
      </c>
      <c r="Q4409" t="n">
        <v>0</v>
      </c>
      <c r="R4409" s="2" t="inlineStr"/>
    </row>
    <row r="4410" ht="15" customHeight="1">
      <c r="A4410" t="inlineStr">
        <is>
          <t>A 13805-2022</t>
        </is>
      </c>
      <c r="B4410" s="1" t="n">
        <v>44649</v>
      </c>
      <c r="C4410" s="1" t="n">
        <v>45587</v>
      </c>
      <c r="D4410" t="inlineStr">
        <is>
          <t>GÄVLEBORGS LÄN</t>
        </is>
      </c>
      <c r="E4410" t="inlineStr">
        <is>
          <t>SÖDERHAMN</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13816-2022</t>
        </is>
      </c>
      <c r="B4411" s="1" t="n">
        <v>44649</v>
      </c>
      <c r="C4411" s="1" t="n">
        <v>45587</v>
      </c>
      <c r="D4411" t="inlineStr">
        <is>
          <t>GÄVLEBORGS LÄN</t>
        </is>
      </c>
      <c r="E4411" t="inlineStr">
        <is>
          <t>HUDIKSVALL</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14010-2022</t>
        </is>
      </c>
      <c r="B4412" s="1" t="n">
        <v>44650</v>
      </c>
      <c r="C4412" s="1" t="n">
        <v>45587</v>
      </c>
      <c r="D4412" t="inlineStr">
        <is>
          <t>GÄVLEBORGS LÄN</t>
        </is>
      </c>
      <c r="E4412" t="inlineStr">
        <is>
          <t>LJUSDAL</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13995-2022</t>
        </is>
      </c>
      <c r="B4413" s="1" t="n">
        <v>44650</v>
      </c>
      <c r="C4413" s="1" t="n">
        <v>45587</v>
      </c>
      <c r="D4413" t="inlineStr">
        <is>
          <t>GÄVLEBORGS LÄN</t>
        </is>
      </c>
      <c r="E4413" t="inlineStr">
        <is>
          <t>OVANÅKER</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14005-2022</t>
        </is>
      </c>
      <c r="B4414" s="1" t="n">
        <v>44650</v>
      </c>
      <c r="C4414" s="1" t="n">
        <v>45587</v>
      </c>
      <c r="D4414" t="inlineStr">
        <is>
          <t>GÄVLEBORGS LÄN</t>
        </is>
      </c>
      <c r="E4414" t="inlineStr">
        <is>
          <t>BOLLNÄS</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14012-2022</t>
        </is>
      </c>
      <c r="B4415" s="1" t="n">
        <v>44650</v>
      </c>
      <c r="C4415" s="1" t="n">
        <v>45587</v>
      </c>
      <c r="D4415" t="inlineStr">
        <is>
          <t>GÄVLEBORGS LÄN</t>
        </is>
      </c>
      <c r="E4415" t="inlineStr">
        <is>
          <t>BOLLNÄS</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14104-2022</t>
        </is>
      </c>
      <c r="B4416" s="1" t="n">
        <v>44651</v>
      </c>
      <c r="C4416" s="1" t="n">
        <v>45587</v>
      </c>
      <c r="D4416" t="inlineStr">
        <is>
          <t>GÄVLEBORGS LÄN</t>
        </is>
      </c>
      <c r="E4416" t="inlineStr">
        <is>
          <t>BOLLNÄS</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14173-2022</t>
        </is>
      </c>
      <c r="B4417" s="1" t="n">
        <v>44651</v>
      </c>
      <c r="C4417" s="1" t="n">
        <v>45587</v>
      </c>
      <c r="D4417" t="inlineStr">
        <is>
          <t>GÄVLEBORGS LÄN</t>
        </is>
      </c>
      <c r="E4417" t="inlineStr">
        <is>
          <t>GÄVLE</t>
        </is>
      </c>
      <c r="F4417" t="inlineStr">
        <is>
          <t>Bergvik skog väst AB</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14179-2022</t>
        </is>
      </c>
      <c r="B4418" s="1" t="n">
        <v>44651</v>
      </c>
      <c r="C4418" s="1" t="n">
        <v>45587</v>
      </c>
      <c r="D4418" t="inlineStr">
        <is>
          <t>GÄVLEBORGS LÄN</t>
        </is>
      </c>
      <c r="E4418" t="inlineStr">
        <is>
          <t>SÖDERHAMN</t>
        </is>
      </c>
      <c r="F4418" t="inlineStr">
        <is>
          <t>Bergvik skog väst AB</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14103-2022</t>
        </is>
      </c>
      <c r="B4419" s="1" t="n">
        <v>44651</v>
      </c>
      <c r="C4419" s="1" t="n">
        <v>45587</v>
      </c>
      <c r="D4419" t="inlineStr">
        <is>
          <t>GÄVLEBORGS LÄN</t>
        </is>
      </c>
      <c r="E4419" t="inlineStr">
        <is>
          <t>BOLLNÄS</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14125-2022</t>
        </is>
      </c>
      <c r="B4420" s="1" t="n">
        <v>44651</v>
      </c>
      <c r="C4420" s="1" t="n">
        <v>45587</v>
      </c>
      <c r="D4420" t="inlineStr">
        <is>
          <t>GÄVLEBORGS LÄN</t>
        </is>
      </c>
      <c r="E4420" t="inlineStr">
        <is>
          <t>SÖDERHAMN</t>
        </is>
      </c>
      <c r="F4420" t="inlineStr">
        <is>
          <t>Bergvik skog väst AB</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14144-2022</t>
        </is>
      </c>
      <c r="B4421" s="1" t="n">
        <v>44651</v>
      </c>
      <c r="C4421" s="1" t="n">
        <v>45587</v>
      </c>
      <c r="D4421" t="inlineStr">
        <is>
          <t>GÄVLEBORGS LÄN</t>
        </is>
      </c>
      <c r="E4421" t="inlineStr">
        <is>
          <t>SÖDERHAMN</t>
        </is>
      </c>
      <c r="F4421" t="inlineStr">
        <is>
          <t>Bergvik skog väst AB</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14128-2022</t>
        </is>
      </c>
      <c r="B4422" s="1" t="n">
        <v>44651</v>
      </c>
      <c r="C4422" s="1" t="n">
        <v>45587</v>
      </c>
      <c r="D4422" t="inlineStr">
        <is>
          <t>GÄVLEBORGS LÄN</t>
        </is>
      </c>
      <c r="E4422" t="inlineStr">
        <is>
          <t>SÖDERHAMN</t>
        </is>
      </c>
      <c r="F4422" t="inlineStr">
        <is>
          <t>Bergvik skog väst AB</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14141-2022</t>
        </is>
      </c>
      <c r="B4423" s="1" t="n">
        <v>44651</v>
      </c>
      <c r="C4423" s="1" t="n">
        <v>45587</v>
      </c>
      <c r="D4423" t="inlineStr">
        <is>
          <t>GÄVLEBORGS LÄN</t>
        </is>
      </c>
      <c r="E4423" t="inlineStr">
        <is>
          <t>SÖDERHAMN</t>
        </is>
      </c>
      <c r="F4423" t="inlineStr">
        <is>
          <t>Bergvik skog väst AB</t>
        </is>
      </c>
      <c r="G4423" t="n">
        <v>6.8</v>
      </c>
      <c r="H4423" t="n">
        <v>0</v>
      </c>
      <c r="I4423" t="n">
        <v>0</v>
      </c>
      <c r="J4423" t="n">
        <v>0</v>
      </c>
      <c r="K4423" t="n">
        <v>0</v>
      </c>
      <c r="L4423" t="n">
        <v>0</v>
      </c>
      <c r="M4423" t="n">
        <v>0</v>
      </c>
      <c r="N4423" t="n">
        <v>0</v>
      </c>
      <c r="O4423" t="n">
        <v>0</v>
      </c>
      <c r="P4423" t="n">
        <v>0</v>
      </c>
      <c r="Q4423" t="n">
        <v>0</v>
      </c>
      <c r="R4423" s="2" t="inlineStr"/>
    </row>
    <row r="4424" ht="15" customHeight="1">
      <c r="A4424" t="inlineStr">
        <is>
          <t>A 14147-2022</t>
        </is>
      </c>
      <c r="B4424" s="1" t="n">
        <v>44651</v>
      </c>
      <c r="C4424" s="1" t="n">
        <v>45587</v>
      </c>
      <c r="D4424" t="inlineStr">
        <is>
          <t>GÄVLEBORGS LÄN</t>
        </is>
      </c>
      <c r="E4424" t="inlineStr">
        <is>
          <t>SÖDERHAMN</t>
        </is>
      </c>
      <c r="F4424" t="inlineStr">
        <is>
          <t>Bergvik skog väst AB</t>
        </is>
      </c>
      <c r="G4424" t="n">
        <v>4.5</v>
      </c>
      <c r="H4424" t="n">
        <v>0</v>
      </c>
      <c r="I4424" t="n">
        <v>0</v>
      </c>
      <c r="J4424" t="n">
        <v>0</v>
      </c>
      <c r="K4424" t="n">
        <v>0</v>
      </c>
      <c r="L4424" t="n">
        <v>0</v>
      </c>
      <c r="M4424" t="n">
        <v>0</v>
      </c>
      <c r="N4424" t="n">
        <v>0</v>
      </c>
      <c r="O4424" t="n">
        <v>0</v>
      </c>
      <c r="P4424" t="n">
        <v>0</v>
      </c>
      <c r="Q4424" t="n">
        <v>0</v>
      </c>
      <c r="R4424" s="2" t="inlineStr"/>
    </row>
    <row r="4425" ht="15" customHeight="1">
      <c r="A4425" t="inlineStr">
        <is>
          <t>A 14174-2022</t>
        </is>
      </c>
      <c r="B4425" s="1" t="n">
        <v>44651</v>
      </c>
      <c r="C4425" s="1" t="n">
        <v>45587</v>
      </c>
      <c r="D4425" t="inlineStr">
        <is>
          <t>GÄVLEBORGS LÄN</t>
        </is>
      </c>
      <c r="E4425" t="inlineStr">
        <is>
          <t>GÄVLE</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14251-2022</t>
        </is>
      </c>
      <c r="B4426" s="1" t="n">
        <v>44651</v>
      </c>
      <c r="C4426" s="1" t="n">
        <v>45587</v>
      </c>
      <c r="D4426" t="inlineStr">
        <is>
          <t>GÄVLEBORGS LÄN</t>
        </is>
      </c>
      <c r="E4426" t="inlineStr">
        <is>
          <t>NORDANSTIG</t>
        </is>
      </c>
      <c r="F4426" t="inlineStr">
        <is>
          <t>Holmen skog AB</t>
        </is>
      </c>
      <c r="G4426" t="n">
        <v>7.9</v>
      </c>
      <c r="H4426" t="n">
        <v>0</v>
      </c>
      <c r="I4426" t="n">
        <v>0</v>
      </c>
      <c r="J4426" t="n">
        <v>0</v>
      </c>
      <c r="K4426" t="n">
        <v>0</v>
      </c>
      <c r="L4426" t="n">
        <v>0</v>
      </c>
      <c r="M4426" t="n">
        <v>0</v>
      </c>
      <c r="N4426" t="n">
        <v>0</v>
      </c>
      <c r="O4426" t="n">
        <v>0</v>
      </c>
      <c r="P4426" t="n">
        <v>0</v>
      </c>
      <c r="Q4426" t="n">
        <v>0</v>
      </c>
      <c r="R4426" s="2" t="inlineStr"/>
    </row>
    <row r="4427" ht="15" customHeight="1">
      <c r="A4427" t="inlineStr">
        <is>
          <t>A 14246-2022</t>
        </is>
      </c>
      <c r="B4427" s="1" t="n">
        <v>44651</v>
      </c>
      <c r="C4427" s="1" t="n">
        <v>45587</v>
      </c>
      <c r="D4427" t="inlineStr">
        <is>
          <t>GÄVLEBORGS LÄN</t>
        </is>
      </c>
      <c r="E4427" t="inlineStr">
        <is>
          <t>NORDANSTIG</t>
        </is>
      </c>
      <c r="F4427" t="inlineStr">
        <is>
          <t>Holmen skog AB</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14399-2022</t>
        </is>
      </c>
      <c r="B4428" s="1" t="n">
        <v>44652</v>
      </c>
      <c r="C4428" s="1" t="n">
        <v>45587</v>
      </c>
      <c r="D4428" t="inlineStr">
        <is>
          <t>GÄVLEBORGS LÄN</t>
        </is>
      </c>
      <c r="E4428" t="inlineStr">
        <is>
          <t>HUDIKSVALL</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14405-2022</t>
        </is>
      </c>
      <c r="B4429" s="1" t="n">
        <v>44652</v>
      </c>
      <c r="C4429" s="1" t="n">
        <v>45587</v>
      </c>
      <c r="D4429" t="inlineStr">
        <is>
          <t>GÄVLEBORGS LÄN</t>
        </is>
      </c>
      <c r="E4429" t="inlineStr">
        <is>
          <t>BOLLNÄS</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14415-2022</t>
        </is>
      </c>
      <c r="B4430" s="1" t="n">
        <v>44652</v>
      </c>
      <c r="C4430" s="1" t="n">
        <v>45587</v>
      </c>
      <c r="D4430" t="inlineStr">
        <is>
          <t>GÄVLEBORGS LÄN</t>
        </is>
      </c>
      <c r="E4430" t="inlineStr">
        <is>
          <t>NORDANSTIG</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14394-2022</t>
        </is>
      </c>
      <c r="B4431" s="1" t="n">
        <v>44652</v>
      </c>
      <c r="C4431" s="1" t="n">
        <v>45587</v>
      </c>
      <c r="D4431" t="inlineStr">
        <is>
          <t>GÄVLEBORGS LÄN</t>
        </is>
      </c>
      <c r="E4431" t="inlineStr">
        <is>
          <t>HUDIKSVALL</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14409-2022</t>
        </is>
      </c>
      <c r="B4432" s="1" t="n">
        <v>44652</v>
      </c>
      <c r="C4432" s="1" t="n">
        <v>45587</v>
      </c>
      <c r="D4432" t="inlineStr">
        <is>
          <t>GÄVLEBORGS LÄN</t>
        </is>
      </c>
      <c r="E4432" t="inlineStr">
        <is>
          <t>HUDIKSVALL</t>
        </is>
      </c>
      <c r="G4432" t="n">
        <v>23.2</v>
      </c>
      <c r="H4432" t="n">
        <v>0</v>
      </c>
      <c r="I4432" t="n">
        <v>0</v>
      </c>
      <c r="J4432" t="n">
        <v>0</v>
      </c>
      <c r="K4432" t="n">
        <v>0</v>
      </c>
      <c r="L4432" t="n">
        <v>0</v>
      </c>
      <c r="M4432" t="n">
        <v>0</v>
      </c>
      <c r="N4432" t="n">
        <v>0</v>
      </c>
      <c r="O4432" t="n">
        <v>0</v>
      </c>
      <c r="P4432" t="n">
        <v>0</v>
      </c>
      <c r="Q4432" t="n">
        <v>0</v>
      </c>
      <c r="R4432" s="2" t="inlineStr"/>
    </row>
    <row r="4433" ht="15" customHeight="1">
      <c r="A4433" t="inlineStr">
        <is>
          <t>A 14354-2022</t>
        </is>
      </c>
      <c r="B4433" s="1" t="n">
        <v>44652</v>
      </c>
      <c r="C4433" s="1" t="n">
        <v>45587</v>
      </c>
      <c r="D4433" t="inlineStr">
        <is>
          <t>GÄVLEBORGS LÄN</t>
        </is>
      </c>
      <c r="E4433" t="inlineStr">
        <is>
          <t>BOLLNÄS</t>
        </is>
      </c>
      <c r="F4433" t="inlineStr">
        <is>
          <t>Kyrkan</t>
        </is>
      </c>
      <c r="G4433" t="n">
        <v>22.3</v>
      </c>
      <c r="H4433" t="n">
        <v>0</v>
      </c>
      <c r="I4433" t="n">
        <v>0</v>
      </c>
      <c r="J4433" t="n">
        <v>0</v>
      </c>
      <c r="K4433" t="n">
        <v>0</v>
      </c>
      <c r="L4433" t="n">
        <v>0</v>
      </c>
      <c r="M4433" t="n">
        <v>0</v>
      </c>
      <c r="N4433" t="n">
        <v>0</v>
      </c>
      <c r="O4433" t="n">
        <v>0</v>
      </c>
      <c r="P4433" t="n">
        <v>0</v>
      </c>
      <c r="Q4433" t="n">
        <v>0</v>
      </c>
      <c r="R4433" s="2" t="inlineStr"/>
    </row>
    <row r="4434" ht="15" customHeight="1">
      <c r="A4434" t="inlineStr">
        <is>
          <t>A 14608-2022</t>
        </is>
      </c>
      <c r="B4434" s="1" t="n">
        <v>44655</v>
      </c>
      <c r="C4434" s="1" t="n">
        <v>45587</v>
      </c>
      <c r="D4434" t="inlineStr">
        <is>
          <t>GÄVLEBORGS LÄN</t>
        </is>
      </c>
      <c r="E4434" t="inlineStr">
        <is>
          <t>LJUSDAL</t>
        </is>
      </c>
      <c r="F4434" t="inlineStr">
        <is>
          <t>Holmen skog AB</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14577-2022</t>
        </is>
      </c>
      <c r="B4435" s="1" t="n">
        <v>44655</v>
      </c>
      <c r="C4435" s="1" t="n">
        <v>45587</v>
      </c>
      <c r="D4435" t="inlineStr">
        <is>
          <t>GÄVLEBORGS LÄN</t>
        </is>
      </c>
      <c r="E4435" t="inlineStr">
        <is>
          <t>GÄVLE</t>
        </is>
      </c>
      <c r="F4435" t="inlineStr">
        <is>
          <t>Kommuner</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14621-2022</t>
        </is>
      </c>
      <c r="B4436" s="1" t="n">
        <v>44655</v>
      </c>
      <c r="C4436" s="1" t="n">
        <v>45587</v>
      </c>
      <c r="D4436" t="inlineStr">
        <is>
          <t>GÄVLEBORGS LÄN</t>
        </is>
      </c>
      <c r="E4436" t="inlineStr">
        <is>
          <t>HUDIKSVALL</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14710-2022</t>
        </is>
      </c>
      <c r="B4437" s="1" t="n">
        <v>44656</v>
      </c>
      <c r="C4437" s="1" t="n">
        <v>45587</v>
      </c>
      <c r="D4437" t="inlineStr">
        <is>
          <t>GÄVLEBORGS LÄN</t>
        </is>
      </c>
      <c r="E4437" t="inlineStr">
        <is>
          <t>HUDIKSVALL</t>
        </is>
      </c>
      <c r="F4437" t="inlineStr">
        <is>
          <t>Holmen skog AB</t>
        </is>
      </c>
      <c r="G4437" t="n">
        <v>8.9</v>
      </c>
      <c r="H4437" t="n">
        <v>0</v>
      </c>
      <c r="I4437" t="n">
        <v>0</v>
      </c>
      <c r="J4437" t="n">
        <v>0</v>
      </c>
      <c r="K4437" t="n">
        <v>0</v>
      </c>
      <c r="L4437" t="n">
        <v>0</v>
      </c>
      <c r="M4437" t="n">
        <v>0</v>
      </c>
      <c r="N4437" t="n">
        <v>0</v>
      </c>
      <c r="O4437" t="n">
        <v>0</v>
      </c>
      <c r="P4437" t="n">
        <v>0</v>
      </c>
      <c r="Q4437" t="n">
        <v>0</v>
      </c>
      <c r="R4437" s="2" t="inlineStr"/>
    </row>
    <row r="4438" ht="15" customHeight="1">
      <c r="A4438" t="inlineStr">
        <is>
          <t>A 14840-2022</t>
        </is>
      </c>
      <c r="B4438" s="1" t="n">
        <v>44656</v>
      </c>
      <c r="C4438" s="1" t="n">
        <v>45587</v>
      </c>
      <c r="D4438" t="inlineStr">
        <is>
          <t>GÄVLEBORGS LÄN</t>
        </is>
      </c>
      <c r="E4438" t="inlineStr">
        <is>
          <t>SANDVIKEN</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14750-2022</t>
        </is>
      </c>
      <c r="B4439" s="1" t="n">
        <v>44656</v>
      </c>
      <c r="C4439" s="1" t="n">
        <v>45587</v>
      </c>
      <c r="D4439" t="inlineStr">
        <is>
          <t>GÄVLEBORGS LÄN</t>
        </is>
      </c>
      <c r="E4439" t="inlineStr">
        <is>
          <t>GÄVLE</t>
        </is>
      </c>
      <c r="G4439" t="n">
        <v>0.1</v>
      </c>
      <c r="H4439" t="n">
        <v>0</v>
      </c>
      <c r="I4439" t="n">
        <v>0</v>
      </c>
      <c r="J4439" t="n">
        <v>0</v>
      </c>
      <c r="K4439" t="n">
        <v>0</v>
      </c>
      <c r="L4439" t="n">
        <v>0</v>
      </c>
      <c r="M4439" t="n">
        <v>0</v>
      </c>
      <c r="N4439" t="n">
        <v>0</v>
      </c>
      <c r="O4439" t="n">
        <v>0</v>
      </c>
      <c r="P4439" t="n">
        <v>0</v>
      </c>
      <c r="Q4439" t="n">
        <v>0</v>
      </c>
      <c r="R4439" s="2" t="inlineStr"/>
    </row>
    <row r="4440" ht="15" customHeight="1">
      <c r="A4440" t="inlineStr">
        <is>
          <t>A 14857-2022</t>
        </is>
      </c>
      <c r="B4440" s="1" t="n">
        <v>44656</v>
      </c>
      <c r="C4440" s="1" t="n">
        <v>45587</v>
      </c>
      <c r="D4440" t="inlineStr">
        <is>
          <t>GÄVLEBORGS LÄN</t>
        </is>
      </c>
      <c r="E4440" t="inlineStr">
        <is>
          <t>BOLLNÄS</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14944-2022</t>
        </is>
      </c>
      <c r="B4441" s="1" t="n">
        <v>44657</v>
      </c>
      <c r="C4441" s="1" t="n">
        <v>45587</v>
      </c>
      <c r="D4441" t="inlineStr">
        <is>
          <t>GÄVLEBORGS LÄN</t>
        </is>
      </c>
      <c r="E4441" t="inlineStr">
        <is>
          <t>SANDVIKEN</t>
        </is>
      </c>
      <c r="G4441" t="n">
        <v>4.9</v>
      </c>
      <c r="H4441" t="n">
        <v>0</v>
      </c>
      <c r="I4441" t="n">
        <v>0</v>
      </c>
      <c r="J4441" t="n">
        <v>0</v>
      </c>
      <c r="K4441" t="n">
        <v>0</v>
      </c>
      <c r="L4441" t="n">
        <v>0</v>
      </c>
      <c r="M4441" t="n">
        <v>0</v>
      </c>
      <c r="N4441" t="n">
        <v>0</v>
      </c>
      <c r="O4441" t="n">
        <v>0</v>
      </c>
      <c r="P4441" t="n">
        <v>0</v>
      </c>
      <c r="Q4441" t="n">
        <v>0</v>
      </c>
      <c r="R4441" s="2" t="inlineStr"/>
    </row>
    <row r="4442" ht="15" customHeight="1">
      <c r="A4442" t="inlineStr">
        <is>
          <t>A 14953-2022</t>
        </is>
      </c>
      <c r="B4442" s="1" t="n">
        <v>44657</v>
      </c>
      <c r="C4442" s="1" t="n">
        <v>45587</v>
      </c>
      <c r="D4442" t="inlineStr">
        <is>
          <t>GÄVLEBORGS LÄN</t>
        </is>
      </c>
      <c r="E4442" t="inlineStr">
        <is>
          <t>SANDVIKEN</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14996-2022</t>
        </is>
      </c>
      <c r="B4443" s="1" t="n">
        <v>44657</v>
      </c>
      <c r="C4443" s="1" t="n">
        <v>45587</v>
      </c>
      <c r="D4443" t="inlineStr">
        <is>
          <t>GÄVLEBORGS LÄN</t>
        </is>
      </c>
      <c r="E4443" t="inlineStr">
        <is>
          <t>BOLLNÄS</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15011-2022</t>
        </is>
      </c>
      <c r="B4444" s="1" t="n">
        <v>44657</v>
      </c>
      <c r="C4444" s="1" t="n">
        <v>45587</v>
      </c>
      <c r="D4444" t="inlineStr">
        <is>
          <t>GÄVLEBORGS LÄN</t>
        </is>
      </c>
      <c r="E4444" t="inlineStr">
        <is>
          <t>NORDANSTIG</t>
        </is>
      </c>
      <c r="F4444" t="inlineStr">
        <is>
          <t>Holmen skog AB</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15042-2022</t>
        </is>
      </c>
      <c r="B4445" s="1" t="n">
        <v>44657</v>
      </c>
      <c r="C4445" s="1" t="n">
        <v>45587</v>
      </c>
      <c r="D4445" t="inlineStr">
        <is>
          <t>GÄVLEBORGS LÄN</t>
        </is>
      </c>
      <c r="E4445" t="inlineStr">
        <is>
          <t>LJUSDAL</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15097-2022</t>
        </is>
      </c>
      <c r="B4446" s="1" t="n">
        <v>44658</v>
      </c>
      <c r="C4446" s="1" t="n">
        <v>45587</v>
      </c>
      <c r="D4446" t="inlineStr">
        <is>
          <t>GÄVLEBORGS LÄN</t>
        </is>
      </c>
      <c r="E4446" t="inlineStr">
        <is>
          <t>HUDIKSVALL</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15151-2022</t>
        </is>
      </c>
      <c r="B4447" s="1" t="n">
        <v>44658</v>
      </c>
      <c r="C4447" s="1" t="n">
        <v>45587</v>
      </c>
      <c r="D4447" t="inlineStr">
        <is>
          <t>GÄVLEBORGS LÄN</t>
        </is>
      </c>
      <c r="E4447" t="inlineStr">
        <is>
          <t>HUDIKSVALL</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15200-2022</t>
        </is>
      </c>
      <c r="B4448" s="1" t="n">
        <v>44658</v>
      </c>
      <c r="C4448" s="1" t="n">
        <v>45587</v>
      </c>
      <c r="D4448" t="inlineStr">
        <is>
          <t>GÄVLEBORGS LÄN</t>
        </is>
      </c>
      <c r="E4448" t="inlineStr">
        <is>
          <t>SANDVIKEN</t>
        </is>
      </c>
      <c r="F4448" t="inlineStr">
        <is>
          <t>Naturvårdsverket</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15101-2022</t>
        </is>
      </c>
      <c r="B4449" s="1" t="n">
        <v>44658</v>
      </c>
      <c r="C4449" s="1" t="n">
        <v>45587</v>
      </c>
      <c r="D4449" t="inlineStr">
        <is>
          <t>GÄVLEBORGS LÄN</t>
        </is>
      </c>
      <c r="E4449" t="inlineStr">
        <is>
          <t>GÄVLE</t>
        </is>
      </c>
      <c r="F4449" t="inlineStr">
        <is>
          <t>Bergvik skog öst AB</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15114-2022</t>
        </is>
      </c>
      <c r="B4450" s="1" t="n">
        <v>44658</v>
      </c>
      <c r="C4450" s="1" t="n">
        <v>45587</v>
      </c>
      <c r="D4450" t="inlineStr">
        <is>
          <t>GÄVLEBORGS LÄN</t>
        </is>
      </c>
      <c r="E4450" t="inlineStr">
        <is>
          <t>HUDIKSVALL</t>
        </is>
      </c>
      <c r="F4450" t="inlineStr">
        <is>
          <t>Holmen skog AB</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15124-2022</t>
        </is>
      </c>
      <c r="B4451" s="1" t="n">
        <v>44658</v>
      </c>
      <c r="C4451" s="1" t="n">
        <v>45587</v>
      </c>
      <c r="D4451" t="inlineStr">
        <is>
          <t>GÄVLEBORGS LÄN</t>
        </is>
      </c>
      <c r="E4451" t="inlineStr">
        <is>
          <t>SANDVIKEN</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15144-2022</t>
        </is>
      </c>
      <c r="B4452" s="1" t="n">
        <v>44658</v>
      </c>
      <c r="C4452" s="1" t="n">
        <v>45587</v>
      </c>
      <c r="D4452" t="inlineStr">
        <is>
          <t>GÄVLEBORGS LÄN</t>
        </is>
      </c>
      <c r="E4452" t="inlineStr">
        <is>
          <t>HUDIKSVALL</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15275-2022</t>
        </is>
      </c>
      <c r="B4453" s="1" t="n">
        <v>44659</v>
      </c>
      <c r="C4453" s="1" t="n">
        <v>45587</v>
      </c>
      <c r="D4453" t="inlineStr">
        <is>
          <t>GÄVLEBORGS LÄN</t>
        </is>
      </c>
      <c r="E4453" t="inlineStr">
        <is>
          <t>BOLLNÄS</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15387-2022</t>
        </is>
      </c>
      <c r="B4454" s="1" t="n">
        <v>44659</v>
      </c>
      <c r="C4454" s="1" t="n">
        <v>45587</v>
      </c>
      <c r="D4454" t="inlineStr">
        <is>
          <t>GÄVLEBORGS LÄN</t>
        </is>
      </c>
      <c r="E4454" t="inlineStr">
        <is>
          <t>HUDIKSVALL</t>
        </is>
      </c>
      <c r="F4454" t="inlineStr">
        <is>
          <t>Holmen skog AB</t>
        </is>
      </c>
      <c r="G4454" t="n">
        <v>8.6</v>
      </c>
      <c r="H4454" t="n">
        <v>0</v>
      </c>
      <c r="I4454" t="n">
        <v>0</v>
      </c>
      <c r="J4454" t="n">
        <v>0</v>
      </c>
      <c r="K4454" t="n">
        <v>0</v>
      </c>
      <c r="L4454" t="n">
        <v>0</v>
      </c>
      <c r="M4454" t="n">
        <v>0</v>
      </c>
      <c r="N4454" t="n">
        <v>0</v>
      </c>
      <c r="O4454" t="n">
        <v>0</v>
      </c>
      <c r="P4454" t="n">
        <v>0</v>
      </c>
      <c r="Q4454" t="n">
        <v>0</v>
      </c>
      <c r="R4454" s="2" t="inlineStr"/>
    </row>
    <row r="4455" ht="15" customHeight="1">
      <c r="A4455" t="inlineStr">
        <is>
          <t>A 15403-2022</t>
        </is>
      </c>
      <c r="B4455" s="1" t="n">
        <v>44659</v>
      </c>
      <c r="C4455" s="1" t="n">
        <v>45587</v>
      </c>
      <c r="D4455" t="inlineStr">
        <is>
          <t>GÄVLEBORGS LÄN</t>
        </is>
      </c>
      <c r="E4455" t="inlineStr">
        <is>
          <t>OCKELBO</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15269-2022</t>
        </is>
      </c>
      <c r="B4456" s="1" t="n">
        <v>44659</v>
      </c>
      <c r="C4456" s="1" t="n">
        <v>45587</v>
      </c>
      <c r="D4456" t="inlineStr">
        <is>
          <t>GÄVLEBORGS LÄN</t>
        </is>
      </c>
      <c r="E4456" t="inlineStr">
        <is>
          <t>BOLLNÄS</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15469-2022</t>
        </is>
      </c>
      <c r="B4457" s="1" t="n">
        <v>44662</v>
      </c>
      <c r="C4457" s="1" t="n">
        <v>45587</v>
      </c>
      <c r="D4457" t="inlineStr">
        <is>
          <t>GÄVLEBORGS LÄN</t>
        </is>
      </c>
      <c r="E4457" t="inlineStr">
        <is>
          <t>OCKELBO</t>
        </is>
      </c>
      <c r="F4457" t="inlineStr">
        <is>
          <t>Bergvik skog väst AB</t>
        </is>
      </c>
      <c r="G4457" t="n">
        <v>5</v>
      </c>
      <c r="H4457" t="n">
        <v>0</v>
      </c>
      <c r="I4457" t="n">
        <v>0</v>
      </c>
      <c r="J4457" t="n">
        <v>0</v>
      </c>
      <c r="K4457" t="n">
        <v>0</v>
      </c>
      <c r="L4457" t="n">
        <v>0</v>
      </c>
      <c r="M4457" t="n">
        <v>0</v>
      </c>
      <c r="N4457" t="n">
        <v>0</v>
      </c>
      <c r="O4457" t="n">
        <v>0</v>
      </c>
      <c r="P4457" t="n">
        <v>0</v>
      </c>
      <c r="Q4457" t="n">
        <v>0</v>
      </c>
      <c r="R4457" s="2" t="inlineStr"/>
    </row>
    <row r="4458" ht="15" customHeight="1">
      <c r="A4458" t="inlineStr">
        <is>
          <t>A 15464-2022</t>
        </is>
      </c>
      <c r="B4458" s="1" t="n">
        <v>44662</v>
      </c>
      <c r="C4458" s="1" t="n">
        <v>45587</v>
      </c>
      <c r="D4458" t="inlineStr">
        <is>
          <t>GÄVLEBORGS LÄN</t>
        </is>
      </c>
      <c r="E4458" t="inlineStr">
        <is>
          <t>BOLLNÄS</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15485-2022</t>
        </is>
      </c>
      <c r="B4459" s="1" t="n">
        <v>44662</v>
      </c>
      <c r="C4459" s="1" t="n">
        <v>45587</v>
      </c>
      <c r="D4459" t="inlineStr">
        <is>
          <t>GÄVLEBORGS LÄN</t>
        </is>
      </c>
      <c r="E4459" t="inlineStr">
        <is>
          <t>LJUSDAL</t>
        </is>
      </c>
      <c r="F4459" t="inlineStr">
        <is>
          <t>Kyrkan</t>
        </is>
      </c>
      <c r="G4459" t="n">
        <v>17.9</v>
      </c>
      <c r="H4459" t="n">
        <v>0</v>
      </c>
      <c r="I4459" t="n">
        <v>0</v>
      </c>
      <c r="J4459" t="n">
        <v>0</v>
      </c>
      <c r="K4459" t="n">
        <v>0</v>
      </c>
      <c r="L4459" t="n">
        <v>0</v>
      </c>
      <c r="M4459" t="n">
        <v>0</v>
      </c>
      <c r="N4459" t="n">
        <v>0</v>
      </c>
      <c r="O4459" t="n">
        <v>0</v>
      </c>
      <c r="P4459" t="n">
        <v>0</v>
      </c>
      <c r="Q4459" t="n">
        <v>0</v>
      </c>
      <c r="R4459" s="2" t="inlineStr"/>
    </row>
    <row r="4460" ht="15" customHeight="1">
      <c r="A4460" t="inlineStr">
        <is>
          <t>A 15517-2022</t>
        </is>
      </c>
      <c r="B4460" s="1" t="n">
        <v>44662</v>
      </c>
      <c r="C4460" s="1" t="n">
        <v>45587</v>
      </c>
      <c r="D4460" t="inlineStr">
        <is>
          <t>GÄVLEBORGS LÄN</t>
        </is>
      </c>
      <c r="E4460" t="inlineStr">
        <is>
          <t>OCKELBO</t>
        </is>
      </c>
      <c r="F4460" t="inlineStr">
        <is>
          <t>Bergvik skog väst AB</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15616-2022</t>
        </is>
      </c>
      <c r="B4461" s="1" t="n">
        <v>44662</v>
      </c>
      <c r="C4461" s="1" t="n">
        <v>45587</v>
      </c>
      <c r="D4461" t="inlineStr">
        <is>
          <t>GÄVLEBORGS LÄN</t>
        </is>
      </c>
      <c r="E4461" t="inlineStr">
        <is>
          <t>HUDIKSVALL</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15476-2022</t>
        </is>
      </c>
      <c r="B4462" s="1" t="n">
        <v>44662</v>
      </c>
      <c r="C4462" s="1" t="n">
        <v>45587</v>
      </c>
      <c r="D4462" t="inlineStr">
        <is>
          <t>GÄVLEBORGS LÄN</t>
        </is>
      </c>
      <c r="E4462" t="inlineStr">
        <is>
          <t>OCKELBO</t>
        </is>
      </c>
      <c r="F4462" t="inlineStr">
        <is>
          <t>Bergvik skog väst AB</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15498-2022</t>
        </is>
      </c>
      <c r="B4463" s="1" t="n">
        <v>44662</v>
      </c>
      <c r="C4463" s="1" t="n">
        <v>45587</v>
      </c>
      <c r="D4463" t="inlineStr">
        <is>
          <t>GÄVLEBORGS LÄN</t>
        </is>
      </c>
      <c r="E4463" t="inlineStr">
        <is>
          <t>OCKELBO</t>
        </is>
      </c>
      <c r="F4463" t="inlineStr">
        <is>
          <t>Bergvik skog väst AB</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15646-2022</t>
        </is>
      </c>
      <c r="B4464" s="1" t="n">
        <v>44663</v>
      </c>
      <c r="C4464" s="1" t="n">
        <v>45587</v>
      </c>
      <c r="D4464" t="inlineStr">
        <is>
          <t>GÄVLEBORGS LÄN</t>
        </is>
      </c>
      <c r="E4464" t="inlineStr">
        <is>
          <t>SÖDERHAMN</t>
        </is>
      </c>
      <c r="G4464" t="n">
        <v>7.6</v>
      </c>
      <c r="H4464" t="n">
        <v>0</v>
      </c>
      <c r="I4464" t="n">
        <v>0</v>
      </c>
      <c r="J4464" t="n">
        <v>0</v>
      </c>
      <c r="K4464" t="n">
        <v>0</v>
      </c>
      <c r="L4464" t="n">
        <v>0</v>
      </c>
      <c r="M4464" t="n">
        <v>0</v>
      </c>
      <c r="N4464" t="n">
        <v>0</v>
      </c>
      <c r="O4464" t="n">
        <v>0</v>
      </c>
      <c r="P4464" t="n">
        <v>0</v>
      </c>
      <c r="Q4464" t="n">
        <v>0</v>
      </c>
      <c r="R4464" s="2" t="inlineStr"/>
    </row>
    <row r="4465" ht="15" customHeight="1">
      <c r="A4465" t="inlineStr">
        <is>
          <t>A 15647-2022</t>
        </is>
      </c>
      <c r="B4465" s="1" t="n">
        <v>44663</v>
      </c>
      <c r="C4465" s="1" t="n">
        <v>45587</v>
      </c>
      <c r="D4465" t="inlineStr">
        <is>
          <t>GÄVLEBORGS LÄN</t>
        </is>
      </c>
      <c r="E4465" t="inlineStr">
        <is>
          <t>NORDANSTIG</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15645-2022</t>
        </is>
      </c>
      <c r="B4466" s="1" t="n">
        <v>44663</v>
      </c>
      <c r="C4466" s="1" t="n">
        <v>45587</v>
      </c>
      <c r="D4466" t="inlineStr">
        <is>
          <t>GÄVLEBORGS LÄN</t>
        </is>
      </c>
      <c r="E4466" t="inlineStr">
        <is>
          <t>SÖDERHAMN</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15704-2022</t>
        </is>
      </c>
      <c r="B4467" s="1" t="n">
        <v>44663</v>
      </c>
      <c r="C4467" s="1" t="n">
        <v>45587</v>
      </c>
      <c r="D4467" t="inlineStr">
        <is>
          <t>GÄVLEBORGS LÄN</t>
        </is>
      </c>
      <c r="E4467" t="inlineStr">
        <is>
          <t>GÄVLE</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15686-2022</t>
        </is>
      </c>
      <c r="B4468" s="1" t="n">
        <v>44663</v>
      </c>
      <c r="C4468" s="1" t="n">
        <v>45587</v>
      </c>
      <c r="D4468" t="inlineStr">
        <is>
          <t>GÄVLEBORGS LÄN</t>
        </is>
      </c>
      <c r="E4468" t="inlineStr">
        <is>
          <t>GÄVLE</t>
        </is>
      </c>
      <c r="F4468" t="inlineStr">
        <is>
          <t>Kyrkan</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15694-2022</t>
        </is>
      </c>
      <c r="B4469" s="1" t="n">
        <v>44663</v>
      </c>
      <c r="C4469" s="1" t="n">
        <v>45587</v>
      </c>
      <c r="D4469" t="inlineStr">
        <is>
          <t>GÄVLEBORGS LÄN</t>
        </is>
      </c>
      <c r="E4469" t="inlineStr">
        <is>
          <t>OCKELBO</t>
        </is>
      </c>
      <c r="F4469" t="inlineStr">
        <is>
          <t>Bergvik skog väst AB</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15750-2022</t>
        </is>
      </c>
      <c r="B4470" s="1" t="n">
        <v>44663</v>
      </c>
      <c r="C4470" s="1" t="n">
        <v>45587</v>
      </c>
      <c r="D4470" t="inlineStr">
        <is>
          <t>GÄVLEBORGS LÄN</t>
        </is>
      </c>
      <c r="E4470" t="inlineStr">
        <is>
          <t>LJUSDAL</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15700-2022</t>
        </is>
      </c>
      <c r="B4471" s="1" t="n">
        <v>44663</v>
      </c>
      <c r="C4471" s="1" t="n">
        <v>45587</v>
      </c>
      <c r="D4471" t="inlineStr">
        <is>
          <t>GÄVLEBORGS LÄN</t>
        </is>
      </c>
      <c r="E4471" t="inlineStr">
        <is>
          <t>GÄVLE</t>
        </is>
      </c>
      <c r="G4471" t="n">
        <v>5.1</v>
      </c>
      <c r="H4471" t="n">
        <v>0</v>
      </c>
      <c r="I4471" t="n">
        <v>0</v>
      </c>
      <c r="J4471" t="n">
        <v>0</v>
      </c>
      <c r="K4471" t="n">
        <v>0</v>
      </c>
      <c r="L4471" t="n">
        <v>0</v>
      </c>
      <c r="M4471" t="n">
        <v>0</v>
      </c>
      <c r="N4471" t="n">
        <v>0</v>
      </c>
      <c r="O4471" t="n">
        <v>0</v>
      </c>
      <c r="P4471" t="n">
        <v>0</v>
      </c>
      <c r="Q4471" t="n">
        <v>0</v>
      </c>
      <c r="R4471" s="2" t="inlineStr"/>
    </row>
    <row r="4472" ht="15" customHeight="1">
      <c r="A4472" t="inlineStr">
        <is>
          <t>A 15705-2022</t>
        </is>
      </c>
      <c r="B4472" s="1" t="n">
        <v>44663</v>
      </c>
      <c r="C4472" s="1" t="n">
        <v>45587</v>
      </c>
      <c r="D4472" t="inlineStr">
        <is>
          <t>GÄVLEBORGS LÄN</t>
        </is>
      </c>
      <c r="E4472" t="inlineStr">
        <is>
          <t>OCKELBO</t>
        </is>
      </c>
      <c r="F4472" t="inlineStr">
        <is>
          <t>Bergvik skog väst AB</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15725-2022</t>
        </is>
      </c>
      <c r="B4473" s="1" t="n">
        <v>44663</v>
      </c>
      <c r="C4473" s="1" t="n">
        <v>45587</v>
      </c>
      <c r="D4473" t="inlineStr">
        <is>
          <t>GÄVLEBORGS LÄN</t>
        </is>
      </c>
      <c r="E4473" t="inlineStr">
        <is>
          <t>SÖDERHAMN</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15767-2022</t>
        </is>
      </c>
      <c r="B4474" s="1" t="n">
        <v>44663</v>
      </c>
      <c r="C4474" s="1" t="n">
        <v>45587</v>
      </c>
      <c r="D4474" t="inlineStr">
        <is>
          <t>GÄVLEBORGS LÄN</t>
        </is>
      </c>
      <c r="E4474" t="inlineStr">
        <is>
          <t>LJUSDAL</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15744-2022</t>
        </is>
      </c>
      <c r="B4475" s="1" t="n">
        <v>44663</v>
      </c>
      <c r="C4475" s="1" t="n">
        <v>45587</v>
      </c>
      <c r="D4475" t="inlineStr">
        <is>
          <t>GÄVLEBORGS LÄN</t>
        </is>
      </c>
      <c r="E4475" t="inlineStr">
        <is>
          <t>OCKELBO</t>
        </is>
      </c>
      <c r="F4475" t="inlineStr">
        <is>
          <t>Bergvik skog väst AB</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15748-2022</t>
        </is>
      </c>
      <c r="B4476" s="1" t="n">
        <v>44663</v>
      </c>
      <c r="C4476" s="1" t="n">
        <v>45587</v>
      </c>
      <c r="D4476" t="inlineStr">
        <is>
          <t>GÄVLEBORGS LÄN</t>
        </is>
      </c>
      <c r="E4476" t="inlineStr">
        <is>
          <t>SÖDERHAMN</t>
        </is>
      </c>
      <c r="G4476" t="n">
        <v>10.3</v>
      </c>
      <c r="H4476" t="n">
        <v>0</v>
      </c>
      <c r="I4476" t="n">
        <v>0</v>
      </c>
      <c r="J4476" t="n">
        <v>0</v>
      </c>
      <c r="K4476" t="n">
        <v>0</v>
      </c>
      <c r="L4476" t="n">
        <v>0</v>
      </c>
      <c r="M4476" t="n">
        <v>0</v>
      </c>
      <c r="N4476" t="n">
        <v>0</v>
      </c>
      <c r="O4476" t="n">
        <v>0</v>
      </c>
      <c r="P4476" t="n">
        <v>0</v>
      </c>
      <c r="Q4476" t="n">
        <v>0</v>
      </c>
      <c r="R4476" s="2" t="inlineStr"/>
    </row>
    <row r="4477" ht="15" customHeight="1">
      <c r="A4477" t="inlineStr">
        <is>
          <t>A 15876-2022</t>
        </is>
      </c>
      <c r="B4477" s="1" t="n">
        <v>44664</v>
      </c>
      <c r="C4477" s="1" t="n">
        <v>45587</v>
      </c>
      <c r="D4477" t="inlineStr">
        <is>
          <t>GÄVLEBORGS LÄN</t>
        </is>
      </c>
      <c r="E4477" t="inlineStr">
        <is>
          <t>HUDIKSVALL</t>
        </is>
      </c>
      <c r="F4477" t="inlineStr">
        <is>
          <t>Holmen skog AB</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15918-2022</t>
        </is>
      </c>
      <c r="B4478" s="1" t="n">
        <v>44664</v>
      </c>
      <c r="C4478" s="1" t="n">
        <v>45587</v>
      </c>
      <c r="D4478" t="inlineStr">
        <is>
          <t>GÄVLEBORGS LÄN</t>
        </is>
      </c>
      <c r="E4478" t="inlineStr">
        <is>
          <t>HUDIKSVALL</t>
        </is>
      </c>
      <c r="F4478" t="inlineStr">
        <is>
          <t>Holmen skog AB</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15973-2022</t>
        </is>
      </c>
      <c r="B4479" s="1" t="n">
        <v>44665</v>
      </c>
      <c r="C4479" s="1" t="n">
        <v>45587</v>
      </c>
      <c r="D4479" t="inlineStr">
        <is>
          <t>GÄVLEBORGS LÄN</t>
        </is>
      </c>
      <c r="E4479" t="inlineStr">
        <is>
          <t>NORDANSTIG</t>
        </is>
      </c>
      <c r="F4479" t="inlineStr">
        <is>
          <t>SCA</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15998-2022</t>
        </is>
      </c>
      <c r="B4480" s="1" t="n">
        <v>44665</v>
      </c>
      <c r="C4480" s="1" t="n">
        <v>45587</v>
      </c>
      <c r="D4480" t="inlineStr">
        <is>
          <t>GÄVLEBORGS LÄN</t>
        </is>
      </c>
      <c r="E4480" t="inlineStr">
        <is>
          <t>OVANÅKER</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16137-2022</t>
        </is>
      </c>
      <c r="B4481" s="1" t="n">
        <v>44665</v>
      </c>
      <c r="C4481" s="1" t="n">
        <v>45587</v>
      </c>
      <c r="D4481" t="inlineStr">
        <is>
          <t>GÄVLEBORGS LÄN</t>
        </is>
      </c>
      <c r="E4481" t="inlineStr">
        <is>
          <t>SÖDERHAMN</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16318-2022</t>
        </is>
      </c>
      <c r="B4482" s="1" t="n">
        <v>44670</v>
      </c>
      <c r="C4482" s="1" t="n">
        <v>45587</v>
      </c>
      <c r="D4482" t="inlineStr">
        <is>
          <t>GÄVLEBORGS LÄN</t>
        </is>
      </c>
      <c r="E4482" t="inlineStr">
        <is>
          <t>OCKELBO</t>
        </is>
      </c>
      <c r="F4482" t="inlineStr">
        <is>
          <t>Bergvik skog väst AB</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16333-2022</t>
        </is>
      </c>
      <c r="B4483" s="1" t="n">
        <v>44670</v>
      </c>
      <c r="C4483" s="1" t="n">
        <v>45587</v>
      </c>
      <c r="D4483" t="inlineStr">
        <is>
          <t>GÄVLEBORGS LÄN</t>
        </is>
      </c>
      <c r="E4483" t="inlineStr">
        <is>
          <t>OCKELBO</t>
        </is>
      </c>
      <c r="F4483" t="inlineStr">
        <is>
          <t>Bergvik skog väst AB</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16344-2022</t>
        </is>
      </c>
      <c r="B4484" s="1" t="n">
        <v>44670</v>
      </c>
      <c r="C4484" s="1" t="n">
        <v>45587</v>
      </c>
      <c r="D4484" t="inlineStr">
        <is>
          <t>GÄVLEBORGS LÄN</t>
        </is>
      </c>
      <c r="E4484" t="inlineStr">
        <is>
          <t>HUDIKSVALL</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16357-2022</t>
        </is>
      </c>
      <c r="B4485" s="1" t="n">
        <v>44671</v>
      </c>
      <c r="C4485" s="1" t="n">
        <v>45587</v>
      </c>
      <c r="D4485" t="inlineStr">
        <is>
          <t>GÄVLEBORGS LÄN</t>
        </is>
      </c>
      <c r="E4485" t="inlineStr">
        <is>
          <t>HUDIKSVALL</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16355-2022</t>
        </is>
      </c>
      <c r="B4486" s="1" t="n">
        <v>44671</v>
      </c>
      <c r="C4486" s="1" t="n">
        <v>45587</v>
      </c>
      <c r="D4486" t="inlineStr">
        <is>
          <t>GÄVLEBORGS LÄN</t>
        </is>
      </c>
      <c r="E4486" t="inlineStr">
        <is>
          <t>HUDIKSVALL</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16327-2022</t>
        </is>
      </c>
      <c r="B4487" s="1" t="n">
        <v>44670</v>
      </c>
      <c r="C4487" s="1" t="n">
        <v>45587</v>
      </c>
      <c r="D4487" t="inlineStr">
        <is>
          <t>GÄVLEBORGS LÄN</t>
        </is>
      </c>
      <c r="E4487" t="inlineStr">
        <is>
          <t>OCKELBO</t>
        </is>
      </c>
      <c r="F4487" t="inlineStr">
        <is>
          <t>Bergvik skog väst AB</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16356-2022</t>
        </is>
      </c>
      <c r="B4488" s="1" t="n">
        <v>44671</v>
      </c>
      <c r="C4488" s="1" t="n">
        <v>45587</v>
      </c>
      <c r="D4488" t="inlineStr">
        <is>
          <t>GÄVLEBORGS LÄN</t>
        </is>
      </c>
      <c r="E4488" t="inlineStr">
        <is>
          <t>HUDIKSVALL</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16459-2022</t>
        </is>
      </c>
      <c r="B4489" s="1" t="n">
        <v>44671</v>
      </c>
      <c r="C4489" s="1" t="n">
        <v>45587</v>
      </c>
      <c r="D4489" t="inlineStr">
        <is>
          <t>GÄVLEBORGS LÄN</t>
        </is>
      </c>
      <c r="E4489" t="inlineStr">
        <is>
          <t>GÄVLE</t>
        </is>
      </c>
      <c r="F4489" t="inlineStr">
        <is>
          <t>Bergvik skog öst AB</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16489-2022</t>
        </is>
      </c>
      <c r="B4490" s="1" t="n">
        <v>44671</v>
      </c>
      <c r="C4490" s="1" t="n">
        <v>45587</v>
      </c>
      <c r="D4490" t="inlineStr">
        <is>
          <t>GÄVLEBORGS LÄN</t>
        </is>
      </c>
      <c r="E4490" t="inlineStr">
        <is>
          <t>BOLLNÄS</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16371-2022</t>
        </is>
      </c>
      <c r="B4491" s="1" t="n">
        <v>44671</v>
      </c>
      <c r="C4491" s="1" t="n">
        <v>45587</v>
      </c>
      <c r="D4491" t="inlineStr">
        <is>
          <t>GÄVLEBORGS LÄN</t>
        </is>
      </c>
      <c r="E4491" t="inlineStr">
        <is>
          <t>HOFORS</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16379-2022</t>
        </is>
      </c>
      <c r="B4492" s="1" t="n">
        <v>44671</v>
      </c>
      <c r="C4492" s="1" t="n">
        <v>45587</v>
      </c>
      <c r="D4492" t="inlineStr">
        <is>
          <t>GÄVLEBORGS LÄN</t>
        </is>
      </c>
      <c r="E4492" t="inlineStr">
        <is>
          <t>BOLLNÄS</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16469-2022</t>
        </is>
      </c>
      <c r="B4493" s="1" t="n">
        <v>44671</v>
      </c>
      <c r="C4493" s="1" t="n">
        <v>45587</v>
      </c>
      <c r="D4493" t="inlineStr">
        <is>
          <t>GÄVLEBORGS LÄN</t>
        </is>
      </c>
      <c r="E4493" t="inlineStr">
        <is>
          <t>GÄVLE</t>
        </is>
      </c>
      <c r="F4493" t="inlineStr">
        <is>
          <t>Bergvik skog öst AB</t>
        </is>
      </c>
      <c r="G4493" t="n">
        <v>0.3</v>
      </c>
      <c r="H4493" t="n">
        <v>0</v>
      </c>
      <c r="I4493" t="n">
        <v>0</v>
      </c>
      <c r="J4493" t="n">
        <v>0</v>
      </c>
      <c r="K4493" t="n">
        <v>0</v>
      </c>
      <c r="L4493" t="n">
        <v>0</v>
      </c>
      <c r="M4493" t="n">
        <v>0</v>
      </c>
      <c r="N4493" t="n">
        <v>0</v>
      </c>
      <c r="O4493" t="n">
        <v>0</v>
      </c>
      <c r="P4493" t="n">
        <v>0</v>
      </c>
      <c r="Q4493" t="n">
        <v>0</v>
      </c>
      <c r="R4493" s="2" t="inlineStr"/>
    </row>
    <row r="4494" ht="15" customHeight="1">
      <c r="A4494" t="inlineStr">
        <is>
          <t>A 16475-2022</t>
        </is>
      </c>
      <c r="B4494" s="1" t="n">
        <v>44671</v>
      </c>
      <c r="C4494" s="1" t="n">
        <v>45587</v>
      </c>
      <c r="D4494" t="inlineStr">
        <is>
          <t>GÄVLEBORGS LÄN</t>
        </is>
      </c>
      <c r="E4494" t="inlineStr">
        <is>
          <t>GÄVLE</t>
        </is>
      </c>
      <c r="F4494" t="inlineStr">
        <is>
          <t>Bergvik skog öst AB</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16603-2022</t>
        </is>
      </c>
      <c r="B4495" s="1" t="n">
        <v>44672</v>
      </c>
      <c r="C4495" s="1" t="n">
        <v>45587</v>
      </c>
      <c r="D4495" t="inlineStr">
        <is>
          <t>GÄVLEBORGS LÄN</t>
        </is>
      </c>
      <c r="E4495" t="inlineStr">
        <is>
          <t>SANDVIKEN</t>
        </is>
      </c>
      <c r="F4495" t="inlineStr">
        <is>
          <t>Bergvik skog öst AB</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16615-2022</t>
        </is>
      </c>
      <c r="B4496" s="1" t="n">
        <v>44672</v>
      </c>
      <c r="C4496" s="1" t="n">
        <v>45587</v>
      </c>
      <c r="D4496" t="inlineStr">
        <is>
          <t>GÄVLEBORGS LÄN</t>
        </is>
      </c>
      <c r="E4496" t="inlineStr">
        <is>
          <t>OVANÅKER</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16646-2022</t>
        </is>
      </c>
      <c r="B4497" s="1" t="n">
        <v>44672</v>
      </c>
      <c r="C4497" s="1" t="n">
        <v>45587</v>
      </c>
      <c r="D4497" t="inlineStr">
        <is>
          <t>GÄVLEBORGS LÄN</t>
        </is>
      </c>
      <c r="E4497" t="inlineStr">
        <is>
          <t>BOLLNÄS</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16891-2022</t>
        </is>
      </c>
      <c r="B4498" s="1" t="n">
        <v>44676</v>
      </c>
      <c r="C4498" s="1" t="n">
        <v>45587</v>
      </c>
      <c r="D4498" t="inlineStr">
        <is>
          <t>GÄVLEBORGS LÄN</t>
        </is>
      </c>
      <c r="E4498" t="inlineStr">
        <is>
          <t>BOLLNÄS</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16919-2022</t>
        </is>
      </c>
      <c r="B4499" s="1" t="n">
        <v>44676</v>
      </c>
      <c r="C4499" s="1" t="n">
        <v>45587</v>
      </c>
      <c r="D4499" t="inlineStr">
        <is>
          <t>GÄVLEBORGS LÄN</t>
        </is>
      </c>
      <c r="E4499" t="inlineStr">
        <is>
          <t>HUDIKSVALL</t>
        </is>
      </c>
      <c r="F4499" t="inlineStr">
        <is>
          <t>Holmen skog AB</t>
        </is>
      </c>
      <c r="G4499" t="n">
        <v>11.6</v>
      </c>
      <c r="H4499" t="n">
        <v>0</v>
      </c>
      <c r="I4499" t="n">
        <v>0</v>
      </c>
      <c r="J4499" t="n">
        <v>0</v>
      </c>
      <c r="K4499" t="n">
        <v>0</v>
      </c>
      <c r="L4499" t="n">
        <v>0</v>
      </c>
      <c r="M4499" t="n">
        <v>0</v>
      </c>
      <c r="N4499" t="n">
        <v>0</v>
      </c>
      <c r="O4499" t="n">
        <v>0</v>
      </c>
      <c r="P4499" t="n">
        <v>0</v>
      </c>
      <c r="Q4499" t="n">
        <v>0</v>
      </c>
      <c r="R4499" s="2" t="inlineStr"/>
    </row>
    <row r="4500" ht="15" customHeight="1">
      <c r="A4500" t="inlineStr">
        <is>
          <t>A 16894-2022</t>
        </is>
      </c>
      <c r="B4500" s="1" t="n">
        <v>44676</v>
      </c>
      <c r="C4500" s="1" t="n">
        <v>45587</v>
      </c>
      <c r="D4500" t="inlineStr">
        <is>
          <t>GÄVLEBORGS LÄN</t>
        </is>
      </c>
      <c r="E4500" t="inlineStr">
        <is>
          <t>LJUSDAL</t>
        </is>
      </c>
      <c r="F4500" t="inlineStr">
        <is>
          <t>Bergvik skog väst AB</t>
        </is>
      </c>
      <c r="G4500" t="n">
        <v>5.7</v>
      </c>
      <c r="H4500" t="n">
        <v>0</v>
      </c>
      <c r="I4500" t="n">
        <v>0</v>
      </c>
      <c r="J4500" t="n">
        <v>0</v>
      </c>
      <c r="K4500" t="n">
        <v>0</v>
      </c>
      <c r="L4500" t="n">
        <v>0</v>
      </c>
      <c r="M4500" t="n">
        <v>0</v>
      </c>
      <c r="N4500" t="n">
        <v>0</v>
      </c>
      <c r="O4500" t="n">
        <v>0</v>
      </c>
      <c r="P4500" t="n">
        <v>0</v>
      </c>
      <c r="Q4500" t="n">
        <v>0</v>
      </c>
      <c r="R4500" s="2" t="inlineStr"/>
    </row>
    <row r="4501" ht="15" customHeight="1">
      <c r="A4501" t="inlineStr">
        <is>
          <t>A 16923-2022</t>
        </is>
      </c>
      <c r="B4501" s="1" t="n">
        <v>44676</v>
      </c>
      <c r="C4501" s="1" t="n">
        <v>45587</v>
      </c>
      <c r="D4501" t="inlineStr">
        <is>
          <t>GÄVLEBORGS LÄN</t>
        </is>
      </c>
      <c r="E4501" t="inlineStr">
        <is>
          <t>BOLLNÄS</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16955-2022</t>
        </is>
      </c>
      <c r="B4502" s="1" t="n">
        <v>44676</v>
      </c>
      <c r="C4502" s="1" t="n">
        <v>45587</v>
      </c>
      <c r="D4502" t="inlineStr">
        <is>
          <t>GÄVLEBORGS LÄN</t>
        </is>
      </c>
      <c r="E4502" t="inlineStr">
        <is>
          <t>OVANÅKER</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16973-2022</t>
        </is>
      </c>
      <c r="B4503" s="1" t="n">
        <v>44676</v>
      </c>
      <c r="C4503" s="1" t="n">
        <v>45587</v>
      </c>
      <c r="D4503" t="inlineStr">
        <is>
          <t>GÄVLEBORGS LÄN</t>
        </is>
      </c>
      <c r="E4503" t="inlineStr">
        <is>
          <t>LJUSDAL</t>
        </is>
      </c>
      <c r="F4503" t="inlineStr">
        <is>
          <t>Bergvik skog väst AB</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17226-2022</t>
        </is>
      </c>
      <c r="B4504" s="1" t="n">
        <v>44678</v>
      </c>
      <c r="C4504" s="1" t="n">
        <v>45587</v>
      </c>
      <c r="D4504" t="inlineStr">
        <is>
          <t>GÄVLEBORGS LÄN</t>
        </is>
      </c>
      <c r="E4504" t="inlineStr">
        <is>
          <t>NORDANSTIG</t>
        </is>
      </c>
      <c r="F4504" t="inlineStr">
        <is>
          <t>Holmen skog AB</t>
        </is>
      </c>
      <c r="G4504" t="n">
        <v>11.5</v>
      </c>
      <c r="H4504" t="n">
        <v>0</v>
      </c>
      <c r="I4504" t="n">
        <v>0</v>
      </c>
      <c r="J4504" t="n">
        <v>0</v>
      </c>
      <c r="K4504" t="n">
        <v>0</v>
      </c>
      <c r="L4504" t="n">
        <v>0</v>
      </c>
      <c r="M4504" t="n">
        <v>0</v>
      </c>
      <c r="N4504" t="n">
        <v>0</v>
      </c>
      <c r="O4504" t="n">
        <v>0</v>
      </c>
      <c r="P4504" t="n">
        <v>0</v>
      </c>
      <c r="Q4504" t="n">
        <v>0</v>
      </c>
      <c r="R4504" s="2" t="inlineStr"/>
    </row>
    <row r="4505" ht="15" customHeight="1">
      <c r="A4505" t="inlineStr">
        <is>
          <t>A 17322-2022</t>
        </is>
      </c>
      <c r="B4505" s="1" t="n">
        <v>44678</v>
      </c>
      <c r="C4505" s="1" t="n">
        <v>45587</v>
      </c>
      <c r="D4505" t="inlineStr">
        <is>
          <t>GÄVLEBORGS LÄN</t>
        </is>
      </c>
      <c r="E4505" t="inlineStr">
        <is>
          <t>HUDIKSVALL</t>
        </is>
      </c>
      <c r="F4505" t="inlineStr">
        <is>
          <t>Holmen skog AB</t>
        </is>
      </c>
      <c r="G4505" t="n">
        <v>5.3</v>
      </c>
      <c r="H4505" t="n">
        <v>0</v>
      </c>
      <c r="I4505" t="n">
        <v>0</v>
      </c>
      <c r="J4505" t="n">
        <v>0</v>
      </c>
      <c r="K4505" t="n">
        <v>0</v>
      </c>
      <c r="L4505" t="n">
        <v>0</v>
      </c>
      <c r="M4505" t="n">
        <v>0</v>
      </c>
      <c r="N4505" t="n">
        <v>0</v>
      </c>
      <c r="O4505" t="n">
        <v>0</v>
      </c>
      <c r="P4505" t="n">
        <v>0</v>
      </c>
      <c r="Q4505" t="n">
        <v>0</v>
      </c>
      <c r="R4505" s="2" t="inlineStr"/>
    </row>
    <row r="4506" ht="15" customHeight="1">
      <c r="A4506" t="inlineStr">
        <is>
          <t>A 17342-2022</t>
        </is>
      </c>
      <c r="B4506" s="1" t="n">
        <v>44678</v>
      </c>
      <c r="C4506" s="1" t="n">
        <v>45587</v>
      </c>
      <c r="D4506" t="inlineStr">
        <is>
          <t>GÄVLEBORGS LÄN</t>
        </is>
      </c>
      <c r="E4506" t="inlineStr">
        <is>
          <t>HUDIKSVALL</t>
        </is>
      </c>
      <c r="F4506" t="inlineStr">
        <is>
          <t>Holmen skog AB</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17348-2022</t>
        </is>
      </c>
      <c r="B4507" s="1" t="n">
        <v>44678</v>
      </c>
      <c r="C4507" s="1" t="n">
        <v>45587</v>
      </c>
      <c r="D4507" t="inlineStr">
        <is>
          <t>GÄVLEBORGS LÄN</t>
        </is>
      </c>
      <c r="E4507" t="inlineStr">
        <is>
          <t>BOLLNÄS</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17246-2022</t>
        </is>
      </c>
      <c r="B4508" s="1" t="n">
        <v>44678</v>
      </c>
      <c r="C4508" s="1" t="n">
        <v>45587</v>
      </c>
      <c r="D4508" t="inlineStr">
        <is>
          <t>GÄVLEBORGS LÄN</t>
        </is>
      </c>
      <c r="E4508" t="inlineStr">
        <is>
          <t>LJUSDAL</t>
        </is>
      </c>
      <c r="F4508" t="inlineStr">
        <is>
          <t>Holmen skog AB</t>
        </is>
      </c>
      <c r="G4508" t="n">
        <v>6.6</v>
      </c>
      <c r="H4508" t="n">
        <v>0</v>
      </c>
      <c r="I4508" t="n">
        <v>0</v>
      </c>
      <c r="J4508" t="n">
        <v>0</v>
      </c>
      <c r="K4508" t="n">
        <v>0</v>
      </c>
      <c r="L4508" t="n">
        <v>0</v>
      </c>
      <c r="M4508" t="n">
        <v>0</v>
      </c>
      <c r="N4508" t="n">
        <v>0</v>
      </c>
      <c r="O4508" t="n">
        <v>0</v>
      </c>
      <c r="P4508" t="n">
        <v>0</v>
      </c>
      <c r="Q4508" t="n">
        <v>0</v>
      </c>
      <c r="R4508" s="2" t="inlineStr"/>
    </row>
    <row r="4509" ht="15" customHeight="1">
      <c r="A4509" t="inlineStr">
        <is>
          <t>A 17271-2022</t>
        </is>
      </c>
      <c r="B4509" s="1" t="n">
        <v>44678</v>
      </c>
      <c r="C4509" s="1" t="n">
        <v>45587</v>
      </c>
      <c r="D4509" t="inlineStr">
        <is>
          <t>GÄVLEBORGS LÄN</t>
        </is>
      </c>
      <c r="E4509" t="inlineStr">
        <is>
          <t>NORDANSTIG</t>
        </is>
      </c>
      <c r="F4509" t="inlineStr">
        <is>
          <t>Holmen skog AB</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17293-2022</t>
        </is>
      </c>
      <c r="B4510" s="1" t="n">
        <v>44678</v>
      </c>
      <c r="C4510" s="1" t="n">
        <v>45587</v>
      </c>
      <c r="D4510" t="inlineStr">
        <is>
          <t>GÄVLEBORGS LÄN</t>
        </is>
      </c>
      <c r="E4510" t="inlineStr">
        <is>
          <t>HUDIKSVALL</t>
        </is>
      </c>
      <c r="F4510" t="inlineStr">
        <is>
          <t>Holmen skog AB</t>
        </is>
      </c>
      <c r="G4510" t="n">
        <v>10.8</v>
      </c>
      <c r="H4510" t="n">
        <v>0</v>
      </c>
      <c r="I4510" t="n">
        <v>0</v>
      </c>
      <c r="J4510" t="n">
        <v>0</v>
      </c>
      <c r="K4510" t="n">
        <v>0</v>
      </c>
      <c r="L4510" t="n">
        <v>0</v>
      </c>
      <c r="M4510" t="n">
        <v>0</v>
      </c>
      <c r="N4510" t="n">
        <v>0</v>
      </c>
      <c r="O4510" t="n">
        <v>0</v>
      </c>
      <c r="P4510" t="n">
        <v>0</v>
      </c>
      <c r="Q4510" t="n">
        <v>0</v>
      </c>
      <c r="R4510" s="2" t="inlineStr"/>
    </row>
    <row r="4511" ht="15" customHeight="1">
      <c r="A4511" t="inlineStr">
        <is>
          <t>A 17394-2022</t>
        </is>
      </c>
      <c r="B4511" s="1" t="n">
        <v>44678</v>
      </c>
      <c r="C4511" s="1" t="n">
        <v>45587</v>
      </c>
      <c r="D4511" t="inlineStr">
        <is>
          <t>GÄVLEBORGS LÄN</t>
        </is>
      </c>
      <c r="E4511" t="inlineStr">
        <is>
          <t>BOLLNÄS</t>
        </is>
      </c>
      <c r="G4511" t="n">
        <v>4.8</v>
      </c>
      <c r="H4511" t="n">
        <v>0</v>
      </c>
      <c r="I4511" t="n">
        <v>0</v>
      </c>
      <c r="J4511" t="n">
        <v>0</v>
      </c>
      <c r="K4511" t="n">
        <v>0</v>
      </c>
      <c r="L4511" t="n">
        <v>0</v>
      </c>
      <c r="M4511" t="n">
        <v>0</v>
      </c>
      <c r="N4511" t="n">
        <v>0</v>
      </c>
      <c r="O4511" t="n">
        <v>0</v>
      </c>
      <c r="P4511" t="n">
        <v>0</v>
      </c>
      <c r="Q4511" t="n">
        <v>0</v>
      </c>
      <c r="R4511" s="2" t="inlineStr"/>
    </row>
    <row r="4512" ht="15" customHeight="1">
      <c r="A4512" t="inlineStr">
        <is>
          <t>A 17458-2022</t>
        </is>
      </c>
      <c r="B4512" s="1" t="n">
        <v>44679</v>
      </c>
      <c r="C4512" s="1" t="n">
        <v>45587</v>
      </c>
      <c r="D4512" t="inlineStr">
        <is>
          <t>GÄVLEBORGS LÄN</t>
        </is>
      </c>
      <c r="E4512" t="inlineStr">
        <is>
          <t>LJUSDAL</t>
        </is>
      </c>
      <c r="G4512" t="n">
        <v>8</v>
      </c>
      <c r="H4512" t="n">
        <v>0</v>
      </c>
      <c r="I4512" t="n">
        <v>0</v>
      </c>
      <c r="J4512" t="n">
        <v>0</v>
      </c>
      <c r="K4512" t="n">
        <v>0</v>
      </c>
      <c r="L4512" t="n">
        <v>0</v>
      </c>
      <c r="M4512" t="n">
        <v>0</v>
      </c>
      <c r="N4512" t="n">
        <v>0</v>
      </c>
      <c r="O4512" t="n">
        <v>0</v>
      </c>
      <c r="P4512" t="n">
        <v>0</v>
      </c>
      <c r="Q4512" t="n">
        <v>0</v>
      </c>
      <c r="R4512" s="2" t="inlineStr"/>
    </row>
    <row r="4513" ht="15" customHeight="1">
      <c r="A4513" t="inlineStr">
        <is>
          <t>A 17474-2022</t>
        </is>
      </c>
      <c r="B4513" s="1" t="n">
        <v>44679</v>
      </c>
      <c r="C4513" s="1" t="n">
        <v>45587</v>
      </c>
      <c r="D4513" t="inlineStr">
        <is>
          <t>GÄVLEBORGS LÄN</t>
        </is>
      </c>
      <c r="E4513" t="inlineStr">
        <is>
          <t>SANDVIKEN</t>
        </is>
      </c>
      <c r="F4513" t="inlineStr">
        <is>
          <t>Naturvårdsverket</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17482-2022</t>
        </is>
      </c>
      <c r="B4514" s="1" t="n">
        <v>44679</v>
      </c>
      <c r="C4514" s="1" t="n">
        <v>45587</v>
      </c>
      <c r="D4514" t="inlineStr">
        <is>
          <t>GÄVLEBORGS LÄN</t>
        </is>
      </c>
      <c r="E4514" t="inlineStr">
        <is>
          <t>NORDANSTIG</t>
        </is>
      </c>
      <c r="F4514" t="inlineStr">
        <is>
          <t>Holmen skog AB</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17487-2022</t>
        </is>
      </c>
      <c r="B4515" s="1" t="n">
        <v>44679</v>
      </c>
      <c r="C4515" s="1" t="n">
        <v>45587</v>
      </c>
      <c r="D4515" t="inlineStr">
        <is>
          <t>GÄVLEBORGS LÄN</t>
        </is>
      </c>
      <c r="E4515" t="inlineStr">
        <is>
          <t>LJUSDAL</t>
        </is>
      </c>
      <c r="F4515" t="inlineStr">
        <is>
          <t>Holmen skog AB</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17559-2022</t>
        </is>
      </c>
      <c r="B4516" s="1" t="n">
        <v>44679</v>
      </c>
      <c r="C4516" s="1" t="n">
        <v>45587</v>
      </c>
      <c r="D4516" t="inlineStr">
        <is>
          <t>GÄVLEBORGS LÄN</t>
        </is>
      </c>
      <c r="E4516" t="inlineStr">
        <is>
          <t>LJUSDAL</t>
        </is>
      </c>
      <c r="F4516" t="inlineStr">
        <is>
          <t>Holmen skog AB</t>
        </is>
      </c>
      <c r="G4516" t="n">
        <v>6.4</v>
      </c>
      <c r="H4516" t="n">
        <v>0</v>
      </c>
      <c r="I4516" t="n">
        <v>0</v>
      </c>
      <c r="J4516" t="n">
        <v>0</v>
      </c>
      <c r="K4516" t="n">
        <v>0</v>
      </c>
      <c r="L4516" t="n">
        <v>0</v>
      </c>
      <c r="M4516" t="n">
        <v>0</v>
      </c>
      <c r="N4516" t="n">
        <v>0</v>
      </c>
      <c r="O4516" t="n">
        <v>0</v>
      </c>
      <c r="P4516" t="n">
        <v>0</v>
      </c>
      <c r="Q4516" t="n">
        <v>0</v>
      </c>
      <c r="R4516" s="2" t="inlineStr"/>
    </row>
    <row r="4517" ht="15" customHeight="1">
      <c r="A4517" t="inlineStr">
        <is>
          <t>A 17673-2022</t>
        </is>
      </c>
      <c r="B4517" s="1" t="n">
        <v>44680</v>
      </c>
      <c r="C4517" s="1" t="n">
        <v>45587</v>
      </c>
      <c r="D4517" t="inlineStr">
        <is>
          <t>GÄVLEBORGS LÄN</t>
        </is>
      </c>
      <c r="E4517" t="inlineStr">
        <is>
          <t>SÖDERHAMN</t>
        </is>
      </c>
      <c r="F4517" t="inlineStr">
        <is>
          <t>Bergvik skog väst AB</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17625-2022</t>
        </is>
      </c>
      <c r="B4518" s="1" t="n">
        <v>44680</v>
      </c>
      <c r="C4518" s="1" t="n">
        <v>45587</v>
      </c>
      <c r="D4518" t="inlineStr">
        <is>
          <t>GÄVLEBORGS LÄN</t>
        </is>
      </c>
      <c r="E4518" t="inlineStr">
        <is>
          <t>NORDANSTIG</t>
        </is>
      </c>
      <c r="F4518" t="inlineStr">
        <is>
          <t>Holmen skog AB</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17717-2022</t>
        </is>
      </c>
      <c r="B4519" s="1" t="n">
        <v>44680</v>
      </c>
      <c r="C4519" s="1" t="n">
        <v>45587</v>
      </c>
      <c r="D4519" t="inlineStr">
        <is>
          <t>GÄVLEBORGS LÄN</t>
        </is>
      </c>
      <c r="E4519" t="inlineStr">
        <is>
          <t>BOLLNÄS</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17762-2022</t>
        </is>
      </c>
      <c r="B4520" s="1" t="n">
        <v>44680</v>
      </c>
      <c r="C4520" s="1" t="n">
        <v>45587</v>
      </c>
      <c r="D4520" t="inlineStr">
        <is>
          <t>GÄVLEBORGS LÄN</t>
        </is>
      </c>
      <c r="E4520" t="inlineStr">
        <is>
          <t>HOFORS</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17862-2022</t>
        </is>
      </c>
      <c r="B4521" s="1" t="n">
        <v>44683</v>
      </c>
      <c r="C4521" s="1" t="n">
        <v>45587</v>
      </c>
      <c r="D4521" t="inlineStr">
        <is>
          <t>GÄVLEBORGS LÄN</t>
        </is>
      </c>
      <c r="E4521" t="inlineStr">
        <is>
          <t>LJUSDAL</t>
        </is>
      </c>
      <c r="F4521" t="inlineStr">
        <is>
          <t>Bergvik skog väst AB</t>
        </is>
      </c>
      <c r="G4521" t="n">
        <v>11.7</v>
      </c>
      <c r="H4521" t="n">
        <v>0</v>
      </c>
      <c r="I4521" t="n">
        <v>0</v>
      </c>
      <c r="J4521" t="n">
        <v>0</v>
      </c>
      <c r="K4521" t="n">
        <v>0</v>
      </c>
      <c r="L4521" t="n">
        <v>0</v>
      </c>
      <c r="M4521" t="n">
        <v>0</v>
      </c>
      <c r="N4521" t="n">
        <v>0</v>
      </c>
      <c r="O4521" t="n">
        <v>0</v>
      </c>
      <c r="P4521" t="n">
        <v>0</v>
      </c>
      <c r="Q4521" t="n">
        <v>0</v>
      </c>
      <c r="R4521" s="2" t="inlineStr"/>
    </row>
    <row r="4522" ht="15" customHeight="1">
      <c r="A4522" t="inlineStr">
        <is>
          <t>A 17876-2022</t>
        </is>
      </c>
      <c r="B4522" s="1" t="n">
        <v>44683</v>
      </c>
      <c r="C4522" s="1" t="n">
        <v>45587</v>
      </c>
      <c r="D4522" t="inlineStr">
        <is>
          <t>GÄVLEBORGS LÄN</t>
        </is>
      </c>
      <c r="E4522" t="inlineStr">
        <is>
          <t>SÖDERHAMN</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17962-2022</t>
        </is>
      </c>
      <c r="B4523" s="1" t="n">
        <v>44683</v>
      </c>
      <c r="C4523" s="1" t="n">
        <v>45587</v>
      </c>
      <c r="D4523" t="inlineStr">
        <is>
          <t>GÄVLEBORGS LÄN</t>
        </is>
      </c>
      <c r="E4523" t="inlineStr">
        <is>
          <t>HUDIKSVALL</t>
        </is>
      </c>
      <c r="F4523" t="inlineStr">
        <is>
          <t>Holmen skog AB</t>
        </is>
      </c>
      <c r="G4523" t="n">
        <v>9.1</v>
      </c>
      <c r="H4523" t="n">
        <v>0</v>
      </c>
      <c r="I4523" t="n">
        <v>0</v>
      </c>
      <c r="J4523" t="n">
        <v>0</v>
      </c>
      <c r="K4523" t="n">
        <v>0</v>
      </c>
      <c r="L4523" t="n">
        <v>0</v>
      </c>
      <c r="M4523" t="n">
        <v>0</v>
      </c>
      <c r="N4523" t="n">
        <v>0</v>
      </c>
      <c r="O4523" t="n">
        <v>0</v>
      </c>
      <c r="P4523" t="n">
        <v>0</v>
      </c>
      <c r="Q4523" t="n">
        <v>0</v>
      </c>
      <c r="R4523" s="2" t="inlineStr"/>
    </row>
    <row r="4524" ht="15" customHeight="1">
      <c r="A4524" t="inlineStr">
        <is>
          <t>A 17889-2022</t>
        </is>
      </c>
      <c r="B4524" s="1" t="n">
        <v>44683</v>
      </c>
      <c r="C4524" s="1" t="n">
        <v>45587</v>
      </c>
      <c r="D4524" t="inlineStr">
        <is>
          <t>GÄVLEBORGS LÄN</t>
        </is>
      </c>
      <c r="E4524" t="inlineStr">
        <is>
          <t>BOLLNÄS</t>
        </is>
      </c>
      <c r="G4524" t="n">
        <v>6.8</v>
      </c>
      <c r="H4524" t="n">
        <v>0</v>
      </c>
      <c r="I4524" t="n">
        <v>0</v>
      </c>
      <c r="J4524" t="n">
        <v>0</v>
      </c>
      <c r="K4524" t="n">
        <v>0</v>
      </c>
      <c r="L4524" t="n">
        <v>0</v>
      </c>
      <c r="M4524" t="n">
        <v>0</v>
      </c>
      <c r="N4524" t="n">
        <v>0</v>
      </c>
      <c r="O4524" t="n">
        <v>0</v>
      </c>
      <c r="P4524" t="n">
        <v>0</v>
      </c>
      <c r="Q4524" t="n">
        <v>0</v>
      </c>
      <c r="R4524" s="2" t="inlineStr"/>
    </row>
    <row r="4525" ht="15" customHeight="1">
      <c r="A4525" t="inlineStr">
        <is>
          <t>A 18109-2022</t>
        </is>
      </c>
      <c r="B4525" s="1" t="n">
        <v>44684</v>
      </c>
      <c r="C4525" s="1" t="n">
        <v>45587</v>
      </c>
      <c r="D4525" t="inlineStr">
        <is>
          <t>GÄVLEBORGS LÄN</t>
        </is>
      </c>
      <c r="E4525" t="inlineStr">
        <is>
          <t>OCKELBO</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18168-2022</t>
        </is>
      </c>
      <c r="B4526" s="1" t="n">
        <v>44684</v>
      </c>
      <c r="C4526" s="1" t="n">
        <v>45587</v>
      </c>
      <c r="D4526" t="inlineStr">
        <is>
          <t>GÄVLEBORGS LÄN</t>
        </is>
      </c>
      <c r="E4526" t="inlineStr">
        <is>
          <t>GÄVLE</t>
        </is>
      </c>
      <c r="F4526" t="inlineStr">
        <is>
          <t>Bergvik skog väst AB</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18034-2022</t>
        </is>
      </c>
      <c r="B4527" s="1" t="n">
        <v>44684</v>
      </c>
      <c r="C4527" s="1" t="n">
        <v>45587</v>
      </c>
      <c r="D4527" t="inlineStr">
        <is>
          <t>GÄVLEBORGS LÄN</t>
        </is>
      </c>
      <c r="E4527" t="inlineStr">
        <is>
          <t>SÖDERHAMN</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18167-2022</t>
        </is>
      </c>
      <c r="B4528" s="1" t="n">
        <v>44684</v>
      </c>
      <c r="C4528" s="1" t="n">
        <v>45587</v>
      </c>
      <c r="D4528" t="inlineStr">
        <is>
          <t>GÄVLEBORGS LÄN</t>
        </is>
      </c>
      <c r="E4528" t="inlineStr">
        <is>
          <t>NORDANSTIG</t>
        </is>
      </c>
      <c r="F4528" t="inlineStr">
        <is>
          <t>Holmen skog AB</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18148-2022</t>
        </is>
      </c>
      <c r="B4529" s="1" t="n">
        <v>44684</v>
      </c>
      <c r="C4529" s="1" t="n">
        <v>45587</v>
      </c>
      <c r="D4529" t="inlineStr">
        <is>
          <t>GÄVLEBORGS LÄN</t>
        </is>
      </c>
      <c r="E4529" t="inlineStr">
        <is>
          <t>GÄVLE</t>
        </is>
      </c>
      <c r="F4529" t="inlineStr">
        <is>
          <t>Bergvik skog väst AB</t>
        </is>
      </c>
      <c r="G4529" t="n">
        <v>41.8</v>
      </c>
      <c r="H4529" t="n">
        <v>0</v>
      </c>
      <c r="I4529" t="n">
        <v>0</v>
      </c>
      <c r="J4529" t="n">
        <v>0</v>
      </c>
      <c r="K4529" t="n">
        <v>0</v>
      </c>
      <c r="L4529" t="n">
        <v>0</v>
      </c>
      <c r="M4529" t="n">
        <v>0</v>
      </c>
      <c r="N4529" t="n">
        <v>0</v>
      </c>
      <c r="O4529" t="n">
        <v>0</v>
      </c>
      <c r="P4529" t="n">
        <v>0</v>
      </c>
      <c r="Q4529" t="n">
        <v>0</v>
      </c>
      <c r="R4529" s="2" t="inlineStr"/>
    </row>
    <row r="4530" ht="15" customHeight="1">
      <c r="A4530" t="inlineStr">
        <is>
          <t>A 18143-2022</t>
        </is>
      </c>
      <c r="B4530" s="1" t="n">
        <v>44684</v>
      </c>
      <c r="C4530" s="1" t="n">
        <v>45587</v>
      </c>
      <c r="D4530" t="inlineStr">
        <is>
          <t>GÄVLEBORGS LÄN</t>
        </is>
      </c>
      <c r="E4530" t="inlineStr">
        <is>
          <t>LJUSDAL</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18162-2022</t>
        </is>
      </c>
      <c r="B4531" s="1" t="n">
        <v>44684</v>
      </c>
      <c r="C4531" s="1" t="n">
        <v>45587</v>
      </c>
      <c r="D4531" t="inlineStr">
        <is>
          <t>GÄVLEBORGS LÄN</t>
        </is>
      </c>
      <c r="E4531" t="inlineStr">
        <is>
          <t>GÄVLE</t>
        </is>
      </c>
      <c r="F4531" t="inlineStr">
        <is>
          <t>Bergvik skog väst AB</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18181-2022</t>
        </is>
      </c>
      <c r="B4532" s="1" t="n">
        <v>44684</v>
      </c>
      <c r="C4532" s="1" t="n">
        <v>45587</v>
      </c>
      <c r="D4532" t="inlineStr">
        <is>
          <t>GÄVLEBORGS LÄN</t>
        </is>
      </c>
      <c r="E4532" t="inlineStr">
        <is>
          <t>GÄVLE</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18309-2022</t>
        </is>
      </c>
      <c r="B4533" s="1" t="n">
        <v>44685</v>
      </c>
      <c r="C4533" s="1" t="n">
        <v>45587</v>
      </c>
      <c r="D4533" t="inlineStr">
        <is>
          <t>GÄVLEBORGS LÄN</t>
        </is>
      </c>
      <c r="E4533" t="inlineStr">
        <is>
          <t>HUDIKSVALL</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18235-2022</t>
        </is>
      </c>
      <c r="B4534" s="1" t="n">
        <v>44685</v>
      </c>
      <c r="C4534" s="1" t="n">
        <v>45587</v>
      </c>
      <c r="D4534" t="inlineStr">
        <is>
          <t>GÄVLEBORGS LÄN</t>
        </is>
      </c>
      <c r="E4534" t="inlineStr">
        <is>
          <t>HUDIKSVALL</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18306-2022</t>
        </is>
      </c>
      <c r="B4535" s="1" t="n">
        <v>44685</v>
      </c>
      <c r="C4535" s="1" t="n">
        <v>45587</v>
      </c>
      <c r="D4535" t="inlineStr">
        <is>
          <t>GÄVLEBORGS LÄN</t>
        </is>
      </c>
      <c r="E4535" t="inlineStr">
        <is>
          <t>NORDANSTIG</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18480-2022</t>
        </is>
      </c>
      <c r="B4536" s="1" t="n">
        <v>44686</v>
      </c>
      <c r="C4536" s="1" t="n">
        <v>45587</v>
      </c>
      <c r="D4536" t="inlineStr">
        <is>
          <t>GÄVLEBORGS LÄN</t>
        </is>
      </c>
      <c r="E4536" t="inlineStr">
        <is>
          <t>HUDIKSVALL</t>
        </is>
      </c>
      <c r="F4536" t="inlineStr">
        <is>
          <t>Holmen skog AB</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18477-2022</t>
        </is>
      </c>
      <c r="B4537" s="1" t="n">
        <v>44686</v>
      </c>
      <c r="C4537" s="1" t="n">
        <v>45587</v>
      </c>
      <c r="D4537" t="inlineStr">
        <is>
          <t>GÄVLEBORGS LÄN</t>
        </is>
      </c>
      <c r="E4537" t="inlineStr">
        <is>
          <t>BOLLNÄS</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18515-2022</t>
        </is>
      </c>
      <c r="B4538" s="1" t="n">
        <v>44686</v>
      </c>
      <c r="C4538" s="1" t="n">
        <v>45587</v>
      </c>
      <c r="D4538" t="inlineStr">
        <is>
          <t>GÄVLEBORGS LÄN</t>
        </is>
      </c>
      <c r="E4538" t="inlineStr">
        <is>
          <t>NORDANSTIG</t>
        </is>
      </c>
      <c r="F4538" t="inlineStr">
        <is>
          <t>Holmen skog AB</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18486-2022</t>
        </is>
      </c>
      <c r="B4539" s="1" t="n">
        <v>44686</v>
      </c>
      <c r="C4539" s="1" t="n">
        <v>45587</v>
      </c>
      <c r="D4539" t="inlineStr">
        <is>
          <t>GÄVLEBORGS LÄN</t>
        </is>
      </c>
      <c r="E4539" t="inlineStr">
        <is>
          <t>BOLLNÄS</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18410-2022</t>
        </is>
      </c>
      <c r="B4540" s="1" t="n">
        <v>44686</v>
      </c>
      <c r="C4540" s="1" t="n">
        <v>45587</v>
      </c>
      <c r="D4540" t="inlineStr">
        <is>
          <t>GÄVLEBORGS LÄN</t>
        </is>
      </c>
      <c r="E4540" t="inlineStr">
        <is>
          <t>NORDANSTIG</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18503-2022</t>
        </is>
      </c>
      <c r="B4541" s="1" t="n">
        <v>44686</v>
      </c>
      <c r="C4541" s="1" t="n">
        <v>45587</v>
      </c>
      <c r="D4541" t="inlineStr">
        <is>
          <t>GÄVLEBORGS LÄN</t>
        </is>
      </c>
      <c r="E4541" t="inlineStr">
        <is>
          <t>SÖDERHAMN</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18516-2022</t>
        </is>
      </c>
      <c r="B4542" s="1" t="n">
        <v>44686</v>
      </c>
      <c r="C4542" s="1" t="n">
        <v>45587</v>
      </c>
      <c r="D4542" t="inlineStr">
        <is>
          <t>GÄVLEBORGS LÄN</t>
        </is>
      </c>
      <c r="E4542" t="inlineStr">
        <is>
          <t>NORDANSTIG</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18520-2022</t>
        </is>
      </c>
      <c r="B4543" s="1" t="n">
        <v>44686</v>
      </c>
      <c r="C4543" s="1" t="n">
        <v>45587</v>
      </c>
      <c r="D4543" t="inlineStr">
        <is>
          <t>GÄVLEBORGS LÄN</t>
        </is>
      </c>
      <c r="E4543" t="inlineStr">
        <is>
          <t>NORDANSTIG</t>
        </is>
      </c>
      <c r="F4543" t="inlineStr">
        <is>
          <t>Holmen skog AB</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18529-2022</t>
        </is>
      </c>
      <c r="B4544" s="1" t="n">
        <v>44686</v>
      </c>
      <c r="C4544" s="1" t="n">
        <v>45587</v>
      </c>
      <c r="D4544" t="inlineStr">
        <is>
          <t>GÄVLEBORGS LÄN</t>
        </is>
      </c>
      <c r="E4544" t="inlineStr">
        <is>
          <t>NORDANSTIG</t>
        </is>
      </c>
      <c r="F4544" t="inlineStr">
        <is>
          <t>Holmen skog AB</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18663-2022</t>
        </is>
      </c>
      <c r="B4545" s="1" t="n">
        <v>44687</v>
      </c>
      <c r="C4545" s="1" t="n">
        <v>45587</v>
      </c>
      <c r="D4545" t="inlineStr">
        <is>
          <t>GÄVLEBORGS LÄN</t>
        </is>
      </c>
      <c r="E4545" t="inlineStr">
        <is>
          <t>LJUSDAL</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18670-2022</t>
        </is>
      </c>
      <c r="B4546" s="1" t="n">
        <v>44687</v>
      </c>
      <c r="C4546" s="1" t="n">
        <v>45587</v>
      </c>
      <c r="D4546" t="inlineStr">
        <is>
          <t>GÄVLEBORGS LÄN</t>
        </is>
      </c>
      <c r="E4546" t="inlineStr">
        <is>
          <t>LJUSDAL</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18691-2022</t>
        </is>
      </c>
      <c r="B4547" s="1" t="n">
        <v>44687</v>
      </c>
      <c r="C4547" s="1" t="n">
        <v>45587</v>
      </c>
      <c r="D4547" t="inlineStr">
        <is>
          <t>GÄVLEBORGS LÄN</t>
        </is>
      </c>
      <c r="E4547" t="inlineStr">
        <is>
          <t>LJUSDAL</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18677-2022</t>
        </is>
      </c>
      <c r="B4548" s="1" t="n">
        <v>44687</v>
      </c>
      <c r="C4548" s="1" t="n">
        <v>45587</v>
      </c>
      <c r="D4548" t="inlineStr">
        <is>
          <t>GÄVLEBORGS LÄN</t>
        </is>
      </c>
      <c r="E4548" t="inlineStr">
        <is>
          <t>LJUSDAL</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18681-2022</t>
        </is>
      </c>
      <c r="B4549" s="1" t="n">
        <v>44687</v>
      </c>
      <c r="C4549" s="1" t="n">
        <v>45587</v>
      </c>
      <c r="D4549" t="inlineStr">
        <is>
          <t>GÄVLEBORGS LÄN</t>
        </is>
      </c>
      <c r="E4549" t="inlineStr">
        <is>
          <t>LJUSDAL</t>
        </is>
      </c>
      <c r="F4549" t="inlineStr">
        <is>
          <t>Bergvik skog väst AB</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18716-2022</t>
        </is>
      </c>
      <c r="B4550" s="1" t="n">
        <v>44687</v>
      </c>
      <c r="C4550" s="1" t="n">
        <v>45587</v>
      </c>
      <c r="D4550" t="inlineStr">
        <is>
          <t>GÄVLEBORGS LÄN</t>
        </is>
      </c>
      <c r="E4550" t="inlineStr">
        <is>
          <t>SÖDERHAMN</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18721-2022</t>
        </is>
      </c>
      <c r="B4551" s="1" t="n">
        <v>44687</v>
      </c>
      <c r="C4551" s="1" t="n">
        <v>45587</v>
      </c>
      <c r="D4551" t="inlineStr">
        <is>
          <t>GÄVLEBORGS LÄN</t>
        </is>
      </c>
      <c r="E4551" t="inlineStr">
        <is>
          <t>LJUSDAL</t>
        </is>
      </c>
      <c r="F4551" t="inlineStr">
        <is>
          <t>Holmen skog AB</t>
        </is>
      </c>
      <c r="G4551" t="n">
        <v>4.8</v>
      </c>
      <c r="H4551" t="n">
        <v>0</v>
      </c>
      <c r="I4551" t="n">
        <v>0</v>
      </c>
      <c r="J4551" t="n">
        <v>0</v>
      </c>
      <c r="K4551" t="n">
        <v>0</v>
      </c>
      <c r="L4551" t="n">
        <v>0</v>
      </c>
      <c r="M4551" t="n">
        <v>0</v>
      </c>
      <c r="N4551" t="n">
        <v>0</v>
      </c>
      <c r="O4551" t="n">
        <v>0</v>
      </c>
      <c r="P4551" t="n">
        <v>0</v>
      </c>
      <c r="Q4551" t="n">
        <v>0</v>
      </c>
      <c r="R4551" s="2" t="inlineStr"/>
    </row>
    <row r="4552" ht="15" customHeight="1">
      <c r="A4552" t="inlineStr">
        <is>
          <t>A 18797-2022</t>
        </is>
      </c>
      <c r="B4552" s="1" t="n">
        <v>44690</v>
      </c>
      <c r="C4552" s="1" t="n">
        <v>45587</v>
      </c>
      <c r="D4552" t="inlineStr">
        <is>
          <t>GÄVLEBORGS LÄN</t>
        </is>
      </c>
      <c r="E4552" t="inlineStr">
        <is>
          <t>HUDIKSVALL</t>
        </is>
      </c>
      <c r="F4552" t="inlineStr">
        <is>
          <t>Holmen skog AB</t>
        </is>
      </c>
      <c r="G4552" t="n">
        <v>13.5</v>
      </c>
      <c r="H4552" t="n">
        <v>0</v>
      </c>
      <c r="I4552" t="n">
        <v>0</v>
      </c>
      <c r="J4552" t="n">
        <v>0</v>
      </c>
      <c r="K4552" t="n">
        <v>0</v>
      </c>
      <c r="L4552" t="n">
        <v>0</v>
      </c>
      <c r="M4552" t="n">
        <v>0</v>
      </c>
      <c r="N4552" t="n">
        <v>0</v>
      </c>
      <c r="O4552" t="n">
        <v>0</v>
      </c>
      <c r="P4552" t="n">
        <v>0</v>
      </c>
      <c r="Q4552" t="n">
        <v>0</v>
      </c>
      <c r="R4552" s="2" t="inlineStr"/>
    </row>
    <row r="4553" ht="15" customHeight="1">
      <c r="A4553" t="inlineStr">
        <is>
          <t>A 18863-2022</t>
        </is>
      </c>
      <c r="B4553" s="1" t="n">
        <v>44690</v>
      </c>
      <c r="C4553" s="1" t="n">
        <v>45587</v>
      </c>
      <c r="D4553" t="inlineStr">
        <is>
          <t>GÄVLEBORGS LÄN</t>
        </is>
      </c>
      <c r="E4553" t="inlineStr">
        <is>
          <t>NORDANSTIG</t>
        </is>
      </c>
      <c r="G4553" t="n">
        <v>5.7</v>
      </c>
      <c r="H4553" t="n">
        <v>0</v>
      </c>
      <c r="I4553" t="n">
        <v>0</v>
      </c>
      <c r="J4553" t="n">
        <v>0</v>
      </c>
      <c r="K4553" t="n">
        <v>0</v>
      </c>
      <c r="L4553" t="n">
        <v>0</v>
      </c>
      <c r="M4553" t="n">
        <v>0</v>
      </c>
      <c r="N4553" t="n">
        <v>0</v>
      </c>
      <c r="O4553" t="n">
        <v>0</v>
      </c>
      <c r="P4553" t="n">
        <v>0</v>
      </c>
      <c r="Q4553" t="n">
        <v>0</v>
      </c>
      <c r="R4553" s="2" t="inlineStr"/>
    </row>
    <row r="4554" ht="15" customHeight="1">
      <c r="A4554" t="inlineStr">
        <is>
          <t>A 18864-2022</t>
        </is>
      </c>
      <c r="B4554" s="1" t="n">
        <v>44690</v>
      </c>
      <c r="C4554" s="1" t="n">
        <v>45587</v>
      </c>
      <c r="D4554" t="inlineStr">
        <is>
          <t>GÄVLEBORGS LÄN</t>
        </is>
      </c>
      <c r="E4554" t="inlineStr">
        <is>
          <t>HUDIKSVALL</t>
        </is>
      </c>
      <c r="F4554" t="inlineStr">
        <is>
          <t>Holmen skog AB</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18874-2022</t>
        </is>
      </c>
      <c r="B4555" s="1" t="n">
        <v>44690</v>
      </c>
      <c r="C4555" s="1" t="n">
        <v>45587</v>
      </c>
      <c r="D4555" t="inlineStr">
        <is>
          <t>GÄVLEBORGS LÄN</t>
        </is>
      </c>
      <c r="E4555" t="inlineStr">
        <is>
          <t>HUDIKSVALL</t>
        </is>
      </c>
      <c r="F4555" t="inlineStr">
        <is>
          <t>Holmen skog AB</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18926-2022</t>
        </is>
      </c>
      <c r="B4556" s="1" t="n">
        <v>44690</v>
      </c>
      <c r="C4556" s="1" t="n">
        <v>45587</v>
      </c>
      <c r="D4556" t="inlineStr">
        <is>
          <t>GÄVLEBORGS LÄN</t>
        </is>
      </c>
      <c r="E4556" t="inlineStr">
        <is>
          <t>NORDANSTIG</t>
        </is>
      </c>
      <c r="F4556" t="inlineStr">
        <is>
          <t>Holmen skog AB</t>
        </is>
      </c>
      <c r="G4556" t="n">
        <v>11.4</v>
      </c>
      <c r="H4556" t="n">
        <v>0</v>
      </c>
      <c r="I4556" t="n">
        <v>0</v>
      </c>
      <c r="J4556" t="n">
        <v>0</v>
      </c>
      <c r="K4556" t="n">
        <v>0</v>
      </c>
      <c r="L4556" t="n">
        <v>0</v>
      </c>
      <c r="M4556" t="n">
        <v>0</v>
      </c>
      <c r="N4556" t="n">
        <v>0</v>
      </c>
      <c r="O4556" t="n">
        <v>0</v>
      </c>
      <c r="P4556" t="n">
        <v>0</v>
      </c>
      <c r="Q4556" t="n">
        <v>0</v>
      </c>
      <c r="R4556" s="2" t="inlineStr"/>
    </row>
    <row r="4557" ht="15" customHeight="1">
      <c r="A4557" t="inlineStr">
        <is>
          <t>A 18919-2022</t>
        </is>
      </c>
      <c r="B4557" s="1" t="n">
        <v>44690</v>
      </c>
      <c r="C4557" s="1" t="n">
        <v>45587</v>
      </c>
      <c r="D4557" t="inlineStr">
        <is>
          <t>GÄVLEBORGS LÄN</t>
        </is>
      </c>
      <c r="E4557" t="inlineStr">
        <is>
          <t>HUDIKSVALL</t>
        </is>
      </c>
      <c r="F4557" t="inlineStr">
        <is>
          <t>Holmen skog AB</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18988-2022</t>
        </is>
      </c>
      <c r="B4558" s="1" t="n">
        <v>44690</v>
      </c>
      <c r="C4558" s="1" t="n">
        <v>45587</v>
      </c>
      <c r="D4558" t="inlineStr">
        <is>
          <t>GÄVLEBORGS LÄN</t>
        </is>
      </c>
      <c r="E4558" t="inlineStr">
        <is>
          <t>NORDANSTIG</t>
        </is>
      </c>
      <c r="G4558" t="n">
        <v>9.300000000000001</v>
      </c>
      <c r="H4558" t="n">
        <v>0</v>
      </c>
      <c r="I4558" t="n">
        <v>0</v>
      </c>
      <c r="J4558" t="n">
        <v>0</v>
      </c>
      <c r="K4558" t="n">
        <v>0</v>
      </c>
      <c r="L4558" t="n">
        <v>0</v>
      </c>
      <c r="M4558" t="n">
        <v>0</v>
      </c>
      <c r="N4558" t="n">
        <v>0</v>
      </c>
      <c r="O4558" t="n">
        <v>0</v>
      </c>
      <c r="P4558" t="n">
        <v>0</v>
      </c>
      <c r="Q4558" t="n">
        <v>0</v>
      </c>
      <c r="R4558" s="2" t="inlineStr"/>
    </row>
    <row r="4559" ht="15" customHeight="1">
      <c r="A4559" t="inlineStr">
        <is>
          <t>A 19070-2022</t>
        </is>
      </c>
      <c r="B4559" s="1" t="n">
        <v>44691</v>
      </c>
      <c r="C4559" s="1" t="n">
        <v>45587</v>
      </c>
      <c r="D4559" t="inlineStr">
        <is>
          <t>GÄVLEBORGS LÄN</t>
        </is>
      </c>
      <c r="E4559" t="inlineStr">
        <is>
          <t>NORDANSTIG</t>
        </is>
      </c>
      <c r="F4559" t="inlineStr">
        <is>
          <t>Holmen skog AB</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19088-2022</t>
        </is>
      </c>
      <c r="B4560" s="1" t="n">
        <v>44691</v>
      </c>
      <c r="C4560" s="1" t="n">
        <v>45587</v>
      </c>
      <c r="D4560" t="inlineStr">
        <is>
          <t>GÄVLEBORGS LÄN</t>
        </is>
      </c>
      <c r="E4560" t="inlineStr">
        <is>
          <t>BOLLNÄS</t>
        </is>
      </c>
      <c r="G4560" t="n">
        <v>12.8</v>
      </c>
      <c r="H4560" t="n">
        <v>0</v>
      </c>
      <c r="I4560" t="n">
        <v>0</v>
      </c>
      <c r="J4560" t="n">
        <v>0</v>
      </c>
      <c r="K4560" t="n">
        <v>0</v>
      </c>
      <c r="L4560" t="n">
        <v>0</v>
      </c>
      <c r="M4560" t="n">
        <v>0</v>
      </c>
      <c r="N4560" t="n">
        <v>0</v>
      </c>
      <c r="O4560" t="n">
        <v>0</v>
      </c>
      <c r="P4560" t="n">
        <v>0</v>
      </c>
      <c r="Q4560" t="n">
        <v>0</v>
      </c>
      <c r="R4560" s="2" t="inlineStr"/>
    </row>
    <row r="4561" ht="15" customHeight="1">
      <c r="A4561" t="inlineStr">
        <is>
          <t>A 19095-2022</t>
        </is>
      </c>
      <c r="B4561" s="1" t="n">
        <v>44691</v>
      </c>
      <c r="C4561" s="1" t="n">
        <v>45587</v>
      </c>
      <c r="D4561" t="inlineStr">
        <is>
          <t>GÄVLEBORGS LÄN</t>
        </is>
      </c>
      <c r="E4561" t="inlineStr">
        <is>
          <t>GÄVLE</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19135-2022</t>
        </is>
      </c>
      <c r="B4562" s="1" t="n">
        <v>44691</v>
      </c>
      <c r="C4562" s="1" t="n">
        <v>45587</v>
      </c>
      <c r="D4562" t="inlineStr">
        <is>
          <t>GÄVLEBORGS LÄN</t>
        </is>
      </c>
      <c r="E4562" t="inlineStr">
        <is>
          <t>HOFORS</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19143-2022</t>
        </is>
      </c>
      <c r="B4563" s="1" t="n">
        <v>44691</v>
      </c>
      <c r="C4563" s="1" t="n">
        <v>45587</v>
      </c>
      <c r="D4563" t="inlineStr">
        <is>
          <t>GÄVLEBORGS LÄN</t>
        </is>
      </c>
      <c r="E4563" t="inlineStr">
        <is>
          <t>BOLLNÄS</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19200-2022</t>
        </is>
      </c>
      <c r="B4564" s="1" t="n">
        <v>44691</v>
      </c>
      <c r="C4564" s="1" t="n">
        <v>45587</v>
      </c>
      <c r="D4564" t="inlineStr">
        <is>
          <t>GÄVLEBORGS LÄN</t>
        </is>
      </c>
      <c r="E4564" t="inlineStr">
        <is>
          <t>LJUSDAL</t>
        </is>
      </c>
      <c r="F4564" t="inlineStr">
        <is>
          <t>Bergvik skog väst AB</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19182-2022</t>
        </is>
      </c>
      <c r="B4565" s="1" t="n">
        <v>44691</v>
      </c>
      <c r="C4565" s="1" t="n">
        <v>45587</v>
      </c>
      <c r="D4565" t="inlineStr">
        <is>
          <t>GÄVLEBORGS LÄN</t>
        </is>
      </c>
      <c r="E4565" t="inlineStr">
        <is>
          <t>NORDANSTIG</t>
        </is>
      </c>
      <c r="F4565" t="inlineStr">
        <is>
          <t>Holmen skog AB</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19187-2022</t>
        </is>
      </c>
      <c r="B4566" s="1" t="n">
        <v>44691</v>
      </c>
      <c r="C4566" s="1" t="n">
        <v>45587</v>
      </c>
      <c r="D4566" t="inlineStr">
        <is>
          <t>GÄVLEBORGS LÄN</t>
        </is>
      </c>
      <c r="E4566" t="inlineStr">
        <is>
          <t>HUDIKSVALL</t>
        </is>
      </c>
      <c r="F4566" t="inlineStr">
        <is>
          <t>Holmen skog AB</t>
        </is>
      </c>
      <c r="G4566" t="n">
        <v>6.1</v>
      </c>
      <c r="H4566" t="n">
        <v>0</v>
      </c>
      <c r="I4566" t="n">
        <v>0</v>
      </c>
      <c r="J4566" t="n">
        <v>0</v>
      </c>
      <c r="K4566" t="n">
        <v>0</v>
      </c>
      <c r="L4566" t="n">
        <v>0</v>
      </c>
      <c r="M4566" t="n">
        <v>0</v>
      </c>
      <c r="N4566" t="n">
        <v>0</v>
      </c>
      <c r="O4566" t="n">
        <v>0</v>
      </c>
      <c r="P4566" t="n">
        <v>0</v>
      </c>
      <c r="Q4566" t="n">
        <v>0</v>
      </c>
      <c r="R4566" s="2" t="inlineStr"/>
    </row>
    <row r="4567" ht="15" customHeight="1">
      <c r="A4567" t="inlineStr">
        <is>
          <t>A 19252-2022</t>
        </is>
      </c>
      <c r="B4567" s="1" t="n">
        <v>44692</v>
      </c>
      <c r="C4567" s="1" t="n">
        <v>45587</v>
      </c>
      <c r="D4567" t="inlineStr">
        <is>
          <t>GÄVLEBORGS LÄN</t>
        </is>
      </c>
      <c r="E4567" t="inlineStr">
        <is>
          <t>LJUSDAL</t>
        </is>
      </c>
      <c r="F4567" t="inlineStr">
        <is>
          <t>Holmen skog AB</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19264-2022</t>
        </is>
      </c>
      <c r="B4568" s="1" t="n">
        <v>44692</v>
      </c>
      <c r="C4568" s="1" t="n">
        <v>45587</v>
      </c>
      <c r="D4568" t="inlineStr">
        <is>
          <t>GÄVLEBORGS LÄN</t>
        </is>
      </c>
      <c r="E4568" t="inlineStr">
        <is>
          <t>OCKELBO</t>
        </is>
      </c>
      <c r="F4568" t="inlineStr">
        <is>
          <t>Bergvik skog väst AB</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19288-2022</t>
        </is>
      </c>
      <c r="B4569" s="1" t="n">
        <v>44692</v>
      </c>
      <c r="C4569" s="1" t="n">
        <v>45587</v>
      </c>
      <c r="D4569" t="inlineStr">
        <is>
          <t>GÄVLEBORGS LÄN</t>
        </is>
      </c>
      <c r="E4569" t="inlineStr">
        <is>
          <t>LJUSDAL</t>
        </is>
      </c>
      <c r="F4569" t="inlineStr">
        <is>
          <t>Holmen skog AB</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19303-2022</t>
        </is>
      </c>
      <c r="B4570" s="1" t="n">
        <v>44692</v>
      </c>
      <c r="C4570" s="1" t="n">
        <v>45587</v>
      </c>
      <c r="D4570" t="inlineStr">
        <is>
          <t>GÄVLEBORGS LÄN</t>
        </is>
      </c>
      <c r="E4570" t="inlineStr">
        <is>
          <t>LJUSDAL</t>
        </is>
      </c>
      <c r="F4570" t="inlineStr">
        <is>
          <t>Sveaskog</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19364-2022</t>
        </is>
      </c>
      <c r="B4571" s="1" t="n">
        <v>44692</v>
      </c>
      <c r="C4571" s="1" t="n">
        <v>45587</v>
      </c>
      <c r="D4571" t="inlineStr">
        <is>
          <t>GÄVLEBORGS LÄN</t>
        </is>
      </c>
      <c r="E4571" t="inlineStr">
        <is>
          <t>NORDANSTIG</t>
        </is>
      </c>
      <c r="F4571" t="inlineStr">
        <is>
          <t>Holmen skog AB</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19265-2022</t>
        </is>
      </c>
      <c r="B4572" s="1" t="n">
        <v>44692</v>
      </c>
      <c r="C4572" s="1" t="n">
        <v>45587</v>
      </c>
      <c r="D4572" t="inlineStr">
        <is>
          <t>GÄVLEBORGS LÄN</t>
        </is>
      </c>
      <c r="E4572" t="inlineStr">
        <is>
          <t>LJUSDAL</t>
        </is>
      </c>
      <c r="F4572" t="inlineStr">
        <is>
          <t>Holmen skog AB</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19233-2022</t>
        </is>
      </c>
      <c r="B4573" s="1" t="n">
        <v>44692</v>
      </c>
      <c r="C4573" s="1" t="n">
        <v>45587</v>
      </c>
      <c r="D4573" t="inlineStr">
        <is>
          <t>GÄVLEBORGS LÄN</t>
        </is>
      </c>
      <c r="E4573" t="inlineStr">
        <is>
          <t>NORDANSTIG</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19279-2022</t>
        </is>
      </c>
      <c r="B4574" s="1" t="n">
        <v>44692</v>
      </c>
      <c r="C4574" s="1" t="n">
        <v>45587</v>
      </c>
      <c r="D4574" t="inlineStr">
        <is>
          <t>GÄVLEBORGS LÄN</t>
        </is>
      </c>
      <c r="E4574" t="inlineStr">
        <is>
          <t>NORDANSTIG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19308-2022</t>
        </is>
      </c>
      <c r="B4575" s="1" t="n">
        <v>44692</v>
      </c>
      <c r="C4575" s="1" t="n">
        <v>45587</v>
      </c>
      <c r="D4575" t="inlineStr">
        <is>
          <t>GÄVLEBORGS LÄN</t>
        </is>
      </c>
      <c r="E4575" t="inlineStr">
        <is>
          <t>OVANÅKER</t>
        </is>
      </c>
      <c r="F4575" t="inlineStr">
        <is>
          <t>Sveaskog</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19316-2022</t>
        </is>
      </c>
      <c r="B4576" s="1" t="n">
        <v>44692</v>
      </c>
      <c r="C4576" s="1" t="n">
        <v>45587</v>
      </c>
      <c r="D4576" t="inlineStr">
        <is>
          <t>GÄVLEBORGS LÄN</t>
        </is>
      </c>
      <c r="E4576" t="inlineStr">
        <is>
          <t>LJUSDAL</t>
        </is>
      </c>
      <c r="F4576" t="inlineStr">
        <is>
          <t>Holmen skog AB</t>
        </is>
      </c>
      <c r="G4576" t="n">
        <v>7.3</v>
      </c>
      <c r="H4576" t="n">
        <v>0</v>
      </c>
      <c r="I4576" t="n">
        <v>0</v>
      </c>
      <c r="J4576" t="n">
        <v>0</v>
      </c>
      <c r="K4576" t="n">
        <v>0</v>
      </c>
      <c r="L4576" t="n">
        <v>0</v>
      </c>
      <c r="M4576" t="n">
        <v>0</v>
      </c>
      <c r="N4576" t="n">
        <v>0</v>
      </c>
      <c r="O4576" t="n">
        <v>0</v>
      </c>
      <c r="P4576" t="n">
        <v>0</v>
      </c>
      <c r="Q4576" t="n">
        <v>0</v>
      </c>
      <c r="R4576" s="2" t="inlineStr"/>
    </row>
    <row r="4577" ht="15" customHeight="1">
      <c r="A4577" t="inlineStr">
        <is>
          <t>A 19346-2022</t>
        </is>
      </c>
      <c r="B4577" s="1" t="n">
        <v>44692</v>
      </c>
      <c r="C4577" s="1" t="n">
        <v>45587</v>
      </c>
      <c r="D4577" t="inlineStr">
        <is>
          <t>GÄVLEBORGS LÄN</t>
        </is>
      </c>
      <c r="E4577" t="inlineStr">
        <is>
          <t>HUDIKSVALL</t>
        </is>
      </c>
      <c r="F4577" t="inlineStr">
        <is>
          <t>Holmen skog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19292-2022</t>
        </is>
      </c>
      <c r="B4578" s="1" t="n">
        <v>44692</v>
      </c>
      <c r="C4578" s="1" t="n">
        <v>45587</v>
      </c>
      <c r="D4578" t="inlineStr">
        <is>
          <t>GÄVLEBORGS LÄN</t>
        </is>
      </c>
      <c r="E4578" t="inlineStr">
        <is>
          <t>HOFORS</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19343-2022</t>
        </is>
      </c>
      <c r="B4579" s="1" t="n">
        <v>44692</v>
      </c>
      <c r="C4579" s="1" t="n">
        <v>45587</v>
      </c>
      <c r="D4579" t="inlineStr">
        <is>
          <t>GÄVLEBORGS LÄN</t>
        </is>
      </c>
      <c r="E4579" t="inlineStr">
        <is>
          <t>HUDIKSVALL</t>
        </is>
      </c>
      <c r="F4579" t="inlineStr">
        <is>
          <t>Holmen skog AB</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19365-2022</t>
        </is>
      </c>
      <c r="B4580" s="1" t="n">
        <v>44692</v>
      </c>
      <c r="C4580" s="1" t="n">
        <v>45587</v>
      </c>
      <c r="D4580" t="inlineStr">
        <is>
          <t>GÄVLEBORGS LÄN</t>
        </is>
      </c>
      <c r="E4580" t="inlineStr">
        <is>
          <t>HUDIKSVALL</t>
        </is>
      </c>
      <c r="F4580" t="inlineStr">
        <is>
          <t>Holmen skog AB</t>
        </is>
      </c>
      <c r="G4580" t="n">
        <v>8.1</v>
      </c>
      <c r="H4580" t="n">
        <v>0</v>
      </c>
      <c r="I4580" t="n">
        <v>0</v>
      </c>
      <c r="J4580" t="n">
        <v>0</v>
      </c>
      <c r="K4580" t="n">
        <v>0</v>
      </c>
      <c r="L4580" t="n">
        <v>0</v>
      </c>
      <c r="M4580" t="n">
        <v>0</v>
      </c>
      <c r="N4580" t="n">
        <v>0</v>
      </c>
      <c r="O4580" t="n">
        <v>0</v>
      </c>
      <c r="P4580" t="n">
        <v>0</v>
      </c>
      <c r="Q4580" t="n">
        <v>0</v>
      </c>
      <c r="R4580" s="2" t="inlineStr"/>
    </row>
    <row r="4581" ht="15" customHeight="1">
      <c r="A4581" t="inlineStr">
        <is>
          <t>A 19374-2022</t>
        </is>
      </c>
      <c r="B4581" s="1" t="n">
        <v>44692</v>
      </c>
      <c r="C4581" s="1" t="n">
        <v>45587</v>
      </c>
      <c r="D4581" t="inlineStr">
        <is>
          <t>GÄVLEBORGS LÄN</t>
        </is>
      </c>
      <c r="E4581" t="inlineStr">
        <is>
          <t>NORDANSTIG</t>
        </is>
      </c>
      <c r="F4581" t="inlineStr">
        <is>
          <t>Holmen skog AB</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19424-2022</t>
        </is>
      </c>
      <c r="B4582" s="1" t="n">
        <v>44693</v>
      </c>
      <c r="C4582" s="1" t="n">
        <v>45587</v>
      </c>
      <c r="D4582" t="inlineStr">
        <is>
          <t>GÄVLEBORGS LÄN</t>
        </is>
      </c>
      <c r="E4582" t="inlineStr">
        <is>
          <t>GÄVLE</t>
        </is>
      </c>
      <c r="F4582" t="inlineStr">
        <is>
          <t>Bergvik skog väst AB</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19531-2022</t>
        </is>
      </c>
      <c r="B4583" s="1" t="n">
        <v>44693</v>
      </c>
      <c r="C4583" s="1" t="n">
        <v>45587</v>
      </c>
      <c r="D4583" t="inlineStr">
        <is>
          <t>GÄVLEBORGS LÄN</t>
        </is>
      </c>
      <c r="E4583" t="inlineStr">
        <is>
          <t>LJUSDAL</t>
        </is>
      </c>
      <c r="F4583" t="inlineStr">
        <is>
          <t>Allmännings- och besparingsskogar</t>
        </is>
      </c>
      <c r="G4583" t="n">
        <v>46.7</v>
      </c>
      <c r="H4583" t="n">
        <v>0</v>
      </c>
      <c r="I4583" t="n">
        <v>0</v>
      </c>
      <c r="J4583" t="n">
        <v>0</v>
      </c>
      <c r="K4583" t="n">
        <v>0</v>
      </c>
      <c r="L4583" t="n">
        <v>0</v>
      </c>
      <c r="M4583" t="n">
        <v>0</v>
      </c>
      <c r="N4583" t="n">
        <v>0</v>
      </c>
      <c r="O4583" t="n">
        <v>0</v>
      </c>
      <c r="P4583" t="n">
        <v>0</v>
      </c>
      <c r="Q4583" t="n">
        <v>0</v>
      </c>
      <c r="R4583" s="2" t="inlineStr"/>
    </row>
    <row r="4584" ht="15" customHeight="1">
      <c r="A4584" t="inlineStr">
        <is>
          <t>A 19555-2022</t>
        </is>
      </c>
      <c r="B4584" s="1" t="n">
        <v>44693</v>
      </c>
      <c r="C4584" s="1" t="n">
        <v>45587</v>
      </c>
      <c r="D4584" t="inlineStr">
        <is>
          <t>GÄVLEBORGS LÄN</t>
        </is>
      </c>
      <c r="E4584" t="inlineStr">
        <is>
          <t>GÄVLE</t>
        </is>
      </c>
      <c r="F4584" t="inlineStr">
        <is>
          <t>Bergvik skog väst AB</t>
        </is>
      </c>
      <c r="G4584" t="n">
        <v>4</v>
      </c>
      <c r="H4584" t="n">
        <v>0</v>
      </c>
      <c r="I4584" t="n">
        <v>0</v>
      </c>
      <c r="J4584" t="n">
        <v>0</v>
      </c>
      <c r="K4584" t="n">
        <v>0</v>
      </c>
      <c r="L4584" t="n">
        <v>0</v>
      </c>
      <c r="M4584" t="n">
        <v>0</v>
      </c>
      <c r="N4584" t="n">
        <v>0</v>
      </c>
      <c r="O4584" t="n">
        <v>0</v>
      </c>
      <c r="P4584" t="n">
        <v>0</v>
      </c>
      <c r="Q4584" t="n">
        <v>0</v>
      </c>
      <c r="R4584" s="2" t="inlineStr"/>
    </row>
    <row r="4585" ht="15" customHeight="1">
      <c r="A4585" t="inlineStr">
        <is>
          <t>A 19639-2022</t>
        </is>
      </c>
      <c r="B4585" s="1" t="n">
        <v>44694</v>
      </c>
      <c r="C4585" s="1" t="n">
        <v>45587</v>
      </c>
      <c r="D4585" t="inlineStr">
        <is>
          <t>GÄVLEBORGS LÄN</t>
        </is>
      </c>
      <c r="E4585" t="inlineStr">
        <is>
          <t>SÖDERHAMN</t>
        </is>
      </c>
      <c r="F4585" t="inlineStr">
        <is>
          <t>Bergvik skog väst AB</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19660-2022</t>
        </is>
      </c>
      <c r="B4586" s="1" t="n">
        <v>44694</v>
      </c>
      <c r="C4586" s="1" t="n">
        <v>45587</v>
      </c>
      <c r="D4586" t="inlineStr">
        <is>
          <t>GÄVLEBORGS LÄN</t>
        </is>
      </c>
      <c r="E4586" t="inlineStr">
        <is>
          <t>HUDIKSVALL</t>
        </is>
      </c>
      <c r="F4586" t="inlineStr">
        <is>
          <t>Holmen skog AB</t>
        </is>
      </c>
      <c r="G4586" t="n">
        <v>22.3</v>
      </c>
      <c r="H4586" t="n">
        <v>0</v>
      </c>
      <c r="I4586" t="n">
        <v>0</v>
      </c>
      <c r="J4586" t="n">
        <v>0</v>
      </c>
      <c r="K4586" t="n">
        <v>0</v>
      </c>
      <c r="L4586" t="n">
        <v>0</v>
      </c>
      <c r="M4586" t="n">
        <v>0</v>
      </c>
      <c r="N4586" t="n">
        <v>0</v>
      </c>
      <c r="O4586" t="n">
        <v>0</v>
      </c>
      <c r="P4586" t="n">
        <v>0</v>
      </c>
      <c r="Q4586" t="n">
        <v>0</v>
      </c>
      <c r="R4586" s="2" t="inlineStr"/>
    </row>
    <row r="4587" ht="15" customHeight="1">
      <c r="A4587" t="inlineStr">
        <is>
          <t>A 19730-2022</t>
        </is>
      </c>
      <c r="B4587" s="1" t="n">
        <v>44694</v>
      </c>
      <c r="C4587" s="1" t="n">
        <v>45587</v>
      </c>
      <c r="D4587" t="inlineStr">
        <is>
          <t>GÄVLEBORGS LÄN</t>
        </is>
      </c>
      <c r="E4587" t="inlineStr">
        <is>
          <t>GÄVLE</t>
        </is>
      </c>
      <c r="F4587" t="inlineStr">
        <is>
          <t>Bergvik skog väst AB</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19712-2022</t>
        </is>
      </c>
      <c r="B4588" s="1" t="n">
        <v>44694</v>
      </c>
      <c r="C4588" s="1" t="n">
        <v>45587</v>
      </c>
      <c r="D4588" t="inlineStr">
        <is>
          <t>GÄVLEBORGS LÄN</t>
        </is>
      </c>
      <c r="E4588" t="inlineStr">
        <is>
          <t>GÄVLE</t>
        </is>
      </c>
      <c r="F4588" t="inlineStr">
        <is>
          <t>Bergvik skog väst AB</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19767-2022</t>
        </is>
      </c>
      <c r="B4589" s="1" t="n">
        <v>44694</v>
      </c>
      <c r="C4589" s="1" t="n">
        <v>45587</v>
      </c>
      <c r="D4589" t="inlineStr">
        <is>
          <t>GÄVLEBORGS LÄN</t>
        </is>
      </c>
      <c r="E4589" t="inlineStr">
        <is>
          <t>OVANÅKER</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19741-2022</t>
        </is>
      </c>
      <c r="B4590" s="1" t="n">
        <v>44694</v>
      </c>
      <c r="C4590" s="1" t="n">
        <v>45587</v>
      </c>
      <c r="D4590" t="inlineStr">
        <is>
          <t>GÄVLEBORGS LÄN</t>
        </is>
      </c>
      <c r="E4590" t="inlineStr">
        <is>
          <t>OVANÅKER</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19856-2022</t>
        </is>
      </c>
      <c r="B4591" s="1" t="n">
        <v>44697</v>
      </c>
      <c r="C4591" s="1" t="n">
        <v>45587</v>
      </c>
      <c r="D4591" t="inlineStr">
        <is>
          <t>GÄVLEBORGS LÄN</t>
        </is>
      </c>
      <c r="E4591" t="inlineStr">
        <is>
          <t>BOLLNÄS</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20017-2022</t>
        </is>
      </c>
      <c r="B4592" s="1" t="n">
        <v>44697</v>
      </c>
      <c r="C4592" s="1" t="n">
        <v>45587</v>
      </c>
      <c r="D4592" t="inlineStr">
        <is>
          <t>GÄVLEBORGS LÄN</t>
        </is>
      </c>
      <c r="E4592" t="inlineStr">
        <is>
          <t>HUDIKSVALL</t>
        </is>
      </c>
      <c r="G4592" t="n">
        <v>5.5</v>
      </c>
      <c r="H4592" t="n">
        <v>0</v>
      </c>
      <c r="I4592" t="n">
        <v>0</v>
      </c>
      <c r="J4592" t="n">
        <v>0</v>
      </c>
      <c r="K4592" t="n">
        <v>0</v>
      </c>
      <c r="L4592" t="n">
        <v>0</v>
      </c>
      <c r="M4592" t="n">
        <v>0</v>
      </c>
      <c r="N4592" t="n">
        <v>0</v>
      </c>
      <c r="O4592" t="n">
        <v>0</v>
      </c>
      <c r="P4592" t="n">
        <v>0</v>
      </c>
      <c r="Q4592" t="n">
        <v>0</v>
      </c>
      <c r="R4592" s="2" t="inlineStr"/>
    </row>
    <row r="4593" ht="15" customHeight="1">
      <c r="A4593" t="inlineStr">
        <is>
          <t>A 20022-2022</t>
        </is>
      </c>
      <c r="B4593" s="1" t="n">
        <v>44697</v>
      </c>
      <c r="C4593" s="1" t="n">
        <v>45587</v>
      </c>
      <c r="D4593" t="inlineStr">
        <is>
          <t>GÄVLEBORGS LÄN</t>
        </is>
      </c>
      <c r="E4593" t="inlineStr">
        <is>
          <t>HUDIKSVALL</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19892-2022</t>
        </is>
      </c>
      <c r="B4594" s="1" t="n">
        <v>44697</v>
      </c>
      <c r="C4594" s="1" t="n">
        <v>45587</v>
      </c>
      <c r="D4594" t="inlineStr">
        <is>
          <t>GÄVLEBORGS LÄN</t>
        </is>
      </c>
      <c r="E4594" t="inlineStr">
        <is>
          <t>LJUSDAL</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20149-2022</t>
        </is>
      </c>
      <c r="B4595" s="1" t="n">
        <v>44698</v>
      </c>
      <c r="C4595" s="1" t="n">
        <v>45587</v>
      </c>
      <c r="D4595" t="inlineStr">
        <is>
          <t>GÄVLEBORGS LÄN</t>
        </is>
      </c>
      <c r="E4595" t="inlineStr">
        <is>
          <t>OVANÅKER</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20166-2022</t>
        </is>
      </c>
      <c r="B4596" s="1" t="n">
        <v>44698</v>
      </c>
      <c r="C4596" s="1" t="n">
        <v>45587</v>
      </c>
      <c r="D4596" t="inlineStr">
        <is>
          <t>GÄVLEBORGS LÄN</t>
        </is>
      </c>
      <c r="E4596" t="inlineStr">
        <is>
          <t>SÖDERHAMN</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20171-2022</t>
        </is>
      </c>
      <c r="B4597" s="1" t="n">
        <v>44698</v>
      </c>
      <c r="C4597" s="1" t="n">
        <v>45587</v>
      </c>
      <c r="D4597" t="inlineStr">
        <is>
          <t>GÄVLEBORGS LÄN</t>
        </is>
      </c>
      <c r="E4597" t="inlineStr">
        <is>
          <t>SÖDERHAMN</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20272-2022</t>
        </is>
      </c>
      <c r="B4598" s="1" t="n">
        <v>44698</v>
      </c>
      <c r="C4598" s="1" t="n">
        <v>45587</v>
      </c>
      <c r="D4598" t="inlineStr">
        <is>
          <t>GÄVLEBORGS LÄN</t>
        </is>
      </c>
      <c r="E4598" t="inlineStr">
        <is>
          <t>SÖDERHAMN</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20209-2022</t>
        </is>
      </c>
      <c r="B4599" s="1" t="n">
        <v>44698</v>
      </c>
      <c r="C4599" s="1" t="n">
        <v>45587</v>
      </c>
      <c r="D4599" t="inlineStr">
        <is>
          <t>GÄVLEBORGS LÄN</t>
        </is>
      </c>
      <c r="E4599" t="inlineStr">
        <is>
          <t>LJUSDAL</t>
        </is>
      </c>
      <c r="F4599" t="inlineStr">
        <is>
          <t>Sveaskog</t>
        </is>
      </c>
      <c r="G4599" t="n">
        <v>6</v>
      </c>
      <c r="H4599" t="n">
        <v>0</v>
      </c>
      <c r="I4599" t="n">
        <v>0</v>
      </c>
      <c r="J4599" t="n">
        <v>0</v>
      </c>
      <c r="K4599" t="n">
        <v>0</v>
      </c>
      <c r="L4599" t="n">
        <v>0</v>
      </c>
      <c r="M4599" t="n">
        <v>0</v>
      </c>
      <c r="N4599" t="n">
        <v>0</v>
      </c>
      <c r="O4599" t="n">
        <v>0</v>
      </c>
      <c r="P4599" t="n">
        <v>0</v>
      </c>
      <c r="Q4599" t="n">
        <v>0</v>
      </c>
      <c r="R4599" s="2" t="inlineStr"/>
    </row>
    <row r="4600" ht="15" customHeight="1">
      <c r="A4600" t="inlineStr">
        <is>
          <t>A 20240-2022</t>
        </is>
      </c>
      <c r="B4600" s="1" t="n">
        <v>44698</v>
      </c>
      <c r="C4600" s="1" t="n">
        <v>45587</v>
      </c>
      <c r="D4600" t="inlineStr">
        <is>
          <t>GÄVLEBORGS LÄN</t>
        </is>
      </c>
      <c r="E4600" t="inlineStr">
        <is>
          <t>SANDVIKEN</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20273-2022</t>
        </is>
      </c>
      <c r="B4601" s="1" t="n">
        <v>44698</v>
      </c>
      <c r="C4601" s="1" t="n">
        <v>45587</v>
      </c>
      <c r="D4601" t="inlineStr">
        <is>
          <t>GÄVLEBORGS LÄN</t>
        </is>
      </c>
      <c r="E4601" t="inlineStr">
        <is>
          <t>SÖDERHAMN</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20338-2022</t>
        </is>
      </c>
      <c r="B4602" s="1" t="n">
        <v>44699</v>
      </c>
      <c r="C4602" s="1" t="n">
        <v>45587</v>
      </c>
      <c r="D4602" t="inlineStr">
        <is>
          <t>GÄVLEBORGS LÄN</t>
        </is>
      </c>
      <c r="E4602" t="inlineStr">
        <is>
          <t>NORDANSTIG</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20407-2022</t>
        </is>
      </c>
      <c r="B4603" s="1" t="n">
        <v>44699</v>
      </c>
      <c r="C4603" s="1" t="n">
        <v>45587</v>
      </c>
      <c r="D4603" t="inlineStr">
        <is>
          <t>GÄVLEBORGS LÄN</t>
        </is>
      </c>
      <c r="E4603" t="inlineStr">
        <is>
          <t>NORDANSTIG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20512-2022</t>
        </is>
      </c>
      <c r="B4604" s="1" t="n">
        <v>44699</v>
      </c>
      <c r="C4604" s="1" t="n">
        <v>45587</v>
      </c>
      <c r="D4604" t="inlineStr">
        <is>
          <t>GÄVLEBORGS LÄN</t>
        </is>
      </c>
      <c r="E4604" t="inlineStr">
        <is>
          <t>NORDANSTIG</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20593-2022</t>
        </is>
      </c>
      <c r="B4605" s="1" t="n">
        <v>44700</v>
      </c>
      <c r="C4605" s="1" t="n">
        <v>45587</v>
      </c>
      <c r="D4605" t="inlineStr">
        <is>
          <t>GÄVLEBORGS LÄN</t>
        </is>
      </c>
      <c r="E4605" t="inlineStr">
        <is>
          <t>LJUSDAL</t>
        </is>
      </c>
      <c r="F4605" t="inlineStr">
        <is>
          <t>Holmen skog AB</t>
        </is>
      </c>
      <c r="G4605" t="n">
        <v>6.3</v>
      </c>
      <c r="H4605" t="n">
        <v>0</v>
      </c>
      <c r="I4605" t="n">
        <v>0</v>
      </c>
      <c r="J4605" t="n">
        <v>0</v>
      </c>
      <c r="K4605" t="n">
        <v>0</v>
      </c>
      <c r="L4605" t="n">
        <v>0</v>
      </c>
      <c r="M4605" t="n">
        <v>0</v>
      </c>
      <c r="N4605" t="n">
        <v>0</v>
      </c>
      <c r="O4605" t="n">
        <v>0</v>
      </c>
      <c r="P4605" t="n">
        <v>0</v>
      </c>
      <c r="Q4605" t="n">
        <v>0</v>
      </c>
      <c r="R4605" s="2" t="inlineStr"/>
    </row>
    <row r="4606" ht="15" customHeight="1">
      <c r="A4606" t="inlineStr">
        <is>
          <t>A 20660-2022</t>
        </is>
      </c>
      <c r="B4606" s="1" t="n">
        <v>44700</v>
      </c>
      <c r="C4606" s="1" t="n">
        <v>45587</v>
      </c>
      <c r="D4606" t="inlineStr">
        <is>
          <t>GÄVLEBORGS LÄN</t>
        </is>
      </c>
      <c r="E4606" t="inlineStr">
        <is>
          <t>OCKELBO</t>
        </is>
      </c>
      <c r="F4606" t="inlineStr">
        <is>
          <t>Bergvik skog väst AB</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20543-2022</t>
        </is>
      </c>
      <c r="B4607" s="1" t="n">
        <v>44700</v>
      </c>
      <c r="C4607" s="1" t="n">
        <v>45587</v>
      </c>
      <c r="D4607" t="inlineStr">
        <is>
          <t>GÄVLEBORGS LÄN</t>
        </is>
      </c>
      <c r="E4607" t="inlineStr">
        <is>
          <t>OCKELBO</t>
        </is>
      </c>
      <c r="F4607" t="inlineStr">
        <is>
          <t>Bergvik skog väst AB</t>
        </is>
      </c>
      <c r="G4607" t="n">
        <v>15.2</v>
      </c>
      <c r="H4607" t="n">
        <v>0</v>
      </c>
      <c r="I4607" t="n">
        <v>0</v>
      </c>
      <c r="J4607" t="n">
        <v>0</v>
      </c>
      <c r="K4607" t="n">
        <v>0</v>
      </c>
      <c r="L4607" t="n">
        <v>0</v>
      </c>
      <c r="M4607" t="n">
        <v>0</v>
      </c>
      <c r="N4607" t="n">
        <v>0</v>
      </c>
      <c r="O4607" t="n">
        <v>0</v>
      </c>
      <c r="P4607" t="n">
        <v>0</v>
      </c>
      <c r="Q4607" t="n">
        <v>0</v>
      </c>
      <c r="R4607" s="2" t="inlineStr"/>
    </row>
    <row r="4608" ht="15" customHeight="1">
      <c r="A4608" t="inlineStr">
        <is>
          <t>A 20602-2022</t>
        </is>
      </c>
      <c r="B4608" s="1" t="n">
        <v>44700</v>
      </c>
      <c r="C4608" s="1" t="n">
        <v>45587</v>
      </c>
      <c r="D4608" t="inlineStr">
        <is>
          <t>GÄVLEBORGS LÄN</t>
        </is>
      </c>
      <c r="E4608" t="inlineStr">
        <is>
          <t>HUDIKSVALL</t>
        </is>
      </c>
      <c r="F4608" t="inlineStr">
        <is>
          <t>Holmen skog AB</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20675-2022</t>
        </is>
      </c>
      <c r="B4609" s="1" t="n">
        <v>44700</v>
      </c>
      <c r="C4609" s="1" t="n">
        <v>45587</v>
      </c>
      <c r="D4609" t="inlineStr">
        <is>
          <t>GÄVLEBORGS LÄN</t>
        </is>
      </c>
      <c r="E4609" t="inlineStr">
        <is>
          <t>HUDIKSVALL</t>
        </is>
      </c>
      <c r="F4609" t="inlineStr">
        <is>
          <t>Holmen skog AB</t>
        </is>
      </c>
      <c r="G4609" t="n">
        <v>9.699999999999999</v>
      </c>
      <c r="H4609" t="n">
        <v>0</v>
      </c>
      <c r="I4609" t="n">
        <v>0</v>
      </c>
      <c r="J4609" t="n">
        <v>0</v>
      </c>
      <c r="K4609" t="n">
        <v>0</v>
      </c>
      <c r="L4609" t="n">
        <v>0</v>
      </c>
      <c r="M4609" t="n">
        <v>0</v>
      </c>
      <c r="N4609" t="n">
        <v>0</v>
      </c>
      <c r="O4609" t="n">
        <v>0</v>
      </c>
      <c r="P4609" t="n">
        <v>0</v>
      </c>
      <c r="Q4609" t="n">
        <v>0</v>
      </c>
      <c r="R4609" s="2" t="inlineStr"/>
    </row>
    <row r="4610" ht="15" customHeight="1">
      <c r="A4610" t="inlineStr">
        <is>
          <t>A 20670-2022</t>
        </is>
      </c>
      <c r="B4610" s="1" t="n">
        <v>44700</v>
      </c>
      <c r="C4610" s="1" t="n">
        <v>45587</v>
      </c>
      <c r="D4610" t="inlineStr">
        <is>
          <t>GÄVLEBORGS LÄN</t>
        </is>
      </c>
      <c r="E4610" t="inlineStr">
        <is>
          <t>HUDIKSVALL</t>
        </is>
      </c>
      <c r="F4610" t="inlineStr">
        <is>
          <t>Holmen skog AB</t>
        </is>
      </c>
      <c r="G4610" t="n">
        <v>11.9</v>
      </c>
      <c r="H4610" t="n">
        <v>0</v>
      </c>
      <c r="I4610" t="n">
        <v>0</v>
      </c>
      <c r="J4610" t="n">
        <v>0</v>
      </c>
      <c r="K4610" t="n">
        <v>0</v>
      </c>
      <c r="L4610" t="n">
        <v>0</v>
      </c>
      <c r="M4610" t="n">
        <v>0</v>
      </c>
      <c r="N4610" t="n">
        <v>0</v>
      </c>
      <c r="O4610" t="n">
        <v>0</v>
      </c>
      <c r="P4610" t="n">
        <v>0</v>
      </c>
      <c r="Q4610" t="n">
        <v>0</v>
      </c>
      <c r="R4610" s="2" t="inlineStr"/>
    </row>
    <row r="4611" ht="15" customHeight="1">
      <c r="A4611" t="inlineStr">
        <is>
          <t>A 20666-2022</t>
        </is>
      </c>
      <c r="B4611" s="1" t="n">
        <v>44700</v>
      </c>
      <c r="C4611" s="1" t="n">
        <v>45587</v>
      </c>
      <c r="D4611" t="inlineStr">
        <is>
          <t>GÄVLEBORGS LÄN</t>
        </is>
      </c>
      <c r="E4611" t="inlineStr">
        <is>
          <t>OVANÅKER</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20730-2022</t>
        </is>
      </c>
      <c r="B4612" s="1" t="n">
        <v>44701</v>
      </c>
      <c r="C4612" s="1" t="n">
        <v>45587</v>
      </c>
      <c r="D4612" t="inlineStr">
        <is>
          <t>GÄVLEBORGS LÄN</t>
        </is>
      </c>
      <c r="E4612" t="inlineStr">
        <is>
          <t>LJUSDAL</t>
        </is>
      </c>
      <c r="G4612" t="n">
        <v>5.9</v>
      </c>
      <c r="H4612" t="n">
        <v>0</v>
      </c>
      <c r="I4612" t="n">
        <v>0</v>
      </c>
      <c r="J4612" t="n">
        <v>0</v>
      </c>
      <c r="K4612" t="n">
        <v>0</v>
      </c>
      <c r="L4612" t="n">
        <v>0</v>
      </c>
      <c r="M4612" t="n">
        <v>0</v>
      </c>
      <c r="N4612" t="n">
        <v>0</v>
      </c>
      <c r="O4612" t="n">
        <v>0</v>
      </c>
      <c r="P4612" t="n">
        <v>0</v>
      </c>
      <c r="Q4612" t="n">
        <v>0</v>
      </c>
      <c r="R4612" s="2" t="inlineStr"/>
    </row>
    <row r="4613" ht="15" customHeight="1">
      <c r="A4613" t="inlineStr">
        <is>
          <t>A 20812-2022</t>
        </is>
      </c>
      <c r="B4613" s="1" t="n">
        <v>44701</v>
      </c>
      <c r="C4613" s="1" t="n">
        <v>45587</v>
      </c>
      <c r="D4613" t="inlineStr">
        <is>
          <t>GÄVLEBORGS LÄN</t>
        </is>
      </c>
      <c r="E4613" t="inlineStr">
        <is>
          <t>SANDVIKEN</t>
        </is>
      </c>
      <c r="G4613" t="n">
        <v>13.5</v>
      </c>
      <c r="H4613" t="n">
        <v>0</v>
      </c>
      <c r="I4613" t="n">
        <v>0</v>
      </c>
      <c r="J4613" t="n">
        <v>0</v>
      </c>
      <c r="K4613" t="n">
        <v>0</v>
      </c>
      <c r="L4613" t="n">
        <v>0</v>
      </c>
      <c r="M4613" t="n">
        <v>0</v>
      </c>
      <c r="N4613" t="n">
        <v>0</v>
      </c>
      <c r="O4613" t="n">
        <v>0</v>
      </c>
      <c r="P4613" t="n">
        <v>0</v>
      </c>
      <c r="Q4613" t="n">
        <v>0</v>
      </c>
      <c r="R4613" s="2" t="inlineStr"/>
    </row>
    <row r="4614" ht="15" customHeight="1">
      <c r="A4614" t="inlineStr">
        <is>
          <t>A 20744-2022</t>
        </is>
      </c>
      <c r="B4614" s="1" t="n">
        <v>44701</v>
      </c>
      <c r="C4614" s="1" t="n">
        <v>45587</v>
      </c>
      <c r="D4614" t="inlineStr">
        <is>
          <t>GÄVLEBORGS LÄN</t>
        </is>
      </c>
      <c r="E4614" t="inlineStr">
        <is>
          <t>LJUSDAL</t>
        </is>
      </c>
      <c r="F4614" t="inlineStr">
        <is>
          <t>Sveaskog</t>
        </is>
      </c>
      <c r="G4614" t="n">
        <v>10.9</v>
      </c>
      <c r="H4614" t="n">
        <v>0</v>
      </c>
      <c r="I4614" t="n">
        <v>0</v>
      </c>
      <c r="J4614" t="n">
        <v>0</v>
      </c>
      <c r="K4614" t="n">
        <v>0</v>
      </c>
      <c r="L4614" t="n">
        <v>0</v>
      </c>
      <c r="M4614" t="n">
        <v>0</v>
      </c>
      <c r="N4614" t="n">
        <v>0</v>
      </c>
      <c r="O4614" t="n">
        <v>0</v>
      </c>
      <c r="P4614" t="n">
        <v>0</v>
      </c>
      <c r="Q4614" t="n">
        <v>0</v>
      </c>
      <c r="R4614" s="2" t="inlineStr"/>
    </row>
    <row r="4615" ht="15" customHeight="1">
      <c r="A4615" t="inlineStr">
        <is>
          <t>A 20746-2022</t>
        </is>
      </c>
      <c r="B4615" s="1" t="n">
        <v>44701</v>
      </c>
      <c r="C4615" s="1" t="n">
        <v>45587</v>
      </c>
      <c r="D4615" t="inlineStr">
        <is>
          <t>GÄVLEBORGS LÄN</t>
        </is>
      </c>
      <c r="E4615" t="inlineStr">
        <is>
          <t>LJUSDAL</t>
        </is>
      </c>
      <c r="F4615" t="inlineStr">
        <is>
          <t>Sveaskog</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20747-2022</t>
        </is>
      </c>
      <c r="B4616" s="1" t="n">
        <v>44701</v>
      </c>
      <c r="C4616" s="1" t="n">
        <v>45587</v>
      </c>
      <c r="D4616" t="inlineStr">
        <is>
          <t>GÄVLEBORGS LÄN</t>
        </is>
      </c>
      <c r="E4616" t="inlineStr">
        <is>
          <t>LJUSDAL</t>
        </is>
      </c>
      <c r="F4616" t="inlineStr">
        <is>
          <t>Sveaskog</t>
        </is>
      </c>
      <c r="G4616" t="n">
        <v>13.2</v>
      </c>
      <c r="H4616" t="n">
        <v>0</v>
      </c>
      <c r="I4616" t="n">
        <v>0</v>
      </c>
      <c r="J4616" t="n">
        <v>0</v>
      </c>
      <c r="K4616" t="n">
        <v>0</v>
      </c>
      <c r="L4616" t="n">
        <v>0</v>
      </c>
      <c r="M4616" t="n">
        <v>0</v>
      </c>
      <c r="N4616" t="n">
        <v>0</v>
      </c>
      <c r="O4616" t="n">
        <v>0</v>
      </c>
      <c r="P4616" t="n">
        <v>0</v>
      </c>
      <c r="Q4616" t="n">
        <v>0</v>
      </c>
      <c r="R4616" s="2" t="inlineStr"/>
    </row>
    <row r="4617" ht="15" customHeight="1">
      <c r="A4617" t="inlineStr">
        <is>
          <t>A 20750-2022</t>
        </is>
      </c>
      <c r="B4617" s="1" t="n">
        <v>44701</v>
      </c>
      <c r="C4617" s="1" t="n">
        <v>45587</v>
      </c>
      <c r="D4617" t="inlineStr">
        <is>
          <t>GÄVLEBORGS LÄN</t>
        </is>
      </c>
      <c r="E4617" t="inlineStr">
        <is>
          <t>LJUSDAL</t>
        </is>
      </c>
      <c r="F4617" t="inlineStr">
        <is>
          <t>Sveaskog</t>
        </is>
      </c>
      <c r="G4617" t="n">
        <v>6.8</v>
      </c>
      <c r="H4617" t="n">
        <v>0</v>
      </c>
      <c r="I4617" t="n">
        <v>0</v>
      </c>
      <c r="J4617" t="n">
        <v>0</v>
      </c>
      <c r="K4617" t="n">
        <v>0</v>
      </c>
      <c r="L4617" t="n">
        <v>0</v>
      </c>
      <c r="M4617" t="n">
        <v>0</v>
      </c>
      <c r="N4617" t="n">
        <v>0</v>
      </c>
      <c r="O4617" t="n">
        <v>0</v>
      </c>
      <c r="P4617" t="n">
        <v>0</v>
      </c>
      <c r="Q4617" t="n">
        <v>0</v>
      </c>
      <c r="R4617" s="2" t="inlineStr"/>
    </row>
    <row r="4618" ht="15" customHeight="1">
      <c r="A4618" t="inlineStr">
        <is>
          <t>A 20756-2022</t>
        </is>
      </c>
      <c r="B4618" s="1" t="n">
        <v>44701</v>
      </c>
      <c r="C4618" s="1" t="n">
        <v>45587</v>
      </c>
      <c r="D4618" t="inlineStr">
        <is>
          <t>GÄVLEBORGS LÄN</t>
        </is>
      </c>
      <c r="E4618" t="inlineStr">
        <is>
          <t>LJUSDAL</t>
        </is>
      </c>
      <c r="F4618" t="inlineStr">
        <is>
          <t>Sveaskog</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20999-2022</t>
        </is>
      </c>
      <c r="B4619" s="1" t="n">
        <v>44701</v>
      </c>
      <c r="C4619" s="1" t="n">
        <v>45587</v>
      </c>
      <c r="D4619" t="inlineStr">
        <is>
          <t>GÄVLEBORGS LÄN</t>
        </is>
      </c>
      <c r="E4619" t="inlineStr">
        <is>
          <t>GÄVLE</t>
        </is>
      </c>
      <c r="F4619" t="inlineStr">
        <is>
          <t>Bergvik skog väst AB</t>
        </is>
      </c>
      <c r="G4619" t="n">
        <v>26.3</v>
      </c>
      <c r="H4619" t="n">
        <v>0</v>
      </c>
      <c r="I4619" t="n">
        <v>0</v>
      </c>
      <c r="J4619" t="n">
        <v>0</v>
      </c>
      <c r="K4619" t="n">
        <v>0</v>
      </c>
      <c r="L4619" t="n">
        <v>0</v>
      </c>
      <c r="M4619" t="n">
        <v>0</v>
      </c>
      <c r="N4619" t="n">
        <v>0</v>
      </c>
      <c r="O4619" t="n">
        <v>0</v>
      </c>
      <c r="P4619" t="n">
        <v>0</v>
      </c>
      <c r="Q4619" t="n">
        <v>0</v>
      </c>
      <c r="R4619" s="2" t="inlineStr"/>
    </row>
    <row r="4620" ht="15" customHeight="1">
      <c r="A4620" t="inlineStr">
        <is>
          <t>A 20906-2022</t>
        </is>
      </c>
      <c r="B4620" s="1" t="n">
        <v>44701</v>
      </c>
      <c r="C4620" s="1" t="n">
        <v>45587</v>
      </c>
      <c r="D4620" t="inlineStr">
        <is>
          <t>GÄVLEBORGS LÄN</t>
        </is>
      </c>
      <c r="E4620" t="inlineStr">
        <is>
          <t>LJUSDAL</t>
        </is>
      </c>
      <c r="F4620" t="inlineStr">
        <is>
          <t>Sveaskog</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20926-2022</t>
        </is>
      </c>
      <c r="B4621" s="1" t="n">
        <v>44701</v>
      </c>
      <c r="C4621" s="1" t="n">
        <v>45587</v>
      </c>
      <c r="D4621" t="inlineStr">
        <is>
          <t>GÄVLEBORGS LÄN</t>
        </is>
      </c>
      <c r="E4621" t="inlineStr">
        <is>
          <t>OVANÅKER</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20916-2022</t>
        </is>
      </c>
      <c r="B4622" s="1" t="n">
        <v>44701</v>
      </c>
      <c r="C4622" s="1" t="n">
        <v>45587</v>
      </c>
      <c r="D4622" t="inlineStr">
        <is>
          <t>GÄVLEBORGS LÄN</t>
        </is>
      </c>
      <c r="E4622" t="inlineStr">
        <is>
          <t>LJUSDAL</t>
        </is>
      </c>
      <c r="F4622" t="inlineStr">
        <is>
          <t>Sveaskog</t>
        </is>
      </c>
      <c r="G4622" t="n">
        <v>8.800000000000001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20902-2022</t>
        </is>
      </c>
      <c r="B4623" s="1" t="n">
        <v>44701</v>
      </c>
      <c r="C4623" s="1" t="n">
        <v>45587</v>
      </c>
      <c r="D4623" t="inlineStr">
        <is>
          <t>GÄVLEBORGS LÄN</t>
        </is>
      </c>
      <c r="E4623" t="inlineStr">
        <is>
          <t>LJUSDAL</t>
        </is>
      </c>
      <c r="F4623" t="inlineStr">
        <is>
          <t>Sveaskog</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20910-2022</t>
        </is>
      </c>
      <c r="B4624" s="1" t="n">
        <v>44701</v>
      </c>
      <c r="C4624" s="1" t="n">
        <v>45587</v>
      </c>
      <c r="D4624" t="inlineStr">
        <is>
          <t>GÄVLEBORGS LÄN</t>
        </is>
      </c>
      <c r="E4624" t="inlineStr">
        <is>
          <t>NORDANSTIG</t>
        </is>
      </c>
      <c r="F4624" t="inlineStr">
        <is>
          <t>Holmen skog AB</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20985-2022</t>
        </is>
      </c>
      <c r="B4625" s="1" t="n">
        <v>44703</v>
      </c>
      <c r="C4625" s="1" t="n">
        <v>45587</v>
      </c>
      <c r="D4625" t="inlineStr">
        <is>
          <t>GÄVLEBORGS LÄN</t>
        </is>
      </c>
      <c r="E4625" t="inlineStr">
        <is>
          <t>NORDANSTIG</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20986-2022</t>
        </is>
      </c>
      <c r="B4626" s="1" t="n">
        <v>44703</v>
      </c>
      <c r="C4626" s="1" t="n">
        <v>45587</v>
      </c>
      <c r="D4626" t="inlineStr">
        <is>
          <t>GÄVLEBORGS LÄN</t>
        </is>
      </c>
      <c r="E4626" t="inlineStr">
        <is>
          <t>NORDANSTIG</t>
        </is>
      </c>
      <c r="F4626" t="inlineStr">
        <is>
          <t>Holmen skog AB</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20987-2022</t>
        </is>
      </c>
      <c r="B4627" s="1" t="n">
        <v>44703</v>
      </c>
      <c r="C4627" s="1" t="n">
        <v>45587</v>
      </c>
      <c r="D4627" t="inlineStr">
        <is>
          <t>GÄVLEBORGS LÄN</t>
        </is>
      </c>
      <c r="E4627" t="inlineStr">
        <is>
          <t>NORDANSTIG</t>
        </is>
      </c>
      <c r="F4627" t="inlineStr">
        <is>
          <t>Holmen skog AB</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21044-2022</t>
        </is>
      </c>
      <c r="B4628" s="1" t="n">
        <v>44704</v>
      </c>
      <c r="C4628" s="1" t="n">
        <v>45587</v>
      </c>
      <c r="D4628" t="inlineStr">
        <is>
          <t>GÄVLEBORGS LÄN</t>
        </is>
      </c>
      <c r="E4628" t="inlineStr">
        <is>
          <t>LJUSDAL</t>
        </is>
      </c>
      <c r="F4628" t="inlineStr">
        <is>
          <t>Allmännings- och besparingsskogar</t>
        </is>
      </c>
      <c r="G4628" t="n">
        <v>31.3</v>
      </c>
      <c r="H4628" t="n">
        <v>0</v>
      </c>
      <c r="I4628" t="n">
        <v>0</v>
      </c>
      <c r="J4628" t="n">
        <v>0</v>
      </c>
      <c r="K4628" t="n">
        <v>0</v>
      </c>
      <c r="L4628" t="n">
        <v>0</v>
      </c>
      <c r="M4628" t="n">
        <v>0</v>
      </c>
      <c r="N4628" t="n">
        <v>0</v>
      </c>
      <c r="O4628" t="n">
        <v>0</v>
      </c>
      <c r="P4628" t="n">
        <v>0</v>
      </c>
      <c r="Q4628" t="n">
        <v>0</v>
      </c>
      <c r="R4628" s="2" t="inlineStr"/>
    </row>
    <row r="4629" ht="15" customHeight="1">
      <c r="A4629" t="inlineStr">
        <is>
          <t>A 21137-2022</t>
        </is>
      </c>
      <c r="B4629" s="1" t="n">
        <v>44704</v>
      </c>
      <c r="C4629" s="1" t="n">
        <v>45587</v>
      </c>
      <c r="D4629" t="inlineStr">
        <is>
          <t>GÄVLEBORGS LÄN</t>
        </is>
      </c>
      <c r="E4629" t="inlineStr">
        <is>
          <t>BOLLNÄS</t>
        </is>
      </c>
      <c r="F4629" t="inlineStr">
        <is>
          <t>Bergvik skog väst AB</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21009-2022</t>
        </is>
      </c>
      <c r="B4630" s="1" t="n">
        <v>44704</v>
      </c>
      <c r="C4630" s="1" t="n">
        <v>45587</v>
      </c>
      <c r="D4630" t="inlineStr">
        <is>
          <t>GÄVLEBORGS LÄN</t>
        </is>
      </c>
      <c r="E4630" t="inlineStr">
        <is>
          <t>BOLLNÄS</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21157-2022</t>
        </is>
      </c>
      <c r="B4631" s="1" t="n">
        <v>44704</v>
      </c>
      <c r="C4631" s="1" t="n">
        <v>45587</v>
      </c>
      <c r="D4631" t="inlineStr">
        <is>
          <t>GÄVLEBORGS LÄN</t>
        </is>
      </c>
      <c r="E4631" t="inlineStr">
        <is>
          <t>NORDANSTIG</t>
        </is>
      </c>
      <c r="F4631" t="inlineStr">
        <is>
          <t>Holmen skog AB</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21153-2022</t>
        </is>
      </c>
      <c r="B4632" s="1" t="n">
        <v>44704</v>
      </c>
      <c r="C4632" s="1" t="n">
        <v>45587</v>
      </c>
      <c r="D4632" t="inlineStr">
        <is>
          <t>GÄVLEBORGS LÄN</t>
        </is>
      </c>
      <c r="E4632" t="inlineStr">
        <is>
          <t>BOLLNÄS</t>
        </is>
      </c>
      <c r="F4632" t="inlineStr">
        <is>
          <t>Bergvik skog väst AB</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21188-2022</t>
        </is>
      </c>
      <c r="B4633" s="1" t="n">
        <v>44704</v>
      </c>
      <c r="C4633" s="1" t="n">
        <v>45587</v>
      </c>
      <c r="D4633" t="inlineStr">
        <is>
          <t>GÄVLEBORGS LÄN</t>
        </is>
      </c>
      <c r="E4633" t="inlineStr">
        <is>
          <t>NORDANSTIG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21186-2022</t>
        </is>
      </c>
      <c r="B4634" s="1" t="n">
        <v>44705</v>
      </c>
      <c r="C4634" s="1" t="n">
        <v>45587</v>
      </c>
      <c r="D4634" t="inlineStr">
        <is>
          <t>GÄVLEBORGS LÄN</t>
        </is>
      </c>
      <c r="E4634" t="inlineStr">
        <is>
          <t>NORDANSTIG</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21187-2022</t>
        </is>
      </c>
      <c r="B4635" s="1" t="n">
        <v>44705</v>
      </c>
      <c r="C4635" s="1" t="n">
        <v>45587</v>
      </c>
      <c r="D4635" t="inlineStr">
        <is>
          <t>GÄVLEBORGS LÄN</t>
        </is>
      </c>
      <c r="E4635" t="inlineStr">
        <is>
          <t>NORDANSTIG</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21185-2022</t>
        </is>
      </c>
      <c r="B4636" s="1" t="n">
        <v>44704</v>
      </c>
      <c r="C4636" s="1" t="n">
        <v>45587</v>
      </c>
      <c r="D4636" t="inlineStr">
        <is>
          <t>GÄVLEBORGS LÄN</t>
        </is>
      </c>
      <c r="E4636" t="inlineStr">
        <is>
          <t>NORDANSTIG</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21189-2022</t>
        </is>
      </c>
      <c r="B4637" s="1" t="n">
        <v>44705</v>
      </c>
      <c r="C4637" s="1" t="n">
        <v>45587</v>
      </c>
      <c r="D4637" t="inlineStr">
        <is>
          <t>GÄVLEBORGS LÄN</t>
        </is>
      </c>
      <c r="E4637" t="inlineStr">
        <is>
          <t>NORDANSTIG</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21299-2022</t>
        </is>
      </c>
      <c r="B4638" s="1" t="n">
        <v>44705</v>
      </c>
      <c r="C4638" s="1" t="n">
        <v>45587</v>
      </c>
      <c r="D4638" t="inlineStr">
        <is>
          <t>GÄVLEBORGS LÄN</t>
        </is>
      </c>
      <c r="E4638" t="inlineStr">
        <is>
          <t>BOLLNÄS</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21378-2022</t>
        </is>
      </c>
      <c r="B4639" s="1" t="n">
        <v>44705</v>
      </c>
      <c r="C4639" s="1" t="n">
        <v>45587</v>
      </c>
      <c r="D4639" t="inlineStr">
        <is>
          <t>GÄVLEBORGS LÄN</t>
        </is>
      </c>
      <c r="E4639" t="inlineStr">
        <is>
          <t>OCKELBO</t>
        </is>
      </c>
      <c r="F4639" t="inlineStr">
        <is>
          <t>Bergvik skog väst AB</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21291-2022</t>
        </is>
      </c>
      <c r="B4640" s="1" t="n">
        <v>44705</v>
      </c>
      <c r="C4640" s="1" t="n">
        <v>45587</v>
      </c>
      <c r="D4640" t="inlineStr">
        <is>
          <t>GÄVLEBORGS LÄN</t>
        </is>
      </c>
      <c r="E4640" t="inlineStr">
        <is>
          <t>OCKELBO</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21345-2022</t>
        </is>
      </c>
      <c r="B4641" s="1" t="n">
        <v>44705</v>
      </c>
      <c r="C4641" s="1" t="n">
        <v>45587</v>
      </c>
      <c r="D4641" t="inlineStr">
        <is>
          <t>GÄVLEBORGS LÄN</t>
        </is>
      </c>
      <c r="E4641" t="inlineStr">
        <is>
          <t>OVANÅKER</t>
        </is>
      </c>
      <c r="F4641" t="inlineStr">
        <is>
          <t>Sveaskog</t>
        </is>
      </c>
      <c r="G4641" t="n">
        <v>4.2</v>
      </c>
      <c r="H4641" t="n">
        <v>0</v>
      </c>
      <c r="I4641" t="n">
        <v>0</v>
      </c>
      <c r="J4641" t="n">
        <v>0</v>
      </c>
      <c r="K4641" t="n">
        <v>0</v>
      </c>
      <c r="L4641" t="n">
        <v>0</v>
      </c>
      <c r="M4641" t="n">
        <v>0</v>
      </c>
      <c r="N4641" t="n">
        <v>0</v>
      </c>
      <c r="O4641" t="n">
        <v>0</v>
      </c>
      <c r="P4641" t="n">
        <v>0</v>
      </c>
      <c r="Q4641" t="n">
        <v>0</v>
      </c>
      <c r="R4641" s="2" t="inlineStr"/>
    </row>
    <row r="4642" ht="15" customHeight="1">
      <c r="A4642" t="inlineStr">
        <is>
          <t>A 21286-2022</t>
        </is>
      </c>
      <c r="B4642" s="1" t="n">
        <v>44705</v>
      </c>
      <c r="C4642" s="1" t="n">
        <v>45587</v>
      </c>
      <c r="D4642" t="inlineStr">
        <is>
          <t>GÄVLEBORGS LÄN</t>
        </is>
      </c>
      <c r="E4642" t="inlineStr">
        <is>
          <t>NORDANSTIG</t>
        </is>
      </c>
      <c r="F4642" t="inlineStr">
        <is>
          <t>Holmen skog AB</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21326-2022</t>
        </is>
      </c>
      <c r="B4643" s="1" t="n">
        <v>44705</v>
      </c>
      <c r="C4643" s="1" t="n">
        <v>45587</v>
      </c>
      <c r="D4643" t="inlineStr">
        <is>
          <t>GÄVLEBORGS LÄN</t>
        </is>
      </c>
      <c r="E4643" t="inlineStr">
        <is>
          <t>OVANÅKER</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21297-2022</t>
        </is>
      </c>
      <c r="B4644" s="1" t="n">
        <v>44705</v>
      </c>
      <c r="C4644" s="1" t="n">
        <v>45587</v>
      </c>
      <c r="D4644" t="inlineStr">
        <is>
          <t>GÄVLEBORGS LÄN</t>
        </is>
      </c>
      <c r="E4644" t="inlineStr">
        <is>
          <t>SANDVIKEN</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21347-2022</t>
        </is>
      </c>
      <c r="B4645" s="1" t="n">
        <v>44705</v>
      </c>
      <c r="C4645" s="1" t="n">
        <v>45587</v>
      </c>
      <c r="D4645" t="inlineStr">
        <is>
          <t>GÄVLEBORGS LÄN</t>
        </is>
      </c>
      <c r="E4645" t="inlineStr">
        <is>
          <t>OVANÅKER</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21382-2022</t>
        </is>
      </c>
      <c r="B4646" s="1" t="n">
        <v>44705</v>
      </c>
      <c r="C4646" s="1" t="n">
        <v>45587</v>
      </c>
      <c r="D4646" t="inlineStr">
        <is>
          <t>GÄVLEBORGS LÄN</t>
        </is>
      </c>
      <c r="E4646" t="inlineStr">
        <is>
          <t>HUDIKSVALL</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21430-2022</t>
        </is>
      </c>
      <c r="B4647" s="1" t="n">
        <v>44706</v>
      </c>
      <c r="C4647" s="1" t="n">
        <v>45587</v>
      </c>
      <c r="D4647" t="inlineStr">
        <is>
          <t>GÄVLEBORGS LÄN</t>
        </is>
      </c>
      <c r="E4647" t="inlineStr">
        <is>
          <t>NORDANSTIG</t>
        </is>
      </c>
      <c r="F4647" t="inlineStr">
        <is>
          <t>Holmen skog AB</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21474-2022</t>
        </is>
      </c>
      <c r="B4648" s="1" t="n">
        <v>44706</v>
      </c>
      <c r="C4648" s="1" t="n">
        <v>45587</v>
      </c>
      <c r="D4648" t="inlineStr">
        <is>
          <t>GÄVLEBORGS LÄN</t>
        </is>
      </c>
      <c r="E4648" t="inlineStr">
        <is>
          <t>SÖDERHAMN</t>
        </is>
      </c>
      <c r="F4648" t="inlineStr">
        <is>
          <t>Bergvik skog väst AB</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21437-2022</t>
        </is>
      </c>
      <c r="B4649" s="1" t="n">
        <v>44706</v>
      </c>
      <c r="C4649" s="1" t="n">
        <v>45587</v>
      </c>
      <c r="D4649" t="inlineStr">
        <is>
          <t>GÄVLEBORGS LÄN</t>
        </is>
      </c>
      <c r="E4649" t="inlineStr">
        <is>
          <t>GÄVLE</t>
        </is>
      </c>
      <c r="F4649" t="inlineStr">
        <is>
          <t>Bergvik skog väst AB</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21536-2022</t>
        </is>
      </c>
      <c r="B4650" s="1" t="n">
        <v>44706</v>
      </c>
      <c r="C4650" s="1" t="n">
        <v>45587</v>
      </c>
      <c r="D4650" t="inlineStr">
        <is>
          <t>GÄVLEBORGS LÄN</t>
        </is>
      </c>
      <c r="E4650" t="inlineStr">
        <is>
          <t>OVANÅKER</t>
        </is>
      </c>
      <c r="F4650" t="inlineStr">
        <is>
          <t>Sveaskog</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21542-2022</t>
        </is>
      </c>
      <c r="B4651" s="1" t="n">
        <v>44706</v>
      </c>
      <c r="C4651" s="1" t="n">
        <v>45587</v>
      </c>
      <c r="D4651" t="inlineStr">
        <is>
          <t>GÄVLEBORGS LÄN</t>
        </is>
      </c>
      <c r="E4651" t="inlineStr">
        <is>
          <t>LJUSDAL</t>
        </is>
      </c>
      <c r="F4651" t="inlineStr">
        <is>
          <t>Sveaskog</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21436-2022</t>
        </is>
      </c>
      <c r="B4652" s="1" t="n">
        <v>44706</v>
      </c>
      <c r="C4652" s="1" t="n">
        <v>45587</v>
      </c>
      <c r="D4652" t="inlineStr">
        <is>
          <t>GÄVLEBORGS LÄN</t>
        </is>
      </c>
      <c r="E4652" t="inlineStr">
        <is>
          <t>HUDIKSVALL</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21451-2022</t>
        </is>
      </c>
      <c r="B4653" s="1" t="n">
        <v>44706</v>
      </c>
      <c r="C4653" s="1" t="n">
        <v>45587</v>
      </c>
      <c r="D4653" t="inlineStr">
        <is>
          <t>GÄVLEBORGS LÄN</t>
        </is>
      </c>
      <c r="E4653" t="inlineStr">
        <is>
          <t>NORDANSTIG</t>
        </is>
      </c>
      <c r="F4653" t="inlineStr">
        <is>
          <t>Holmen skog AB</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21525-2022</t>
        </is>
      </c>
      <c r="B4654" s="1" t="n">
        <v>44706</v>
      </c>
      <c r="C4654" s="1" t="n">
        <v>45587</v>
      </c>
      <c r="D4654" t="inlineStr">
        <is>
          <t>GÄVLEBORGS LÄN</t>
        </is>
      </c>
      <c r="E4654" t="inlineStr">
        <is>
          <t>HUDIKSVALL</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21438-2022</t>
        </is>
      </c>
      <c r="B4655" s="1" t="n">
        <v>44706</v>
      </c>
      <c r="C4655" s="1" t="n">
        <v>45587</v>
      </c>
      <c r="D4655" t="inlineStr">
        <is>
          <t>GÄVLEBORGS LÄN</t>
        </is>
      </c>
      <c r="E4655" t="inlineStr">
        <is>
          <t>BOLLNÄS</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21468-2022</t>
        </is>
      </c>
      <c r="B4656" s="1" t="n">
        <v>44706</v>
      </c>
      <c r="C4656" s="1" t="n">
        <v>45587</v>
      </c>
      <c r="D4656" t="inlineStr">
        <is>
          <t>GÄVLEBORGS LÄN</t>
        </is>
      </c>
      <c r="E4656" t="inlineStr">
        <is>
          <t>GÄVLE</t>
        </is>
      </c>
      <c r="F4656" t="inlineStr">
        <is>
          <t>Bergvik skog väst AB</t>
        </is>
      </c>
      <c r="G4656" t="n">
        <v>5.4</v>
      </c>
      <c r="H4656" t="n">
        <v>0</v>
      </c>
      <c r="I4656" t="n">
        <v>0</v>
      </c>
      <c r="J4656" t="n">
        <v>0</v>
      </c>
      <c r="K4656" t="n">
        <v>0</v>
      </c>
      <c r="L4656" t="n">
        <v>0</v>
      </c>
      <c r="M4656" t="n">
        <v>0</v>
      </c>
      <c r="N4656" t="n">
        <v>0</v>
      </c>
      <c r="O4656" t="n">
        <v>0</v>
      </c>
      <c r="P4656" t="n">
        <v>0</v>
      </c>
      <c r="Q4656" t="n">
        <v>0</v>
      </c>
      <c r="R4656" s="2" t="inlineStr"/>
    </row>
    <row r="4657" ht="15" customHeight="1">
      <c r="A4657" t="inlineStr">
        <is>
          <t>A 21527-2022</t>
        </is>
      </c>
      <c r="B4657" s="1" t="n">
        <v>44706</v>
      </c>
      <c r="C4657" s="1" t="n">
        <v>45587</v>
      </c>
      <c r="D4657" t="inlineStr">
        <is>
          <t>GÄVLEBORGS LÄN</t>
        </is>
      </c>
      <c r="E4657" t="inlineStr">
        <is>
          <t>OVANÅKER</t>
        </is>
      </c>
      <c r="F4657" t="inlineStr">
        <is>
          <t>Sveaskog</t>
        </is>
      </c>
      <c r="G4657" t="n">
        <v>5.4</v>
      </c>
      <c r="H4657" t="n">
        <v>0</v>
      </c>
      <c r="I4657" t="n">
        <v>0</v>
      </c>
      <c r="J4657" t="n">
        <v>0</v>
      </c>
      <c r="K4657" t="n">
        <v>0</v>
      </c>
      <c r="L4657" t="n">
        <v>0</v>
      </c>
      <c r="M4657" t="n">
        <v>0</v>
      </c>
      <c r="N4657" t="n">
        <v>0</v>
      </c>
      <c r="O4657" t="n">
        <v>0</v>
      </c>
      <c r="P4657" t="n">
        <v>0</v>
      </c>
      <c r="Q4657" t="n">
        <v>0</v>
      </c>
      <c r="R4657" s="2" t="inlineStr"/>
    </row>
    <row r="4658" ht="15" customHeight="1">
      <c r="A4658" t="inlineStr">
        <is>
          <t>A 21616-2022</t>
        </is>
      </c>
      <c r="B4658" s="1" t="n">
        <v>44706</v>
      </c>
      <c r="C4658" s="1" t="n">
        <v>45587</v>
      </c>
      <c r="D4658" t="inlineStr">
        <is>
          <t>GÄVLEBORGS LÄN</t>
        </is>
      </c>
      <c r="E4658" t="inlineStr">
        <is>
          <t>BOLLNÄS</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21540-2022</t>
        </is>
      </c>
      <c r="B4659" s="1" t="n">
        <v>44706</v>
      </c>
      <c r="C4659" s="1" t="n">
        <v>45587</v>
      </c>
      <c r="D4659" t="inlineStr">
        <is>
          <t>GÄVLEBORGS LÄN</t>
        </is>
      </c>
      <c r="E4659" t="inlineStr">
        <is>
          <t>HUDIKSVALL</t>
        </is>
      </c>
      <c r="F4659" t="inlineStr">
        <is>
          <t>Holmen skog AB</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21561-2022</t>
        </is>
      </c>
      <c r="B4660" s="1" t="n">
        <v>44706</v>
      </c>
      <c r="C4660" s="1" t="n">
        <v>45587</v>
      </c>
      <c r="D4660" t="inlineStr">
        <is>
          <t>GÄVLEBORGS LÄN</t>
        </is>
      </c>
      <c r="E4660" t="inlineStr">
        <is>
          <t>HUDIKSVALL</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21795-2022</t>
        </is>
      </c>
      <c r="B4661" s="1" t="n">
        <v>44708</v>
      </c>
      <c r="C4661" s="1" t="n">
        <v>45587</v>
      </c>
      <c r="D4661" t="inlineStr">
        <is>
          <t>GÄVLEBORGS LÄN</t>
        </is>
      </c>
      <c r="E4661" t="inlineStr">
        <is>
          <t>GÄVLE</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21941-2022</t>
        </is>
      </c>
      <c r="B4662" s="1" t="n">
        <v>44711</v>
      </c>
      <c r="C4662" s="1" t="n">
        <v>45587</v>
      </c>
      <c r="D4662" t="inlineStr">
        <is>
          <t>GÄVLEBORGS LÄN</t>
        </is>
      </c>
      <c r="E4662" t="inlineStr">
        <is>
          <t>LJUSDAL</t>
        </is>
      </c>
      <c r="F4662" t="inlineStr">
        <is>
          <t>Bergvik skog väst AB</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21890-2022</t>
        </is>
      </c>
      <c r="B4663" s="1" t="n">
        <v>44711</v>
      </c>
      <c r="C4663" s="1" t="n">
        <v>45587</v>
      </c>
      <c r="D4663" t="inlineStr">
        <is>
          <t>GÄVLEBORGS LÄN</t>
        </is>
      </c>
      <c r="E4663" t="inlineStr">
        <is>
          <t>LJUSDAL</t>
        </is>
      </c>
      <c r="F4663" t="inlineStr">
        <is>
          <t>Bergvik skog väst AB</t>
        </is>
      </c>
      <c r="G4663" t="n">
        <v>30.7</v>
      </c>
      <c r="H4663" t="n">
        <v>0</v>
      </c>
      <c r="I4663" t="n">
        <v>0</v>
      </c>
      <c r="J4663" t="n">
        <v>0</v>
      </c>
      <c r="K4663" t="n">
        <v>0</v>
      </c>
      <c r="L4663" t="n">
        <v>0</v>
      </c>
      <c r="M4663" t="n">
        <v>0</v>
      </c>
      <c r="N4663" t="n">
        <v>0</v>
      </c>
      <c r="O4663" t="n">
        <v>0</v>
      </c>
      <c r="P4663" t="n">
        <v>0</v>
      </c>
      <c r="Q4663" t="n">
        <v>0</v>
      </c>
      <c r="R4663" s="2" t="inlineStr"/>
    </row>
    <row r="4664" ht="15" customHeight="1">
      <c r="A4664" t="inlineStr">
        <is>
          <t>A 21871-2022</t>
        </is>
      </c>
      <c r="B4664" s="1" t="n">
        <v>44711</v>
      </c>
      <c r="C4664" s="1" t="n">
        <v>45587</v>
      </c>
      <c r="D4664" t="inlineStr">
        <is>
          <t>GÄVLEBORGS LÄN</t>
        </is>
      </c>
      <c r="E4664" t="inlineStr">
        <is>
          <t>NORDANSTIG</t>
        </is>
      </c>
      <c r="G4664" t="n">
        <v>8.800000000000001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21877-2022</t>
        </is>
      </c>
      <c r="B4665" s="1" t="n">
        <v>44711</v>
      </c>
      <c r="C4665" s="1" t="n">
        <v>45587</v>
      </c>
      <c r="D4665" t="inlineStr">
        <is>
          <t>GÄVLEBORGS LÄN</t>
        </is>
      </c>
      <c r="E4665" t="inlineStr">
        <is>
          <t>HUDIKSVALL</t>
        </is>
      </c>
      <c r="F4665" t="inlineStr">
        <is>
          <t>Holmen skog AB</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21869-2022</t>
        </is>
      </c>
      <c r="B4666" s="1" t="n">
        <v>44711</v>
      </c>
      <c r="C4666" s="1" t="n">
        <v>45587</v>
      </c>
      <c r="D4666" t="inlineStr">
        <is>
          <t>GÄVLEBORGS LÄN</t>
        </is>
      </c>
      <c r="E4666" t="inlineStr">
        <is>
          <t>NORDANSTIG</t>
        </is>
      </c>
      <c r="F4666" t="inlineStr">
        <is>
          <t>Holmen skog AB</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21873-2022</t>
        </is>
      </c>
      <c r="B4667" s="1" t="n">
        <v>44711</v>
      </c>
      <c r="C4667" s="1" t="n">
        <v>45587</v>
      </c>
      <c r="D4667" t="inlineStr">
        <is>
          <t>GÄVLEBORGS LÄN</t>
        </is>
      </c>
      <c r="E4667" t="inlineStr">
        <is>
          <t>NORDANSTIG</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21952-2022</t>
        </is>
      </c>
      <c r="B4668" s="1" t="n">
        <v>44711</v>
      </c>
      <c r="C4668" s="1" t="n">
        <v>45587</v>
      </c>
      <c r="D4668" t="inlineStr">
        <is>
          <t>GÄVLEBORGS LÄN</t>
        </is>
      </c>
      <c r="E4668" t="inlineStr">
        <is>
          <t>LJUSDAL</t>
        </is>
      </c>
      <c r="F4668" t="inlineStr">
        <is>
          <t>Bergvik skog väst AB</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21965-2022</t>
        </is>
      </c>
      <c r="B4669" s="1" t="n">
        <v>44711</v>
      </c>
      <c r="C4669" s="1" t="n">
        <v>45587</v>
      </c>
      <c r="D4669" t="inlineStr">
        <is>
          <t>GÄVLEBORGS LÄN</t>
        </is>
      </c>
      <c r="E4669" t="inlineStr">
        <is>
          <t>LJUSDAL</t>
        </is>
      </c>
      <c r="F4669" t="inlineStr">
        <is>
          <t>Bergvik skog väst AB</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21957-2022</t>
        </is>
      </c>
      <c r="B4670" s="1" t="n">
        <v>44711</v>
      </c>
      <c r="C4670" s="1" t="n">
        <v>45587</v>
      </c>
      <c r="D4670" t="inlineStr">
        <is>
          <t>GÄVLEBORGS LÄN</t>
        </is>
      </c>
      <c r="E4670" t="inlineStr">
        <is>
          <t>OVANÅKER</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21973-2022</t>
        </is>
      </c>
      <c r="B4671" s="1" t="n">
        <v>44711</v>
      </c>
      <c r="C4671" s="1" t="n">
        <v>45587</v>
      </c>
      <c r="D4671" t="inlineStr">
        <is>
          <t>GÄVLEBORGS LÄN</t>
        </is>
      </c>
      <c r="E4671" t="inlineStr">
        <is>
          <t>OVANÅKER</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21985-2022</t>
        </is>
      </c>
      <c r="B4672" s="1" t="n">
        <v>44711</v>
      </c>
      <c r="C4672" s="1" t="n">
        <v>45587</v>
      </c>
      <c r="D4672" t="inlineStr">
        <is>
          <t>GÄVLEBORGS LÄN</t>
        </is>
      </c>
      <c r="E4672" t="inlineStr">
        <is>
          <t>LJUSDAL</t>
        </is>
      </c>
      <c r="F4672" t="inlineStr">
        <is>
          <t>Bergvik skog väst AB</t>
        </is>
      </c>
      <c r="G4672" t="n">
        <v>8.699999999999999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22007-2022</t>
        </is>
      </c>
      <c r="B4673" s="1" t="n">
        <v>44711</v>
      </c>
      <c r="C4673" s="1" t="n">
        <v>45587</v>
      </c>
      <c r="D4673" t="inlineStr">
        <is>
          <t>GÄVLEBORGS LÄN</t>
        </is>
      </c>
      <c r="E4673" t="inlineStr">
        <is>
          <t>OVANÅKER</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22019-2022</t>
        </is>
      </c>
      <c r="B4674" s="1" t="n">
        <v>44711</v>
      </c>
      <c r="C4674" s="1" t="n">
        <v>45587</v>
      </c>
      <c r="D4674" t="inlineStr">
        <is>
          <t>GÄVLEBORGS LÄN</t>
        </is>
      </c>
      <c r="E4674" t="inlineStr">
        <is>
          <t>SÖDERHAMN</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22041-2022</t>
        </is>
      </c>
      <c r="B4675" s="1" t="n">
        <v>44711</v>
      </c>
      <c r="C4675" s="1" t="n">
        <v>45587</v>
      </c>
      <c r="D4675" t="inlineStr">
        <is>
          <t>GÄVLEBORGS LÄN</t>
        </is>
      </c>
      <c r="E4675" t="inlineStr">
        <is>
          <t>NORDANSTIG</t>
        </is>
      </c>
      <c r="F4675" t="inlineStr">
        <is>
          <t>Holmen skog AB</t>
        </is>
      </c>
      <c r="G4675" t="n">
        <v>6.2</v>
      </c>
      <c r="H4675" t="n">
        <v>0</v>
      </c>
      <c r="I4675" t="n">
        <v>0</v>
      </c>
      <c r="J4675" t="n">
        <v>0</v>
      </c>
      <c r="K4675" t="n">
        <v>0</v>
      </c>
      <c r="L4675" t="n">
        <v>0</v>
      </c>
      <c r="M4675" t="n">
        <v>0</v>
      </c>
      <c r="N4675" t="n">
        <v>0</v>
      </c>
      <c r="O4675" t="n">
        <v>0</v>
      </c>
      <c r="P4675" t="n">
        <v>0</v>
      </c>
      <c r="Q4675" t="n">
        <v>0</v>
      </c>
      <c r="R4675" s="2" t="inlineStr"/>
    </row>
    <row r="4676" ht="15" customHeight="1">
      <c r="A4676" t="inlineStr">
        <is>
          <t>A 22053-2022</t>
        </is>
      </c>
      <c r="B4676" s="1" t="n">
        <v>44711</v>
      </c>
      <c r="C4676" s="1" t="n">
        <v>45587</v>
      </c>
      <c r="D4676" t="inlineStr">
        <is>
          <t>GÄVLEBORGS LÄN</t>
        </is>
      </c>
      <c r="E4676" t="inlineStr">
        <is>
          <t>NORDANSTIG</t>
        </is>
      </c>
      <c r="F4676" t="inlineStr">
        <is>
          <t>Holmen skog AB</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22027-2022</t>
        </is>
      </c>
      <c r="B4677" s="1" t="n">
        <v>44711</v>
      </c>
      <c r="C4677" s="1" t="n">
        <v>45587</v>
      </c>
      <c r="D4677" t="inlineStr">
        <is>
          <t>GÄVLEBORGS LÄN</t>
        </is>
      </c>
      <c r="E4677" t="inlineStr">
        <is>
          <t>NORDANSTIG</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22035-2022</t>
        </is>
      </c>
      <c r="B4678" s="1" t="n">
        <v>44711</v>
      </c>
      <c r="C4678" s="1" t="n">
        <v>45587</v>
      </c>
      <c r="D4678" t="inlineStr">
        <is>
          <t>GÄVLEBORGS LÄN</t>
        </is>
      </c>
      <c r="E4678" t="inlineStr">
        <is>
          <t>OCKELBO</t>
        </is>
      </c>
      <c r="F4678" t="inlineStr">
        <is>
          <t>Bergvik skog väst AB</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22032-2022</t>
        </is>
      </c>
      <c r="B4679" s="1" t="n">
        <v>44711</v>
      </c>
      <c r="C4679" s="1" t="n">
        <v>45587</v>
      </c>
      <c r="D4679" t="inlineStr">
        <is>
          <t>GÄVLEBORGS LÄN</t>
        </is>
      </c>
      <c r="E4679" t="inlineStr">
        <is>
          <t>OCKELBO</t>
        </is>
      </c>
      <c r="F4679" t="inlineStr">
        <is>
          <t>Bergvik skog väst AB</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22097-2022</t>
        </is>
      </c>
      <c r="B4680" s="1" t="n">
        <v>44712</v>
      </c>
      <c r="C4680" s="1" t="n">
        <v>45587</v>
      </c>
      <c r="D4680" t="inlineStr">
        <is>
          <t>GÄVLEBORGS LÄN</t>
        </is>
      </c>
      <c r="E4680" t="inlineStr">
        <is>
          <t>LJUSDAL</t>
        </is>
      </c>
      <c r="F4680" t="inlineStr">
        <is>
          <t>Naturvårdsverket</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22136-2022</t>
        </is>
      </c>
      <c r="B4681" s="1" t="n">
        <v>44712</v>
      </c>
      <c r="C4681" s="1" t="n">
        <v>45587</v>
      </c>
      <c r="D4681" t="inlineStr">
        <is>
          <t>GÄVLEBORGS LÄN</t>
        </is>
      </c>
      <c r="E4681" t="inlineStr">
        <is>
          <t>HUDIKSVALL</t>
        </is>
      </c>
      <c r="F4681" t="inlineStr">
        <is>
          <t>Holmen skog AB</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22151-2022</t>
        </is>
      </c>
      <c r="B4682" s="1" t="n">
        <v>44712</v>
      </c>
      <c r="C4682" s="1" t="n">
        <v>45587</v>
      </c>
      <c r="D4682" t="inlineStr">
        <is>
          <t>GÄVLEBORGS LÄN</t>
        </is>
      </c>
      <c r="E4682" t="inlineStr">
        <is>
          <t>OCKELBO</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22165-2022</t>
        </is>
      </c>
      <c r="B4683" s="1" t="n">
        <v>44712</v>
      </c>
      <c r="C4683" s="1" t="n">
        <v>45587</v>
      </c>
      <c r="D4683" t="inlineStr">
        <is>
          <t>GÄVLEBORGS LÄN</t>
        </is>
      </c>
      <c r="E4683" t="inlineStr">
        <is>
          <t>HUDIKSVALL</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22155-2022</t>
        </is>
      </c>
      <c r="B4684" s="1" t="n">
        <v>44712</v>
      </c>
      <c r="C4684" s="1" t="n">
        <v>45587</v>
      </c>
      <c r="D4684" t="inlineStr">
        <is>
          <t>GÄVLEBORGS LÄN</t>
        </is>
      </c>
      <c r="E4684" t="inlineStr">
        <is>
          <t>LJUSDAL</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22126-2022</t>
        </is>
      </c>
      <c r="B4685" s="1" t="n">
        <v>44712</v>
      </c>
      <c r="C4685" s="1" t="n">
        <v>45587</v>
      </c>
      <c r="D4685" t="inlineStr">
        <is>
          <t>GÄVLEBORGS LÄN</t>
        </is>
      </c>
      <c r="E4685" t="inlineStr">
        <is>
          <t>BOLLNÄS</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22235-2022</t>
        </is>
      </c>
      <c r="B4686" s="1" t="n">
        <v>44712</v>
      </c>
      <c r="C4686" s="1" t="n">
        <v>45587</v>
      </c>
      <c r="D4686" t="inlineStr">
        <is>
          <t>GÄVLEBORGS LÄN</t>
        </is>
      </c>
      <c r="E4686" t="inlineStr">
        <is>
          <t>NORDANSTIG</t>
        </is>
      </c>
      <c r="F4686" t="inlineStr">
        <is>
          <t>Holmen skog AB</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22254-2022</t>
        </is>
      </c>
      <c r="B4687" s="1" t="n">
        <v>44712</v>
      </c>
      <c r="C4687" s="1" t="n">
        <v>45587</v>
      </c>
      <c r="D4687" t="inlineStr">
        <is>
          <t>GÄVLEBORGS LÄN</t>
        </is>
      </c>
      <c r="E4687" t="inlineStr">
        <is>
          <t>NORDANSTIG</t>
        </is>
      </c>
      <c r="F4687" t="inlineStr">
        <is>
          <t>Holmen skog AB</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22198-2022</t>
        </is>
      </c>
      <c r="B4688" s="1" t="n">
        <v>44712</v>
      </c>
      <c r="C4688" s="1" t="n">
        <v>45587</v>
      </c>
      <c r="D4688" t="inlineStr">
        <is>
          <t>GÄVLEBORGS LÄN</t>
        </is>
      </c>
      <c r="E4688" t="inlineStr">
        <is>
          <t>HUDIKSVALL</t>
        </is>
      </c>
      <c r="F4688" t="inlineStr">
        <is>
          <t>Holmen skog AB</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22226-2022</t>
        </is>
      </c>
      <c r="B4689" s="1" t="n">
        <v>44712</v>
      </c>
      <c r="C4689" s="1" t="n">
        <v>45587</v>
      </c>
      <c r="D4689" t="inlineStr">
        <is>
          <t>GÄVLEBORGS LÄN</t>
        </is>
      </c>
      <c r="E4689" t="inlineStr">
        <is>
          <t>BOLLNÄS</t>
        </is>
      </c>
      <c r="F4689" t="inlineStr">
        <is>
          <t>Bergvik skog väst AB</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22361-2022</t>
        </is>
      </c>
      <c r="B4690" s="1" t="n">
        <v>44713</v>
      </c>
      <c r="C4690" s="1" t="n">
        <v>45587</v>
      </c>
      <c r="D4690" t="inlineStr">
        <is>
          <t>GÄVLEBORGS LÄN</t>
        </is>
      </c>
      <c r="E4690" t="inlineStr">
        <is>
          <t>NORDANSTIG</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22362-2022</t>
        </is>
      </c>
      <c r="B4691" s="1" t="n">
        <v>44713</v>
      </c>
      <c r="C4691" s="1" t="n">
        <v>45587</v>
      </c>
      <c r="D4691" t="inlineStr">
        <is>
          <t>GÄVLEBORGS LÄN</t>
        </is>
      </c>
      <c r="E4691" t="inlineStr">
        <is>
          <t>NORDANSTIG</t>
        </is>
      </c>
      <c r="F4691" t="inlineStr">
        <is>
          <t>Holmen skog AB</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22357-2022</t>
        </is>
      </c>
      <c r="B4692" s="1" t="n">
        <v>44713</v>
      </c>
      <c r="C4692" s="1" t="n">
        <v>45587</v>
      </c>
      <c r="D4692" t="inlineStr">
        <is>
          <t>GÄVLEBORGS LÄN</t>
        </is>
      </c>
      <c r="E4692" t="inlineStr">
        <is>
          <t>LJUSDAL</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22546-2022</t>
        </is>
      </c>
      <c r="B4693" s="1" t="n">
        <v>44714</v>
      </c>
      <c r="C4693" s="1" t="n">
        <v>45587</v>
      </c>
      <c r="D4693" t="inlineStr">
        <is>
          <t>GÄVLEBORGS LÄN</t>
        </is>
      </c>
      <c r="E4693" t="inlineStr">
        <is>
          <t>NORDANSTIG</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22547-2022</t>
        </is>
      </c>
      <c r="B4694" s="1" t="n">
        <v>44713</v>
      </c>
      <c r="C4694" s="1" t="n">
        <v>45587</v>
      </c>
      <c r="D4694" t="inlineStr">
        <is>
          <t>GÄVLEBORGS LÄN</t>
        </is>
      </c>
      <c r="E4694" t="inlineStr">
        <is>
          <t>NORDANSTIG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22577-2022</t>
        </is>
      </c>
      <c r="B4695" s="1" t="n">
        <v>44713</v>
      </c>
      <c r="C4695" s="1" t="n">
        <v>45587</v>
      </c>
      <c r="D4695" t="inlineStr">
        <is>
          <t>GÄVLEBORGS LÄN</t>
        </is>
      </c>
      <c r="E4695" t="inlineStr">
        <is>
          <t>GÄVLE</t>
        </is>
      </c>
      <c r="F4695" t="inlineStr">
        <is>
          <t>Bergvik skog väst AB</t>
        </is>
      </c>
      <c r="G4695" t="n">
        <v>10</v>
      </c>
      <c r="H4695" t="n">
        <v>0</v>
      </c>
      <c r="I4695" t="n">
        <v>0</v>
      </c>
      <c r="J4695" t="n">
        <v>0</v>
      </c>
      <c r="K4695" t="n">
        <v>0</v>
      </c>
      <c r="L4695" t="n">
        <v>0</v>
      </c>
      <c r="M4695" t="n">
        <v>0</v>
      </c>
      <c r="N4695" t="n">
        <v>0</v>
      </c>
      <c r="O4695" t="n">
        <v>0</v>
      </c>
      <c r="P4695" t="n">
        <v>0</v>
      </c>
      <c r="Q4695" t="n">
        <v>0</v>
      </c>
      <c r="R4695" s="2" t="inlineStr"/>
    </row>
    <row r="4696" ht="15" customHeight="1">
      <c r="A4696" t="inlineStr">
        <is>
          <t>A 22573-2022</t>
        </is>
      </c>
      <c r="B4696" s="1" t="n">
        <v>44714</v>
      </c>
      <c r="C4696" s="1" t="n">
        <v>45587</v>
      </c>
      <c r="D4696" t="inlineStr">
        <is>
          <t>GÄVLEBORGS LÄN</t>
        </is>
      </c>
      <c r="E4696" t="inlineStr">
        <is>
          <t>LJUSDAL</t>
        </is>
      </c>
      <c r="F4696" t="inlineStr">
        <is>
          <t>Naturvårdsverket</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22599-2022</t>
        </is>
      </c>
      <c r="B4697" s="1" t="n">
        <v>44714</v>
      </c>
      <c r="C4697" s="1" t="n">
        <v>45587</v>
      </c>
      <c r="D4697" t="inlineStr">
        <is>
          <t>GÄVLEBORGS LÄN</t>
        </is>
      </c>
      <c r="E4697" t="inlineStr">
        <is>
          <t>SANDVIKEN</t>
        </is>
      </c>
      <c r="G4697" t="n">
        <v>6.7</v>
      </c>
      <c r="H4697" t="n">
        <v>0</v>
      </c>
      <c r="I4697" t="n">
        <v>0</v>
      </c>
      <c r="J4697" t="n">
        <v>0</v>
      </c>
      <c r="K4697" t="n">
        <v>0</v>
      </c>
      <c r="L4697" t="n">
        <v>0</v>
      </c>
      <c r="M4697" t="n">
        <v>0</v>
      </c>
      <c r="N4697" t="n">
        <v>0</v>
      </c>
      <c r="O4697" t="n">
        <v>0</v>
      </c>
      <c r="P4697" t="n">
        <v>0</v>
      </c>
      <c r="Q4697" t="n">
        <v>0</v>
      </c>
      <c r="R4697" s="2" t="inlineStr"/>
    </row>
    <row r="4698" ht="15" customHeight="1">
      <c r="A4698" t="inlineStr">
        <is>
          <t>A 22648-2022</t>
        </is>
      </c>
      <c r="B4698" s="1" t="n">
        <v>44714</v>
      </c>
      <c r="C4698" s="1" t="n">
        <v>45587</v>
      </c>
      <c r="D4698" t="inlineStr">
        <is>
          <t>GÄVLEBORGS LÄN</t>
        </is>
      </c>
      <c r="E4698" t="inlineStr">
        <is>
          <t>OCKELBO</t>
        </is>
      </c>
      <c r="F4698" t="inlineStr">
        <is>
          <t>Bergvik skog väst AB</t>
        </is>
      </c>
      <c r="G4698" t="n">
        <v>14.5</v>
      </c>
      <c r="H4698" t="n">
        <v>0</v>
      </c>
      <c r="I4698" t="n">
        <v>0</v>
      </c>
      <c r="J4698" t="n">
        <v>0</v>
      </c>
      <c r="K4698" t="n">
        <v>0</v>
      </c>
      <c r="L4698" t="n">
        <v>0</v>
      </c>
      <c r="M4698" t="n">
        <v>0</v>
      </c>
      <c r="N4698" t="n">
        <v>0</v>
      </c>
      <c r="O4698" t="n">
        <v>0</v>
      </c>
      <c r="P4698" t="n">
        <v>0</v>
      </c>
      <c r="Q4698" t="n">
        <v>0</v>
      </c>
      <c r="R4698" s="2" t="inlineStr"/>
    </row>
    <row r="4699" ht="15" customHeight="1">
      <c r="A4699" t="inlineStr">
        <is>
          <t>A 22689-2022</t>
        </is>
      </c>
      <c r="B4699" s="1" t="n">
        <v>44714</v>
      </c>
      <c r="C4699" s="1" t="n">
        <v>45587</v>
      </c>
      <c r="D4699" t="inlineStr">
        <is>
          <t>GÄVLEBORGS LÄN</t>
        </is>
      </c>
      <c r="E4699" t="inlineStr">
        <is>
          <t>BOLLNÄS</t>
        </is>
      </c>
      <c r="F4699" t="inlineStr">
        <is>
          <t>Bergvik skog väst AB</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22654-2022</t>
        </is>
      </c>
      <c r="B4700" s="1" t="n">
        <v>44714</v>
      </c>
      <c r="C4700" s="1" t="n">
        <v>45587</v>
      </c>
      <c r="D4700" t="inlineStr">
        <is>
          <t>GÄVLEBORGS LÄN</t>
        </is>
      </c>
      <c r="E4700" t="inlineStr">
        <is>
          <t>SANDVIKEN</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22646-2022</t>
        </is>
      </c>
      <c r="B4701" s="1" t="n">
        <v>44714</v>
      </c>
      <c r="C4701" s="1" t="n">
        <v>45587</v>
      </c>
      <c r="D4701" t="inlineStr">
        <is>
          <t>GÄVLEBORGS LÄN</t>
        </is>
      </c>
      <c r="E4701" t="inlineStr">
        <is>
          <t>BOLLNÄS</t>
        </is>
      </c>
      <c r="F4701" t="inlineStr">
        <is>
          <t>Bergvik skog väst AB</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22700-2022</t>
        </is>
      </c>
      <c r="B4702" s="1" t="n">
        <v>44714</v>
      </c>
      <c r="C4702" s="1" t="n">
        <v>45587</v>
      </c>
      <c r="D4702" t="inlineStr">
        <is>
          <t>GÄVLEBORGS LÄN</t>
        </is>
      </c>
      <c r="E4702" t="inlineStr">
        <is>
          <t>OVANÅKER</t>
        </is>
      </c>
      <c r="G4702" t="n">
        <v>8.800000000000001</v>
      </c>
      <c r="H4702" t="n">
        <v>0</v>
      </c>
      <c r="I4702" t="n">
        <v>0</v>
      </c>
      <c r="J4702" t="n">
        <v>0</v>
      </c>
      <c r="K4702" t="n">
        <v>0</v>
      </c>
      <c r="L4702" t="n">
        <v>0</v>
      </c>
      <c r="M4702" t="n">
        <v>0</v>
      </c>
      <c r="N4702" t="n">
        <v>0</v>
      </c>
      <c r="O4702" t="n">
        <v>0</v>
      </c>
      <c r="P4702" t="n">
        <v>0</v>
      </c>
      <c r="Q4702" t="n">
        <v>0</v>
      </c>
      <c r="R4702" s="2" t="inlineStr"/>
    </row>
    <row r="4703" ht="15" customHeight="1">
      <c r="A4703" t="inlineStr">
        <is>
          <t>A 22699-2022</t>
        </is>
      </c>
      <c r="B4703" s="1" t="n">
        <v>44714</v>
      </c>
      <c r="C4703" s="1" t="n">
        <v>45587</v>
      </c>
      <c r="D4703" t="inlineStr">
        <is>
          <t>GÄVLEBORGS LÄN</t>
        </is>
      </c>
      <c r="E4703" t="inlineStr">
        <is>
          <t>LJUSDAL</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22728-2022</t>
        </is>
      </c>
      <c r="B4704" s="1" t="n">
        <v>44714</v>
      </c>
      <c r="C4704" s="1" t="n">
        <v>45587</v>
      </c>
      <c r="D4704" t="inlineStr">
        <is>
          <t>GÄVLEBORGS LÄN</t>
        </is>
      </c>
      <c r="E4704" t="inlineStr">
        <is>
          <t>BOLLNÄS</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22745-2022</t>
        </is>
      </c>
      <c r="B4705" s="1" t="n">
        <v>44714</v>
      </c>
      <c r="C4705" s="1" t="n">
        <v>45587</v>
      </c>
      <c r="D4705" t="inlineStr">
        <is>
          <t>GÄVLEBORGS LÄN</t>
        </is>
      </c>
      <c r="E4705" t="inlineStr">
        <is>
          <t>BOLLNÄS</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22859-2022</t>
        </is>
      </c>
      <c r="B4706" s="1" t="n">
        <v>44715</v>
      </c>
      <c r="C4706" s="1" t="n">
        <v>45587</v>
      </c>
      <c r="D4706" t="inlineStr">
        <is>
          <t>GÄVLEBORGS LÄN</t>
        </is>
      </c>
      <c r="E4706" t="inlineStr">
        <is>
          <t>LJUSDAL</t>
        </is>
      </c>
      <c r="F4706" t="inlineStr">
        <is>
          <t>Sveaskog</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22839-2022</t>
        </is>
      </c>
      <c r="B4707" s="1" t="n">
        <v>44715</v>
      </c>
      <c r="C4707" s="1" t="n">
        <v>45587</v>
      </c>
      <c r="D4707" t="inlineStr">
        <is>
          <t>GÄVLEBORGS LÄN</t>
        </is>
      </c>
      <c r="E4707" t="inlineStr">
        <is>
          <t>SANDVIKEN</t>
        </is>
      </c>
      <c r="F4707" t="inlineStr">
        <is>
          <t>Bergvik skog öst AB</t>
        </is>
      </c>
      <c r="G4707" t="n">
        <v>11.4</v>
      </c>
      <c r="H4707" t="n">
        <v>0</v>
      </c>
      <c r="I4707" t="n">
        <v>0</v>
      </c>
      <c r="J4707" t="n">
        <v>0</v>
      </c>
      <c r="K4707" t="n">
        <v>0</v>
      </c>
      <c r="L4707" t="n">
        <v>0</v>
      </c>
      <c r="M4707" t="n">
        <v>0</v>
      </c>
      <c r="N4707" t="n">
        <v>0</v>
      </c>
      <c r="O4707" t="n">
        <v>0</v>
      </c>
      <c r="P4707" t="n">
        <v>0</v>
      </c>
      <c r="Q4707" t="n">
        <v>0</v>
      </c>
      <c r="R4707" s="2" t="inlineStr"/>
    </row>
    <row r="4708" ht="15" customHeight="1">
      <c r="A4708" t="inlineStr">
        <is>
          <t>A 22851-2022</t>
        </is>
      </c>
      <c r="B4708" s="1" t="n">
        <v>44715</v>
      </c>
      <c r="C4708" s="1" t="n">
        <v>45587</v>
      </c>
      <c r="D4708" t="inlineStr">
        <is>
          <t>GÄVLEBORGS LÄN</t>
        </is>
      </c>
      <c r="E4708" t="inlineStr">
        <is>
          <t>LJUSDAL</t>
        </is>
      </c>
      <c r="F4708" t="inlineStr">
        <is>
          <t>Sveaskog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22809-2022</t>
        </is>
      </c>
      <c r="B4709" s="1" t="n">
        <v>44715</v>
      </c>
      <c r="C4709" s="1" t="n">
        <v>45587</v>
      </c>
      <c r="D4709" t="inlineStr">
        <is>
          <t>GÄVLEBORGS LÄN</t>
        </is>
      </c>
      <c r="E4709" t="inlineStr">
        <is>
          <t>OVANÅKER</t>
        </is>
      </c>
      <c r="F4709" t="inlineStr">
        <is>
          <t>Bergvik skog väst AB</t>
        </is>
      </c>
      <c r="G4709" t="n">
        <v>13.5</v>
      </c>
      <c r="H4709" t="n">
        <v>0</v>
      </c>
      <c r="I4709" t="n">
        <v>0</v>
      </c>
      <c r="J4709" t="n">
        <v>0</v>
      </c>
      <c r="K4709" t="n">
        <v>0</v>
      </c>
      <c r="L4709" t="n">
        <v>0</v>
      </c>
      <c r="M4709" t="n">
        <v>0</v>
      </c>
      <c r="N4709" t="n">
        <v>0</v>
      </c>
      <c r="O4709" t="n">
        <v>0</v>
      </c>
      <c r="P4709" t="n">
        <v>0</v>
      </c>
      <c r="Q4709" t="n">
        <v>0</v>
      </c>
      <c r="R4709" s="2" t="inlineStr"/>
    </row>
    <row r="4710" ht="15" customHeight="1">
      <c r="A4710" t="inlineStr">
        <is>
          <t>A 22856-2022</t>
        </is>
      </c>
      <c r="B4710" s="1" t="n">
        <v>44715</v>
      </c>
      <c r="C4710" s="1" t="n">
        <v>45587</v>
      </c>
      <c r="D4710" t="inlineStr">
        <is>
          <t>GÄVLEBORGS LÄN</t>
        </is>
      </c>
      <c r="E4710" t="inlineStr">
        <is>
          <t>LJUSDAL</t>
        </is>
      </c>
      <c r="F4710" t="inlineStr">
        <is>
          <t>Sveaskog</t>
        </is>
      </c>
      <c r="G4710" t="n">
        <v>10.3</v>
      </c>
      <c r="H4710" t="n">
        <v>0</v>
      </c>
      <c r="I4710" t="n">
        <v>0</v>
      </c>
      <c r="J4710" t="n">
        <v>0</v>
      </c>
      <c r="K4710" t="n">
        <v>0</v>
      </c>
      <c r="L4710" t="n">
        <v>0</v>
      </c>
      <c r="M4710" t="n">
        <v>0</v>
      </c>
      <c r="N4710" t="n">
        <v>0</v>
      </c>
      <c r="O4710" t="n">
        <v>0</v>
      </c>
      <c r="P4710" t="n">
        <v>0</v>
      </c>
      <c r="Q4710" t="n">
        <v>0</v>
      </c>
      <c r="R4710" s="2" t="inlineStr"/>
    </row>
    <row r="4711" ht="15" customHeight="1">
      <c r="A4711" t="inlineStr">
        <is>
          <t>A 22933-2022</t>
        </is>
      </c>
      <c r="B4711" s="1" t="n">
        <v>44715</v>
      </c>
      <c r="C4711" s="1" t="n">
        <v>45587</v>
      </c>
      <c r="D4711" t="inlineStr">
        <is>
          <t>GÄVLEBORGS LÄN</t>
        </is>
      </c>
      <c r="E4711" t="inlineStr">
        <is>
          <t>LJUSDAL</t>
        </is>
      </c>
      <c r="F4711" t="inlineStr">
        <is>
          <t>Sveaskog</t>
        </is>
      </c>
      <c r="G4711" t="n">
        <v>10.1</v>
      </c>
      <c r="H4711" t="n">
        <v>0</v>
      </c>
      <c r="I4711" t="n">
        <v>0</v>
      </c>
      <c r="J4711" t="n">
        <v>0</v>
      </c>
      <c r="K4711" t="n">
        <v>0</v>
      </c>
      <c r="L4711" t="n">
        <v>0</v>
      </c>
      <c r="M4711" t="n">
        <v>0</v>
      </c>
      <c r="N4711" t="n">
        <v>0</v>
      </c>
      <c r="O4711" t="n">
        <v>0</v>
      </c>
      <c r="P4711" t="n">
        <v>0</v>
      </c>
      <c r="Q4711" t="n">
        <v>0</v>
      </c>
      <c r="R4711" s="2" t="inlineStr"/>
    </row>
    <row r="4712" ht="15" customHeight="1">
      <c r="A4712" t="inlineStr">
        <is>
          <t>A 22882-2022</t>
        </is>
      </c>
      <c r="B4712" s="1" t="n">
        <v>44715</v>
      </c>
      <c r="C4712" s="1" t="n">
        <v>45587</v>
      </c>
      <c r="D4712" t="inlineStr">
        <is>
          <t>GÄVLEBORGS LÄN</t>
        </is>
      </c>
      <c r="E4712" t="inlineStr">
        <is>
          <t>BOLLNÄS</t>
        </is>
      </c>
      <c r="F4712" t="inlineStr">
        <is>
          <t>Bergvik skog väst AB</t>
        </is>
      </c>
      <c r="G4712" t="n">
        <v>9.9</v>
      </c>
      <c r="H4712" t="n">
        <v>0</v>
      </c>
      <c r="I4712" t="n">
        <v>0</v>
      </c>
      <c r="J4712" t="n">
        <v>0</v>
      </c>
      <c r="K4712" t="n">
        <v>0</v>
      </c>
      <c r="L4712" t="n">
        <v>0</v>
      </c>
      <c r="M4712" t="n">
        <v>0</v>
      </c>
      <c r="N4712" t="n">
        <v>0</v>
      </c>
      <c r="O4712" t="n">
        <v>0</v>
      </c>
      <c r="P4712" t="n">
        <v>0</v>
      </c>
      <c r="Q4712" t="n">
        <v>0</v>
      </c>
      <c r="R4712" s="2" t="inlineStr"/>
    </row>
    <row r="4713" ht="15" customHeight="1">
      <c r="A4713" t="inlineStr">
        <is>
          <t>A 23014-2022</t>
        </is>
      </c>
      <c r="B4713" s="1" t="n">
        <v>44719</v>
      </c>
      <c r="C4713" s="1" t="n">
        <v>45587</v>
      </c>
      <c r="D4713" t="inlineStr">
        <is>
          <t>GÄVLEBORGS LÄN</t>
        </is>
      </c>
      <c r="E4713" t="inlineStr">
        <is>
          <t>OVANÅKER</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23023-2022</t>
        </is>
      </c>
      <c r="B4714" s="1" t="n">
        <v>44719</v>
      </c>
      <c r="C4714" s="1" t="n">
        <v>45587</v>
      </c>
      <c r="D4714" t="inlineStr">
        <is>
          <t>GÄVLEBORGS LÄN</t>
        </is>
      </c>
      <c r="E4714" t="inlineStr">
        <is>
          <t>OVANÅKER</t>
        </is>
      </c>
      <c r="G4714" t="n">
        <v>6.1</v>
      </c>
      <c r="H4714" t="n">
        <v>0</v>
      </c>
      <c r="I4714" t="n">
        <v>0</v>
      </c>
      <c r="J4714" t="n">
        <v>0</v>
      </c>
      <c r="K4714" t="n">
        <v>0</v>
      </c>
      <c r="L4714" t="n">
        <v>0</v>
      </c>
      <c r="M4714" t="n">
        <v>0</v>
      </c>
      <c r="N4714" t="n">
        <v>0</v>
      </c>
      <c r="O4714" t="n">
        <v>0</v>
      </c>
      <c r="P4714" t="n">
        <v>0</v>
      </c>
      <c r="Q4714" t="n">
        <v>0</v>
      </c>
      <c r="R4714" s="2" t="inlineStr"/>
    </row>
    <row r="4715" ht="15" customHeight="1">
      <c r="A4715" t="inlineStr">
        <is>
          <t>A 23089-2022</t>
        </is>
      </c>
      <c r="B4715" s="1" t="n">
        <v>44719</v>
      </c>
      <c r="C4715" s="1" t="n">
        <v>45587</v>
      </c>
      <c r="D4715" t="inlineStr">
        <is>
          <t>GÄVLEBORGS LÄN</t>
        </is>
      </c>
      <c r="E4715" t="inlineStr">
        <is>
          <t>LJUSDAL</t>
        </is>
      </c>
      <c r="F4715" t="inlineStr">
        <is>
          <t>Sveaskog</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23087-2022</t>
        </is>
      </c>
      <c r="B4716" s="1" t="n">
        <v>44719</v>
      </c>
      <c r="C4716" s="1" t="n">
        <v>45587</v>
      </c>
      <c r="D4716" t="inlineStr">
        <is>
          <t>GÄVLEBORGS LÄN</t>
        </is>
      </c>
      <c r="E4716" t="inlineStr">
        <is>
          <t>LJUSDAL</t>
        </is>
      </c>
      <c r="F4716" t="inlineStr">
        <is>
          <t>Sveaskog</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23093-2022</t>
        </is>
      </c>
      <c r="B4717" s="1" t="n">
        <v>44719</v>
      </c>
      <c r="C4717" s="1" t="n">
        <v>45587</v>
      </c>
      <c r="D4717" t="inlineStr">
        <is>
          <t>GÄVLEBORGS LÄN</t>
        </is>
      </c>
      <c r="E4717" t="inlineStr">
        <is>
          <t>OVANÅKER</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23195-2022</t>
        </is>
      </c>
      <c r="B4718" s="1" t="n">
        <v>44720</v>
      </c>
      <c r="C4718" s="1" t="n">
        <v>45587</v>
      </c>
      <c r="D4718" t="inlineStr">
        <is>
          <t>GÄVLEBORGS LÄN</t>
        </is>
      </c>
      <c r="E4718" t="inlineStr">
        <is>
          <t>LJUSDAL</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23191-2022</t>
        </is>
      </c>
      <c r="B4719" s="1" t="n">
        <v>44720</v>
      </c>
      <c r="C4719" s="1" t="n">
        <v>45587</v>
      </c>
      <c r="D4719" t="inlineStr">
        <is>
          <t>GÄVLEBORGS LÄN</t>
        </is>
      </c>
      <c r="E4719" t="inlineStr">
        <is>
          <t>LJUSDAL</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23132-2022</t>
        </is>
      </c>
      <c r="B4720" s="1" t="n">
        <v>44719</v>
      </c>
      <c r="C4720" s="1" t="n">
        <v>45587</v>
      </c>
      <c r="D4720" t="inlineStr">
        <is>
          <t>GÄVLEBORGS LÄN</t>
        </is>
      </c>
      <c r="E4720" t="inlineStr">
        <is>
          <t>HUDIKSVALL</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23192-2022</t>
        </is>
      </c>
      <c r="B4721" s="1" t="n">
        <v>44720</v>
      </c>
      <c r="C4721" s="1" t="n">
        <v>45587</v>
      </c>
      <c r="D4721" t="inlineStr">
        <is>
          <t>GÄVLEBORGS LÄN</t>
        </is>
      </c>
      <c r="E4721" t="inlineStr">
        <is>
          <t>LJUSDAL</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23029-2022</t>
        </is>
      </c>
      <c r="B4722" s="1" t="n">
        <v>44719</v>
      </c>
      <c r="C4722" s="1" t="n">
        <v>45587</v>
      </c>
      <c r="D4722" t="inlineStr">
        <is>
          <t>GÄVLEBORGS LÄN</t>
        </is>
      </c>
      <c r="E4722" t="inlineStr">
        <is>
          <t>OVANÅKER</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23251-2022</t>
        </is>
      </c>
      <c r="B4723" s="1" t="n">
        <v>44720</v>
      </c>
      <c r="C4723" s="1" t="n">
        <v>45587</v>
      </c>
      <c r="D4723" t="inlineStr">
        <is>
          <t>GÄVLEBORGS LÄN</t>
        </is>
      </c>
      <c r="E4723" t="inlineStr">
        <is>
          <t>OVANÅKER</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23358-2022</t>
        </is>
      </c>
      <c r="B4724" s="1" t="n">
        <v>44720</v>
      </c>
      <c r="C4724" s="1" t="n">
        <v>45587</v>
      </c>
      <c r="D4724" t="inlineStr">
        <is>
          <t>GÄVLEBORGS LÄN</t>
        </is>
      </c>
      <c r="E4724" t="inlineStr">
        <is>
          <t>BOLLNÄS</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23368-2022</t>
        </is>
      </c>
      <c r="B4725" s="1" t="n">
        <v>44720</v>
      </c>
      <c r="C4725" s="1" t="n">
        <v>45587</v>
      </c>
      <c r="D4725" t="inlineStr">
        <is>
          <t>GÄVLEBORGS LÄN</t>
        </is>
      </c>
      <c r="E4725" t="inlineStr">
        <is>
          <t>NORDANSTIG</t>
        </is>
      </c>
      <c r="F4725" t="inlineStr">
        <is>
          <t>Holmen skog AB</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23378-2022</t>
        </is>
      </c>
      <c r="B4726" s="1" t="n">
        <v>44720</v>
      </c>
      <c r="C4726" s="1" t="n">
        <v>45587</v>
      </c>
      <c r="D4726" t="inlineStr">
        <is>
          <t>GÄVLEBORGS LÄN</t>
        </is>
      </c>
      <c r="E4726" t="inlineStr">
        <is>
          <t>BOLLNÄS</t>
        </is>
      </c>
      <c r="G4726" t="n">
        <v>5.2</v>
      </c>
      <c r="H4726" t="n">
        <v>0</v>
      </c>
      <c r="I4726" t="n">
        <v>0</v>
      </c>
      <c r="J4726" t="n">
        <v>0</v>
      </c>
      <c r="K4726" t="n">
        <v>0</v>
      </c>
      <c r="L4726" t="n">
        <v>0</v>
      </c>
      <c r="M4726" t="n">
        <v>0</v>
      </c>
      <c r="N4726" t="n">
        <v>0</v>
      </c>
      <c r="O4726" t="n">
        <v>0</v>
      </c>
      <c r="P4726" t="n">
        <v>0</v>
      </c>
      <c r="Q4726" t="n">
        <v>0</v>
      </c>
      <c r="R4726" s="2" t="inlineStr"/>
    </row>
    <row r="4727" ht="15" customHeight="1">
      <c r="A4727" t="inlineStr">
        <is>
          <t>A 23369-2022</t>
        </is>
      </c>
      <c r="B4727" s="1" t="n">
        <v>44720</v>
      </c>
      <c r="C4727" s="1" t="n">
        <v>45587</v>
      </c>
      <c r="D4727" t="inlineStr">
        <is>
          <t>GÄVLEBORGS LÄN</t>
        </is>
      </c>
      <c r="E4727" t="inlineStr">
        <is>
          <t>NORDANSTIG</t>
        </is>
      </c>
      <c r="G4727" t="n">
        <v>5.3</v>
      </c>
      <c r="H4727" t="n">
        <v>0</v>
      </c>
      <c r="I4727" t="n">
        <v>0</v>
      </c>
      <c r="J4727" t="n">
        <v>0</v>
      </c>
      <c r="K4727" t="n">
        <v>0</v>
      </c>
      <c r="L4727" t="n">
        <v>0</v>
      </c>
      <c r="M4727" t="n">
        <v>0</v>
      </c>
      <c r="N4727" t="n">
        <v>0</v>
      </c>
      <c r="O4727" t="n">
        <v>0</v>
      </c>
      <c r="P4727" t="n">
        <v>0</v>
      </c>
      <c r="Q4727" t="n">
        <v>0</v>
      </c>
      <c r="R4727" s="2" t="inlineStr"/>
    </row>
    <row r="4728" ht="15" customHeight="1">
      <c r="A4728" t="inlineStr">
        <is>
          <t>A 23367-2022</t>
        </is>
      </c>
      <c r="B4728" s="1" t="n">
        <v>44720</v>
      </c>
      <c r="C4728" s="1" t="n">
        <v>45587</v>
      </c>
      <c r="D4728" t="inlineStr">
        <is>
          <t>GÄVLEBORGS LÄN</t>
        </is>
      </c>
      <c r="E4728" t="inlineStr">
        <is>
          <t>NORDANSTIG</t>
        </is>
      </c>
      <c r="G4728" t="n">
        <v>5.3</v>
      </c>
      <c r="H4728" t="n">
        <v>0</v>
      </c>
      <c r="I4728" t="n">
        <v>0</v>
      </c>
      <c r="J4728" t="n">
        <v>0</v>
      </c>
      <c r="K4728" t="n">
        <v>0</v>
      </c>
      <c r="L4728" t="n">
        <v>0</v>
      </c>
      <c r="M4728" t="n">
        <v>0</v>
      </c>
      <c r="N4728" t="n">
        <v>0</v>
      </c>
      <c r="O4728" t="n">
        <v>0</v>
      </c>
      <c r="P4728" t="n">
        <v>0</v>
      </c>
      <c r="Q4728" t="n">
        <v>0</v>
      </c>
      <c r="R4728" s="2" t="inlineStr"/>
    </row>
    <row r="4729" ht="15" customHeight="1">
      <c r="A4729" t="inlineStr">
        <is>
          <t>A 23400-2022</t>
        </is>
      </c>
      <c r="B4729" s="1" t="n">
        <v>44720</v>
      </c>
      <c r="C4729" s="1" t="n">
        <v>45587</v>
      </c>
      <c r="D4729" t="inlineStr">
        <is>
          <t>GÄVLEBORGS LÄN</t>
        </is>
      </c>
      <c r="E4729" t="inlineStr">
        <is>
          <t>GÄVLE</t>
        </is>
      </c>
      <c r="F4729" t="inlineStr">
        <is>
          <t>Bergvik skog väst AB</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23652-2022</t>
        </is>
      </c>
      <c r="B4730" s="1" t="n">
        <v>44721</v>
      </c>
      <c r="C4730" s="1" t="n">
        <v>45587</v>
      </c>
      <c r="D4730" t="inlineStr">
        <is>
          <t>GÄVLEBORGS LÄN</t>
        </is>
      </c>
      <c r="E4730" t="inlineStr">
        <is>
          <t>LJUSDAL</t>
        </is>
      </c>
      <c r="F4730" t="inlineStr">
        <is>
          <t>Sveaskog</t>
        </is>
      </c>
      <c r="G4730" t="n">
        <v>7.6</v>
      </c>
      <c r="H4730" t="n">
        <v>0</v>
      </c>
      <c r="I4730" t="n">
        <v>0</v>
      </c>
      <c r="J4730" t="n">
        <v>0</v>
      </c>
      <c r="K4730" t="n">
        <v>0</v>
      </c>
      <c r="L4730" t="n">
        <v>0</v>
      </c>
      <c r="M4730" t="n">
        <v>0</v>
      </c>
      <c r="N4730" t="n">
        <v>0</v>
      </c>
      <c r="O4730" t="n">
        <v>0</v>
      </c>
      <c r="P4730" t="n">
        <v>0</v>
      </c>
      <c r="Q4730" t="n">
        <v>0</v>
      </c>
      <c r="R4730" s="2" t="inlineStr"/>
    </row>
    <row r="4731" ht="15" customHeight="1">
      <c r="A4731" t="inlineStr">
        <is>
          <t>A 23619-2022</t>
        </is>
      </c>
      <c r="B4731" s="1" t="n">
        <v>44721</v>
      </c>
      <c r="C4731" s="1" t="n">
        <v>45587</v>
      </c>
      <c r="D4731" t="inlineStr">
        <is>
          <t>GÄVLEBORGS LÄN</t>
        </is>
      </c>
      <c r="E4731" t="inlineStr">
        <is>
          <t>LJUSDAL</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23881-2022</t>
        </is>
      </c>
      <c r="B4732" s="1" t="n">
        <v>44722</v>
      </c>
      <c r="C4732" s="1" t="n">
        <v>45587</v>
      </c>
      <c r="D4732" t="inlineStr">
        <is>
          <t>GÄVLEBORGS LÄN</t>
        </is>
      </c>
      <c r="E4732" t="inlineStr">
        <is>
          <t>NORDANSTIG</t>
        </is>
      </c>
      <c r="F4732" t="inlineStr">
        <is>
          <t>Holmen skog AB</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23919-2022</t>
        </is>
      </c>
      <c r="B4733" s="1" t="n">
        <v>44722</v>
      </c>
      <c r="C4733" s="1" t="n">
        <v>45587</v>
      </c>
      <c r="D4733" t="inlineStr">
        <is>
          <t>GÄVLEBORGS LÄN</t>
        </is>
      </c>
      <c r="E4733" t="inlineStr">
        <is>
          <t>HUDIKSVALL</t>
        </is>
      </c>
      <c r="F4733" t="inlineStr">
        <is>
          <t>Holmen skog AB</t>
        </is>
      </c>
      <c r="G4733" t="n">
        <v>13.1</v>
      </c>
      <c r="H4733" t="n">
        <v>0</v>
      </c>
      <c r="I4733" t="n">
        <v>0</v>
      </c>
      <c r="J4733" t="n">
        <v>0</v>
      </c>
      <c r="K4733" t="n">
        <v>0</v>
      </c>
      <c r="L4733" t="n">
        <v>0</v>
      </c>
      <c r="M4733" t="n">
        <v>0</v>
      </c>
      <c r="N4733" t="n">
        <v>0</v>
      </c>
      <c r="O4733" t="n">
        <v>0</v>
      </c>
      <c r="P4733" t="n">
        <v>0</v>
      </c>
      <c r="Q4733" t="n">
        <v>0</v>
      </c>
      <c r="R4733" s="2" t="inlineStr"/>
    </row>
    <row r="4734" ht="15" customHeight="1">
      <c r="A4734" t="inlineStr">
        <is>
          <t>A 23925-2022</t>
        </is>
      </c>
      <c r="B4734" s="1" t="n">
        <v>44722</v>
      </c>
      <c r="C4734" s="1" t="n">
        <v>45587</v>
      </c>
      <c r="D4734" t="inlineStr">
        <is>
          <t>GÄVLEBORGS LÄN</t>
        </is>
      </c>
      <c r="E4734" t="inlineStr">
        <is>
          <t>BOLLNÄS</t>
        </is>
      </c>
      <c r="G4734" t="n">
        <v>0.1</v>
      </c>
      <c r="H4734" t="n">
        <v>0</v>
      </c>
      <c r="I4734" t="n">
        <v>0</v>
      </c>
      <c r="J4734" t="n">
        <v>0</v>
      </c>
      <c r="K4734" t="n">
        <v>0</v>
      </c>
      <c r="L4734" t="n">
        <v>0</v>
      </c>
      <c r="M4734" t="n">
        <v>0</v>
      </c>
      <c r="N4734" t="n">
        <v>0</v>
      </c>
      <c r="O4734" t="n">
        <v>0</v>
      </c>
      <c r="P4734" t="n">
        <v>0</v>
      </c>
      <c r="Q4734" t="n">
        <v>0</v>
      </c>
      <c r="R4734" s="2" t="inlineStr"/>
    </row>
    <row r="4735" ht="15" customHeight="1">
      <c r="A4735" t="inlineStr">
        <is>
          <t>A 23885-2022</t>
        </is>
      </c>
      <c r="B4735" s="1" t="n">
        <v>44722</v>
      </c>
      <c r="C4735" s="1" t="n">
        <v>45587</v>
      </c>
      <c r="D4735" t="inlineStr">
        <is>
          <t>GÄVLEBORGS LÄN</t>
        </is>
      </c>
      <c r="E4735" t="inlineStr">
        <is>
          <t>NORDANSTIG</t>
        </is>
      </c>
      <c r="F4735" t="inlineStr">
        <is>
          <t>Holmen skog AB</t>
        </is>
      </c>
      <c r="G4735" t="n">
        <v>4.9</v>
      </c>
      <c r="H4735" t="n">
        <v>0</v>
      </c>
      <c r="I4735" t="n">
        <v>0</v>
      </c>
      <c r="J4735" t="n">
        <v>0</v>
      </c>
      <c r="K4735" t="n">
        <v>0</v>
      </c>
      <c r="L4735" t="n">
        <v>0</v>
      </c>
      <c r="M4735" t="n">
        <v>0</v>
      </c>
      <c r="N4735" t="n">
        <v>0</v>
      </c>
      <c r="O4735" t="n">
        <v>0</v>
      </c>
      <c r="P4735" t="n">
        <v>0</v>
      </c>
      <c r="Q4735" t="n">
        <v>0</v>
      </c>
      <c r="R4735" s="2" t="inlineStr"/>
    </row>
    <row r="4736" ht="15" customHeight="1">
      <c r="A4736" t="inlineStr">
        <is>
          <t>A 23965-2022</t>
        </is>
      </c>
      <c r="B4736" s="1" t="n">
        <v>44722</v>
      </c>
      <c r="C4736" s="1" t="n">
        <v>45587</v>
      </c>
      <c r="D4736" t="inlineStr">
        <is>
          <t>GÄVLEBORGS LÄN</t>
        </is>
      </c>
      <c r="E4736" t="inlineStr">
        <is>
          <t>NORDANSTIG</t>
        </is>
      </c>
      <c r="F4736" t="inlineStr">
        <is>
          <t>Holmen skog AB</t>
        </is>
      </c>
      <c r="G4736" t="n">
        <v>6.5</v>
      </c>
      <c r="H4736" t="n">
        <v>0</v>
      </c>
      <c r="I4736" t="n">
        <v>0</v>
      </c>
      <c r="J4736" t="n">
        <v>0</v>
      </c>
      <c r="K4736" t="n">
        <v>0</v>
      </c>
      <c r="L4736" t="n">
        <v>0</v>
      </c>
      <c r="M4736" t="n">
        <v>0</v>
      </c>
      <c r="N4736" t="n">
        <v>0</v>
      </c>
      <c r="O4736" t="n">
        <v>0</v>
      </c>
      <c r="P4736" t="n">
        <v>0</v>
      </c>
      <c r="Q4736" t="n">
        <v>0</v>
      </c>
      <c r="R4736" s="2" t="inlineStr"/>
    </row>
    <row r="4737" ht="15" customHeight="1">
      <c r="A4737" t="inlineStr">
        <is>
          <t>A 23982-2022</t>
        </is>
      </c>
      <c r="B4737" s="1" t="n">
        <v>44723</v>
      </c>
      <c r="C4737" s="1" t="n">
        <v>45587</v>
      </c>
      <c r="D4737" t="inlineStr">
        <is>
          <t>GÄVLEBORGS LÄN</t>
        </is>
      </c>
      <c r="E4737" t="inlineStr">
        <is>
          <t>LJUSDAL</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23957-2022</t>
        </is>
      </c>
      <c r="B4738" s="1" t="n">
        <v>44722</v>
      </c>
      <c r="C4738" s="1" t="n">
        <v>45587</v>
      </c>
      <c r="D4738" t="inlineStr">
        <is>
          <t>GÄVLEBORGS LÄN</t>
        </is>
      </c>
      <c r="E4738" t="inlineStr">
        <is>
          <t>LJUSDAL</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23985-2022</t>
        </is>
      </c>
      <c r="B4739" s="1" t="n">
        <v>44723</v>
      </c>
      <c r="C4739" s="1" t="n">
        <v>45587</v>
      </c>
      <c r="D4739" t="inlineStr">
        <is>
          <t>GÄVLEBORGS LÄN</t>
        </is>
      </c>
      <c r="E4739" t="inlineStr">
        <is>
          <t>LJUSDAL</t>
        </is>
      </c>
      <c r="G4739" t="n">
        <v>6.6</v>
      </c>
      <c r="H4739" t="n">
        <v>0</v>
      </c>
      <c r="I4739" t="n">
        <v>0</v>
      </c>
      <c r="J4739" t="n">
        <v>0</v>
      </c>
      <c r="K4739" t="n">
        <v>0</v>
      </c>
      <c r="L4739" t="n">
        <v>0</v>
      </c>
      <c r="M4739" t="n">
        <v>0</v>
      </c>
      <c r="N4739" t="n">
        <v>0</v>
      </c>
      <c r="O4739" t="n">
        <v>0</v>
      </c>
      <c r="P4739" t="n">
        <v>0</v>
      </c>
      <c r="Q4739" t="n">
        <v>0</v>
      </c>
      <c r="R4739" s="2" t="inlineStr"/>
    </row>
    <row r="4740" ht="15" customHeight="1">
      <c r="A4740" t="inlineStr">
        <is>
          <t>A 24205-2022</t>
        </is>
      </c>
      <c r="B4740" s="1" t="n">
        <v>44725</v>
      </c>
      <c r="C4740" s="1" t="n">
        <v>45587</v>
      </c>
      <c r="D4740" t="inlineStr">
        <is>
          <t>GÄVLEBORGS LÄN</t>
        </is>
      </c>
      <c r="E4740" t="inlineStr">
        <is>
          <t>LJUSDAL</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24095-2022</t>
        </is>
      </c>
      <c r="B4741" s="1" t="n">
        <v>44725</v>
      </c>
      <c r="C4741" s="1" t="n">
        <v>45587</v>
      </c>
      <c r="D4741" t="inlineStr">
        <is>
          <t>GÄVLEBORGS LÄN</t>
        </is>
      </c>
      <c r="E4741" t="inlineStr">
        <is>
          <t>OVANÅKER</t>
        </is>
      </c>
      <c r="F4741" t="inlineStr">
        <is>
          <t>Bergvik skog väst AB</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24219-2022</t>
        </is>
      </c>
      <c r="B4742" s="1" t="n">
        <v>44725</v>
      </c>
      <c r="C4742" s="1" t="n">
        <v>45587</v>
      </c>
      <c r="D4742" t="inlineStr">
        <is>
          <t>GÄVLEBORGS LÄN</t>
        </is>
      </c>
      <c r="E4742" t="inlineStr">
        <is>
          <t>NORDANSTIG</t>
        </is>
      </c>
      <c r="F4742" t="inlineStr">
        <is>
          <t>Holmen skog AB</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24228-2022</t>
        </is>
      </c>
      <c r="B4743" s="1" t="n">
        <v>44725</v>
      </c>
      <c r="C4743" s="1" t="n">
        <v>45587</v>
      </c>
      <c r="D4743" t="inlineStr">
        <is>
          <t>GÄVLEBORGS LÄN</t>
        </is>
      </c>
      <c r="E4743" t="inlineStr">
        <is>
          <t>OCKELBO</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24208-2022</t>
        </is>
      </c>
      <c r="B4744" s="1" t="n">
        <v>44725</v>
      </c>
      <c r="C4744" s="1" t="n">
        <v>45587</v>
      </c>
      <c r="D4744" t="inlineStr">
        <is>
          <t>GÄVLEBORGS LÄN</t>
        </is>
      </c>
      <c r="E4744" t="inlineStr">
        <is>
          <t>LJUSDAL</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24217-2022</t>
        </is>
      </c>
      <c r="B4745" s="1" t="n">
        <v>44725</v>
      </c>
      <c r="C4745" s="1" t="n">
        <v>45587</v>
      </c>
      <c r="D4745" t="inlineStr">
        <is>
          <t>GÄVLEBORGS LÄN</t>
        </is>
      </c>
      <c r="E4745" t="inlineStr">
        <is>
          <t>LJUSDAL</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24102-2022</t>
        </is>
      </c>
      <c r="B4746" s="1" t="n">
        <v>44725</v>
      </c>
      <c r="C4746" s="1" t="n">
        <v>45587</v>
      </c>
      <c r="D4746" t="inlineStr">
        <is>
          <t>GÄVLEBORGS LÄN</t>
        </is>
      </c>
      <c r="E4746" t="inlineStr">
        <is>
          <t>LJUSDAL</t>
        </is>
      </c>
      <c r="F4746" t="inlineStr">
        <is>
          <t>Bergvik skog väst AB</t>
        </is>
      </c>
      <c r="G4746" t="n">
        <v>10.5</v>
      </c>
      <c r="H4746" t="n">
        <v>0</v>
      </c>
      <c r="I4746" t="n">
        <v>0</v>
      </c>
      <c r="J4746" t="n">
        <v>0</v>
      </c>
      <c r="K4746" t="n">
        <v>0</v>
      </c>
      <c r="L4746" t="n">
        <v>0</v>
      </c>
      <c r="M4746" t="n">
        <v>0</v>
      </c>
      <c r="N4746" t="n">
        <v>0</v>
      </c>
      <c r="O4746" t="n">
        <v>0</v>
      </c>
      <c r="P4746" t="n">
        <v>0</v>
      </c>
      <c r="Q4746" t="n">
        <v>0</v>
      </c>
      <c r="R4746" s="2" t="inlineStr"/>
    </row>
    <row r="4747" ht="15" customHeight="1">
      <c r="A4747" t="inlineStr">
        <is>
          <t>A 24347-2022</t>
        </is>
      </c>
      <c r="B4747" s="1" t="n">
        <v>44726</v>
      </c>
      <c r="C4747" s="1" t="n">
        <v>45587</v>
      </c>
      <c r="D4747" t="inlineStr">
        <is>
          <t>GÄVLEBORGS LÄN</t>
        </is>
      </c>
      <c r="E4747" t="inlineStr">
        <is>
          <t>LJUSDAL</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24340-2022</t>
        </is>
      </c>
      <c r="B4748" s="1" t="n">
        <v>44726</v>
      </c>
      <c r="C4748" s="1" t="n">
        <v>45587</v>
      </c>
      <c r="D4748" t="inlineStr">
        <is>
          <t>GÄVLEBORGS LÄN</t>
        </is>
      </c>
      <c r="E4748" t="inlineStr">
        <is>
          <t>LJUSDAL</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24342-2022</t>
        </is>
      </c>
      <c r="B4749" s="1" t="n">
        <v>44726</v>
      </c>
      <c r="C4749" s="1" t="n">
        <v>45587</v>
      </c>
      <c r="D4749" t="inlineStr">
        <is>
          <t>GÄVLEBORGS LÄN</t>
        </is>
      </c>
      <c r="E4749" t="inlineStr">
        <is>
          <t>LJUSDAL</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24457-2022</t>
        </is>
      </c>
      <c r="B4750" s="1" t="n">
        <v>44726</v>
      </c>
      <c r="C4750" s="1" t="n">
        <v>45587</v>
      </c>
      <c r="D4750" t="inlineStr">
        <is>
          <t>GÄVLEBORGS LÄN</t>
        </is>
      </c>
      <c r="E4750" t="inlineStr">
        <is>
          <t>LJUSDAL</t>
        </is>
      </c>
      <c r="F4750" t="inlineStr">
        <is>
          <t>Allmännings- och besparingsskogar</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24444-2022</t>
        </is>
      </c>
      <c r="B4751" s="1" t="n">
        <v>44726</v>
      </c>
      <c r="C4751" s="1" t="n">
        <v>45587</v>
      </c>
      <c r="D4751" t="inlineStr">
        <is>
          <t>GÄVLEBORGS LÄN</t>
        </is>
      </c>
      <c r="E4751" t="inlineStr">
        <is>
          <t>LJUSDAL</t>
        </is>
      </c>
      <c r="F4751" t="inlineStr">
        <is>
          <t>Sveaskog</t>
        </is>
      </c>
      <c r="G4751" t="n">
        <v>15.6</v>
      </c>
      <c r="H4751" t="n">
        <v>0</v>
      </c>
      <c r="I4751" t="n">
        <v>0</v>
      </c>
      <c r="J4751" t="n">
        <v>0</v>
      </c>
      <c r="K4751" t="n">
        <v>0</v>
      </c>
      <c r="L4751" t="n">
        <v>0</v>
      </c>
      <c r="M4751" t="n">
        <v>0</v>
      </c>
      <c r="N4751" t="n">
        <v>0</v>
      </c>
      <c r="O4751" t="n">
        <v>0</v>
      </c>
      <c r="P4751" t="n">
        <v>0</v>
      </c>
      <c r="Q4751" t="n">
        <v>0</v>
      </c>
      <c r="R4751" s="2" t="inlineStr"/>
    </row>
    <row r="4752" ht="15" customHeight="1">
      <c r="A4752" t="inlineStr">
        <is>
          <t>A 24491-2022</t>
        </is>
      </c>
      <c r="B4752" s="1" t="n">
        <v>44726</v>
      </c>
      <c r="C4752" s="1" t="n">
        <v>45587</v>
      </c>
      <c r="D4752" t="inlineStr">
        <is>
          <t>GÄVLEBORGS LÄN</t>
        </is>
      </c>
      <c r="E4752" t="inlineStr">
        <is>
          <t>LJUSDAL</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24470-2022</t>
        </is>
      </c>
      <c r="B4753" s="1" t="n">
        <v>44726</v>
      </c>
      <c r="C4753" s="1" t="n">
        <v>45587</v>
      </c>
      <c r="D4753" t="inlineStr">
        <is>
          <t>GÄVLEBORGS LÄN</t>
        </is>
      </c>
      <c r="E4753" t="inlineStr">
        <is>
          <t>HUDIKSVALL</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24512-2022</t>
        </is>
      </c>
      <c r="B4754" s="1" t="n">
        <v>44726</v>
      </c>
      <c r="C4754" s="1" t="n">
        <v>45587</v>
      </c>
      <c r="D4754" t="inlineStr">
        <is>
          <t>GÄVLEBORGS LÄN</t>
        </is>
      </c>
      <c r="E4754" t="inlineStr">
        <is>
          <t>LJUSDAL</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24752-2022</t>
        </is>
      </c>
      <c r="B4755" s="1" t="n">
        <v>44728</v>
      </c>
      <c r="C4755" s="1" t="n">
        <v>45587</v>
      </c>
      <c r="D4755" t="inlineStr">
        <is>
          <t>GÄVLEBORGS LÄN</t>
        </is>
      </c>
      <c r="E4755" t="inlineStr">
        <is>
          <t>LJUSDAL</t>
        </is>
      </c>
      <c r="F4755" t="inlineStr">
        <is>
          <t>Sveaskog</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24763-2022</t>
        </is>
      </c>
      <c r="B4756" s="1" t="n">
        <v>44728</v>
      </c>
      <c r="C4756" s="1" t="n">
        <v>45587</v>
      </c>
      <c r="D4756" t="inlineStr">
        <is>
          <t>GÄVLEBORGS LÄN</t>
        </is>
      </c>
      <c r="E4756" t="inlineStr">
        <is>
          <t>BOLLNÄS</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24806-2022</t>
        </is>
      </c>
      <c r="B4757" s="1" t="n">
        <v>44728</v>
      </c>
      <c r="C4757" s="1" t="n">
        <v>45587</v>
      </c>
      <c r="D4757" t="inlineStr">
        <is>
          <t>GÄVLEBORGS LÄN</t>
        </is>
      </c>
      <c r="E4757" t="inlineStr">
        <is>
          <t>HUDIKSVALL</t>
        </is>
      </c>
      <c r="F4757" t="inlineStr">
        <is>
          <t>Sveaskog</t>
        </is>
      </c>
      <c r="G4757" t="n">
        <v>7.1</v>
      </c>
      <c r="H4757" t="n">
        <v>0</v>
      </c>
      <c r="I4757" t="n">
        <v>0</v>
      </c>
      <c r="J4757" t="n">
        <v>0</v>
      </c>
      <c r="K4757" t="n">
        <v>0</v>
      </c>
      <c r="L4757" t="n">
        <v>0</v>
      </c>
      <c r="M4757" t="n">
        <v>0</v>
      </c>
      <c r="N4757" t="n">
        <v>0</v>
      </c>
      <c r="O4757" t="n">
        <v>0</v>
      </c>
      <c r="P4757" t="n">
        <v>0</v>
      </c>
      <c r="Q4757" t="n">
        <v>0</v>
      </c>
      <c r="R4757" s="2" t="inlineStr"/>
    </row>
    <row r="4758" ht="15" customHeight="1">
      <c r="A4758" t="inlineStr">
        <is>
          <t>A 24751-2022</t>
        </is>
      </c>
      <c r="B4758" s="1" t="n">
        <v>44728</v>
      </c>
      <c r="C4758" s="1" t="n">
        <v>45587</v>
      </c>
      <c r="D4758" t="inlineStr">
        <is>
          <t>GÄVLEBORGS LÄN</t>
        </is>
      </c>
      <c r="E4758" t="inlineStr">
        <is>
          <t>OVANÅKER</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24770-2022</t>
        </is>
      </c>
      <c r="B4759" s="1" t="n">
        <v>44728</v>
      </c>
      <c r="C4759" s="1" t="n">
        <v>45587</v>
      </c>
      <c r="D4759" t="inlineStr">
        <is>
          <t>GÄVLEBORGS LÄN</t>
        </is>
      </c>
      <c r="E4759" t="inlineStr">
        <is>
          <t>BOLLNÄS</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24858-2022</t>
        </is>
      </c>
      <c r="B4760" s="1" t="n">
        <v>44728</v>
      </c>
      <c r="C4760" s="1" t="n">
        <v>45587</v>
      </c>
      <c r="D4760" t="inlineStr">
        <is>
          <t>GÄVLEBORGS LÄN</t>
        </is>
      </c>
      <c r="E4760" t="inlineStr">
        <is>
          <t>OVANÅKER</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24808-2022</t>
        </is>
      </c>
      <c r="B4761" s="1" t="n">
        <v>44728</v>
      </c>
      <c r="C4761" s="1" t="n">
        <v>45587</v>
      </c>
      <c r="D4761" t="inlineStr">
        <is>
          <t>GÄVLEBORGS LÄN</t>
        </is>
      </c>
      <c r="E4761" t="inlineStr">
        <is>
          <t>HUDIKSVALL</t>
        </is>
      </c>
      <c r="F4761" t="inlineStr">
        <is>
          <t>Sveaskog</t>
        </is>
      </c>
      <c r="G4761" t="n">
        <v>5.4</v>
      </c>
      <c r="H4761" t="n">
        <v>0</v>
      </c>
      <c r="I4761" t="n">
        <v>0</v>
      </c>
      <c r="J4761" t="n">
        <v>0</v>
      </c>
      <c r="K4761" t="n">
        <v>0</v>
      </c>
      <c r="L4761" t="n">
        <v>0</v>
      </c>
      <c r="M4761" t="n">
        <v>0</v>
      </c>
      <c r="N4761" t="n">
        <v>0</v>
      </c>
      <c r="O4761" t="n">
        <v>0</v>
      </c>
      <c r="P4761" t="n">
        <v>0</v>
      </c>
      <c r="Q4761" t="n">
        <v>0</v>
      </c>
      <c r="R4761" s="2" t="inlineStr"/>
    </row>
    <row r="4762" ht="15" customHeight="1">
      <c r="A4762" t="inlineStr">
        <is>
          <t>A 24750-2022</t>
        </is>
      </c>
      <c r="B4762" s="1" t="n">
        <v>44728</v>
      </c>
      <c r="C4762" s="1" t="n">
        <v>45587</v>
      </c>
      <c r="D4762" t="inlineStr">
        <is>
          <t>GÄVLEBORGS LÄN</t>
        </is>
      </c>
      <c r="E4762" t="inlineStr">
        <is>
          <t>LJUSDAL</t>
        </is>
      </c>
      <c r="F4762" t="inlineStr">
        <is>
          <t>Sveaskog</t>
        </is>
      </c>
      <c r="G4762" t="n">
        <v>20.7</v>
      </c>
      <c r="H4762" t="n">
        <v>0</v>
      </c>
      <c r="I4762" t="n">
        <v>0</v>
      </c>
      <c r="J4762" t="n">
        <v>0</v>
      </c>
      <c r="K4762" t="n">
        <v>0</v>
      </c>
      <c r="L4762" t="n">
        <v>0</v>
      </c>
      <c r="M4762" t="n">
        <v>0</v>
      </c>
      <c r="N4762" t="n">
        <v>0</v>
      </c>
      <c r="O4762" t="n">
        <v>0</v>
      </c>
      <c r="P4762" t="n">
        <v>0</v>
      </c>
      <c r="Q4762" t="n">
        <v>0</v>
      </c>
      <c r="R4762" s="2" t="inlineStr"/>
    </row>
    <row r="4763" ht="15" customHeight="1">
      <c r="A4763" t="inlineStr">
        <is>
          <t>A 24799-2022</t>
        </is>
      </c>
      <c r="B4763" s="1" t="n">
        <v>44728</v>
      </c>
      <c r="C4763" s="1" t="n">
        <v>45587</v>
      </c>
      <c r="D4763" t="inlineStr">
        <is>
          <t>GÄVLEBORGS LÄN</t>
        </is>
      </c>
      <c r="E4763" t="inlineStr">
        <is>
          <t>BOLLNÄS</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24872-2022</t>
        </is>
      </c>
      <c r="B4764" s="1" t="n">
        <v>44728</v>
      </c>
      <c r="C4764" s="1" t="n">
        <v>45587</v>
      </c>
      <c r="D4764" t="inlineStr">
        <is>
          <t>GÄVLEBORGS LÄN</t>
        </is>
      </c>
      <c r="E4764" t="inlineStr">
        <is>
          <t>HUDIKSVALL</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24981-2022</t>
        </is>
      </c>
      <c r="B4765" s="1" t="n">
        <v>44728</v>
      </c>
      <c r="C4765" s="1" t="n">
        <v>45587</v>
      </c>
      <c r="D4765" t="inlineStr">
        <is>
          <t>GÄVLEBORGS LÄN</t>
        </is>
      </c>
      <c r="E4765" t="inlineStr">
        <is>
          <t>BOLLNÄS</t>
        </is>
      </c>
      <c r="F4765" t="inlineStr">
        <is>
          <t>Sveaskog</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24999-2022</t>
        </is>
      </c>
      <c r="B4766" s="1" t="n">
        <v>44728</v>
      </c>
      <c r="C4766" s="1" t="n">
        <v>45587</v>
      </c>
      <c r="D4766" t="inlineStr">
        <is>
          <t>GÄVLEBORGS LÄN</t>
        </is>
      </c>
      <c r="E4766" t="inlineStr">
        <is>
          <t>NORDANSTIG</t>
        </is>
      </c>
      <c r="G4766" t="n">
        <v>18.5</v>
      </c>
      <c r="H4766" t="n">
        <v>0</v>
      </c>
      <c r="I4766" t="n">
        <v>0</v>
      </c>
      <c r="J4766" t="n">
        <v>0</v>
      </c>
      <c r="K4766" t="n">
        <v>0</v>
      </c>
      <c r="L4766" t="n">
        <v>0</v>
      </c>
      <c r="M4766" t="n">
        <v>0</v>
      </c>
      <c r="N4766" t="n">
        <v>0</v>
      </c>
      <c r="O4766" t="n">
        <v>0</v>
      </c>
      <c r="P4766" t="n">
        <v>0</v>
      </c>
      <c r="Q4766" t="n">
        <v>0</v>
      </c>
      <c r="R4766" s="2" t="inlineStr"/>
    </row>
    <row r="4767" ht="15" customHeight="1">
      <c r="A4767" t="inlineStr">
        <is>
          <t>A 25005-2022</t>
        </is>
      </c>
      <c r="B4767" s="1" t="n">
        <v>44729</v>
      </c>
      <c r="C4767" s="1" t="n">
        <v>45587</v>
      </c>
      <c r="D4767" t="inlineStr">
        <is>
          <t>GÄVLEBORGS LÄN</t>
        </is>
      </c>
      <c r="E4767" t="inlineStr">
        <is>
          <t>NORDANSTIG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25001-2022</t>
        </is>
      </c>
      <c r="B4768" s="1" t="n">
        <v>44728</v>
      </c>
      <c r="C4768" s="1" t="n">
        <v>45587</v>
      </c>
      <c r="D4768" t="inlineStr">
        <is>
          <t>GÄVLEBORGS LÄN</t>
        </is>
      </c>
      <c r="E4768" t="inlineStr">
        <is>
          <t>NORDANSTIG</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24996-2022</t>
        </is>
      </c>
      <c r="B4769" s="1" t="n">
        <v>44729</v>
      </c>
      <c r="C4769" s="1" t="n">
        <v>45587</v>
      </c>
      <c r="D4769" t="inlineStr">
        <is>
          <t>GÄVLEBORGS LÄN</t>
        </is>
      </c>
      <c r="E4769" t="inlineStr">
        <is>
          <t>NORDANSTIG</t>
        </is>
      </c>
      <c r="G4769" t="n">
        <v>8.1</v>
      </c>
      <c r="H4769" t="n">
        <v>0</v>
      </c>
      <c r="I4769" t="n">
        <v>0</v>
      </c>
      <c r="J4769" t="n">
        <v>0</v>
      </c>
      <c r="K4769" t="n">
        <v>0</v>
      </c>
      <c r="L4769" t="n">
        <v>0</v>
      </c>
      <c r="M4769" t="n">
        <v>0</v>
      </c>
      <c r="N4769" t="n">
        <v>0</v>
      </c>
      <c r="O4769" t="n">
        <v>0</v>
      </c>
      <c r="P4769" t="n">
        <v>0</v>
      </c>
      <c r="Q4769" t="n">
        <v>0</v>
      </c>
      <c r="R4769" s="2" t="inlineStr"/>
    </row>
    <row r="4770" ht="15" customHeight="1">
      <c r="A4770" t="inlineStr">
        <is>
          <t>A 24998-2022</t>
        </is>
      </c>
      <c r="B4770" s="1" t="n">
        <v>44729</v>
      </c>
      <c r="C4770" s="1" t="n">
        <v>45587</v>
      </c>
      <c r="D4770" t="inlineStr">
        <is>
          <t>GÄVLEBORGS LÄN</t>
        </is>
      </c>
      <c r="E4770" t="inlineStr">
        <is>
          <t>NORDANSTIG</t>
        </is>
      </c>
      <c r="G4770" t="n">
        <v>6.3</v>
      </c>
      <c r="H4770" t="n">
        <v>0</v>
      </c>
      <c r="I4770" t="n">
        <v>0</v>
      </c>
      <c r="J4770" t="n">
        <v>0</v>
      </c>
      <c r="K4770" t="n">
        <v>0</v>
      </c>
      <c r="L4770" t="n">
        <v>0</v>
      </c>
      <c r="M4770" t="n">
        <v>0</v>
      </c>
      <c r="N4770" t="n">
        <v>0</v>
      </c>
      <c r="O4770" t="n">
        <v>0</v>
      </c>
      <c r="P4770" t="n">
        <v>0</v>
      </c>
      <c r="Q4770" t="n">
        <v>0</v>
      </c>
      <c r="R4770" s="2" t="inlineStr"/>
    </row>
    <row r="4771" ht="15" customHeight="1">
      <c r="A4771" t="inlineStr">
        <is>
          <t>A 25002-2022</t>
        </is>
      </c>
      <c r="B4771" s="1" t="n">
        <v>44728</v>
      </c>
      <c r="C4771" s="1" t="n">
        <v>45587</v>
      </c>
      <c r="D4771" t="inlineStr">
        <is>
          <t>GÄVLEBORGS LÄN</t>
        </is>
      </c>
      <c r="E4771" t="inlineStr">
        <is>
          <t>NORDANSTIG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24997-2022</t>
        </is>
      </c>
      <c r="B4772" s="1" t="n">
        <v>44729</v>
      </c>
      <c r="C4772" s="1" t="n">
        <v>45587</v>
      </c>
      <c r="D4772" t="inlineStr">
        <is>
          <t>GÄVLEBORGS LÄN</t>
        </is>
      </c>
      <c r="E4772" t="inlineStr">
        <is>
          <t>NORDANSTIG</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25088-2022</t>
        </is>
      </c>
      <c r="B4773" s="1" t="n">
        <v>44729</v>
      </c>
      <c r="C4773" s="1" t="n">
        <v>45587</v>
      </c>
      <c r="D4773" t="inlineStr">
        <is>
          <t>GÄVLEBORGS LÄN</t>
        </is>
      </c>
      <c r="E4773" t="inlineStr">
        <is>
          <t>BOLLNÄS</t>
        </is>
      </c>
      <c r="F4773" t="inlineStr">
        <is>
          <t>Bergvik skog väst AB</t>
        </is>
      </c>
      <c r="G4773" t="n">
        <v>0.3</v>
      </c>
      <c r="H4773" t="n">
        <v>0</v>
      </c>
      <c r="I4773" t="n">
        <v>0</v>
      </c>
      <c r="J4773" t="n">
        <v>0</v>
      </c>
      <c r="K4773" t="n">
        <v>0</v>
      </c>
      <c r="L4773" t="n">
        <v>0</v>
      </c>
      <c r="M4773" t="n">
        <v>0</v>
      </c>
      <c r="N4773" t="n">
        <v>0</v>
      </c>
      <c r="O4773" t="n">
        <v>0</v>
      </c>
      <c r="P4773" t="n">
        <v>0</v>
      </c>
      <c r="Q4773" t="n">
        <v>0</v>
      </c>
      <c r="R4773" s="2" t="inlineStr"/>
    </row>
    <row r="4774" ht="15" customHeight="1">
      <c r="A4774" t="inlineStr">
        <is>
          <t>A 25075-2022</t>
        </is>
      </c>
      <c r="B4774" s="1" t="n">
        <v>44729</v>
      </c>
      <c r="C4774" s="1" t="n">
        <v>45587</v>
      </c>
      <c r="D4774" t="inlineStr">
        <is>
          <t>GÄVLEBORGS LÄN</t>
        </is>
      </c>
      <c r="E4774" t="inlineStr">
        <is>
          <t>LJUSDAL</t>
        </is>
      </c>
      <c r="F4774" t="inlineStr">
        <is>
          <t>Bergvik skog väst AB</t>
        </is>
      </c>
      <c r="G4774" t="n">
        <v>6.2</v>
      </c>
      <c r="H4774" t="n">
        <v>0</v>
      </c>
      <c r="I4774" t="n">
        <v>0</v>
      </c>
      <c r="J4774" t="n">
        <v>0</v>
      </c>
      <c r="K4774" t="n">
        <v>0</v>
      </c>
      <c r="L4774" t="n">
        <v>0</v>
      </c>
      <c r="M4774" t="n">
        <v>0</v>
      </c>
      <c r="N4774" t="n">
        <v>0</v>
      </c>
      <c r="O4774" t="n">
        <v>0</v>
      </c>
      <c r="P4774" t="n">
        <v>0</v>
      </c>
      <c r="Q4774" t="n">
        <v>0</v>
      </c>
      <c r="R4774" s="2" t="inlineStr"/>
    </row>
    <row r="4775" ht="15" customHeight="1">
      <c r="A4775" t="inlineStr">
        <is>
          <t>A 25116-2022</t>
        </is>
      </c>
      <c r="B4775" s="1" t="n">
        <v>44729</v>
      </c>
      <c r="C4775" s="1" t="n">
        <v>45587</v>
      </c>
      <c r="D4775" t="inlineStr">
        <is>
          <t>GÄVLEBORGS LÄN</t>
        </is>
      </c>
      <c r="E4775" t="inlineStr">
        <is>
          <t>LJUSDAL</t>
        </is>
      </c>
      <c r="F4775" t="inlineStr">
        <is>
          <t>Sveaskog</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25242-2022</t>
        </is>
      </c>
      <c r="B4776" s="1" t="n">
        <v>44729</v>
      </c>
      <c r="C4776" s="1" t="n">
        <v>45587</v>
      </c>
      <c r="D4776" t="inlineStr">
        <is>
          <t>GÄVLEBORGS LÄN</t>
        </is>
      </c>
      <c r="E4776" t="inlineStr">
        <is>
          <t>BOLLNÄS</t>
        </is>
      </c>
      <c r="F4776" t="inlineStr">
        <is>
          <t>Bergvik skog väst AB</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25073-2022</t>
        </is>
      </c>
      <c r="B4777" s="1" t="n">
        <v>44729</v>
      </c>
      <c r="C4777" s="1" t="n">
        <v>45587</v>
      </c>
      <c r="D4777" t="inlineStr">
        <is>
          <t>GÄVLEBORGS LÄN</t>
        </is>
      </c>
      <c r="E4777" t="inlineStr">
        <is>
          <t>OCKELBO</t>
        </is>
      </c>
      <c r="F4777" t="inlineStr">
        <is>
          <t>Bergvik skog väst AB</t>
        </is>
      </c>
      <c r="G4777" t="n">
        <v>7.4</v>
      </c>
      <c r="H4777" t="n">
        <v>0</v>
      </c>
      <c r="I4777" t="n">
        <v>0</v>
      </c>
      <c r="J4777" t="n">
        <v>0</v>
      </c>
      <c r="K4777" t="n">
        <v>0</v>
      </c>
      <c r="L4777" t="n">
        <v>0</v>
      </c>
      <c r="M4777" t="n">
        <v>0</v>
      </c>
      <c r="N4777" t="n">
        <v>0</v>
      </c>
      <c r="O4777" t="n">
        <v>0</v>
      </c>
      <c r="P4777" t="n">
        <v>0</v>
      </c>
      <c r="Q4777" t="n">
        <v>0</v>
      </c>
      <c r="R4777" s="2" t="inlineStr"/>
    </row>
    <row r="4778" ht="15" customHeight="1">
      <c r="A4778" t="inlineStr">
        <is>
          <t>A 25100-2022</t>
        </is>
      </c>
      <c r="B4778" s="1" t="n">
        <v>44729</v>
      </c>
      <c r="C4778" s="1" t="n">
        <v>45587</v>
      </c>
      <c r="D4778" t="inlineStr">
        <is>
          <t>GÄVLEBORGS LÄN</t>
        </is>
      </c>
      <c r="E4778" t="inlineStr">
        <is>
          <t>BOLLNÄS</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25238-2022</t>
        </is>
      </c>
      <c r="B4779" s="1" t="n">
        <v>44729</v>
      </c>
      <c r="C4779" s="1" t="n">
        <v>45587</v>
      </c>
      <c r="D4779" t="inlineStr">
        <is>
          <t>GÄVLEBORGS LÄN</t>
        </is>
      </c>
      <c r="E4779" t="inlineStr">
        <is>
          <t>BOLLNÄS</t>
        </is>
      </c>
      <c r="F4779" t="inlineStr">
        <is>
          <t>Bergvik skog väst AB</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25058-2022</t>
        </is>
      </c>
      <c r="B4780" s="1" t="n">
        <v>44729</v>
      </c>
      <c r="C4780" s="1" t="n">
        <v>45587</v>
      </c>
      <c r="D4780" t="inlineStr">
        <is>
          <t>GÄVLEBORGS LÄN</t>
        </is>
      </c>
      <c r="E4780" t="inlineStr">
        <is>
          <t>OVANÅKER</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25237-2022</t>
        </is>
      </c>
      <c r="B4781" s="1" t="n">
        <v>44729</v>
      </c>
      <c r="C4781" s="1" t="n">
        <v>45587</v>
      </c>
      <c r="D4781" t="inlineStr">
        <is>
          <t>GÄVLEBORGS LÄN</t>
        </is>
      </c>
      <c r="E4781" t="inlineStr">
        <is>
          <t>SÖDERHAMN</t>
        </is>
      </c>
      <c r="F4781" t="inlineStr">
        <is>
          <t>Bergvik skog väst AB</t>
        </is>
      </c>
      <c r="G4781" t="n">
        <v>18.6</v>
      </c>
      <c r="H4781" t="n">
        <v>0</v>
      </c>
      <c r="I4781" t="n">
        <v>0</v>
      </c>
      <c r="J4781" t="n">
        <v>0</v>
      </c>
      <c r="K4781" t="n">
        <v>0</v>
      </c>
      <c r="L4781" t="n">
        <v>0</v>
      </c>
      <c r="M4781" t="n">
        <v>0</v>
      </c>
      <c r="N4781" t="n">
        <v>0</v>
      </c>
      <c r="O4781" t="n">
        <v>0</v>
      </c>
      <c r="P4781" t="n">
        <v>0</v>
      </c>
      <c r="Q4781" t="n">
        <v>0</v>
      </c>
      <c r="R4781" s="2" t="inlineStr"/>
    </row>
    <row r="4782" ht="15" customHeight="1">
      <c r="A4782" t="inlineStr">
        <is>
          <t>A 25087-2022</t>
        </is>
      </c>
      <c r="B4782" s="1" t="n">
        <v>44729</v>
      </c>
      <c r="C4782" s="1" t="n">
        <v>45587</v>
      </c>
      <c r="D4782" t="inlineStr">
        <is>
          <t>GÄVLEBORGS LÄN</t>
        </is>
      </c>
      <c r="E4782" t="inlineStr">
        <is>
          <t>OVANÅKER</t>
        </is>
      </c>
      <c r="F4782" t="inlineStr">
        <is>
          <t>Bergvik skog väst AB</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25239-2022</t>
        </is>
      </c>
      <c r="B4783" s="1" t="n">
        <v>44729</v>
      </c>
      <c r="C4783" s="1" t="n">
        <v>45587</v>
      </c>
      <c r="D4783" t="inlineStr">
        <is>
          <t>GÄVLEBORGS LÄN</t>
        </is>
      </c>
      <c r="E4783" t="inlineStr">
        <is>
          <t>BOLLNÄS</t>
        </is>
      </c>
      <c r="F4783" t="inlineStr">
        <is>
          <t>Bergvik skog väst AB</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25200-2022</t>
        </is>
      </c>
      <c r="B4784" s="1" t="n">
        <v>44729</v>
      </c>
      <c r="C4784" s="1" t="n">
        <v>45587</v>
      </c>
      <c r="D4784" t="inlineStr">
        <is>
          <t>GÄVLEBORGS LÄN</t>
        </is>
      </c>
      <c r="E4784" t="inlineStr">
        <is>
          <t>NORDANSTIG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25110-2022</t>
        </is>
      </c>
      <c r="B4785" s="1" t="n">
        <v>44729</v>
      </c>
      <c r="C4785" s="1" t="n">
        <v>45587</v>
      </c>
      <c r="D4785" t="inlineStr">
        <is>
          <t>GÄVLEBORGS LÄN</t>
        </is>
      </c>
      <c r="E4785" t="inlineStr">
        <is>
          <t>LJUSDAL</t>
        </is>
      </c>
      <c r="F4785" t="inlineStr">
        <is>
          <t>Sveaskog</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25126-2022</t>
        </is>
      </c>
      <c r="B4786" s="1" t="n">
        <v>44729</v>
      </c>
      <c r="C4786" s="1" t="n">
        <v>45587</v>
      </c>
      <c r="D4786" t="inlineStr">
        <is>
          <t>GÄVLEBORGS LÄN</t>
        </is>
      </c>
      <c r="E4786" t="inlineStr">
        <is>
          <t>LJUSDAL</t>
        </is>
      </c>
      <c r="F4786" t="inlineStr">
        <is>
          <t>Sveaskog</t>
        </is>
      </c>
      <c r="G4786" t="n">
        <v>9.699999999999999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25378-2022</t>
        </is>
      </c>
      <c r="B4787" s="1" t="n">
        <v>44732</v>
      </c>
      <c r="C4787" s="1" t="n">
        <v>45587</v>
      </c>
      <c r="D4787" t="inlineStr">
        <is>
          <t>GÄVLEBORGS LÄN</t>
        </is>
      </c>
      <c r="E4787" t="inlineStr">
        <is>
          <t>SÖDERHAMN</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25394-2022</t>
        </is>
      </c>
      <c r="B4788" s="1" t="n">
        <v>44732</v>
      </c>
      <c r="C4788" s="1" t="n">
        <v>45587</v>
      </c>
      <c r="D4788" t="inlineStr">
        <is>
          <t>GÄVLEBORGS LÄN</t>
        </is>
      </c>
      <c r="E4788" t="inlineStr">
        <is>
          <t>OVANÅKER</t>
        </is>
      </c>
      <c r="G4788" t="n">
        <v>0.3</v>
      </c>
      <c r="H4788" t="n">
        <v>0</v>
      </c>
      <c r="I4788" t="n">
        <v>0</v>
      </c>
      <c r="J4788" t="n">
        <v>0</v>
      </c>
      <c r="K4788" t="n">
        <v>0</v>
      </c>
      <c r="L4788" t="n">
        <v>0</v>
      </c>
      <c r="M4788" t="n">
        <v>0</v>
      </c>
      <c r="N4788" t="n">
        <v>0</v>
      </c>
      <c r="O4788" t="n">
        <v>0</v>
      </c>
      <c r="P4788" t="n">
        <v>0</v>
      </c>
      <c r="Q4788" t="n">
        <v>0</v>
      </c>
      <c r="R4788" s="2" t="inlineStr"/>
    </row>
    <row r="4789" ht="15" customHeight="1">
      <c r="A4789" t="inlineStr">
        <is>
          <t>A 25409-2022</t>
        </is>
      </c>
      <c r="B4789" s="1" t="n">
        <v>44732</v>
      </c>
      <c r="C4789" s="1" t="n">
        <v>45587</v>
      </c>
      <c r="D4789" t="inlineStr">
        <is>
          <t>GÄVLEBORGS LÄN</t>
        </is>
      </c>
      <c r="E4789" t="inlineStr">
        <is>
          <t>OVANÅKER</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25349-2022</t>
        </is>
      </c>
      <c r="B4790" s="1" t="n">
        <v>44732</v>
      </c>
      <c r="C4790" s="1" t="n">
        <v>45587</v>
      </c>
      <c r="D4790" t="inlineStr">
        <is>
          <t>GÄVLEBORGS LÄN</t>
        </is>
      </c>
      <c r="E4790" t="inlineStr">
        <is>
          <t>HUDIKSVALL</t>
        </is>
      </c>
      <c r="G4790" t="n">
        <v>5.4</v>
      </c>
      <c r="H4790" t="n">
        <v>0</v>
      </c>
      <c r="I4790" t="n">
        <v>0</v>
      </c>
      <c r="J4790" t="n">
        <v>0</v>
      </c>
      <c r="K4790" t="n">
        <v>0</v>
      </c>
      <c r="L4790" t="n">
        <v>0</v>
      </c>
      <c r="M4790" t="n">
        <v>0</v>
      </c>
      <c r="N4790" t="n">
        <v>0</v>
      </c>
      <c r="O4790" t="n">
        <v>0</v>
      </c>
      <c r="P4790" t="n">
        <v>0</v>
      </c>
      <c r="Q4790" t="n">
        <v>0</v>
      </c>
      <c r="R4790" s="2" t="inlineStr"/>
    </row>
    <row r="4791" ht="15" customHeight="1">
      <c r="A4791" t="inlineStr">
        <is>
          <t>A 25447-2022</t>
        </is>
      </c>
      <c r="B4791" s="1" t="n">
        <v>44732</v>
      </c>
      <c r="C4791" s="1" t="n">
        <v>45587</v>
      </c>
      <c r="D4791" t="inlineStr">
        <is>
          <t>GÄVLEBORGS LÄN</t>
        </is>
      </c>
      <c r="E4791" t="inlineStr">
        <is>
          <t>LJUSDAL</t>
        </is>
      </c>
      <c r="F4791" t="inlineStr">
        <is>
          <t>Sveaskog</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25453-2022</t>
        </is>
      </c>
      <c r="B4792" s="1" t="n">
        <v>44732</v>
      </c>
      <c r="C4792" s="1" t="n">
        <v>45587</v>
      </c>
      <c r="D4792" t="inlineStr">
        <is>
          <t>GÄVLEBORGS LÄN</t>
        </is>
      </c>
      <c r="E4792" t="inlineStr">
        <is>
          <t>OCKELBO</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25460-2022</t>
        </is>
      </c>
      <c r="B4793" s="1" t="n">
        <v>44732</v>
      </c>
      <c r="C4793" s="1" t="n">
        <v>45587</v>
      </c>
      <c r="D4793" t="inlineStr">
        <is>
          <t>GÄVLEBORGS LÄN</t>
        </is>
      </c>
      <c r="E4793" t="inlineStr">
        <is>
          <t>NORDANSTIG</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25415-2022</t>
        </is>
      </c>
      <c r="B4794" s="1" t="n">
        <v>44732</v>
      </c>
      <c r="C4794" s="1" t="n">
        <v>45587</v>
      </c>
      <c r="D4794" t="inlineStr">
        <is>
          <t>GÄVLEBORGS LÄN</t>
        </is>
      </c>
      <c r="E4794" t="inlineStr">
        <is>
          <t>LJUSDAL</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25629-2022</t>
        </is>
      </c>
      <c r="B4795" s="1" t="n">
        <v>44733</v>
      </c>
      <c r="C4795" s="1" t="n">
        <v>45587</v>
      </c>
      <c r="D4795" t="inlineStr">
        <is>
          <t>GÄVLEBORGS LÄN</t>
        </is>
      </c>
      <c r="E4795" t="inlineStr">
        <is>
          <t>BOLLNÄS</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25633-2022</t>
        </is>
      </c>
      <c r="B4796" s="1" t="n">
        <v>44732</v>
      </c>
      <c r="C4796" s="1" t="n">
        <v>45587</v>
      </c>
      <c r="D4796" t="inlineStr">
        <is>
          <t>GÄVLEBORGS LÄN</t>
        </is>
      </c>
      <c r="E4796" t="inlineStr">
        <is>
          <t>BOLLNÄS</t>
        </is>
      </c>
      <c r="G4796" t="n">
        <v>4.1</v>
      </c>
      <c r="H4796" t="n">
        <v>0</v>
      </c>
      <c r="I4796" t="n">
        <v>0</v>
      </c>
      <c r="J4796" t="n">
        <v>0</v>
      </c>
      <c r="K4796" t="n">
        <v>0</v>
      </c>
      <c r="L4796" t="n">
        <v>0</v>
      </c>
      <c r="M4796" t="n">
        <v>0</v>
      </c>
      <c r="N4796" t="n">
        <v>0</v>
      </c>
      <c r="O4796" t="n">
        <v>0</v>
      </c>
      <c r="P4796" t="n">
        <v>0</v>
      </c>
      <c r="Q4796" t="n">
        <v>0</v>
      </c>
      <c r="R4796" s="2" t="inlineStr"/>
    </row>
    <row r="4797" ht="15" customHeight="1">
      <c r="A4797" t="inlineStr">
        <is>
          <t>A 25632-2022</t>
        </is>
      </c>
      <c r="B4797" s="1" t="n">
        <v>44733</v>
      </c>
      <c r="C4797" s="1" t="n">
        <v>45587</v>
      </c>
      <c r="D4797" t="inlineStr">
        <is>
          <t>GÄVLEBORGS LÄN</t>
        </is>
      </c>
      <c r="E4797" t="inlineStr">
        <is>
          <t>BOLLNÄS</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25640-2022</t>
        </is>
      </c>
      <c r="B4798" s="1" t="n">
        <v>44732</v>
      </c>
      <c r="C4798" s="1" t="n">
        <v>45587</v>
      </c>
      <c r="D4798" t="inlineStr">
        <is>
          <t>GÄVLEBORGS LÄN</t>
        </is>
      </c>
      <c r="E4798" t="inlineStr">
        <is>
          <t>SÖDERHAMN</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25631-2022</t>
        </is>
      </c>
      <c r="B4799" s="1" t="n">
        <v>44732</v>
      </c>
      <c r="C4799" s="1" t="n">
        <v>45587</v>
      </c>
      <c r="D4799" t="inlineStr">
        <is>
          <t>GÄVLEBORGS LÄN</t>
        </is>
      </c>
      <c r="E4799" t="inlineStr">
        <is>
          <t>BOLLNÄS</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25638-2022</t>
        </is>
      </c>
      <c r="B4800" s="1" t="n">
        <v>44733</v>
      </c>
      <c r="C4800" s="1" t="n">
        <v>45587</v>
      </c>
      <c r="D4800" t="inlineStr">
        <is>
          <t>GÄVLEBORGS LÄN</t>
        </is>
      </c>
      <c r="E4800" t="inlineStr">
        <is>
          <t>LJUSDAL</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25630-2022</t>
        </is>
      </c>
      <c r="B4801" s="1" t="n">
        <v>44733</v>
      </c>
      <c r="C4801" s="1" t="n">
        <v>45587</v>
      </c>
      <c r="D4801" t="inlineStr">
        <is>
          <t>GÄVLEBORGS LÄN</t>
        </is>
      </c>
      <c r="E4801" t="inlineStr">
        <is>
          <t>LJUSDAL</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25634-2022</t>
        </is>
      </c>
      <c r="B4802" s="1" t="n">
        <v>44733</v>
      </c>
      <c r="C4802" s="1" t="n">
        <v>45587</v>
      </c>
      <c r="D4802" t="inlineStr">
        <is>
          <t>GÄVLEBORGS LÄN</t>
        </is>
      </c>
      <c r="E4802" t="inlineStr">
        <is>
          <t>LJUSDAL</t>
        </is>
      </c>
      <c r="G4802" t="n">
        <v>9.800000000000001</v>
      </c>
      <c r="H4802" t="n">
        <v>0</v>
      </c>
      <c r="I4802" t="n">
        <v>0</v>
      </c>
      <c r="J4802" t="n">
        <v>0</v>
      </c>
      <c r="K4802" t="n">
        <v>0</v>
      </c>
      <c r="L4802" t="n">
        <v>0</v>
      </c>
      <c r="M4802" t="n">
        <v>0</v>
      </c>
      <c r="N4802" t="n">
        <v>0</v>
      </c>
      <c r="O4802" t="n">
        <v>0</v>
      </c>
      <c r="P4802" t="n">
        <v>0</v>
      </c>
      <c r="Q4802" t="n">
        <v>0</v>
      </c>
      <c r="R4802" s="2" t="inlineStr"/>
    </row>
    <row r="4803" ht="15" customHeight="1">
      <c r="A4803" t="inlineStr">
        <is>
          <t>A 25722-2022</t>
        </is>
      </c>
      <c r="B4803" s="1" t="n">
        <v>44733</v>
      </c>
      <c r="C4803" s="1" t="n">
        <v>45587</v>
      </c>
      <c r="D4803" t="inlineStr">
        <is>
          <t>GÄVLEBORGS LÄN</t>
        </is>
      </c>
      <c r="E4803" t="inlineStr">
        <is>
          <t>GÄVLE</t>
        </is>
      </c>
      <c r="F4803" t="inlineStr">
        <is>
          <t>Bergvik skog öst AB</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25684-2022</t>
        </is>
      </c>
      <c r="B4804" s="1" t="n">
        <v>44733</v>
      </c>
      <c r="C4804" s="1" t="n">
        <v>45587</v>
      </c>
      <c r="D4804" t="inlineStr">
        <is>
          <t>GÄVLEBORGS LÄN</t>
        </is>
      </c>
      <c r="E4804" t="inlineStr">
        <is>
          <t>SANDVIKEN</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25768-2022</t>
        </is>
      </c>
      <c r="B4805" s="1" t="n">
        <v>44733</v>
      </c>
      <c r="C4805" s="1" t="n">
        <v>45587</v>
      </c>
      <c r="D4805" t="inlineStr">
        <is>
          <t>GÄVLEBORGS LÄN</t>
        </is>
      </c>
      <c r="E4805" t="inlineStr">
        <is>
          <t>GÄVLE</t>
        </is>
      </c>
      <c r="F4805" t="inlineStr">
        <is>
          <t>Bergvik skog öst AB</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25774-2022</t>
        </is>
      </c>
      <c r="B4806" s="1" t="n">
        <v>44733</v>
      </c>
      <c r="C4806" s="1" t="n">
        <v>45587</v>
      </c>
      <c r="D4806" t="inlineStr">
        <is>
          <t>GÄVLEBORGS LÄN</t>
        </is>
      </c>
      <c r="E4806" t="inlineStr">
        <is>
          <t>GÄVLE</t>
        </is>
      </c>
      <c r="F4806" t="inlineStr">
        <is>
          <t>Bergvik skog öst AB</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25941-2022</t>
        </is>
      </c>
      <c r="B4807" s="1" t="n">
        <v>44734</v>
      </c>
      <c r="C4807" s="1" t="n">
        <v>45587</v>
      </c>
      <c r="D4807" t="inlineStr">
        <is>
          <t>GÄVLEBORGS LÄN</t>
        </is>
      </c>
      <c r="E4807" t="inlineStr">
        <is>
          <t>SANDVIKEN</t>
        </is>
      </c>
      <c r="F4807" t="inlineStr">
        <is>
          <t>Sveaskog</t>
        </is>
      </c>
      <c r="G4807" t="n">
        <v>13.5</v>
      </c>
      <c r="H4807" t="n">
        <v>0</v>
      </c>
      <c r="I4807" t="n">
        <v>0</v>
      </c>
      <c r="J4807" t="n">
        <v>0</v>
      </c>
      <c r="K4807" t="n">
        <v>0</v>
      </c>
      <c r="L4807" t="n">
        <v>0</v>
      </c>
      <c r="M4807" t="n">
        <v>0</v>
      </c>
      <c r="N4807" t="n">
        <v>0</v>
      </c>
      <c r="O4807" t="n">
        <v>0</v>
      </c>
      <c r="P4807" t="n">
        <v>0</v>
      </c>
      <c r="Q4807" t="n">
        <v>0</v>
      </c>
      <c r="R4807" s="2" t="inlineStr"/>
    </row>
    <row r="4808" ht="15" customHeight="1">
      <c r="A4808" t="inlineStr">
        <is>
          <t>A 25938-2022</t>
        </is>
      </c>
      <c r="B4808" s="1" t="n">
        <v>44734</v>
      </c>
      <c r="C4808" s="1" t="n">
        <v>45587</v>
      </c>
      <c r="D4808" t="inlineStr">
        <is>
          <t>GÄVLEBORGS LÄN</t>
        </is>
      </c>
      <c r="E4808" t="inlineStr">
        <is>
          <t>GÄVLE</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26113-2022</t>
        </is>
      </c>
      <c r="B4809" s="1" t="n">
        <v>44734</v>
      </c>
      <c r="C4809" s="1" t="n">
        <v>45587</v>
      </c>
      <c r="D4809" t="inlineStr">
        <is>
          <t>GÄVLEBORGS LÄN</t>
        </is>
      </c>
      <c r="E4809" t="inlineStr">
        <is>
          <t>NORDANSTIG</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26249-2022</t>
        </is>
      </c>
      <c r="B4810" s="1" t="n">
        <v>44735</v>
      </c>
      <c r="C4810" s="1" t="n">
        <v>45587</v>
      </c>
      <c r="D4810" t="inlineStr">
        <is>
          <t>GÄVLEBORGS LÄN</t>
        </is>
      </c>
      <c r="E4810" t="inlineStr">
        <is>
          <t>GÄVLE</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26304-2022</t>
        </is>
      </c>
      <c r="B4811" s="1" t="n">
        <v>44735</v>
      </c>
      <c r="C4811" s="1" t="n">
        <v>45587</v>
      </c>
      <c r="D4811" t="inlineStr">
        <is>
          <t>GÄVLEBORGS LÄN</t>
        </is>
      </c>
      <c r="E4811" t="inlineStr">
        <is>
          <t>BOLLNÄS</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26157-2022</t>
        </is>
      </c>
      <c r="B4812" s="1" t="n">
        <v>44735</v>
      </c>
      <c r="C4812" s="1" t="n">
        <v>45587</v>
      </c>
      <c r="D4812" t="inlineStr">
        <is>
          <t>GÄVLEBORGS LÄN</t>
        </is>
      </c>
      <c r="E4812" t="inlineStr">
        <is>
          <t>GÄVLE</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26336-2022</t>
        </is>
      </c>
      <c r="B4813" s="1" t="n">
        <v>44735</v>
      </c>
      <c r="C4813" s="1" t="n">
        <v>45587</v>
      </c>
      <c r="D4813" t="inlineStr">
        <is>
          <t>GÄVLEBORGS LÄN</t>
        </is>
      </c>
      <c r="E4813" t="inlineStr">
        <is>
          <t>GÄVLE</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26150-2022</t>
        </is>
      </c>
      <c r="B4814" s="1" t="n">
        <v>44735</v>
      </c>
      <c r="C4814" s="1" t="n">
        <v>45587</v>
      </c>
      <c r="D4814" t="inlineStr">
        <is>
          <t>GÄVLEBORGS LÄN</t>
        </is>
      </c>
      <c r="E4814" t="inlineStr">
        <is>
          <t>OCKELBO</t>
        </is>
      </c>
      <c r="F4814" t="inlineStr">
        <is>
          <t>Bergvik skog väst AB</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26228-2022</t>
        </is>
      </c>
      <c r="B4815" s="1" t="n">
        <v>44735</v>
      </c>
      <c r="C4815" s="1" t="n">
        <v>45587</v>
      </c>
      <c r="D4815" t="inlineStr">
        <is>
          <t>GÄVLEBORGS LÄN</t>
        </is>
      </c>
      <c r="E4815" t="inlineStr">
        <is>
          <t>LJUSDAL</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26271-2022</t>
        </is>
      </c>
      <c r="B4816" s="1" t="n">
        <v>44735</v>
      </c>
      <c r="C4816" s="1" t="n">
        <v>45587</v>
      </c>
      <c r="D4816" t="inlineStr">
        <is>
          <t>GÄVLEBORGS LÄN</t>
        </is>
      </c>
      <c r="E4816" t="inlineStr">
        <is>
          <t>LJUSDAL</t>
        </is>
      </c>
      <c r="F4816" t="inlineStr">
        <is>
          <t>Sveaskog</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26152-2022</t>
        </is>
      </c>
      <c r="B4817" s="1" t="n">
        <v>44735</v>
      </c>
      <c r="C4817" s="1" t="n">
        <v>45587</v>
      </c>
      <c r="D4817" t="inlineStr">
        <is>
          <t>GÄVLEBORGS LÄN</t>
        </is>
      </c>
      <c r="E4817" t="inlineStr">
        <is>
          <t>OCKELBO</t>
        </is>
      </c>
      <c r="F4817" t="inlineStr">
        <is>
          <t>Bergvik skog väst AB</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26176-2022</t>
        </is>
      </c>
      <c r="B4818" s="1" t="n">
        <v>44735</v>
      </c>
      <c r="C4818" s="1" t="n">
        <v>45587</v>
      </c>
      <c r="D4818" t="inlineStr">
        <is>
          <t>GÄVLEBORGS LÄN</t>
        </is>
      </c>
      <c r="E4818" t="inlineStr">
        <is>
          <t>LJUSDAL</t>
        </is>
      </c>
      <c r="F4818" t="inlineStr">
        <is>
          <t>Naturvårdsverket</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26301-2022</t>
        </is>
      </c>
      <c r="B4819" s="1" t="n">
        <v>44735</v>
      </c>
      <c r="C4819" s="1" t="n">
        <v>45587</v>
      </c>
      <c r="D4819" t="inlineStr">
        <is>
          <t>GÄVLEBORGS LÄN</t>
        </is>
      </c>
      <c r="E4819" t="inlineStr">
        <is>
          <t>BOLLNÄS</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26334-2022</t>
        </is>
      </c>
      <c r="B4820" s="1" t="n">
        <v>44735</v>
      </c>
      <c r="C4820" s="1" t="n">
        <v>45587</v>
      </c>
      <c r="D4820" t="inlineStr">
        <is>
          <t>GÄVLEBORGS LÄN</t>
        </is>
      </c>
      <c r="E4820" t="inlineStr">
        <is>
          <t>GÄVLE</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26349-2022</t>
        </is>
      </c>
      <c r="B4821" s="1" t="n">
        <v>44735</v>
      </c>
      <c r="C4821" s="1" t="n">
        <v>45587</v>
      </c>
      <c r="D4821" t="inlineStr">
        <is>
          <t>GÄVLEBORGS LÄN</t>
        </is>
      </c>
      <c r="E4821" t="inlineStr">
        <is>
          <t>GÄVLE</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26554-2022</t>
        </is>
      </c>
      <c r="B4822" s="1" t="n">
        <v>44739</v>
      </c>
      <c r="C4822" s="1" t="n">
        <v>45587</v>
      </c>
      <c r="D4822" t="inlineStr">
        <is>
          <t>GÄVLEBORGS LÄN</t>
        </is>
      </c>
      <c r="E4822" t="inlineStr">
        <is>
          <t>SÖDERHAMN</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26564-2022</t>
        </is>
      </c>
      <c r="B4823" s="1" t="n">
        <v>44739</v>
      </c>
      <c r="C4823" s="1" t="n">
        <v>45587</v>
      </c>
      <c r="D4823" t="inlineStr">
        <is>
          <t>GÄVLEBORGS LÄN</t>
        </is>
      </c>
      <c r="E4823" t="inlineStr">
        <is>
          <t>GÄVLE</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26651-2022</t>
        </is>
      </c>
      <c r="B4824" s="1" t="n">
        <v>44739</v>
      </c>
      <c r="C4824" s="1" t="n">
        <v>45587</v>
      </c>
      <c r="D4824" t="inlineStr">
        <is>
          <t>GÄVLEBORGS LÄN</t>
        </is>
      </c>
      <c r="E4824" t="inlineStr">
        <is>
          <t>HUDIKSVALL</t>
        </is>
      </c>
      <c r="F4824" t="inlineStr">
        <is>
          <t>Naturvårdsverket</t>
        </is>
      </c>
      <c r="G4824" t="n">
        <v>14.7</v>
      </c>
      <c r="H4824" t="n">
        <v>0</v>
      </c>
      <c r="I4824" t="n">
        <v>0</v>
      </c>
      <c r="J4824" t="n">
        <v>0</v>
      </c>
      <c r="K4824" t="n">
        <v>0</v>
      </c>
      <c r="L4824" t="n">
        <v>0</v>
      </c>
      <c r="M4824" t="n">
        <v>0</v>
      </c>
      <c r="N4824" t="n">
        <v>0</v>
      </c>
      <c r="O4824" t="n">
        <v>0</v>
      </c>
      <c r="P4824" t="n">
        <v>0</v>
      </c>
      <c r="Q4824" t="n">
        <v>0</v>
      </c>
      <c r="R4824" s="2" t="inlineStr"/>
    </row>
    <row r="4825" ht="15" customHeight="1">
      <c r="A4825" t="inlineStr">
        <is>
          <t>A 26711-2022</t>
        </is>
      </c>
      <c r="B4825" s="1" t="n">
        <v>44739</v>
      </c>
      <c r="C4825" s="1" t="n">
        <v>45587</v>
      </c>
      <c r="D4825" t="inlineStr">
        <is>
          <t>GÄVLEBORGS LÄN</t>
        </is>
      </c>
      <c r="E4825" t="inlineStr">
        <is>
          <t>SANDVIKEN</t>
        </is>
      </c>
      <c r="F4825" t="inlineStr">
        <is>
          <t>Sveaskog</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26547-2022</t>
        </is>
      </c>
      <c r="B4826" s="1" t="n">
        <v>44739</v>
      </c>
      <c r="C4826" s="1" t="n">
        <v>45587</v>
      </c>
      <c r="D4826" t="inlineStr">
        <is>
          <t>GÄVLEBORGS LÄN</t>
        </is>
      </c>
      <c r="E4826" t="inlineStr">
        <is>
          <t>NORDANSTIG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26728-2022</t>
        </is>
      </c>
      <c r="B4827" s="1" t="n">
        <v>44740</v>
      </c>
      <c r="C4827" s="1" t="n">
        <v>45587</v>
      </c>
      <c r="D4827" t="inlineStr">
        <is>
          <t>GÄVLEBORGS LÄN</t>
        </is>
      </c>
      <c r="E4827" t="inlineStr">
        <is>
          <t>NORDANSTIG</t>
        </is>
      </c>
      <c r="G4827" t="n">
        <v>6.5</v>
      </c>
      <c r="H4827" t="n">
        <v>0</v>
      </c>
      <c r="I4827" t="n">
        <v>0</v>
      </c>
      <c r="J4827" t="n">
        <v>0</v>
      </c>
      <c r="K4827" t="n">
        <v>0</v>
      </c>
      <c r="L4827" t="n">
        <v>0</v>
      </c>
      <c r="M4827" t="n">
        <v>0</v>
      </c>
      <c r="N4827" t="n">
        <v>0</v>
      </c>
      <c r="O4827" t="n">
        <v>0</v>
      </c>
      <c r="P4827" t="n">
        <v>0</v>
      </c>
      <c r="Q4827" t="n">
        <v>0</v>
      </c>
      <c r="R4827" s="2" t="inlineStr"/>
    </row>
    <row r="4828" ht="15" customHeight="1">
      <c r="A4828" t="inlineStr">
        <is>
          <t>A 26821-2022</t>
        </is>
      </c>
      <c r="B4828" s="1" t="n">
        <v>44740</v>
      </c>
      <c r="C4828" s="1" t="n">
        <v>45587</v>
      </c>
      <c r="D4828" t="inlineStr">
        <is>
          <t>GÄVLEBORGS LÄN</t>
        </is>
      </c>
      <c r="E4828" t="inlineStr">
        <is>
          <t>OVANÅKER</t>
        </is>
      </c>
      <c r="F4828" t="inlineStr">
        <is>
          <t>Bergvik skog väst AB</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26939-2022</t>
        </is>
      </c>
      <c r="B4829" s="1" t="n">
        <v>44740</v>
      </c>
      <c r="C4829" s="1" t="n">
        <v>45587</v>
      </c>
      <c r="D4829" t="inlineStr">
        <is>
          <t>GÄVLEBORGS LÄN</t>
        </is>
      </c>
      <c r="E4829" t="inlineStr">
        <is>
          <t>SÖDERHAMN</t>
        </is>
      </c>
      <c r="G4829" t="n">
        <v>0.2</v>
      </c>
      <c r="H4829" t="n">
        <v>0</v>
      </c>
      <c r="I4829" t="n">
        <v>0</v>
      </c>
      <c r="J4829" t="n">
        <v>0</v>
      </c>
      <c r="K4829" t="n">
        <v>0</v>
      </c>
      <c r="L4829" t="n">
        <v>0</v>
      </c>
      <c r="M4829" t="n">
        <v>0</v>
      </c>
      <c r="N4829" t="n">
        <v>0</v>
      </c>
      <c r="O4829" t="n">
        <v>0</v>
      </c>
      <c r="P4829" t="n">
        <v>0</v>
      </c>
      <c r="Q4829" t="n">
        <v>0</v>
      </c>
      <c r="R4829" s="2" t="inlineStr"/>
    </row>
    <row r="4830" ht="15" customHeight="1">
      <c r="A4830" t="inlineStr">
        <is>
          <t>A 26941-2022</t>
        </is>
      </c>
      <c r="B4830" s="1" t="n">
        <v>44740</v>
      </c>
      <c r="C4830" s="1" t="n">
        <v>45587</v>
      </c>
      <c r="D4830" t="inlineStr">
        <is>
          <t>GÄVLEBORGS LÄN</t>
        </is>
      </c>
      <c r="E4830" t="inlineStr">
        <is>
          <t>BOLLNÄS</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26940-2022</t>
        </is>
      </c>
      <c r="B4831" s="1" t="n">
        <v>44740</v>
      </c>
      <c r="C4831" s="1" t="n">
        <v>45587</v>
      </c>
      <c r="D4831" t="inlineStr">
        <is>
          <t>GÄVLEBORGS LÄN</t>
        </is>
      </c>
      <c r="E4831" t="inlineStr">
        <is>
          <t>SÖDERHAMN</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26955-2022</t>
        </is>
      </c>
      <c r="B4832" s="1" t="n">
        <v>44740</v>
      </c>
      <c r="C4832" s="1" t="n">
        <v>45587</v>
      </c>
      <c r="D4832" t="inlineStr">
        <is>
          <t>GÄVLEBORGS LÄN</t>
        </is>
      </c>
      <c r="E4832" t="inlineStr">
        <is>
          <t>LJUSDAL</t>
        </is>
      </c>
      <c r="F4832" t="inlineStr">
        <is>
          <t>Holmen skog AB</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26976-2022</t>
        </is>
      </c>
      <c r="B4833" s="1" t="n">
        <v>44740</v>
      </c>
      <c r="C4833" s="1" t="n">
        <v>45587</v>
      </c>
      <c r="D4833" t="inlineStr">
        <is>
          <t>GÄVLEBORGS LÄN</t>
        </is>
      </c>
      <c r="E4833" t="inlineStr">
        <is>
          <t>LJUSDAL</t>
        </is>
      </c>
      <c r="F4833" t="inlineStr">
        <is>
          <t>Holmen skog AB</t>
        </is>
      </c>
      <c r="G4833" t="n">
        <v>10.8</v>
      </c>
      <c r="H4833" t="n">
        <v>0</v>
      </c>
      <c r="I4833" t="n">
        <v>0</v>
      </c>
      <c r="J4833" t="n">
        <v>0</v>
      </c>
      <c r="K4833" t="n">
        <v>0</v>
      </c>
      <c r="L4833" t="n">
        <v>0</v>
      </c>
      <c r="M4833" t="n">
        <v>0</v>
      </c>
      <c r="N4833" t="n">
        <v>0</v>
      </c>
      <c r="O4833" t="n">
        <v>0</v>
      </c>
      <c r="P4833" t="n">
        <v>0</v>
      </c>
      <c r="Q4833" t="n">
        <v>0</v>
      </c>
      <c r="R4833" s="2" t="inlineStr"/>
      <c r="U4833">
        <f>HYPERLINK("https://klasma.github.io/Logging_2161/knärot/A 26976-2022 karta knärot.png", "A 26976-2022")</f>
        <v/>
      </c>
      <c r="V4833">
        <f>HYPERLINK("https://klasma.github.io/Logging_2161/klagomål/A 26976-2022 FSC-klagomål.docx", "A 26976-2022")</f>
        <v/>
      </c>
      <c r="W4833">
        <f>HYPERLINK("https://klasma.github.io/Logging_2161/klagomålsmail/A 26976-2022 FSC-klagomål mail.docx", "A 26976-2022")</f>
        <v/>
      </c>
      <c r="X4833">
        <f>HYPERLINK("https://klasma.github.io/Logging_2161/tillsyn/A 26976-2022 tillsynsbegäran.docx", "A 26976-2022")</f>
        <v/>
      </c>
      <c r="Y4833">
        <f>HYPERLINK("https://klasma.github.io/Logging_2161/tillsynsmail/A 26976-2022 tillsynsbegäran mail.docx", "A 26976-2022")</f>
        <v/>
      </c>
    </row>
    <row r="4834" ht="15" customHeight="1">
      <c r="A4834" t="inlineStr">
        <is>
          <t>A 26953-2022</t>
        </is>
      </c>
      <c r="B4834" s="1" t="n">
        <v>44740</v>
      </c>
      <c r="C4834" s="1" t="n">
        <v>45587</v>
      </c>
      <c r="D4834" t="inlineStr">
        <is>
          <t>GÄVLEBORGS LÄN</t>
        </is>
      </c>
      <c r="E4834" t="inlineStr">
        <is>
          <t>OVANÅKER</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26978-2022</t>
        </is>
      </c>
      <c r="B4835" s="1" t="n">
        <v>44740</v>
      </c>
      <c r="C4835" s="1" t="n">
        <v>45587</v>
      </c>
      <c r="D4835" t="inlineStr">
        <is>
          <t>GÄVLEBORGS LÄN</t>
        </is>
      </c>
      <c r="E4835" t="inlineStr">
        <is>
          <t>SÖDERHAMN</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27182-2022</t>
        </is>
      </c>
      <c r="B4836" s="1" t="n">
        <v>44741</v>
      </c>
      <c r="C4836" s="1" t="n">
        <v>45587</v>
      </c>
      <c r="D4836" t="inlineStr">
        <is>
          <t>GÄVLEBORGS LÄN</t>
        </is>
      </c>
      <c r="E4836" t="inlineStr">
        <is>
          <t>GÄVLE</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27060-2022</t>
        </is>
      </c>
      <c r="B4837" s="1" t="n">
        <v>44741</v>
      </c>
      <c r="C4837" s="1" t="n">
        <v>45587</v>
      </c>
      <c r="D4837" t="inlineStr">
        <is>
          <t>GÄVLEBORGS LÄN</t>
        </is>
      </c>
      <c r="E4837" t="inlineStr">
        <is>
          <t>HUDIKSVALL</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27051-2022</t>
        </is>
      </c>
      <c r="B4838" s="1" t="n">
        <v>44741</v>
      </c>
      <c r="C4838" s="1" t="n">
        <v>45587</v>
      </c>
      <c r="D4838" t="inlineStr">
        <is>
          <t>GÄVLEBORGS LÄN</t>
        </is>
      </c>
      <c r="E4838" t="inlineStr">
        <is>
          <t>HUDIKSVALL</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27247-2022</t>
        </is>
      </c>
      <c r="B4839" s="1" t="n">
        <v>44741</v>
      </c>
      <c r="C4839" s="1" t="n">
        <v>45587</v>
      </c>
      <c r="D4839" t="inlineStr">
        <is>
          <t>GÄVLEBORGS LÄN</t>
        </is>
      </c>
      <c r="E4839" t="inlineStr">
        <is>
          <t>LJUSDAL</t>
        </is>
      </c>
      <c r="F4839" t="inlineStr">
        <is>
          <t>Sveaskog</t>
        </is>
      </c>
      <c r="G4839" t="n">
        <v>11.7</v>
      </c>
      <c r="H4839" t="n">
        <v>0</v>
      </c>
      <c r="I4839" t="n">
        <v>0</v>
      </c>
      <c r="J4839" t="n">
        <v>0</v>
      </c>
      <c r="K4839" t="n">
        <v>0</v>
      </c>
      <c r="L4839" t="n">
        <v>0</v>
      </c>
      <c r="M4839" t="n">
        <v>0</v>
      </c>
      <c r="N4839" t="n">
        <v>0</v>
      </c>
      <c r="O4839" t="n">
        <v>0</v>
      </c>
      <c r="P4839" t="n">
        <v>0</v>
      </c>
      <c r="Q4839" t="n">
        <v>0</v>
      </c>
      <c r="R4839" s="2" t="inlineStr"/>
    </row>
    <row r="4840" ht="15" customHeight="1">
      <c r="A4840" t="inlineStr">
        <is>
          <t>A 27276-2022</t>
        </is>
      </c>
      <c r="B4840" s="1" t="n">
        <v>44742</v>
      </c>
      <c r="C4840" s="1" t="n">
        <v>45587</v>
      </c>
      <c r="D4840" t="inlineStr">
        <is>
          <t>GÄVLEBORGS LÄN</t>
        </is>
      </c>
      <c r="E4840" t="inlineStr">
        <is>
          <t>NORDANSTIG</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27248-2022</t>
        </is>
      </c>
      <c r="B4841" s="1" t="n">
        <v>44741</v>
      </c>
      <c r="C4841" s="1" t="n">
        <v>45587</v>
      </c>
      <c r="D4841" t="inlineStr">
        <is>
          <t>GÄVLEBORGS LÄN</t>
        </is>
      </c>
      <c r="E4841" t="inlineStr">
        <is>
          <t>LJUSDAL</t>
        </is>
      </c>
      <c r="F4841" t="inlineStr">
        <is>
          <t>Sveaskog</t>
        </is>
      </c>
      <c r="G4841" t="n">
        <v>5.5</v>
      </c>
      <c r="H4841" t="n">
        <v>0</v>
      </c>
      <c r="I4841" t="n">
        <v>0</v>
      </c>
      <c r="J4841" t="n">
        <v>0</v>
      </c>
      <c r="K4841" t="n">
        <v>0</v>
      </c>
      <c r="L4841" t="n">
        <v>0</v>
      </c>
      <c r="M4841" t="n">
        <v>0</v>
      </c>
      <c r="N4841" t="n">
        <v>0</v>
      </c>
      <c r="O4841" t="n">
        <v>0</v>
      </c>
      <c r="P4841" t="n">
        <v>0</v>
      </c>
      <c r="Q4841" t="n">
        <v>0</v>
      </c>
      <c r="R4841" s="2" t="inlineStr"/>
    </row>
    <row r="4842" ht="15" customHeight="1">
      <c r="A4842" t="inlineStr">
        <is>
          <t>A 27355-2022</t>
        </is>
      </c>
      <c r="B4842" s="1" t="n">
        <v>44742</v>
      </c>
      <c r="C4842" s="1" t="n">
        <v>45587</v>
      </c>
      <c r="D4842" t="inlineStr">
        <is>
          <t>GÄVLEBORGS LÄN</t>
        </is>
      </c>
      <c r="E4842" t="inlineStr">
        <is>
          <t>GÄVLE</t>
        </is>
      </c>
      <c r="F4842" t="inlineStr">
        <is>
          <t>Bergvik skog öst AB</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27320-2022</t>
        </is>
      </c>
      <c r="B4843" s="1" t="n">
        <v>44742</v>
      </c>
      <c r="C4843" s="1" t="n">
        <v>45587</v>
      </c>
      <c r="D4843" t="inlineStr">
        <is>
          <t>GÄVLEBORGS LÄN</t>
        </is>
      </c>
      <c r="E4843" t="inlineStr">
        <is>
          <t>LJUSDAL</t>
        </is>
      </c>
      <c r="F4843" t="inlineStr">
        <is>
          <t>Holmen skog AB</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27539-2022</t>
        </is>
      </c>
      <c r="B4844" s="1" t="n">
        <v>44742</v>
      </c>
      <c r="C4844" s="1" t="n">
        <v>45587</v>
      </c>
      <c r="D4844" t="inlineStr">
        <is>
          <t>GÄVLEBORGS LÄN</t>
        </is>
      </c>
      <c r="E4844" t="inlineStr">
        <is>
          <t>LJUSDAL</t>
        </is>
      </c>
      <c r="F4844" t="inlineStr">
        <is>
          <t>Holmen skog AB</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27695-2022</t>
        </is>
      </c>
      <c r="B4845" s="1" t="n">
        <v>44743</v>
      </c>
      <c r="C4845" s="1" t="n">
        <v>45587</v>
      </c>
      <c r="D4845" t="inlineStr">
        <is>
          <t>GÄVLEBORGS LÄN</t>
        </is>
      </c>
      <c r="E4845" t="inlineStr">
        <is>
          <t>NORDANSTIG</t>
        </is>
      </c>
      <c r="F4845" t="inlineStr">
        <is>
          <t>Holmen skog AB</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27764-2022</t>
        </is>
      </c>
      <c r="B4846" s="1" t="n">
        <v>44743</v>
      </c>
      <c r="C4846" s="1" t="n">
        <v>45587</v>
      </c>
      <c r="D4846" t="inlineStr">
        <is>
          <t>GÄVLEBORGS LÄN</t>
        </is>
      </c>
      <c r="E4846" t="inlineStr">
        <is>
          <t>LJUSDAL</t>
        </is>
      </c>
      <c r="F4846" t="inlineStr">
        <is>
          <t>Bergvik skog väst AB</t>
        </is>
      </c>
      <c r="G4846" t="n">
        <v>5.5</v>
      </c>
      <c r="H4846" t="n">
        <v>0</v>
      </c>
      <c r="I4846" t="n">
        <v>0</v>
      </c>
      <c r="J4846" t="n">
        <v>0</v>
      </c>
      <c r="K4846" t="n">
        <v>0</v>
      </c>
      <c r="L4846" t="n">
        <v>0</v>
      </c>
      <c r="M4846" t="n">
        <v>0</v>
      </c>
      <c r="N4846" t="n">
        <v>0</v>
      </c>
      <c r="O4846" t="n">
        <v>0</v>
      </c>
      <c r="P4846" t="n">
        <v>0</v>
      </c>
      <c r="Q4846" t="n">
        <v>0</v>
      </c>
      <c r="R4846" s="2" t="inlineStr"/>
    </row>
    <row r="4847" ht="15" customHeight="1">
      <c r="A4847" t="inlineStr">
        <is>
          <t>A 27799-2022</t>
        </is>
      </c>
      <c r="B4847" s="1" t="n">
        <v>44743</v>
      </c>
      <c r="C4847" s="1" t="n">
        <v>45587</v>
      </c>
      <c r="D4847" t="inlineStr">
        <is>
          <t>GÄVLEBORGS LÄN</t>
        </is>
      </c>
      <c r="E4847" t="inlineStr">
        <is>
          <t>LJUSDAL</t>
        </is>
      </c>
      <c r="F4847" t="inlineStr">
        <is>
          <t>Sveaskog</t>
        </is>
      </c>
      <c r="G4847" t="n">
        <v>6.2</v>
      </c>
      <c r="H4847" t="n">
        <v>0</v>
      </c>
      <c r="I4847" t="n">
        <v>0</v>
      </c>
      <c r="J4847" t="n">
        <v>0</v>
      </c>
      <c r="K4847" t="n">
        <v>0</v>
      </c>
      <c r="L4847" t="n">
        <v>0</v>
      </c>
      <c r="M4847" t="n">
        <v>0</v>
      </c>
      <c r="N4847" t="n">
        <v>0</v>
      </c>
      <c r="O4847" t="n">
        <v>0</v>
      </c>
      <c r="P4847" t="n">
        <v>0</v>
      </c>
      <c r="Q4847" t="n">
        <v>0</v>
      </c>
      <c r="R4847" s="2" t="inlineStr"/>
    </row>
    <row r="4848" ht="15" customHeight="1">
      <c r="A4848" t="inlineStr">
        <is>
          <t>A 27809-2022</t>
        </is>
      </c>
      <c r="B4848" s="1" t="n">
        <v>44743</v>
      </c>
      <c r="C4848" s="1" t="n">
        <v>45587</v>
      </c>
      <c r="D4848" t="inlineStr">
        <is>
          <t>GÄVLEBORGS LÄN</t>
        </is>
      </c>
      <c r="E4848" t="inlineStr">
        <is>
          <t>LJUSDAL</t>
        </is>
      </c>
      <c r="F4848" t="inlineStr">
        <is>
          <t>Sveaskog</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27847-2022</t>
        </is>
      </c>
      <c r="B4849" s="1" t="n">
        <v>44743</v>
      </c>
      <c r="C4849" s="1" t="n">
        <v>45587</v>
      </c>
      <c r="D4849" t="inlineStr">
        <is>
          <t>GÄVLEBORGS LÄN</t>
        </is>
      </c>
      <c r="E4849" t="inlineStr">
        <is>
          <t>SANDVIKEN</t>
        </is>
      </c>
      <c r="F4849" t="inlineStr">
        <is>
          <t>Sveaskog</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27768-2022</t>
        </is>
      </c>
      <c r="B4850" s="1" t="n">
        <v>44743</v>
      </c>
      <c r="C4850" s="1" t="n">
        <v>45587</v>
      </c>
      <c r="D4850" t="inlineStr">
        <is>
          <t>GÄVLEBORGS LÄN</t>
        </is>
      </c>
      <c r="E4850" t="inlineStr">
        <is>
          <t>LJUSDAL</t>
        </is>
      </c>
      <c r="F4850" t="inlineStr">
        <is>
          <t>Bergvik skog väst AB</t>
        </is>
      </c>
      <c r="G4850" t="n">
        <v>9</v>
      </c>
      <c r="H4850" t="n">
        <v>0</v>
      </c>
      <c r="I4850" t="n">
        <v>0</v>
      </c>
      <c r="J4850" t="n">
        <v>0</v>
      </c>
      <c r="K4850" t="n">
        <v>0</v>
      </c>
      <c r="L4850" t="n">
        <v>0</v>
      </c>
      <c r="M4850" t="n">
        <v>0</v>
      </c>
      <c r="N4850" t="n">
        <v>0</v>
      </c>
      <c r="O4850" t="n">
        <v>0</v>
      </c>
      <c r="P4850" t="n">
        <v>0</v>
      </c>
      <c r="Q4850" t="n">
        <v>0</v>
      </c>
      <c r="R4850" s="2" t="inlineStr"/>
    </row>
    <row r="4851" ht="15" customHeight="1">
      <c r="A4851" t="inlineStr">
        <is>
          <t>A 27806-2022</t>
        </is>
      </c>
      <c r="B4851" s="1" t="n">
        <v>44743</v>
      </c>
      <c r="C4851" s="1" t="n">
        <v>45587</v>
      </c>
      <c r="D4851" t="inlineStr">
        <is>
          <t>GÄVLEBORGS LÄN</t>
        </is>
      </c>
      <c r="E4851" t="inlineStr">
        <is>
          <t>LJUSDAL</t>
        </is>
      </c>
      <c r="F4851" t="inlineStr">
        <is>
          <t>Sveaskog</t>
        </is>
      </c>
      <c r="G4851" t="n">
        <v>9.699999999999999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27818-2022</t>
        </is>
      </c>
      <c r="B4852" s="1" t="n">
        <v>44743</v>
      </c>
      <c r="C4852" s="1" t="n">
        <v>45587</v>
      </c>
      <c r="D4852" t="inlineStr">
        <is>
          <t>GÄVLEBORGS LÄN</t>
        </is>
      </c>
      <c r="E4852" t="inlineStr">
        <is>
          <t>LJUSDAL</t>
        </is>
      </c>
      <c r="F4852" t="inlineStr">
        <is>
          <t>Sveaskog</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27802-2022</t>
        </is>
      </c>
      <c r="B4853" s="1" t="n">
        <v>44743</v>
      </c>
      <c r="C4853" s="1" t="n">
        <v>45587</v>
      </c>
      <c r="D4853" t="inlineStr">
        <is>
          <t>GÄVLEBORGS LÄN</t>
        </is>
      </c>
      <c r="E4853" t="inlineStr">
        <is>
          <t>LJUSDAL</t>
        </is>
      </c>
      <c r="F4853" t="inlineStr">
        <is>
          <t>Sveaskog</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27915-2022</t>
        </is>
      </c>
      <c r="B4854" s="1" t="n">
        <v>44744</v>
      </c>
      <c r="C4854" s="1" t="n">
        <v>45587</v>
      </c>
      <c r="D4854" t="inlineStr">
        <is>
          <t>GÄVLEBORGS LÄN</t>
        </is>
      </c>
      <c r="E4854" t="inlineStr">
        <is>
          <t>LJUSDAL</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27819-2022</t>
        </is>
      </c>
      <c r="B4855" s="1" t="n">
        <v>44743</v>
      </c>
      <c r="C4855" s="1" t="n">
        <v>45587</v>
      </c>
      <c r="D4855" t="inlineStr">
        <is>
          <t>GÄVLEBORGS LÄN</t>
        </is>
      </c>
      <c r="E4855" t="inlineStr">
        <is>
          <t>LJUSDAL</t>
        </is>
      </c>
      <c r="F4855" t="inlineStr">
        <is>
          <t>Sveaskog</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27914-2022</t>
        </is>
      </c>
      <c r="B4856" s="1" t="n">
        <v>44744</v>
      </c>
      <c r="C4856" s="1" t="n">
        <v>45587</v>
      </c>
      <c r="D4856" t="inlineStr">
        <is>
          <t>GÄVLEBORGS LÄN</t>
        </is>
      </c>
      <c r="E4856" t="inlineStr">
        <is>
          <t>LJUSDAL</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27966-2022</t>
        </is>
      </c>
      <c r="B4857" s="1" t="n">
        <v>44744</v>
      </c>
      <c r="C4857" s="1" t="n">
        <v>45587</v>
      </c>
      <c r="D4857" t="inlineStr">
        <is>
          <t>GÄVLEBORGS LÄN</t>
        </is>
      </c>
      <c r="E4857" t="inlineStr">
        <is>
          <t>SANDVIKEN</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27967-2022</t>
        </is>
      </c>
      <c r="B4858" s="1" t="n">
        <v>44744</v>
      </c>
      <c r="C4858" s="1" t="n">
        <v>45587</v>
      </c>
      <c r="D4858" t="inlineStr">
        <is>
          <t>GÄVLEBORGS LÄN</t>
        </is>
      </c>
      <c r="E4858" t="inlineStr">
        <is>
          <t>SANDVIKEN</t>
        </is>
      </c>
      <c r="G4858" t="n">
        <v>6.9</v>
      </c>
      <c r="H4858" t="n">
        <v>0</v>
      </c>
      <c r="I4858" t="n">
        <v>0</v>
      </c>
      <c r="J4858" t="n">
        <v>0</v>
      </c>
      <c r="K4858" t="n">
        <v>0</v>
      </c>
      <c r="L4858" t="n">
        <v>0</v>
      </c>
      <c r="M4858" t="n">
        <v>0</v>
      </c>
      <c r="N4858" t="n">
        <v>0</v>
      </c>
      <c r="O4858" t="n">
        <v>0</v>
      </c>
      <c r="P4858" t="n">
        <v>0</v>
      </c>
      <c r="Q4858" t="n">
        <v>0</v>
      </c>
      <c r="R4858" s="2" t="inlineStr"/>
    </row>
    <row r="4859" ht="15" customHeight="1">
      <c r="A4859" t="inlineStr">
        <is>
          <t>A 28007-2022</t>
        </is>
      </c>
      <c r="B4859" s="1" t="n">
        <v>44746</v>
      </c>
      <c r="C4859" s="1" t="n">
        <v>45587</v>
      </c>
      <c r="D4859" t="inlineStr">
        <is>
          <t>GÄVLEBORGS LÄN</t>
        </is>
      </c>
      <c r="E4859" t="inlineStr">
        <is>
          <t>HUDIKSVALL</t>
        </is>
      </c>
      <c r="F4859" t="inlineStr">
        <is>
          <t>Holmen skog AB</t>
        </is>
      </c>
      <c r="G4859" t="n">
        <v>10</v>
      </c>
      <c r="H4859" t="n">
        <v>0</v>
      </c>
      <c r="I4859" t="n">
        <v>0</v>
      </c>
      <c r="J4859" t="n">
        <v>0</v>
      </c>
      <c r="K4859" t="n">
        <v>0</v>
      </c>
      <c r="L4859" t="n">
        <v>0</v>
      </c>
      <c r="M4859" t="n">
        <v>0</v>
      </c>
      <c r="N4859" t="n">
        <v>0</v>
      </c>
      <c r="O4859" t="n">
        <v>0</v>
      </c>
      <c r="P4859" t="n">
        <v>0</v>
      </c>
      <c r="Q4859" t="n">
        <v>0</v>
      </c>
      <c r="R4859" s="2" t="inlineStr"/>
    </row>
    <row r="4860" ht="15" customHeight="1">
      <c r="A4860" t="inlineStr">
        <is>
          <t>A 28023-2022</t>
        </is>
      </c>
      <c r="B4860" s="1" t="n">
        <v>44746</v>
      </c>
      <c r="C4860" s="1" t="n">
        <v>45587</v>
      </c>
      <c r="D4860" t="inlineStr">
        <is>
          <t>GÄVLEBORGS LÄN</t>
        </is>
      </c>
      <c r="E4860" t="inlineStr">
        <is>
          <t>HUDIKSVALL</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28255-2022</t>
        </is>
      </c>
      <c r="B4861" s="1" t="n">
        <v>44746</v>
      </c>
      <c r="C4861" s="1" t="n">
        <v>45587</v>
      </c>
      <c r="D4861" t="inlineStr">
        <is>
          <t>GÄVLEBORGS LÄN</t>
        </is>
      </c>
      <c r="E4861" t="inlineStr">
        <is>
          <t>LJUSDAL</t>
        </is>
      </c>
      <c r="F4861" t="inlineStr">
        <is>
          <t>Allmännings- och besparingsskogar</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28231-2022</t>
        </is>
      </c>
      <c r="B4862" s="1" t="n">
        <v>44746</v>
      </c>
      <c r="C4862" s="1" t="n">
        <v>45587</v>
      </c>
      <c r="D4862" t="inlineStr">
        <is>
          <t>GÄVLEBORGS LÄN</t>
        </is>
      </c>
      <c r="E4862" t="inlineStr">
        <is>
          <t>OVANÅKER</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28181-2022</t>
        </is>
      </c>
      <c r="B4863" s="1" t="n">
        <v>44746</v>
      </c>
      <c r="C4863" s="1" t="n">
        <v>45587</v>
      </c>
      <c r="D4863" t="inlineStr">
        <is>
          <t>GÄVLEBORGS LÄN</t>
        </is>
      </c>
      <c r="E4863" t="inlineStr">
        <is>
          <t>OCKELBO</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28416-2022</t>
        </is>
      </c>
      <c r="B4864" s="1" t="n">
        <v>44747</v>
      </c>
      <c r="C4864" s="1" t="n">
        <v>45587</v>
      </c>
      <c r="D4864" t="inlineStr">
        <is>
          <t>GÄVLEBORGS LÄN</t>
        </is>
      </c>
      <c r="E4864" t="inlineStr">
        <is>
          <t>OCKELBO</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28454-2022</t>
        </is>
      </c>
      <c r="B4865" s="1" t="n">
        <v>44747</v>
      </c>
      <c r="C4865" s="1" t="n">
        <v>45587</v>
      </c>
      <c r="D4865" t="inlineStr">
        <is>
          <t>GÄVLEBORGS LÄN</t>
        </is>
      </c>
      <c r="E4865" t="inlineStr">
        <is>
          <t>LJUSDAL</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28457-2022</t>
        </is>
      </c>
      <c r="B4866" s="1" t="n">
        <v>44747</v>
      </c>
      <c r="C4866" s="1" t="n">
        <v>45587</v>
      </c>
      <c r="D4866" t="inlineStr">
        <is>
          <t>GÄVLEBORGS LÄN</t>
        </is>
      </c>
      <c r="E4866" t="inlineStr">
        <is>
          <t>LJUSDAL</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28464-2022</t>
        </is>
      </c>
      <c r="B4867" s="1" t="n">
        <v>44747</v>
      </c>
      <c r="C4867" s="1" t="n">
        <v>45587</v>
      </c>
      <c r="D4867" t="inlineStr">
        <is>
          <t>GÄVLEBORGS LÄN</t>
        </is>
      </c>
      <c r="E4867" t="inlineStr">
        <is>
          <t>LJUSDAL</t>
        </is>
      </c>
      <c r="G4867" t="n">
        <v>7.2</v>
      </c>
      <c r="H4867" t="n">
        <v>0</v>
      </c>
      <c r="I4867" t="n">
        <v>0</v>
      </c>
      <c r="J4867" t="n">
        <v>0</v>
      </c>
      <c r="K4867" t="n">
        <v>0</v>
      </c>
      <c r="L4867" t="n">
        <v>0</v>
      </c>
      <c r="M4867" t="n">
        <v>0</v>
      </c>
      <c r="N4867" t="n">
        <v>0</v>
      </c>
      <c r="O4867" t="n">
        <v>0</v>
      </c>
      <c r="P4867" t="n">
        <v>0</v>
      </c>
      <c r="Q4867" t="n">
        <v>0</v>
      </c>
      <c r="R4867" s="2" t="inlineStr"/>
    </row>
    <row r="4868" ht="15" customHeight="1">
      <c r="A4868" t="inlineStr">
        <is>
          <t>A 28455-2022</t>
        </is>
      </c>
      <c r="B4868" s="1" t="n">
        <v>44747</v>
      </c>
      <c r="C4868" s="1" t="n">
        <v>45587</v>
      </c>
      <c r="D4868" t="inlineStr">
        <is>
          <t>GÄVLEBORGS LÄN</t>
        </is>
      </c>
      <c r="E4868" t="inlineStr">
        <is>
          <t>LJUSDAL</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28460-2022</t>
        </is>
      </c>
      <c r="B4869" s="1" t="n">
        <v>44747</v>
      </c>
      <c r="C4869" s="1" t="n">
        <v>45587</v>
      </c>
      <c r="D4869" t="inlineStr">
        <is>
          <t>GÄVLEBORGS LÄN</t>
        </is>
      </c>
      <c r="E4869" t="inlineStr">
        <is>
          <t>LJUSDAL</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28527-2022</t>
        </is>
      </c>
      <c r="B4870" s="1" t="n">
        <v>44748</v>
      </c>
      <c r="C4870" s="1" t="n">
        <v>45587</v>
      </c>
      <c r="D4870" t="inlineStr">
        <is>
          <t>GÄVLEBORGS LÄN</t>
        </is>
      </c>
      <c r="E4870" t="inlineStr">
        <is>
          <t>LJUSDAL</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28628-2022</t>
        </is>
      </c>
      <c r="B4871" s="1" t="n">
        <v>44748</v>
      </c>
      <c r="C4871" s="1" t="n">
        <v>45587</v>
      </c>
      <c r="D4871" t="inlineStr">
        <is>
          <t>GÄVLEBORGS LÄN</t>
        </is>
      </c>
      <c r="E4871" t="inlineStr">
        <is>
          <t>SANDVIKEN</t>
        </is>
      </c>
      <c r="F4871" t="inlineStr">
        <is>
          <t>Sveaskog</t>
        </is>
      </c>
      <c r="G4871" t="n">
        <v>6.1</v>
      </c>
      <c r="H4871" t="n">
        <v>0</v>
      </c>
      <c r="I4871" t="n">
        <v>0</v>
      </c>
      <c r="J4871" t="n">
        <v>0</v>
      </c>
      <c r="K4871" t="n">
        <v>0</v>
      </c>
      <c r="L4871" t="n">
        <v>0</v>
      </c>
      <c r="M4871" t="n">
        <v>0</v>
      </c>
      <c r="N4871" t="n">
        <v>0</v>
      </c>
      <c r="O4871" t="n">
        <v>0</v>
      </c>
      <c r="P4871" t="n">
        <v>0</v>
      </c>
      <c r="Q4871" t="n">
        <v>0</v>
      </c>
      <c r="R4871" s="2" t="inlineStr"/>
    </row>
    <row r="4872" ht="15" customHeight="1">
      <c r="A4872" t="inlineStr">
        <is>
          <t>A 28546-2022</t>
        </is>
      </c>
      <c r="B4872" s="1" t="n">
        <v>44748</v>
      </c>
      <c r="C4872" s="1" t="n">
        <v>45587</v>
      </c>
      <c r="D4872" t="inlineStr">
        <is>
          <t>GÄVLEBORGS LÄN</t>
        </is>
      </c>
      <c r="E4872" t="inlineStr">
        <is>
          <t>HUDIKSVALL</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28553-2022</t>
        </is>
      </c>
      <c r="B4873" s="1" t="n">
        <v>44748</v>
      </c>
      <c r="C4873" s="1" t="n">
        <v>45587</v>
      </c>
      <c r="D4873" t="inlineStr">
        <is>
          <t>GÄVLEBORGS LÄN</t>
        </is>
      </c>
      <c r="E4873" t="inlineStr">
        <is>
          <t>BOLLNÄS</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28648-2022</t>
        </is>
      </c>
      <c r="B4874" s="1" t="n">
        <v>44748</v>
      </c>
      <c r="C4874" s="1" t="n">
        <v>45587</v>
      </c>
      <c r="D4874" t="inlineStr">
        <is>
          <t>GÄVLEBORGS LÄN</t>
        </is>
      </c>
      <c r="E4874" t="inlineStr">
        <is>
          <t>SÖDERHAMN</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28649-2022</t>
        </is>
      </c>
      <c r="B4875" s="1" t="n">
        <v>44748</v>
      </c>
      <c r="C4875" s="1" t="n">
        <v>45587</v>
      </c>
      <c r="D4875" t="inlineStr">
        <is>
          <t>GÄVLEBORGS LÄN</t>
        </is>
      </c>
      <c r="E4875" t="inlineStr">
        <is>
          <t>SÖDERHAMN</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28711-2022</t>
        </is>
      </c>
      <c r="B4876" s="1" t="n">
        <v>44748</v>
      </c>
      <c r="C4876" s="1" t="n">
        <v>45587</v>
      </c>
      <c r="D4876" t="inlineStr">
        <is>
          <t>GÄVLEBORGS LÄN</t>
        </is>
      </c>
      <c r="E4876" t="inlineStr">
        <is>
          <t>NORDANSTIG</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28775-2022</t>
        </is>
      </c>
      <c r="B4877" s="1" t="n">
        <v>44749</v>
      </c>
      <c r="C4877" s="1" t="n">
        <v>45587</v>
      </c>
      <c r="D4877" t="inlineStr">
        <is>
          <t>GÄVLEBORGS LÄN</t>
        </is>
      </c>
      <c r="E4877" t="inlineStr">
        <is>
          <t>OVANÅKER</t>
        </is>
      </c>
      <c r="F4877" t="inlineStr">
        <is>
          <t>Bergvik skog väst AB</t>
        </is>
      </c>
      <c r="G4877" t="n">
        <v>21.9</v>
      </c>
      <c r="H4877" t="n">
        <v>0</v>
      </c>
      <c r="I4877" t="n">
        <v>0</v>
      </c>
      <c r="J4877" t="n">
        <v>0</v>
      </c>
      <c r="K4877" t="n">
        <v>0</v>
      </c>
      <c r="L4877" t="n">
        <v>0</v>
      </c>
      <c r="M4877" t="n">
        <v>0</v>
      </c>
      <c r="N4877" t="n">
        <v>0</v>
      </c>
      <c r="O4877" t="n">
        <v>0</v>
      </c>
      <c r="P4877" t="n">
        <v>0</v>
      </c>
      <c r="Q4877" t="n">
        <v>0</v>
      </c>
      <c r="R4877" s="2" t="inlineStr"/>
    </row>
    <row r="4878" ht="15" customHeight="1">
      <c r="A4878" t="inlineStr">
        <is>
          <t>A 28757-2022</t>
        </is>
      </c>
      <c r="B4878" s="1" t="n">
        <v>44749</v>
      </c>
      <c r="C4878" s="1" t="n">
        <v>45587</v>
      </c>
      <c r="D4878" t="inlineStr">
        <is>
          <t>GÄVLEBORGS LÄN</t>
        </is>
      </c>
      <c r="E4878" t="inlineStr">
        <is>
          <t>GÄVLE</t>
        </is>
      </c>
      <c r="G4878" t="n">
        <v>8.6</v>
      </c>
      <c r="H4878" t="n">
        <v>0</v>
      </c>
      <c r="I4878" t="n">
        <v>0</v>
      </c>
      <c r="J4878" t="n">
        <v>0</v>
      </c>
      <c r="K4878" t="n">
        <v>0</v>
      </c>
      <c r="L4878" t="n">
        <v>0</v>
      </c>
      <c r="M4878" t="n">
        <v>0</v>
      </c>
      <c r="N4878" t="n">
        <v>0</v>
      </c>
      <c r="O4878" t="n">
        <v>0</v>
      </c>
      <c r="P4878" t="n">
        <v>0</v>
      </c>
      <c r="Q4878" t="n">
        <v>0</v>
      </c>
      <c r="R4878" s="2" t="inlineStr"/>
    </row>
    <row r="4879" ht="15" customHeight="1">
      <c r="A4879" t="inlineStr">
        <is>
          <t>A 28841-2022</t>
        </is>
      </c>
      <c r="B4879" s="1" t="n">
        <v>44749</v>
      </c>
      <c r="C4879" s="1" t="n">
        <v>45587</v>
      </c>
      <c r="D4879" t="inlineStr">
        <is>
          <t>GÄVLEBORGS LÄN</t>
        </is>
      </c>
      <c r="E4879" t="inlineStr">
        <is>
          <t>LJUSDAL</t>
        </is>
      </c>
      <c r="F4879" t="inlineStr">
        <is>
          <t>Bergvik skog väst AB</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28846-2022</t>
        </is>
      </c>
      <c r="B4880" s="1" t="n">
        <v>44749</v>
      </c>
      <c r="C4880" s="1" t="n">
        <v>45587</v>
      </c>
      <c r="D4880" t="inlineStr">
        <is>
          <t>GÄVLEBORGS LÄN</t>
        </is>
      </c>
      <c r="E4880" t="inlineStr">
        <is>
          <t>LJUSDAL</t>
        </is>
      </c>
      <c r="F4880" t="inlineStr">
        <is>
          <t>Bergvik skog väst AB</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28858-2022</t>
        </is>
      </c>
      <c r="B4881" s="1" t="n">
        <v>44749</v>
      </c>
      <c r="C4881" s="1" t="n">
        <v>45587</v>
      </c>
      <c r="D4881" t="inlineStr">
        <is>
          <t>GÄVLEBORGS LÄN</t>
        </is>
      </c>
      <c r="E4881" t="inlineStr">
        <is>
          <t>OCKELBO</t>
        </is>
      </c>
      <c r="F4881" t="inlineStr">
        <is>
          <t>Bergvik skog väst AB</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28967-2022</t>
        </is>
      </c>
      <c r="B4882" s="1" t="n">
        <v>44749</v>
      </c>
      <c r="C4882" s="1" t="n">
        <v>45587</v>
      </c>
      <c r="D4882" t="inlineStr">
        <is>
          <t>GÄVLEBORGS LÄN</t>
        </is>
      </c>
      <c r="E4882" t="inlineStr">
        <is>
          <t>HUDIKSVALL</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28979-2022</t>
        </is>
      </c>
      <c r="B4883" s="1" t="n">
        <v>44749</v>
      </c>
      <c r="C4883" s="1" t="n">
        <v>45587</v>
      </c>
      <c r="D4883" t="inlineStr">
        <is>
          <t>GÄVLEBORGS LÄN</t>
        </is>
      </c>
      <c r="E4883" t="inlineStr">
        <is>
          <t>BOLLNÄS</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28981-2022</t>
        </is>
      </c>
      <c r="B4884" s="1" t="n">
        <v>44749</v>
      </c>
      <c r="C4884" s="1" t="n">
        <v>45587</v>
      </c>
      <c r="D4884" t="inlineStr">
        <is>
          <t>GÄVLEBORGS LÄN</t>
        </is>
      </c>
      <c r="E4884" t="inlineStr">
        <is>
          <t>BOLLNÄS</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28870-2022</t>
        </is>
      </c>
      <c r="B4885" s="1" t="n">
        <v>44749</v>
      </c>
      <c r="C4885" s="1" t="n">
        <v>45587</v>
      </c>
      <c r="D4885" t="inlineStr">
        <is>
          <t>GÄVLEBORGS LÄN</t>
        </is>
      </c>
      <c r="E4885" t="inlineStr">
        <is>
          <t>HOFORS</t>
        </is>
      </c>
      <c r="F4885" t="inlineStr">
        <is>
          <t>Sveaskog</t>
        </is>
      </c>
      <c r="G4885" t="n">
        <v>5.8</v>
      </c>
      <c r="H4885" t="n">
        <v>0</v>
      </c>
      <c r="I4885" t="n">
        <v>0</v>
      </c>
      <c r="J4885" t="n">
        <v>0</v>
      </c>
      <c r="K4885" t="n">
        <v>0</v>
      </c>
      <c r="L4885" t="n">
        <v>0</v>
      </c>
      <c r="M4885" t="n">
        <v>0</v>
      </c>
      <c r="N4885" t="n">
        <v>0</v>
      </c>
      <c r="O4885" t="n">
        <v>0</v>
      </c>
      <c r="P4885" t="n">
        <v>0</v>
      </c>
      <c r="Q4885" t="n">
        <v>0</v>
      </c>
      <c r="R4885" s="2" t="inlineStr"/>
    </row>
    <row r="4886" ht="15" customHeight="1">
      <c r="A4886" t="inlineStr">
        <is>
          <t>A 28983-2022</t>
        </is>
      </c>
      <c r="B4886" s="1" t="n">
        <v>44749</v>
      </c>
      <c r="C4886" s="1" t="n">
        <v>45587</v>
      </c>
      <c r="D4886" t="inlineStr">
        <is>
          <t>GÄVLEBORGS LÄN</t>
        </is>
      </c>
      <c r="E4886" t="inlineStr">
        <is>
          <t>BOLLNÄS</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29267-2022</t>
        </is>
      </c>
      <c r="B4887" s="1" t="n">
        <v>44750</v>
      </c>
      <c r="C4887" s="1" t="n">
        <v>45587</v>
      </c>
      <c r="D4887" t="inlineStr">
        <is>
          <t>GÄVLEBORGS LÄN</t>
        </is>
      </c>
      <c r="E4887" t="inlineStr">
        <is>
          <t>LJUSDAL</t>
        </is>
      </c>
      <c r="F4887" t="inlineStr">
        <is>
          <t>Holmen skog AB</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29241-2022</t>
        </is>
      </c>
      <c r="B4888" s="1" t="n">
        <v>44750</v>
      </c>
      <c r="C4888" s="1" t="n">
        <v>45587</v>
      </c>
      <c r="D4888" t="inlineStr">
        <is>
          <t>GÄVLEBORGS LÄN</t>
        </is>
      </c>
      <c r="E4888" t="inlineStr">
        <is>
          <t>BOLLNÄS</t>
        </is>
      </c>
      <c r="F4888" t="inlineStr">
        <is>
          <t>Sveaskog</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29100-2022</t>
        </is>
      </c>
      <c r="B4889" s="1" t="n">
        <v>44750</v>
      </c>
      <c r="C4889" s="1" t="n">
        <v>45587</v>
      </c>
      <c r="D4889" t="inlineStr">
        <is>
          <t>GÄVLEBORGS LÄN</t>
        </is>
      </c>
      <c r="E4889" t="inlineStr">
        <is>
          <t>SANDVIKEN</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29263-2022</t>
        </is>
      </c>
      <c r="B4890" s="1" t="n">
        <v>44750</v>
      </c>
      <c r="C4890" s="1" t="n">
        <v>45587</v>
      </c>
      <c r="D4890" t="inlineStr">
        <is>
          <t>GÄVLEBORGS LÄN</t>
        </is>
      </c>
      <c r="E4890" t="inlineStr">
        <is>
          <t>LJUSDAL</t>
        </is>
      </c>
      <c r="F4890" t="inlineStr">
        <is>
          <t>Holmen skog AB</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29272-2022</t>
        </is>
      </c>
      <c r="B4891" s="1" t="n">
        <v>44750</v>
      </c>
      <c r="C4891" s="1" t="n">
        <v>45587</v>
      </c>
      <c r="D4891" t="inlineStr">
        <is>
          <t>GÄVLEBORGS LÄN</t>
        </is>
      </c>
      <c r="E4891" t="inlineStr">
        <is>
          <t>OVANÅKER</t>
        </is>
      </c>
      <c r="F4891" t="inlineStr">
        <is>
          <t>Holmen skog AB</t>
        </is>
      </c>
      <c r="G4891" t="n">
        <v>6.1</v>
      </c>
      <c r="H4891" t="n">
        <v>0</v>
      </c>
      <c r="I4891" t="n">
        <v>0</v>
      </c>
      <c r="J4891" t="n">
        <v>0</v>
      </c>
      <c r="K4891" t="n">
        <v>0</v>
      </c>
      <c r="L4891" t="n">
        <v>0</v>
      </c>
      <c r="M4891" t="n">
        <v>0</v>
      </c>
      <c r="N4891" t="n">
        <v>0</v>
      </c>
      <c r="O4891" t="n">
        <v>0</v>
      </c>
      <c r="P4891" t="n">
        <v>0</v>
      </c>
      <c r="Q4891" t="n">
        <v>0</v>
      </c>
      <c r="R4891" s="2" t="inlineStr"/>
    </row>
    <row r="4892" ht="15" customHeight="1">
      <c r="A4892" t="inlineStr">
        <is>
          <t>A 29197-2022</t>
        </is>
      </c>
      <c r="B4892" s="1" t="n">
        <v>44750</v>
      </c>
      <c r="C4892" s="1" t="n">
        <v>45587</v>
      </c>
      <c r="D4892" t="inlineStr">
        <is>
          <t>GÄVLEBORGS LÄN</t>
        </is>
      </c>
      <c r="E4892" t="inlineStr">
        <is>
          <t>GÄVLE</t>
        </is>
      </c>
      <c r="F4892" t="inlineStr">
        <is>
          <t>Kommuner</t>
        </is>
      </c>
      <c r="G4892" t="n">
        <v>92.59999999999999</v>
      </c>
      <c r="H4892" t="n">
        <v>0</v>
      </c>
      <c r="I4892" t="n">
        <v>0</v>
      </c>
      <c r="J4892" t="n">
        <v>0</v>
      </c>
      <c r="K4892" t="n">
        <v>0</v>
      </c>
      <c r="L4892" t="n">
        <v>0</v>
      </c>
      <c r="M4892" t="n">
        <v>0</v>
      </c>
      <c r="N4892" t="n">
        <v>0</v>
      </c>
      <c r="O4892" t="n">
        <v>0</v>
      </c>
      <c r="P4892" t="n">
        <v>0</v>
      </c>
      <c r="Q4892" t="n">
        <v>0</v>
      </c>
      <c r="R4892" s="2" t="inlineStr"/>
    </row>
    <row r="4893" ht="15" customHeight="1">
      <c r="A4893" t="inlineStr">
        <is>
          <t>A 29289-2022</t>
        </is>
      </c>
      <c r="B4893" s="1" t="n">
        <v>44750</v>
      </c>
      <c r="C4893" s="1" t="n">
        <v>45587</v>
      </c>
      <c r="D4893" t="inlineStr">
        <is>
          <t>GÄVLEBORGS LÄN</t>
        </is>
      </c>
      <c r="E4893" t="inlineStr">
        <is>
          <t>SÖDERHAMN</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29601-2022</t>
        </is>
      </c>
      <c r="B4894" s="1" t="n">
        <v>44754</v>
      </c>
      <c r="C4894" s="1" t="n">
        <v>45587</v>
      </c>
      <c r="D4894" t="inlineStr">
        <is>
          <t>GÄVLEBORGS LÄN</t>
        </is>
      </c>
      <c r="E4894" t="inlineStr">
        <is>
          <t>LJUSDAL</t>
        </is>
      </c>
      <c r="F4894" t="inlineStr">
        <is>
          <t>Bergvik skog väst AB</t>
        </is>
      </c>
      <c r="G4894" t="n">
        <v>7.5</v>
      </c>
      <c r="H4894" t="n">
        <v>0</v>
      </c>
      <c r="I4894" t="n">
        <v>0</v>
      </c>
      <c r="J4894" t="n">
        <v>0</v>
      </c>
      <c r="K4894" t="n">
        <v>0</v>
      </c>
      <c r="L4894" t="n">
        <v>0</v>
      </c>
      <c r="M4894" t="n">
        <v>0</v>
      </c>
      <c r="N4894" t="n">
        <v>0</v>
      </c>
      <c r="O4894" t="n">
        <v>0</v>
      </c>
      <c r="P4894" t="n">
        <v>0</v>
      </c>
      <c r="Q4894" t="n">
        <v>0</v>
      </c>
      <c r="R4894" s="2" t="inlineStr"/>
    </row>
    <row r="4895" ht="15" customHeight="1">
      <c r="A4895" t="inlineStr">
        <is>
          <t>A 29670-2022</t>
        </is>
      </c>
      <c r="B4895" s="1" t="n">
        <v>44754</v>
      </c>
      <c r="C4895" s="1" t="n">
        <v>45587</v>
      </c>
      <c r="D4895" t="inlineStr">
        <is>
          <t>GÄVLEBORGS LÄN</t>
        </is>
      </c>
      <c r="E4895" t="inlineStr">
        <is>
          <t>SANDVIKEN</t>
        </is>
      </c>
      <c r="F4895" t="inlineStr">
        <is>
          <t>Sveaskog</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29659-2022</t>
        </is>
      </c>
      <c r="B4896" s="1" t="n">
        <v>44754</v>
      </c>
      <c r="C4896" s="1" t="n">
        <v>45587</v>
      </c>
      <c r="D4896" t="inlineStr">
        <is>
          <t>GÄVLEBORGS LÄN</t>
        </is>
      </c>
      <c r="E4896" t="inlineStr">
        <is>
          <t>HUDIKSVALL</t>
        </is>
      </c>
      <c r="F4896" t="inlineStr">
        <is>
          <t>Sveaskog</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29671-2022</t>
        </is>
      </c>
      <c r="B4897" s="1" t="n">
        <v>44754</v>
      </c>
      <c r="C4897" s="1" t="n">
        <v>45587</v>
      </c>
      <c r="D4897" t="inlineStr">
        <is>
          <t>GÄVLEBORGS LÄN</t>
        </is>
      </c>
      <c r="E4897" t="inlineStr">
        <is>
          <t>SANDVIKEN</t>
        </is>
      </c>
      <c r="F4897" t="inlineStr">
        <is>
          <t>Sveaskog</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29676-2022</t>
        </is>
      </c>
      <c r="B4898" s="1" t="n">
        <v>44754</v>
      </c>
      <c r="C4898" s="1" t="n">
        <v>45587</v>
      </c>
      <c r="D4898" t="inlineStr">
        <is>
          <t>GÄVLEBORGS LÄN</t>
        </is>
      </c>
      <c r="E4898" t="inlineStr">
        <is>
          <t>OVANÅKER</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29762-2022</t>
        </is>
      </c>
      <c r="B4899" s="1" t="n">
        <v>44755</v>
      </c>
      <c r="C4899" s="1" t="n">
        <v>45587</v>
      </c>
      <c r="D4899" t="inlineStr">
        <is>
          <t>GÄVLEBORGS LÄN</t>
        </is>
      </c>
      <c r="E4899" t="inlineStr">
        <is>
          <t>OVANÅKER</t>
        </is>
      </c>
      <c r="F4899" t="inlineStr">
        <is>
          <t>Bergvik skog öst AB</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29705-2022</t>
        </is>
      </c>
      <c r="B4900" s="1" t="n">
        <v>44755</v>
      </c>
      <c r="C4900" s="1" t="n">
        <v>45587</v>
      </c>
      <c r="D4900" t="inlineStr">
        <is>
          <t>GÄVLEBORGS LÄN</t>
        </is>
      </c>
      <c r="E4900" t="inlineStr">
        <is>
          <t>SANDVIKEN</t>
        </is>
      </c>
      <c r="F4900" t="inlineStr">
        <is>
          <t>Sveaskog</t>
        </is>
      </c>
      <c r="G4900" t="n">
        <v>5.3</v>
      </c>
      <c r="H4900" t="n">
        <v>0</v>
      </c>
      <c r="I4900" t="n">
        <v>0</v>
      </c>
      <c r="J4900" t="n">
        <v>0</v>
      </c>
      <c r="K4900" t="n">
        <v>0</v>
      </c>
      <c r="L4900" t="n">
        <v>0</v>
      </c>
      <c r="M4900" t="n">
        <v>0</v>
      </c>
      <c r="N4900" t="n">
        <v>0</v>
      </c>
      <c r="O4900" t="n">
        <v>0</v>
      </c>
      <c r="P4900" t="n">
        <v>0</v>
      </c>
      <c r="Q4900" t="n">
        <v>0</v>
      </c>
      <c r="R4900" s="2" t="inlineStr"/>
    </row>
    <row r="4901" ht="15" customHeight="1">
      <c r="A4901" t="inlineStr">
        <is>
          <t>A 29929-2022</t>
        </is>
      </c>
      <c r="B4901" s="1" t="n">
        <v>44756</v>
      </c>
      <c r="C4901" s="1" t="n">
        <v>45587</v>
      </c>
      <c r="D4901" t="inlineStr">
        <is>
          <t>GÄVLEBORGS LÄN</t>
        </is>
      </c>
      <c r="E4901" t="inlineStr">
        <is>
          <t>GÄVLE</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29951-2022</t>
        </is>
      </c>
      <c r="B4902" s="1" t="n">
        <v>44756</v>
      </c>
      <c r="C4902" s="1" t="n">
        <v>45587</v>
      </c>
      <c r="D4902" t="inlineStr">
        <is>
          <t>GÄVLEBORGS LÄN</t>
        </is>
      </c>
      <c r="E4902" t="inlineStr">
        <is>
          <t>LJUSDAL</t>
        </is>
      </c>
      <c r="F4902" t="inlineStr">
        <is>
          <t>Sveaskog</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29905-2022</t>
        </is>
      </c>
      <c r="B4903" s="1" t="n">
        <v>44756</v>
      </c>
      <c r="C4903" s="1" t="n">
        <v>45587</v>
      </c>
      <c r="D4903" t="inlineStr">
        <is>
          <t>GÄVLEBORGS LÄN</t>
        </is>
      </c>
      <c r="E4903" t="inlineStr">
        <is>
          <t>GÄVLE</t>
        </is>
      </c>
      <c r="G4903" t="n">
        <v>7.4</v>
      </c>
      <c r="H4903" t="n">
        <v>0</v>
      </c>
      <c r="I4903" t="n">
        <v>0</v>
      </c>
      <c r="J4903" t="n">
        <v>0</v>
      </c>
      <c r="K4903" t="n">
        <v>0</v>
      </c>
      <c r="L4903" t="n">
        <v>0</v>
      </c>
      <c r="M4903" t="n">
        <v>0</v>
      </c>
      <c r="N4903" t="n">
        <v>0</v>
      </c>
      <c r="O4903" t="n">
        <v>0</v>
      </c>
      <c r="P4903" t="n">
        <v>0</v>
      </c>
      <c r="Q4903" t="n">
        <v>0</v>
      </c>
      <c r="R4903" s="2" t="inlineStr"/>
    </row>
    <row r="4904" ht="15" customHeight="1">
      <c r="A4904" t="inlineStr">
        <is>
          <t>A 29927-2022</t>
        </is>
      </c>
      <c r="B4904" s="1" t="n">
        <v>44756</v>
      </c>
      <c r="C4904" s="1" t="n">
        <v>45587</v>
      </c>
      <c r="D4904" t="inlineStr">
        <is>
          <t>GÄVLEBORGS LÄN</t>
        </is>
      </c>
      <c r="E4904" t="inlineStr">
        <is>
          <t>GÄVLE</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29933-2022</t>
        </is>
      </c>
      <c r="B4905" s="1" t="n">
        <v>44756</v>
      </c>
      <c r="C4905" s="1" t="n">
        <v>45587</v>
      </c>
      <c r="D4905" t="inlineStr">
        <is>
          <t>GÄVLEBORGS LÄN</t>
        </is>
      </c>
      <c r="E4905" t="inlineStr">
        <is>
          <t>GÄVLE</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29923-2022</t>
        </is>
      </c>
      <c r="B4906" s="1" t="n">
        <v>44756</v>
      </c>
      <c r="C4906" s="1" t="n">
        <v>45587</v>
      </c>
      <c r="D4906" t="inlineStr">
        <is>
          <t>GÄVLEBORGS LÄN</t>
        </is>
      </c>
      <c r="E4906" t="inlineStr">
        <is>
          <t>GÄVLE</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29977-2022</t>
        </is>
      </c>
      <c r="B4907" s="1" t="n">
        <v>44756</v>
      </c>
      <c r="C4907" s="1" t="n">
        <v>45587</v>
      </c>
      <c r="D4907" t="inlineStr">
        <is>
          <t>GÄVLEBORGS LÄN</t>
        </is>
      </c>
      <c r="E4907" t="inlineStr">
        <is>
          <t>SANDVIKEN</t>
        </is>
      </c>
      <c r="G4907" t="n">
        <v>14.1</v>
      </c>
      <c r="H4907" t="n">
        <v>0</v>
      </c>
      <c r="I4907" t="n">
        <v>0</v>
      </c>
      <c r="J4907" t="n">
        <v>0</v>
      </c>
      <c r="K4907" t="n">
        <v>0</v>
      </c>
      <c r="L4907" t="n">
        <v>0</v>
      </c>
      <c r="M4907" t="n">
        <v>0</v>
      </c>
      <c r="N4907" t="n">
        <v>0</v>
      </c>
      <c r="O4907" t="n">
        <v>0</v>
      </c>
      <c r="P4907" t="n">
        <v>0</v>
      </c>
      <c r="Q4907" t="n">
        <v>0</v>
      </c>
      <c r="R4907" s="2" t="inlineStr"/>
    </row>
    <row r="4908" ht="15" customHeight="1">
      <c r="A4908" t="inlineStr">
        <is>
          <t>A 29972-2022</t>
        </is>
      </c>
      <c r="B4908" s="1" t="n">
        <v>44756</v>
      </c>
      <c r="C4908" s="1" t="n">
        <v>45587</v>
      </c>
      <c r="D4908" t="inlineStr">
        <is>
          <t>GÄVLEBORGS LÄN</t>
        </is>
      </c>
      <c r="E4908" t="inlineStr">
        <is>
          <t>SANDVIKEN</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29949-2022</t>
        </is>
      </c>
      <c r="B4909" s="1" t="n">
        <v>44756</v>
      </c>
      <c r="C4909" s="1" t="n">
        <v>45587</v>
      </c>
      <c r="D4909" t="inlineStr">
        <is>
          <t>GÄVLEBORGS LÄN</t>
        </is>
      </c>
      <c r="E4909" t="inlineStr">
        <is>
          <t>LJUSDAL</t>
        </is>
      </c>
      <c r="F4909" t="inlineStr">
        <is>
          <t>Sveaskog</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29976-2022</t>
        </is>
      </c>
      <c r="B4910" s="1" t="n">
        <v>44756</v>
      </c>
      <c r="C4910" s="1" t="n">
        <v>45587</v>
      </c>
      <c r="D4910" t="inlineStr">
        <is>
          <t>GÄVLEBORGS LÄN</t>
        </is>
      </c>
      <c r="E4910" t="inlineStr">
        <is>
          <t>SANDVIKEN</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30051-2022</t>
        </is>
      </c>
      <c r="B4911" s="1" t="n">
        <v>44757</v>
      </c>
      <c r="C4911" s="1" t="n">
        <v>45587</v>
      </c>
      <c r="D4911" t="inlineStr">
        <is>
          <t>GÄVLEBORGS LÄN</t>
        </is>
      </c>
      <c r="E4911" t="inlineStr">
        <is>
          <t>NORDANSTIG</t>
        </is>
      </c>
      <c r="F4911" t="inlineStr">
        <is>
          <t>Holmen skog AB</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30152-2022</t>
        </is>
      </c>
      <c r="B4912" s="1" t="n">
        <v>44757</v>
      </c>
      <c r="C4912" s="1" t="n">
        <v>45587</v>
      </c>
      <c r="D4912" t="inlineStr">
        <is>
          <t>GÄVLEBORGS LÄN</t>
        </is>
      </c>
      <c r="E4912" t="inlineStr">
        <is>
          <t>BOLLNÄS</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30137-2022</t>
        </is>
      </c>
      <c r="B4913" s="1" t="n">
        <v>44757</v>
      </c>
      <c r="C4913" s="1" t="n">
        <v>45587</v>
      </c>
      <c r="D4913" t="inlineStr">
        <is>
          <t>GÄVLEBORGS LÄN</t>
        </is>
      </c>
      <c r="E4913" t="inlineStr">
        <is>
          <t>OVANÅKER</t>
        </is>
      </c>
      <c r="F4913" t="inlineStr">
        <is>
          <t>Holmen skog AB</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30168-2022</t>
        </is>
      </c>
      <c r="B4914" s="1" t="n">
        <v>44757</v>
      </c>
      <c r="C4914" s="1" t="n">
        <v>45587</v>
      </c>
      <c r="D4914" t="inlineStr">
        <is>
          <t>GÄVLEBORGS LÄN</t>
        </is>
      </c>
      <c r="E4914" t="inlineStr">
        <is>
          <t>OVANÅKER</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30181-2022</t>
        </is>
      </c>
      <c r="B4915" s="1" t="n">
        <v>44757</v>
      </c>
      <c r="C4915" s="1" t="n">
        <v>45587</v>
      </c>
      <c r="D4915" t="inlineStr">
        <is>
          <t>GÄVLEBORGS LÄN</t>
        </is>
      </c>
      <c r="E4915" t="inlineStr">
        <is>
          <t>GÄVLE</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30202-2022</t>
        </is>
      </c>
      <c r="B4916" s="1" t="n">
        <v>44757</v>
      </c>
      <c r="C4916" s="1" t="n">
        <v>45587</v>
      </c>
      <c r="D4916" t="inlineStr">
        <is>
          <t>GÄVLEBORGS LÄN</t>
        </is>
      </c>
      <c r="E4916" t="inlineStr">
        <is>
          <t>LJUSDAL</t>
        </is>
      </c>
      <c r="F4916" t="inlineStr">
        <is>
          <t>Allmännings- och besparingsskogar</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30166-2022</t>
        </is>
      </c>
      <c r="B4917" s="1" t="n">
        <v>44757</v>
      </c>
      <c r="C4917" s="1" t="n">
        <v>45587</v>
      </c>
      <c r="D4917" t="inlineStr">
        <is>
          <t>GÄVLEBORGS LÄN</t>
        </is>
      </c>
      <c r="E4917" t="inlineStr">
        <is>
          <t>OVANÅKER</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30201-2022</t>
        </is>
      </c>
      <c r="B4918" s="1" t="n">
        <v>44757</v>
      </c>
      <c r="C4918" s="1" t="n">
        <v>45587</v>
      </c>
      <c r="D4918" t="inlineStr">
        <is>
          <t>GÄVLEBORGS LÄN</t>
        </is>
      </c>
      <c r="E4918" t="inlineStr">
        <is>
          <t>OVANÅKER</t>
        </is>
      </c>
      <c r="F4918" t="inlineStr">
        <is>
          <t>Holmen skog AB</t>
        </is>
      </c>
      <c r="G4918" t="n">
        <v>6.4</v>
      </c>
      <c r="H4918" t="n">
        <v>0</v>
      </c>
      <c r="I4918" t="n">
        <v>0</v>
      </c>
      <c r="J4918" t="n">
        <v>0</v>
      </c>
      <c r="K4918" t="n">
        <v>0</v>
      </c>
      <c r="L4918" t="n">
        <v>0</v>
      </c>
      <c r="M4918" t="n">
        <v>0</v>
      </c>
      <c r="N4918" t="n">
        <v>0</v>
      </c>
      <c r="O4918" t="n">
        <v>0</v>
      </c>
      <c r="P4918" t="n">
        <v>0</v>
      </c>
      <c r="Q4918" t="n">
        <v>0</v>
      </c>
      <c r="R4918" s="2" t="inlineStr"/>
    </row>
    <row r="4919" ht="15" customHeight="1">
      <c r="A4919" t="inlineStr">
        <is>
          <t>A 30199-2022</t>
        </is>
      </c>
      <c r="B4919" s="1" t="n">
        <v>44757</v>
      </c>
      <c r="C4919" s="1" t="n">
        <v>45587</v>
      </c>
      <c r="D4919" t="inlineStr">
        <is>
          <t>GÄVLEBORGS LÄN</t>
        </is>
      </c>
      <c r="E4919" t="inlineStr">
        <is>
          <t>LJUSDAL</t>
        </is>
      </c>
      <c r="F4919" t="inlineStr">
        <is>
          <t>Allmännings- och besparingsskogar</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30208-2022</t>
        </is>
      </c>
      <c r="B4920" s="1" t="n">
        <v>44757</v>
      </c>
      <c r="C4920" s="1" t="n">
        <v>45587</v>
      </c>
      <c r="D4920" t="inlineStr">
        <is>
          <t>GÄVLEBORGS LÄN</t>
        </is>
      </c>
      <c r="E4920" t="inlineStr">
        <is>
          <t>SÖDERHAMN</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30336-2022</t>
        </is>
      </c>
      <c r="B4921" s="1" t="n">
        <v>44760</v>
      </c>
      <c r="C4921" s="1" t="n">
        <v>45587</v>
      </c>
      <c r="D4921" t="inlineStr">
        <is>
          <t>GÄVLEBORGS LÄN</t>
        </is>
      </c>
      <c r="E4921" t="inlineStr">
        <is>
          <t>SÖDERHAMN</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30374-2022</t>
        </is>
      </c>
      <c r="B4922" s="1" t="n">
        <v>44760</v>
      </c>
      <c r="C4922" s="1" t="n">
        <v>45587</v>
      </c>
      <c r="D4922" t="inlineStr">
        <is>
          <t>GÄVLEBORGS LÄN</t>
        </is>
      </c>
      <c r="E4922" t="inlineStr">
        <is>
          <t>OVANÅKER</t>
        </is>
      </c>
      <c r="G4922" t="n">
        <v>0.2</v>
      </c>
      <c r="H4922" t="n">
        <v>0</v>
      </c>
      <c r="I4922" t="n">
        <v>0</v>
      </c>
      <c r="J4922" t="n">
        <v>0</v>
      </c>
      <c r="K4922" t="n">
        <v>0</v>
      </c>
      <c r="L4922" t="n">
        <v>0</v>
      </c>
      <c r="M4922" t="n">
        <v>0</v>
      </c>
      <c r="N4922" t="n">
        <v>0</v>
      </c>
      <c r="O4922" t="n">
        <v>0</v>
      </c>
      <c r="P4922" t="n">
        <v>0</v>
      </c>
      <c r="Q4922" t="n">
        <v>0</v>
      </c>
      <c r="R4922" s="2" t="inlineStr"/>
    </row>
    <row r="4923" ht="15" customHeight="1">
      <c r="A4923" t="inlineStr">
        <is>
          <t>A 30372-2022</t>
        </is>
      </c>
      <c r="B4923" s="1" t="n">
        <v>44760</v>
      </c>
      <c r="C4923" s="1" t="n">
        <v>45587</v>
      </c>
      <c r="D4923" t="inlineStr">
        <is>
          <t>GÄVLEBORGS LÄN</t>
        </is>
      </c>
      <c r="E4923" t="inlineStr">
        <is>
          <t>OVANÅKER</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30364-2022</t>
        </is>
      </c>
      <c r="B4924" s="1" t="n">
        <v>44760</v>
      </c>
      <c r="C4924" s="1" t="n">
        <v>45587</v>
      </c>
      <c r="D4924" t="inlineStr">
        <is>
          <t>GÄVLEBORGS LÄN</t>
        </is>
      </c>
      <c r="E4924" t="inlineStr">
        <is>
          <t>OVANÅKER</t>
        </is>
      </c>
      <c r="F4924" t="inlineStr">
        <is>
          <t>Bergvik skog öst AB</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30391-2022</t>
        </is>
      </c>
      <c r="B4925" s="1" t="n">
        <v>44760</v>
      </c>
      <c r="C4925" s="1" t="n">
        <v>45587</v>
      </c>
      <c r="D4925" t="inlineStr">
        <is>
          <t>GÄVLEBORGS LÄN</t>
        </is>
      </c>
      <c r="E4925" t="inlineStr">
        <is>
          <t>SANDVIKEN</t>
        </is>
      </c>
      <c r="F4925" t="inlineStr">
        <is>
          <t>Sveaskog</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30545-2022</t>
        </is>
      </c>
      <c r="B4926" s="1" t="n">
        <v>44762</v>
      </c>
      <c r="C4926" s="1" t="n">
        <v>45587</v>
      </c>
      <c r="D4926" t="inlineStr">
        <is>
          <t>GÄVLEBORGS LÄN</t>
        </is>
      </c>
      <c r="E4926" t="inlineStr">
        <is>
          <t>LJUSDAL</t>
        </is>
      </c>
      <c r="F4926" t="inlineStr">
        <is>
          <t>Bergvik skog väst AB</t>
        </is>
      </c>
      <c r="G4926" t="n">
        <v>13.8</v>
      </c>
      <c r="H4926" t="n">
        <v>0</v>
      </c>
      <c r="I4926" t="n">
        <v>0</v>
      </c>
      <c r="J4926" t="n">
        <v>0</v>
      </c>
      <c r="K4926" t="n">
        <v>0</v>
      </c>
      <c r="L4926" t="n">
        <v>0</v>
      </c>
      <c r="M4926" t="n">
        <v>0</v>
      </c>
      <c r="N4926" t="n">
        <v>0</v>
      </c>
      <c r="O4926" t="n">
        <v>0</v>
      </c>
      <c r="P4926" t="n">
        <v>0</v>
      </c>
      <c r="Q4926" t="n">
        <v>0</v>
      </c>
      <c r="R4926" s="2" t="inlineStr"/>
    </row>
    <row r="4927" ht="15" customHeight="1">
      <c r="A4927" t="inlineStr">
        <is>
          <t>A 30556-2022</t>
        </is>
      </c>
      <c r="B4927" s="1" t="n">
        <v>44762</v>
      </c>
      <c r="C4927" s="1" t="n">
        <v>45587</v>
      </c>
      <c r="D4927" t="inlineStr">
        <is>
          <t>GÄVLEBORGS LÄN</t>
        </is>
      </c>
      <c r="E4927" t="inlineStr">
        <is>
          <t>LJUSDAL</t>
        </is>
      </c>
      <c r="F4927" t="inlineStr">
        <is>
          <t>Bergvik skog väst AB</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30589-2022</t>
        </is>
      </c>
      <c r="B4928" s="1" t="n">
        <v>44762</v>
      </c>
      <c r="C4928" s="1" t="n">
        <v>45587</v>
      </c>
      <c r="D4928" t="inlineStr">
        <is>
          <t>GÄVLEBORGS LÄN</t>
        </is>
      </c>
      <c r="E4928" t="inlineStr">
        <is>
          <t>HUDIKSVALL</t>
        </is>
      </c>
      <c r="F4928" t="inlineStr">
        <is>
          <t>Sveaskog</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30591-2022</t>
        </is>
      </c>
      <c r="B4929" s="1" t="n">
        <v>44762</v>
      </c>
      <c r="C4929" s="1" t="n">
        <v>45587</v>
      </c>
      <c r="D4929" t="inlineStr">
        <is>
          <t>GÄVLEBORGS LÄN</t>
        </is>
      </c>
      <c r="E4929" t="inlineStr">
        <is>
          <t>HUDIKSVALL</t>
        </is>
      </c>
      <c r="F4929" t="inlineStr">
        <is>
          <t>Sveaskog</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30590-2022</t>
        </is>
      </c>
      <c r="B4930" s="1" t="n">
        <v>44762</v>
      </c>
      <c r="C4930" s="1" t="n">
        <v>45587</v>
      </c>
      <c r="D4930" t="inlineStr">
        <is>
          <t>GÄVLEBORGS LÄN</t>
        </is>
      </c>
      <c r="E4930" t="inlineStr">
        <is>
          <t>HUDIKSVALL</t>
        </is>
      </c>
      <c r="F4930" t="inlineStr">
        <is>
          <t>Sveaskog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30629-2022</t>
        </is>
      </c>
      <c r="B4931" s="1" t="n">
        <v>44763</v>
      </c>
      <c r="C4931" s="1" t="n">
        <v>45587</v>
      </c>
      <c r="D4931" t="inlineStr">
        <is>
          <t>GÄVLEBORGS LÄN</t>
        </is>
      </c>
      <c r="E4931" t="inlineStr">
        <is>
          <t>LJUSDAL</t>
        </is>
      </c>
      <c r="F4931" t="inlineStr">
        <is>
          <t>Sveaskog</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30662-2022</t>
        </is>
      </c>
      <c r="B4932" s="1" t="n">
        <v>44763</v>
      </c>
      <c r="C4932" s="1" t="n">
        <v>45587</v>
      </c>
      <c r="D4932" t="inlineStr">
        <is>
          <t>GÄVLEBORGS LÄN</t>
        </is>
      </c>
      <c r="E4932" t="inlineStr">
        <is>
          <t>GÄVLE</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30668-2022</t>
        </is>
      </c>
      <c r="B4933" s="1" t="n">
        <v>44763</v>
      </c>
      <c r="C4933" s="1" t="n">
        <v>45587</v>
      </c>
      <c r="D4933" t="inlineStr">
        <is>
          <t>GÄVLEBORGS LÄN</t>
        </is>
      </c>
      <c r="E4933" t="inlineStr">
        <is>
          <t>LJUSDAL</t>
        </is>
      </c>
      <c r="F4933" t="inlineStr">
        <is>
          <t>Bergvik skog väst AB</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30671-2022</t>
        </is>
      </c>
      <c r="B4934" s="1" t="n">
        <v>44763</v>
      </c>
      <c r="C4934" s="1" t="n">
        <v>45587</v>
      </c>
      <c r="D4934" t="inlineStr">
        <is>
          <t>GÄVLEBORGS LÄN</t>
        </is>
      </c>
      <c r="E4934" t="inlineStr">
        <is>
          <t>LJUSDAL</t>
        </is>
      </c>
      <c r="F4934" t="inlineStr">
        <is>
          <t>Sveaskog</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30615-2022</t>
        </is>
      </c>
      <c r="B4935" s="1" t="n">
        <v>44763</v>
      </c>
      <c r="C4935" s="1" t="n">
        <v>45587</v>
      </c>
      <c r="D4935" t="inlineStr">
        <is>
          <t>GÄVLEBORGS LÄN</t>
        </is>
      </c>
      <c r="E4935" t="inlineStr">
        <is>
          <t>BOLLNÄS</t>
        </is>
      </c>
      <c r="G4935" t="n">
        <v>0.2</v>
      </c>
      <c r="H4935" t="n">
        <v>0</v>
      </c>
      <c r="I4935" t="n">
        <v>0</v>
      </c>
      <c r="J4935" t="n">
        <v>0</v>
      </c>
      <c r="K4935" t="n">
        <v>0</v>
      </c>
      <c r="L4935" t="n">
        <v>0</v>
      </c>
      <c r="M4935" t="n">
        <v>0</v>
      </c>
      <c r="N4935" t="n">
        <v>0</v>
      </c>
      <c r="O4935" t="n">
        <v>0</v>
      </c>
      <c r="P4935" t="n">
        <v>0</v>
      </c>
      <c r="Q4935" t="n">
        <v>0</v>
      </c>
      <c r="R4935" s="2" t="inlineStr"/>
    </row>
    <row r="4936" ht="15" customHeight="1">
      <c r="A4936" t="inlineStr">
        <is>
          <t>A 30630-2022</t>
        </is>
      </c>
      <c r="B4936" s="1" t="n">
        <v>44763</v>
      </c>
      <c r="C4936" s="1" t="n">
        <v>45587</v>
      </c>
      <c r="D4936" t="inlineStr">
        <is>
          <t>GÄVLEBORGS LÄN</t>
        </is>
      </c>
      <c r="E4936" t="inlineStr">
        <is>
          <t>NORDANSTIG</t>
        </is>
      </c>
      <c r="F4936" t="inlineStr">
        <is>
          <t>Holmen skog AB</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30658-2022</t>
        </is>
      </c>
      <c r="B4937" s="1" t="n">
        <v>44763</v>
      </c>
      <c r="C4937" s="1" t="n">
        <v>45587</v>
      </c>
      <c r="D4937" t="inlineStr">
        <is>
          <t>GÄVLEBORGS LÄN</t>
        </is>
      </c>
      <c r="E4937" t="inlineStr">
        <is>
          <t>SANDVIKEN</t>
        </is>
      </c>
      <c r="F4937" t="inlineStr">
        <is>
          <t>Sveaskog</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30642-2022</t>
        </is>
      </c>
      <c r="B4938" s="1" t="n">
        <v>44763</v>
      </c>
      <c r="C4938" s="1" t="n">
        <v>45587</v>
      </c>
      <c r="D4938" t="inlineStr">
        <is>
          <t>GÄVLEBORGS LÄN</t>
        </is>
      </c>
      <c r="E4938" t="inlineStr">
        <is>
          <t>NORDANSTIG</t>
        </is>
      </c>
      <c r="F4938" t="inlineStr">
        <is>
          <t>Holmen skog AB</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30660-2022</t>
        </is>
      </c>
      <c r="B4939" s="1" t="n">
        <v>44763</v>
      </c>
      <c r="C4939" s="1" t="n">
        <v>45587</v>
      </c>
      <c r="D4939" t="inlineStr">
        <is>
          <t>GÄVLEBORGS LÄN</t>
        </is>
      </c>
      <c r="E4939" t="inlineStr">
        <is>
          <t>SANDVIKEN</t>
        </is>
      </c>
      <c r="F4939" t="inlineStr">
        <is>
          <t>Sveaskog</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30667-2022</t>
        </is>
      </c>
      <c r="B4940" s="1" t="n">
        <v>44763</v>
      </c>
      <c r="C4940" s="1" t="n">
        <v>45587</v>
      </c>
      <c r="D4940" t="inlineStr">
        <is>
          <t>GÄVLEBORGS LÄN</t>
        </is>
      </c>
      <c r="E4940" t="inlineStr">
        <is>
          <t>LJUSDAL</t>
        </is>
      </c>
      <c r="F4940" t="inlineStr">
        <is>
          <t>Sveaskog</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30696-2022</t>
        </is>
      </c>
      <c r="B4941" s="1" t="n">
        <v>44763</v>
      </c>
      <c r="C4941" s="1" t="n">
        <v>45587</v>
      </c>
      <c r="D4941" t="inlineStr">
        <is>
          <t>GÄVLEBORGS LÄN</t>
        </is>
      </c>
      <c r="E4941" t="inlineStr">
        <is>
          <t>SANDVIKEN</t>
        </is>
      </c>
      <c r="F4941" t="inlineStr">
        <is>
          <t>Sveaskog</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30797-2022</t>
        </is>
      </c>
      <c r="B4942" s="1" t="n">
        <v>44764</v>
      </c>
      <c r="C4942" s="1" t="n">
        <v>45587</v>
      </c>
      <c r="D4942" t="inlineStr">
        <is>
          <t>GÄVLEBORGS LÄN</t>
        </is>
      </c>
      <c r="E4942" t="inlineStr">
        <is>
          <t>SANDVIKEN</t>
        </is>
      </c>
      <c r="F4942" t="inlineStr">
        <is>
          <t>Sveaskog</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30799-2022</t>
        </is>
      </c>
      <c r="B4943" s="1" t="n">
        <v>44764</v>
      </c>
      <c r="C4943" s="1" t="n">
        <v>45587</v>
      </c>
      <c r="D4943" t="inlineStr">
        <is>
          <t>GÄVLEBORGS LÄN</t>
        </is>
      </c>
      <c r="E4943" t="inlineStr">
        <is>
          <t>SANDVIKEN</t>
        </is>
      </c>
      <c r="F4943" t="inlineStr">
        <is>
          <t>Sveaskog</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30798-2022</t>
        </is>
      </c>
      <c r="B4944" s="1" t="n">
        <v>44764</v>
      </c>
      <c r="C4944" s="1" t="n">
        <v>45587</v>
      </c>
      <c r="D4944" t="inlineStr">
        <is>
          <t>GÄVLEBORGS LÄN</t>
        </is>
      </c>
      <c r="E4944" t="inlineStr">
        <is>
          <t>SANDVIKEN</t>
        </is>
      </c>
      <c r="F4944" t="inlineStr">
        <is>
          <t>Sveaskog</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30779-2022</t>
        </is>
      </c>
      <c r="B4945" s="1" t="n">
        <v>44764</v>
      </c>
      <c r="C4945" s="1" t="n">
        <v>45587</v>
      </c>
      <c r="D4945" t="inlineStr">
        <is>
          <t>GÄVLEBORGS LÄN</t>
        </is>
      </c>
      <c r="E4945" t="inlineStr">
        <is>
          <t>NORDANSTIG</t>
        </is>
      </c>
      <c r="F4945" t="inlineStr">
        <is>
          <t>Holmen skog AB</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30817-2022</t>
        </is>
      </c>
      <c r="B4946" s="1" t="n">
        <v>44765</v>
      </c>
      <c r="C4946" s="1" t="n">
        <v>45587</v>
      </c>
      <c r="D4946" t="inlineStr">
        <is>
          <t>GÄVLEBORGS LÄN</t>
        </is>
      </c>
      <c r="E4946" t="inlineStr">
        <is>
          <t>NORDANSTIG</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30816-2022</t>
        </is>
      </c>
      <c r="B4947" s="1" t="n">
        <v>44765</v>
      </c>
      <c r="C4947" s="1" t="n">
        <v>45587</v>
      </c>
      <c r="D4947" t="inlineStr">
        <is>
          <t>GÄVLEBORGS LÄN</t>
        </is>
      </c>
      <c r="E4947" t="inlineStr">
        <is>
          <t>NORDANSTIG</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30825-2022</t>
        </is>
      </c>
      <c r="B4948" s="1" t="n">
        <v>44767</v>
      </c>
      <c r="C4948" s="1" t="n">
        <v>45587</v>
      </c>
      <c r="D4948" t="inlineStr">
        <is>
          <t>GÄVLEBORGS LÄN</t>
        </is>
      </c>
      <c r="E4948" t="inlineStr">
        <is>
          <t>HUDIKSVALL</t>
        </is>
      </c>
      <c r="F4948" t="inlineStr">
        <is>
          <t>Holmen skog AB</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30869-2022</t>
        </is>
      </c>
      <c r="B4949" s="1" t="n">
        <v>44767</v>
      </c>
      <c r="C4949" s="1" t="n">
        <v>45587</v>
      </c>
      <c r="D4949" t="inlineStr">
        <is>
          <t>GÄVLEBORGS LÄN</t>
        </is>
      </c>
      <c r="E4949" t="inlineStr">
        <is>
          <t>LJUSDAL</t>
        </is>
      </c>
      <c r="F4949" t="inlineStr">
        <is>
          <t>Holmen skog AB</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30877-2022</t>
        </is>
      </c>
      <c r="B4950" s="1" t="n">
        <v>44767</v>
      </c>
      <c r="C4950" s="1" t="n">
        <v>45587</v>
      </c>
      <c r="D4950" t="inlineStr">
        <is>
          <t>GÄVLEBORGS LÄN</t>
        </is>
      </c>
      <c r="E4950" t="inlineStr">
        <is>
          <t>LJUSDAL</t>
        </is>
      </c>
      <c r="F4950" t="inlineStr">
        <is>
          <t>Holmen skog AB</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30844-2022</t>
        </is>
      </c>
      <c r="B4951" s="1" t="n">
        <v>44767</v>
      </c>
      <c r="C4951" s="1" t="n">
        <v>45587</v>
      </c>
      <c r="D4951" t="inlineStr">
        <is>
          <t>GÄVLEBORGS LÄN</t>
        </is>
      </c>
      <c r="E4951" t="inlineStr">
        <is>
          <t>HUDIKSVALL</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30857-2022</t>
        </is>
      </c>
      <c r="B4952" s="1" t="n">
        <v>44767</v>
      </c>
      <c r="C4952" s="1" t="n">
        <v>45587</v>
      </c>
      <c r="D4952" t="inlineStr">
        <is>
          <t>GÄVLEBORGS LÄN</t>
        </is>
      </c>
      <c r="E4952" t="inlineStr">
        <is>
          <t>NORDANSTIG</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30875-2022</t>
        </is>
      </c>
      <c r="B4953" s="1" t="n">
        <v>44767</v>
      </c>
      <c r="C4953" s="1" t="n">
        <v>45587</v>
      </c>
      <c r="D4953" t="inlineStr">
        <is>
          <t>GÄVLEBORGS LÄN</t>
        </is>
      </c>
      <c r="E4953" t="inlineStr">
        <is>
          <t>GÄVLE</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30959-2022</t>
        </is>
      </c>
      <c r="B4954" s="1" t="n">
        <v>44768</v>
      </c>
      <c r="C4954" s="1" t="n">
        <v>45587</v>
      </c>
      <c r="D4954" t="inlineStr">
        <is>
          <t>GÄVLEBORGS LÄN</t>
        </is>
      </c>
      <c r="E4954" t="inlineStr">
        <is>
          <t>HUDIKSVALL</t>
        </is>
      </c>
      <c r="F4954" t="inlineStr">
        <is>
          <t>Holmen skog AB</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30960-2022</t>
        </is>
      </c>
      <c r="B4955" s="1" t="n">
        <v>44768</v>
      </c>
      <c r="C4955" s="1" t="n">
        <v>45587</v>
      </c>
      <c r="D4955" t="inlineStr">
        <is>
          <t>GÄVLEBORGS LÄN</t>
        </is>
      </c>
      <c r="E4955" t="inlineStr">
        <is>
          <t>HUDIKSVALL</t>
        </is>
      </c>
      <c r="F4955" t="inlineStr">
        <is>
          <t>Holmen skog AB</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30990-2022</t>
        </is>
      </c>
      <c r="B4956" s="1" t="n">
        <v>44768</v>
      </c>
      <c r="C4956" s="1" t="n">
        <v>45587</v>
      </c>
      <c r="D4956" t="inlineStr">
        <is>
          <t>GÄVLEBORGS LÄN</t>
        </is>
      </c>
      <c r="E4956" t="inlineStr">
        <is>
          <t>SANDVIKEN</t>
        </is>
      </c>
      <c r="F4956" t="inlineStr">
        <is>
          <t>Bergvik skog öst AB</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30984-2022</t>
        </is>
      </c>
      <c r="B4957" s="1" t="n">
        <v>44768</v>
      </c>
      <c r="C4957" s="1" t="n">
        <v>45587</v>
      </c>
      <c r="D4957" t="inlineStr">
        <is>
          <t>GÄVLEBORGS LÄN</t>
        </is>
      </c>
      <c r="E4957" t="inlineStr">
        <is>
          <t>LJUSDAL</t>
        </is>
      </c>
      <c r="F4957" t="inlineStr">
        <is>
          <t>Allmännings- och besparingsskogar</t>
        </is>
      </c>
      <c r="G4957" t="n">
        <v>6.5</v>
      </c>
      <c r="H4957" t="n">
        <v>0</v>
      </c>
      <c r="I4957" t="n">
        <v>0</v>
      </c>
      <c r="J4957" t="n">
        <v>0</v>
      </c>
      <c r="K4957" t="n">
        <v>0</v>
      </c>
      <c r="L4957" t="n">
        <v>0</v>
      </c>
      <c r="M4957" t="n">
        <v>0</v>
      </c>
      <c r="N4957" t="n">
        <v>0</v>
      </c>
      <c r="O4957" t="n">
        <v>0</v>
      </c>
      <c r="P4957" t="n">
        <v>0</v>
      </c>
      <c r="Q4957" t="n">
        <v>0</v>
      </c>
      <c r="R4957" s="2" t="inlineStr"/>
    </row>
    <row r="4958" ht="15" customHeight="1">
      <c r="A4958" t="inlineStr">
        <is>
          <t>A 31019-2022</t>
        </is>
      </c>
      <c r="B4958" s="1" t="n">
        <v>44768</v>
      </c>
      <c r="C4958" s="1" t="n">
        <v>45587</v>
      </c>
      <c r="D4958" t="inlineStr">
        <is>
          <t>GÄVLEBORGS LÄN</t>
        </is>
      </c>
      <c r="E4958" t="inlineStr">
        <is>
          <t>LJUSDAL</t>
        </is>
      </c>
      <c r="F4958" t="inlineStr">
        <is>
          <t>Allmännings- och besparingsskogar</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30940-2022</t>
        </is>
      </c>
      <c r="B4959" s="1" t="n">
        <v>44768</v>
      </c>
      <c r="C4959" s="1" t="n">
        <v>45587</v>
      </c>
      <c r="D4959" t="inlineStr">
        <is>
          <t>GÄVLEBORGS LÄN</t>
        </is>
      </c>
      <c r="E4959" t="inlineStr">
        <is>
          <t>NORDANSTIG</t>
        </is>
      </c>
      <c r="F4959" t="inlineStr">
        <is>
          <t>Holmen skog AB</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31204-2022</t>
        </is>
      </c>
      <c r="B4960" s="1" t="n">
        <v>44771</v>
      </c>
      <c r="C4960" s="1" t="n">
        <v>45587</v>
      </c>
      <c r="D4960" t="inlineStr">
        <is>
          <t>GÄVLEBORGS LÄN</t>
        </is>
      </c>
      <c r="E4960" t="inlineStr">
        <is>
          <t>HUDIKSVALL</t>
        </is>
      </c>
      <c r="G4960" t="n">
        <v>6.1</v>
      </c>
      <c r="H4960" t="n">
        <v>0</v>
      </c>
      <c r="I4960" t="n">
        <v>0</v>
      </c>
      <c r="J4960" t="n">
        <v>0</v>
      </c>
      <c r="K4960" t="n">
        <v>0</v>
      </c>
      <c r="L4960" t="n">
        <v>0</v>
      </c>
      <c r="M4960" t="n">
        <v>0</v>
      </c>
      <c r="N4960" t="n">
        <v>0</v>
      </c>
      <c r="O4960" t="n">
        <v>0</v>
      </c>
      <c r="P4960" t="n">
        <v>0</v>
      </c>
      <c r="Q4960" t="n">
        <v>0</v>
      </c>
      <c r="R4960" s="2" t="inlineStr"/>
    </row>
    <row r="4961" ht="15" customHeight="1">
      <c r="A4961" t="inlineStr">
        <is>
          <t>A 31163-2022</t>
        </is>
      </c>
      <c r="B4961" s="1" t="n">
        <v>44770</v>
      </c>
      <c r="C4961" s="1" t="n">
        <v>45587</v>
      </c>
      <c r="D4961" t="inlineStr">
        <is>
          <t>GÄVLEBORGS LÄN</t>
        </is>
      </c>
      <c r="E4961" t="inlineStr">
        <is>
          <t>OVANÅKER</t>
        </is>
      </c>
      <c r="F4961" t="inlineStr">
        <is>
          <t>Bergvik skog öst AB</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31205-2022</t>
        </is>
      </c>
      <c r="B4962" s="1" t="n">
        <v>44770</v>
      </c>
      <c r="C4962" s="1" t="n">
        <v>45587</v>
      </c>
      <c r="D4962" t="inlineStr">
        <is>
          <t>GÄVLEBORGS LÄN</t>
        </is>
      </c>
      <c r="E4962" t="inlineStr">
        <is>
          <t>HOFORS</t>
        </is>
      </c>
      <c r="F4962" t="inlineStr">
        <is>
          <t>Sveaskog</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31237-2022</t>
        </is>
      </c>
      <c r="B4963" s="1" t="n">
        <v>44771</v>
      </c>
      <c r="C4963" s="1" t="n">
        <v>45587</v>
      </c>
      <c r="D4963" t="inlineStr">
        <is>
          <t>GÄVLEBORGS LÄN</t>
        </is>
      </c>
      <c r="E4963" t="inlineStr">
        <is>
          <t>BOLLNÄS</t>
        </is>
      </c>
      <c r="G4963" t="n">
        <v>13.5</v>
      </c>
      <c r="H4963" t="n">
        <v>0</v>
      </c>
      <c r="I4963" t="n">
        <v>0</v>
      </c>
      <c r="J4963" t="n">
        <v>0</v>
      </c>
      <c r="K4963" t="n">
        <v>0</v>
      </c>
      <c r="L4963" t="n">
        <v>0</v>
      </c>
      <c r="M4963" t="n">
        <v>0</v>
      </c>
      <c r="N4963" t="n">
        <v>0</v>
      </c>
      <c r="O4963" t="n">
        <v>0</v>
      </c>
      <c r="P4963" t="n">
        <v>0</v>
      </c>
      <c r="Q4963" t="n">
        <v>0</v>
      </c>
      <c r="R4963" s="2" t="inlineStr"/>
    </row>
    <row r="4964" ht="15" customHeight="1">
      <c r="A4964" t="inlineStr">
        <is>
          <t>A 31348-2022</t>
        </is>
      </c>
      <c r="B4964" s="1" t="n">
        <v>44774</v>
      </c>
      <c r="C4964" s="1" t="n">
        <v>45587</v>
      </c>
      <c r="D4964" t="inlineStr">
        <is>
          <t>GÄVLEBORGS LÄN</t>
        </is>
      </c>
      <c r="E4964" t="inlineStr">
        <is>
          <t>LJUSDAL</t>
        </is>
      </c>
      <c r="F4964" t="inlineStr">
        <is>
          <t>Holmen skog AB</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31356-2022</t>
        </is>
      </c>
      <c r="B4965" s="1" t="n">
        <v>44774</v>
      </c>
      <c r="C4965" s="1" t="n">
        <v>45587</v>
      </c>
      <c r="D4965" t="inlineStr">
        <is>
          <t>GÄVLEBORGS LÄN</t>
        </is>
      </c>
      <c r="E4965" t="inlineStr">
        <is>
          <t>OVANÅKER</t>
        </is>
      </c>
      <c r="F4965" t="inlineStr">
        <is>
          <t>Bergvik skog väst AB</t>
        </is>
      </c>
      <c r="G4965" t="n">
        <v>5.8</v>
      </c>
      <c r="H4965" t="n">
        <v>0</v>
      </c>
      <c r="I4965" t="n">
        <v>0</v>
      </c>
      <c r="J4965" t="n">
        <v>0</v>
      </c>
      <c r="K4965" t="n">
        <v>0</v>
      </c>
      <c r="L4965" t="n">
        <v>0</v>
      </c>
      <c r="M4965" t="n">
        <v>0</v>
      </c>
      <c r="N4965" t="n">
        <v>0</v>
      </c>
      <c r="O4965" t="n">
        <v>0</v>
      </c>
      <c r="P4965" t="n">
        <v>0</v>
      </c>
      <c r="Q4965" t="n">
        <v>0</v>
      </c>
      <c r="R4965" s="2" t="inlineStr"/>
    </row>
    <row r="4966" ht="15" customHeight="1">
      <c r="A4966" t="inlineStr">
        <is>
          <t>A 31312-2022</t>
        </is>
      </c>
      <c r="B4966" s="1" t="n">
        <v>44774</v>
      </c>
      <c r="C4966" s="1" t="n">
        <v>45587</v>
      </c>
      <c r="D4966" t="inlineStr">
        <is>
          <t>GÄVLEBORGS LÄN</t>
        </is>
      </c>
      <c r="E4966" t="inlineStr">
        <is>
          <t>LJUSDAL</t>
        </is>
      </c>
      <c r="F4966" t="inlineStr">
        <is>
          <t>Holmen skog AB</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31377-2022</t>
        </is>
      </c>
      <c r="B4967" s="1" t="n">
        <v>44774</v>
      </c>
      <c r="C4967" s="1" t="n">
        <v>45587</v>
      </c>
      <c r="D4967" t="inlineStr">
        <is>
          <t>GÄVLEBORGS LÄN</t>
        </is>
      </c>
      <c r="E4967" t="inlineStr">
        <is>
          <t>OVANÅKER</t>
        </is>
      </c>
      <c r="F4967" t="inlineStr">
        <is>
          <t>Bergvik skog väst AB</t>
        </is>
      </c>
      <c r="G4967" t="n">
        <v>5.7</v>
      </c>
      <c r="H4967" t="n">
        <v>0</v>
      </c>
      <c r="I4967" t="n">
        <v>0</v>
      </c>
      <c r="J4967" t="n">
        <v>0</v>
      </c>
      <c r="K4967" t="n">
        <v>0</v>
      </c>
      <c r="L4967" t="n">
        <v>0</v>
      </c>
      <c r="M4967" t="n">
        <v>0</v>
      </c>
      <c r="N4967" t="n">
        <v>0</v>
      </c>
      <c r="O4967" t="n">
        <v>0</v>
      </c>
      <c r="P4967" t="n">
        <v>0</v>
      </c>
      <c r="Q4967" t="n">
        <v>0</v>
      </c>
      <c r="R4967" s="2" t="inlineStr"/>
    </row>
    <row r="4968" ht="15" customHeight="1">
      <c r="A4968" t="inlineStr">
        <is>
          <t>A 31327-2022</t>
        </is>
      </c>
      <c r="B4968" s="1" t="n">
        <v>44774</v>
      </c>
      <c r="C4968" s="1" t="n">
        <v>45587</v>
      </c>
      <c r="D4968" t="inlineStr">
        <is>
          <t>GÄVLEBORGS LÄN</t>
        </is>
      </c>
      <c r="E4968" t="inlineStr">
        <is>
          <t>SÖDERHAMN</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31336-2022</t>
        </is>
      </c>
      <c r="B4969" s="1" t="n">
        <v>44774</v>
      </c>
      <c r="C4969" s="1" t="n">
        <v>45587</v>
      </c>
      <c r="D4969" t="inlineStr">
        <is>
          <t>GÄVLEBORGS LÄN</t>
        </is>
      </c>
      <c r="E4969" t="inlineStr">
        <is>
          <t>LJUSDAL</t>
        </is>
      </c>
      <c r="F4969" t="inlineStr">
        <is>
          <t>Holmen skog AB</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31378-2022</t>
        </is>
      </c>
      <c r="B4970" s="1" t="n">
        <v>44774</v>
      </c>
      <c r="C4970" s="1" t="n">
        <v>45587</v>
      </c>
      <c r="D4970" t="inlineStr">
        <is>
          <t>GÄVLEBORGS LÄN</t>
        </is>
      </c>
      <c r="E4970" t="inlineStr">
        <is>
          <t>LJUSDAL</t>
        </is>
      </c>
      <c r="F4970" t="inlineStr">
        <is>
          <t>Holmen skog AB</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31397-2022</t>
        </is>
      </c>
      <c r="B4971" s="1" t="n">
        <v>44774</v>
      </c>
      <c r="C4971" s="1" t="n">
        <v>45587</v>
      </c>
      <c r="D4971" t="inlineStr">
        <is>
          <t>GÄVLEBORGS LÄN</t>
        </is>
      </c>
      <c r="E4971" t="inlineStr">
        <is>
          <t>LJUSDAL</t>
        </is>
      </c>
      <c r="F4971" t="inlineStr">
        <is>
          <t>Holmen skog AB</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31419-2022</t>
        </is>
      </c>
      <c r="B4972" s="1" t="n">
        <v>44774</v>
      </c>
      <c r="C4972" s="1" t="n">
        <v>45587</v>
      </c>
      <c r="D4972" t="inlineStr">
        <is>
          <t>GÄVLEBORGS LÄN</t>
        </is>
      </c>
      <c r="E4972" t="inlineStr">
        <is>
          <t>SANDVIKEN</t>
        </is>
      </c>
      <c r="F4972" t="inlineStr">
        <is>
          <t>Sveaskog</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31432-2022</t>
        </is>
      </c>
      <c r="B4973" s="1" t="n">
        <v>44775</v>
      </c>
      <c r="C4973" s="1" t="n">
        <v>45587</v>
      </c>
      <c r="D4973" t="inlineStr">
        <is>
          <t>GÄVLEBORGS LÄN</t>
        </is>
      </c>
      <c r="E4973" t="inlineStr">
        <is>
          <t>NORDANSTIG</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31434-2022</t>
        </is>
      </c>
      <c r="B4974" s="1" t="n">
        <v>44775</v>
      </c>
      <c r="C4974" s="1" t="n">
        <v>45587</v>
      </c>
      <c r="D4974" t="inlineStr">
        <is>
          <t>GÄVLEBORGS LÄN</t>
        </is>
      </c>
      <c r="E4974" t="inlineStr">
        <is>
          <t>BOLLNÄS</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31535-2022</t>
        </is>
      </c>
      <c r="B4975" s="1" t="n">
        <v>44775</v>
      </c>
      <c r="C4975" s="1" t="n">
        <v>45587</v>
      </c>
      <c r="D4975" t="inlineStr">
        <is>
          <t>GÄVLEBORGS LÄN</t>
        </is>
      </c>
      <c r="E4975" t="inlineStr">
        <is>
          <t>GÄVLE</t>
        </is>
      </c>
      <c r="G4975" t="n">
        <v>8</v>
      </c>
      <c r="H4975" t="n">
        <v>0</v>
      </c>
      <c r="I4975" t="n">
        <v>0</v>
      </c>
      <c r="J4975" t="n">
        <v>0</v>
      </c>
      <c r="K4975" t="n">
        <v>0</v>
      </c>
      <c r="L4975" t="n">
        <v>0</v>
      </c>
      <c r="M4975" t="n">
        <v>0</v>
      </c>
      <c r="N4975" t="n">
        <v>0</v>
      </c>
      <c r="O4975" t="n">
        <v>0</v>
      </c>
      <c r="P4975" t="n">
        <v>0</v>
      </c>
      <c r="Q4975" t="n">
        <v>0</v>
      </c>
      <c r="R4975" s="2" t="inlineStr"/>
    </row>
    <row r="4976" ht="15" customHeight="1">
      <c r="A4976" t="inlineStr">
        <is>
          <t>A 31551-2022</t>
        </is>
      </c>
      <c r="B4976" s="1" t="n">
        <v>44775</v>
      </c>
      <c r="C4976" s="1" t="n">
        <v>45587</v>
      </c>
      <c r="D4976" t="inlineStr">
        <is>
          <t>GÄVLEBORGS LÄN</t>
        </is>
      </c>
      <c r="E4976" t="inlineStr">
        <is>
          <t>NORDANSTIG</t>
        </is>
      </c>
      <c r="F4976" t="inlineStr">
        <is>
          <t>Holmen skog AB</t>
        </is>
      </c>
      <c r="G4976" t="n">
        <v>5.4</v>
      </c>
      <c r="H4976" t="n">
        <v>0</v>
      </c>
      <c r="I4976" t="n">
        <v>0</v>
      </c>
      <c r="J4976" t="n">
        <v>0</v>
      </c>
      <c r="K4976" t="n">
        <v>0</v>
      </c>
      <c r="L4976" t="n">
        <v>0</v>
      </c>
      <c r="M4976" t="n">
        <v>0</v>
      </c>
      <c r="N4976" t="n">
        <v>0</v>
      </c>
      <c r="O4976" t="n">
        <v>0</v>
      </c>
      <c r="P4976" t="n">
        <v>0</v>
      </c>
      <c r="Q4976" t="n">
        <v>0</v>
      </c>
      <c r="R4976" s="2" t="inlineStr"/>
    </row>
    <row r="4977" ht="15" customHeight="1">
      <c r="A4977" t="inlineStr">
        <is>
          <t>A 31528-2022</t>
        </is>
      </c>
      <c r="B4977" s="1" t="n">
        <v>44775</v>
      </c>
      <c r="C4977" s="1" t="n">
        <v>45587</v>
      </c>
      <c r="D4977" t="inlineStr">
        <is>
          <t>GÄVLEBORGS LÄN</t>
        </is>
      </c>
      <c r="E4977" t="inlineStr">
        <is>
          <t>GÄVLE</t>
        </is>
      </c>
      <c r="F4977" t="inlineStr">
        <is>
          <t>Bergvik skog öst AB</t>
        </is>
      </c>
      <c r="G4977" t="n">
        <v>5.8</v>
      </c>
      <c r="H4977" t="n">
        <v>0</v>
      </c>
      <c r="I4977" t="n">
        <v>0</v>
      </c>
      <c r="J4977" t="n">
        <v>0</v>
      </c>
      <c r="K4977" t="n">
        <v>0</v>
      </c>
      <c r="L4977" t="n">
        <v>0</v>
      </c>
      <c r="M4977" t="n">
        <v>0</v>
      </c>
      <c r="N4977" t="n">
        <v>0</v>
      </c>
      <c r="O4977" t="n">
        <v>0</v>
      </c>
      <c r="P4977" t="n">
        <v>0</v>
      </c>
      <c r="Q4977" t="n">
        <v>0</v>
      </c>
      <c r="R4977" s="2" t="inlineStr"/>
    </row>
    <row r="4978" ht="15" customHeight="1">
      <c r="A4978" t="inlineStr">
        <is>
          <t>A 31531-2022</t>
        </is>
      </c>
      <c r="B4978" s="1" t="n">
        <v>44775</v>
      </c>
      <c r="C4978" s="1" t="n">
        <v>45587</v>
      </c>
      <c r="D4978" t="inlineStr">
        <is>
          <t>GÄVLEBORGS LÄN</t>
        </is>
      </c>
      <c r="E4978" t="inlineStr">
        <is>
          <t>GÄVLE</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31541-2022</t>
        </is>
      </c>
      <c r="B4979" s="1" t="n">
        <v>44775</v>
      </c>
      <c r="C4979" s="1" t="n">
        <v>45587</v>
      </c>
      <c r="D4979" t="inlineStr">
        <is>
          <t>GÄVLEBORGS LÄN</t>
        </is>
      </c>
      <c r="E4979" t="inlineStr">
        <is>
          <t>NORDANSTIG</t>
        </is>
      </c>
      <c r="F4979" t="inlineStr">
        <is>
          <t>Holmen skog AB</t>
        </is>
      </c>
      <c r="G4979" t="n">
        <v>13.9</v>
      </c>
      <c r="H4979" t="n">
        <v>0</v>
      </c>
      <c r="I4979" t="n">
        <v>0</v>
      </c>
      <c r="J4979" t="n">
        <v>0</v>
      </c>
      <c r="K4979" t="n">
        <v>0</v>
      </c>
      <c r="L4979" t="n">
        <v>0</v>
      </c>
      <c r="M4979" t="n">
        <v>0</v>
      </c>
      <c r="N4979" t="n">
        <v>0</v>
      </c>
      <c r="O4979" t="n">
        <v>0</v>
      </c>
      <c r="P4979" t="n">
        <v>0</v>
      </c>
      <c r="Q4979" t="n">
        <v>0</v>
      </c>
      <c r="R4979" s="2" t="inlineStr"/>
    </row>
    <row r="4980" ht="15" customHeight="1">
      <c r="A4980" t="inlineStr">
        <is>
          <t>A 31676-2022</t>
        </is>
      </c>
      <c r="B4980" s="1" t="n">
        <v>44776</v>
      </c>
      <c r="C4980" s="1" t="n">
        <v>45587</v>
      </c>
      <c r="D4980" t="inlineStr">
        <is>
          <t>GÄVLEBORGS LÄN</t>
        </is>
      </c>
      <c r="E4980" t="inlineStr">
        <is>
          <t>SÖDERHAMN</t>
        </is>
      </c>
      <c r="F4980" t="inlineStr">
        <is>
          <t>Bergvik skog väst AB</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31773-2022</t>
        </is>
      </c>
      <c r="B4981" s="1" t="n">
        <v>44776</v>
      </c>
      <c r="C4981" s="1" t="n">
        <v>45587</v>
      </c>
      <c r="D4981" t="inlineStr">
        <is>
          <t>GÄVLEBORGS LÄN</t>
        </is>
      </c>
      <c r="E4981" t="inlineStr">
        <is>
          <t>GÄVLE</t>
        </is>
      </c>
      <c r="F4981" t="inlineStr">
        <is>
          <t>Bergvik skog väst AB</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31808-2022</t>
        </is>
      </c>
      <c r="B4982" s="1" t="n">
        <v>44776</v>
      </c>
      <c r="C4982" s="1" t="n">
        <v>45587</v>
      </c>
      <c r="D4982" t="inlineStr">
        <is>
          <t>GÄVLEBORGS LÄN</t>
        </is>
      </c>
      <c r="E4982" t="inlineStr">
        <is>
          <t>LJUSDAL</t>
        </is>
      </c>
      <c r="G4982" t="n">
        <v>5.6</v>
      </c>
      <c r="H4982" t="n">
        <v>0</v>
      </c>
      <c r="I4982" t="n">
        <v>0</v>
      </c>
      <c r="J4982" t="n">
        <v>0</v>
      </c>
      <c r="K4982" t="n">
        <v>0</v>
      </c>
      <c r="L4982" t="n">
        <v>0</v>
      </c>
      <c r="M4982" t="n">
        <v>0</v>
      </c>
      <c r="N4982" t="n">
        <v>0</v>
      </c>
      <c r="O4982" t="n">
        <v>0</v>
      </c>
      <c r="P4982" t="n">
        <v>0</v>
      </c>
      <c r="Q4982" t="n">
        <v>0</v>
      </c>
      <c r="R4982" s="2" t="inlineStr"/>
    </row>
    <row r="4983" ht="15" customHeight="1">
      <c r="A4983" t="inlineStr">
        <is>
          <t>A 31787-2022</t>
        </is>
      </c>
      <c r="B4983" s="1" t="n">
        <v>44776</v>
      </c>
      <c r="C4983" s="1" t="n">
        <v>45587</v>
      </c>
      <c r="D4983" t="inlineStr">
        <is>
          <t>GÄVLEBORGS LÄN</t>
        </is>
      </c>
      <c r="E4983" t="inlineStr">
        <is>
          <t>NORDANSTIG</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31800-2022</t>
        </is>
      </c>
      <c r="B4984" s="1" t="n">
        <v>44776</v>
      </c>
      <c r="C4984" s="1" t="n">
        <v>45587</v>
      </c>
      <c r="D4984" t="inlineStr">
        <is>
          <t>GÄVLEBORGS LÄN</t>
        </is>
      </c>
      <c r="E4984" t="inlineStr">
        <is>
          <t>OVANÅKER</t>
        </is>
      </c>
      <c r="F4984" t="inlineStr">
        <is>
          <t>Bergvik skog väst AB</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31805-2022</t>
        </is>
      </c>
      <c r="B4985" s="1" t="n">
        <v>44776</v>
      </c>
      <c r="C4985" s="1" t="n">
        <v>45587</v>
      </c>
      <c r="D4985" t="inlineStr">
        <is>
          <t>GÄVLEBORGS LÄN</t>
        </is>
      </c>
      <c r="E4985" t="inlineStr">
        <is>
          <t>OVANÅKER</t>
        </is>
      </c>
      <c r="F4985" t="inlineStr">
        <is>
          <t>Bergvik skog väst AB</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31899-2022</t>
        </is>
      </c>
      <c r="B4986" s="1" t="n">
        <v>44777</v>
      </c>
      <c r="C4986" s="1" t="n">
        <v>45587</v>
      </c>
      <c r="D4986" t="inlineStr">
        <is>
          <t>GÄVLEBORGS LÄN</t>
        </is>
      </c>
      <c r="E4986" t="inlineStr">
        <is>
          <t>NORDANSTIG</t>
        </is>
      </c>
      <c r="F4986" t="inlineStr">
        <is>
          <t>Holmen skog AB</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31890-2022</t>
        </is>
      </c>
      <c r="B4987" s="1" t="n">
        <v>44777</v>
      </c>
      <c r="C4987" s="1" t="n">
        <v>45587</v>
      </c>
      <c r="D4987" t="inlineStr">
        <is>
          <t>GÄVLEBORGS LÄN</t>
        </is>
      </c>
      <c r="E4987" t="inlineStr">
        <is>
          <t>LJUSDAL</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32040-2022</t>
        </is>
      </c>
      <c r="B4988" s="1" t="n">
        <v>44778</v>
      </c>
      <c r="C4988" s="1" t="n">
        <v>45587</v>
      </c>
      <c r="D4988" t="inlineStr">
        <is>
          <t>GÄVLEBORGS LÄN</t>
        </is>
      </c>
      <c r="E4988" t="inlineStr">
        <is>
          <t>LJUSDAL</t>
        </is>
      </c>
      <c r="F4988" t="inlineStr">
        <is>
          <t>Sveaskog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32087-2022</t>
        </is>
      </c>
      <c r="B4989" s="1" t="n">
        <v>44778</v>
      </c>
      <c r="C4989" s="1" t="n">
        <v>45587</v>
      </c>
      <c r="D4989" t="inlineStr">
        <is>
          <t>GÄVLEBORGS LÄN</t>
        </is>
      </c>
      <c r="E4989" t="inlineStr">
        <is>
          <t>HUDIKSVALL</t>
        </is>
      </c>
      <c r="G4989" t="n">
        <v>7.4</v>
      </c>
      <c r="H4989" t="n">
        <v>0</v>
      </c>
      <c r="I4989" t="n">
        <v>0</v>
      </c>
      <c r="J4989" t="n">
        <v>0</v>
      </c>
      <c r="K4989" t="n">
        <v>0</v>
      </c>
      <c r="L4989" t="n">
        <v>0</v>
      </c>
      <c r="M4989" t="n">
        <v>0</v>
      </c>
      <c r="N4989" t="n">
        <v>0</v>
      </c>
      <c r="O4989" t="n">
        <v>0</v>
      </c>
      <c r="P4989" t="n">
        <v>0</v>
      </c>
      <c r="Q4989" t="n">
        <v>0</v>
      </c>
      <c r="R4989" s="2" t="inlineStr"/>
    </row>
    <row r="4990" ht="15" customHeight="1">
      <c r="A4990" t="inlineStr">
        <is>
          <t>A 32004-2022</t>
        </is>
      </c>
      <c r="B4990" s="1" t="n">
        <v>44778</v>
      </c>
      <c r="C4990" s="1" t="n">
        <v>45587</v>
      </c>
      <c r="D4990" t="inlineStr">
        <is>
          <t>GÄVLEBORGS LÄN</t>
        </is>
      </c>
      <c r="E4990" t="inlineStr">
        <is>
          <t>HUDIKSVALL</t>
        </is>
      </c>
      <c r="G4990" t="n">
        <v>4.8</v>
      </c>
      <c r="H4990" t="n">
        <v>0</v>
      </c>
      <c r="I4990" t="n">
        <v>0</v>
      </c>
      <c r="J4990" t="n">
        <v>0</v>
      </c>
      <c r="K4990" t="n">
        <v>0</v>
      </c>
      <c r="L4990" t="n">
        <v>0</v>
      </c>
      <c r="M4990" t="n">
        <v>0</v>
      </c>
      <c r="N4990" t="n">
        <v>0</v>
      </c>
      <c r="O4990" t="n">
        <v>0</v>
      </c>
      <c r="P4990" t="n">
        <v>0</v>
      </c>
      <c r="Q4990" t="n">
        <v>0</v>
      </c>
      <c r="R4990" s="2" t="inlineStr"/>
    </row>
    <row r="4991" ht="15" customHeight="1">
      <c r="A4991" t="inlineStr">
        <is>
          <t>A 32035-2022</t>
        </is>
      </c>
      <c r="B4991" s="1" t="n">
        <v>44778</v>
      </c>
      <c r="C4991" s="1" t="n">
        <v>45587</v>
      </c>
      <c r="D4991" t="inlineStr">
        <is>
          <t>GÄVLEBORGS LÄN</t>
        </is>
      </c>
      <c r="E4991" t="inlineStr">
        <is>
          <t>LJUSDAL</t>
        </is>
      </c>
      <c r="F4991" t="inlineStr">
        <is>
          <t>Sveaskog</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32038-2022</t>
        </is>
      </c>
      <c r="B4992" s="1" t="n">
        <v>44778</v>
      </c>
      <c r="C4992" s="1" t="n">
        <v>45587</v>
      </c>
      <c r="D4992" t="inlineStr">
        <is>
          <t>GÄVLEBORGS LÄN</t>
        </is>
      </c>
      <c r="E4992" t="inlineStr">
        <is>
          <t>LJUSDAL</t>
        </is>
      </c>
      <c r="F4992" t="inlineStr">
        <is>
          <t>Sveaskog</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32217-2022</t>
        </is>
      </c>
      <c r="B4993" s="1" t="n">
        <v>44781</v>
      </c>
      <c r="C4993" s="1" t="n">
        <v>45587</v>
      </c>
      <c r="D4993" t="inlineStr">
        <is>
          <t>GÄVLEBORGS LÄN</t>
        </is>
      </c>
      <c r="E4993" t="inlineStr">
        <is>
          <t>LJUSDAL</t>
        </is>
      </c>
      <c r="F4993" t="inlineStr">
        <is>
          <t>Holmen skog AB</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32199-2022</t>
        </is>
      </c>
      <c r="B4994" s="1" t="n">
        <v>44781</v>
      </c>
      <c r="C4994" s="1" t="n">
        <v>45587</v>
      </c>
      <c r="D4994" t="inlineStr">
        <is>
          <t>GÄVLEBORGS LÄN</t>
        </is>
      </c>
      <c r="E4994" t="inlineStr">
        <is>
          <t>HUDIKSVALL</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32238-2022</t>
        </is>
      </c>
      <c r="B4995" s="1" t="n">
        <v>44781</v>
      </c>
      <c r="C4995" s="1" t="n">
        <v>45587</v>
      </c>
      <c r="D4995" t="inlineStr">
        <is>
          <t>GÄVLEBORGS LÄN</t>
        </is>
      </c>
      <c r="E4995" t="inlineStr">
        <is>
          <t>LJUSDAL</t>
        </is>
      </c>
      <c r="F4995" t="inlineStr">
        <is>
          <t>Holmen skog AB</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32201-2022</t>
        </is>
      </c>
      <c r="B4996" s="1" t="n">
        <v>44781</v>
      </c>
      <c r="C4996" s="1" t="n">
        <v>45587</v>
      </c>
      <c r="D4996" t="inlineStr">
        <is>
          <t>GÄVLEBORGS LÄN</t>
        </is>
      </c>
      <c r="E4996" t="inlineStr">
        <is>
          <t>HUDIKSVALL</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32301-2022</t>
        </is>
      </c>
      <c r="B4997" s="1" t="n">
        <v>44781</v>
      </c>
      <c r="C4997" s="1" t="n">
        <v>45587</v>
      </c>
      <c r="D4997" t="inlineStr">
        <is>
          <t>GÄVLEBORGS LÄN</t>
        </is>
      </c>
      <c r="E4997" t="inlineStr">
        <is>
          <t>OCKELBO</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32330-2022</t>
        </is>
      </c>
      <c r="B4998" s="1" t="n">
        <v>44781</v>
      </c>
      <c r="C4998" s="1" t="n">
        <v>45587</v>
      </c>
      <c r="D4998" t="inlineStr">
        <is>
          <t>GÄVLEBORGS LÄN</t>
        </is>
      </c>
      <c r="E4998" t="inlineStr">
        <is>
          <t>HOFORS</t>
        </is>
      </c>
      <c r="F4998" t="inlineStr">
        <is>
          <t>Sveaskog</t>
        </is>
      </c>
      <c r="G4998" t="n">
        <v>6.9</v>
      </c>
      <c r="H4998" t="n">
        <v>0</v>
      </c>
      <c r="I4998" t="n">
        <v>0</v>
      </c>
      <c r="J4998" t="n">
        <v>0</v>
      </c>
      <c r="K4998" t="n">
        <v>0</v>
      </c>
      <c r="L4998" t="n">
        <v>0</v>
      </c>
      <c r="M4998" t="n">
        <v>0</v>
      </c>
      <c r="N4998" t="n">
        <v>0</v>
      </c>
      <c r="O4998" t="n">
        <v>0</v>
      </c>
      <c r="P4998" t="n">
        <v>0</v>
      </c>
      <c r="Q4998" t="n">
        <v>0</v>
      </c>
      <c r="R4998" s="2" t="inlineStr"/>
    </row>
    <row r="4999" ht="15" customHeight="1">
      <c r="A4999" t="inlineStr">
        <is>
          <t>A 32327-2022</t>
        </is>
      </c>
      <c r="B4999" s="1" t="n">
        <v>44781</v>
      </c>
      <c r="C4999" s="1" t="n">
        <v>45587</v>
      </c>
      <c r="D4999" t="inlineStr">
        <is>
          <t>GÄVLEBORGS LÄN</t>
        </is>
      </c>
      <c r="E4999" t="inlineStr">
        <is>
          <t>HOFORS</t>
        </is>
      </c>
      <c r="F4999" t="inlineStr">
        <is>
          <t>Sveaskog</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32277-2022</t>
        </is>
      </c>
      <c r="B5000" s="1" t="n">
        <v>44781</v>
      </c>
      <c r="C5000" s="1" t="n">
        <v>45587</v>
      </c>
      <c r="D5000" t="inlineStr">
        <is>
          <t>GÄVLEBORGS LÄN</t>
        </is>
      </c>
      <c r="E5000" t="inlineStr">
        <is>
          <t>LJUSDAL</t>
        </is>
      </c>
      <c r="F5000" t="inlineStr">
        <is>
          <t>Sveaskog</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32342-2022</t>
        </is>
      </c>
      <c r="B5001" s="1" t="n">
        <v>44781</v>
      </c>
      <c r="C5001" s="1" t="n">
        <v>45587</v>
      </c>
      <c r="D5001" t="inlineStr">
        <is>
          <t>GÄVLEBORGS LÄN</t>
        </is>
      </c>
      <c r="E5001" t="inlineStr">
        <is>
          <t>NORDANSTIG</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32350-2022</t>
        </is>
      </c>
      <c r="B5002" s="1" t="n">
        <v>44782</v>
      </c>
      <c r="C5002" s="1" t="n">
        <v>45587</v>
      </c>
      <c r="D5002" t="inlineStr">
        <is>
          <t>GÄVLEBORGS LÄN</t>
        </is>
      </c>
      <c r="E5002" t="inlineStr">
        <is>
          <t>NORDANSTIG</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32465-2022</t>
        </is>
      </c>
      <c r="B5003" s="1" t="n">
        <v>44782</v>
      </c>
      <c r="C5003" s="1" t="n">
        <v>45587</v>
      </c>
      <c r="D5003" t="inlineStr">
        <is>
          <t>GÄVLEBORGS LÄN</t>
        </is>
      </c>
      <c r="E5003" t="inlineStr">
        <is>
          <t>SANDVIKEN</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32382-2022</t>
        </is>
      </c>
      <c r="B5004" s="1" t="n">
        <v>44782</v>
      </c>
      <c r="C5004" s="1" t="n">
        <v>45587</v>
      </c>
      <c r="D5004" t="inlineStr">
        <is>
          <t>GÄVLEBORGS LÄN</t>
        </is>
      </c>
      <c r="E5004" t="inlineStr">
        <is>
          <t>GÄVLE</t>
        </is>
      </c>
      <c r="G5004" t="n">
        <v>5.2</v>
      </c>
      <c r="H5004" t="n">
        <v>0</v>
      </c>
      <c r="I5004" t="n">
        <v>0</v>
      </c>
      <c r="J5004" t="n">
        <v>0</v>
      </c>
      <c r="K5004" t="n">
        <v>0</v>
      </c>
      <c r="L5004" t="n">
        <v>0</v>
      </c>
      <c r="M5004" t="n">
        <v>0</v>
      </c>
      <c r="N5004" t="n">
        <v>0</v>
      </c>
      <c r="O5004" t="n">
        <v>0</v>
      </c>
      <c r="P5004" t="n">
        <v>0</v>
      </c>
      <c r="Q5004" t="n">
        <v>0</v>
      </c>
      <c r="R5004" s="2" t="inlineStr"/>
    </row>
    <row r="5005" ht="15" customHeight="1">
      <c r="A5005" t="inlineStr">
        <is>
          <t>A 32689-2022</t>
        </is>
      </c>
      <c r="B5005" s="1" t="n">
        <v>44783</v>
      </c>
      <c r="C5005" s="1" t="n">
        <v>45587</v>
      </c>
      <c r="D5005" t="inlineStr">
        <is>
          <t>GÄVLEBORGS LÄN</t>
        </is>
      </c>
      <c r="E5005" t="inlineStr">
        <is>
          <t>LJUSDAL</t>
        </is>
      </c>
      <c r="F5005" t="inlineStr">
        <is>
          <t>Sveaskog</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32750-2022</t>
        </is>
      </c>
      <c r="B5006" s="1" t="n">
        <v>44783</v>
      </c>
      <c r="C5006" s="1" t="n">
        <v>45587</v>
      </c>
      <c r="D5006" t="inlineStr">
        <is>
          <t>GÄVLEBORGS LÄN</t>
        </is>
      </c>
      <c r="E5006" t="inlineStr">
        <is>
          <t>SÖDERHAMN</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32622-2022</t>
        </is>
      </c>
      <c r="B5007" s="1" t="n">
        <v>44783</v>
      </c>
      <c r="C5007" s="1" t="n">
        <v>45587</v>
      </c>
      <c r="D5007" t="inlineStr">
        <is>
          <t>GÄVLEBORGS LÄN</t>
        </is>
      </c>
      <c r="E5007" t="inlineStr">
        <is>
          <t>NORDANSTIG</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32634-2022</t>
        </is>
      </c>
      <c r="B5008" s="1" t="n">
        <v>44783</v>
      </c>
      <c r="C5008" s="1" t="n">
        <v>45587</v>
      </c>
      <c r="D5008" t="inlineStr">
        <is>
          <t>GÄVLEBORGS LÄN</t>
        </is>
      </c>
      <c r="E5008" t="inlineStr">
        <is>
          <t>BOLLNÄS</t>
        </is>
      </c>
      <c r="F5008" t="inlineStr">
        <is>
          <t>Kyrkan</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32749-2022</t>
        </is>
      </c>
      <c r="B5009" s="1" t="n">
        <v>44783</v>
      </c>
      <c r="C5009" s="1" t="n">
        <v>45587</v>
      </c>
      <c r="D5009" t="inlineStr">
        <is>
          <t>GÄVLEBORGS LÄN</t>
        </is>
      </c>
      <c r="E5009" t="inlineStr">
        <is>
          <t>SÖDERHAMN</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32635-2022</t>
        </is>
      </c>
      <c r="B5010" s="1" t="n">
        <v>44783</v>
      </c>
      <c r="C5010" s="1" t="n">
        <v>45587</v>
      </c>
      <c r="D5010" t="inlineStr">
        <is>
          <t>GÄVLEBORGS LÄN</t>
        </is>
      </c>
      <c r="E5010" t="inlineStr">
        <is>
          <t>NORDANSTIG</t>
        </is>
      </c>
      <c r="G5010" t="n">
        <v>10</v>
      </c>
      <c r="H5010" t="n">
        <v>0</v>
      </c>
      <c r="I5010" t="n">
        <v>0</v>
      </c>
      <c r="J5010" t="n">
        <v>0</v>
      </c>
      <c r="K5010" t="n">
        <v>0</v>
      </c>
      <c r="L5010" t="n">
        <v>0</v>
      </c>
      <c r="M5010" t="n">
        <v>0</v>
      </c>
      <c r="N5010" t="n">
        <v>0</v>
      </c>
      <c r="O5010" t="n">
        <v>0</v>
      </c>
      <c r="P5010" t="n">
        <v>0</v>
      </c>
      <c r="Q5010" t="n">
        <v>0</v>
      </c>
      <c r="R5010" s="2" t="inlineStr"/>
    </row>
    <row r="5011" ht="15" customHeight="1">
      <c r="A5011" t="inlineStr">
        <is>
          <t>A 32613-2022</t>
        </is>
      </c>
      <c r="B5011" s="1" t="n">
        <v>44783</v>
      </c>
      <c r="C5011" s="1" t="n">
        <v>45587</v>
      </c>
      <c r="D5011" t="inlineStr">
        <is>
          <t>GÄVLEBORGS LÄN</t>
        </is>
      </c>
      <c r="E5011" t="inlineStr">
        <is>
          <t>BOLLNÄS</t>
        </is>
      </c>
      <c r="F5011" t="inlineStr">
        <is>
          <t>Kyrkan</t>
        </is>
      </c>
      <c r="G5011" t="n">
        <v>4.2</v>
      </c>
      <c r="H5011" t="n">
        <v>0</v>
      </c>
      <c r="I5011" t="n">
        <v>0</v>
      </c>
      <c r="J5011" t="n">
        <v>0</v>
      </c>
      <c r="K5011" t="n">
        <v>0</v>
      </c>
      <c r="L5011" t="n">
        <v>0</v>
      </c>
      <c r="M5011" t="n">
        <v>0</v>
      </c>
      <c r="N5011" t="n">
        <v>0</v>
      </c>
      <c r="O5011" t="n">
        <v>0</v>
      </c>
      <c r="P5011" t="n">
        <v>0</v>
      </c>
      <c r="Q5011" t="n">
        <v>0</v>
      </c>
      <c r="R5011" s="2" t="inlineStr"/>
    </row>
    <row r="5012" ht="15" customHeight="1">
      <c r="A5012" t="inlineStr">
        <is>
          <t>A 32879-2022</t>
        </is>
      </c>
      <c r="B5012" s="1" t="n">
        <v>44784</v>
      </c>
      <c r="C5012" s="1" t="n">
        <v>45587</v>
      </c>
      <c r="D5012" t="inlineStr">
        <is>
          <t>GÄVLEBORGS LÄN</t>
        </is>
      </c>
      <c r="E5012" t="inlineStr">
        <is>
          <t>LJUSDAL</t>
        </is>
      </c>
      <c r="F5012" t="inlineStr">
        <is>
          <t>Bergvik skog väst AB</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32832-2022</t>
        </is>
      </c>
      <c r="B5013" s="1" t="n">
        <v>44784</v>
      </c>
      <c r="C5013" s="1" t="n">
        <v>45587</v>
      </c>
      <c r="D5013" t="inlineStr">
        <is>
          <t>GÄVLEBORGS LÄN</t>
        </is>
      </c>
      <c r="E5013" t="inlineStr">
        <is>
          <t>LJUSDAL</t>
        </is>
      </c>
      <c r="F5013" t="inlineStr">
        <is>
          <t>Bergvik skog väst AB</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32847-2022</t>
        </is>
      </c>
      <c r="B5014" s="1" t="n">
        <v>44784</v>
      </c>
      <c r="C5014" s="1" t="n">
        <v>45587</v>
      </c>
      <c r="D5014" t="inlineStr">
        <is>
          <t>GÄVLEBORGS LÄN</t>
        </is>
      </c>
      <c r="E5014" t="inlineStr">
        <is>
          <t>SANDVIKEN</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32849-2022</t>
        </is>
      </c>
      <c r="B5015" s="1" t="n">
        <v>44784</v>
      </c>
      <c r="C5015" s="1" t="n">
        <v>45587</v>
      </c>
      <c r="D5015" t="inlineStr">
        <is>
          <t>GÄVLEBORGS LÄN</t>
        </is>
      </c>
      <c r="E5015" t="inlineStr">
        <is>
          <t>SANDVIKEN</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32948-2022</t>
        </is>
      </c>
      <c r="B5016" s="1" t="n">
        <v>44784</v>
      </c>
      <c r="C5016" s="1" t="n">
        <v>45587</v>
      </c>
      <c r="D5016" t="inlineStr">
        <is>
          <t>GÄVLEBORGS LÄN</t>
        </is>
      </c>
      <c r="E5016" t="inlineStr">
        <is>
          <t>BOLLNÄS</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33028-2022</t>
        </is>
      </c>
      <c r="B5017" s="1" t="n">
        <v>44785</v>
      </c>
      <c r="C5017" s="1" t="n">
        <v>45587</v>
      </c>
      <c r="D5017" t="inlineStr">
        <is>
          <t>GÄVLEBORGS LÄN</t>
        </is>
      </c>
      <c r="E5017" t="inlineStr">
        <is>
          <t>BOLLNÄS</t>
        </is>
      </c>
      <c r="F5017" t="inlineStr">
        <is>
          <t>Kyrkan</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33049-2022</t>
        </is>
      </c>
      <c r="B5018" s="1" t="n">
        <v>44785</v>
      </c>
      <c r="C5018" s="1" t="n">
        <v>45587</v>
      </c>
      <c r="D5018" t="inlineStr">
        <is>
          <t>GÄVLEBORGS LÄN</t>
        </is>
      </c>
      <c r="E5018" t="inlineStr">
        <is>
          <t>BOLLNÄS</t>
        </is>
      </c>
      <c r="F5018" t="inlineStr">
        <is>
          <t>Kyrkan</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33109-2022</t>
        </is>
      </c>
      <c r="B5019" s="1" t="n">
        <v>44785</v>
      </c>
      <c r="C5019" s="1" t="n">
        <v>45587</v>
      </c>
      <c r="D5019" t="inlineStr">
        <is>
          <t>GÄVLEBORGS LÄN</t>
        </is>
      </c>
      <c r="E5019" t="inlineStr">
        <is>
          <t>NORDANSTIG</t>
        </is>
      </c>
      <c r="G5019" t="n">
        <v>4.7</v>
      </c>
      <c r="H5019" t="n">
        <v>0</v>
      </c>
      <c r="I5019" t="n">
        <v>0</v>
      </c>
      <c r="J5019" t="n">
        <v>0</v>
      </c>
      <c r="K5019" t="n">
        <v>0</v>
      </c>
      <c r="L5019" t="n">
        <v>0</v>
      </c>
      <c r="M5019" t="n">
        <v>0</v>
      </c>
      <c r="N5019" t="n">
        <v>0</v>
      </c>
      <c r="O5019" t="n">
        <v>0</v>
      </c>
      <c r="P5019" t="n">
        <v>0</v>
      </c>
      <c r="Q5019" t="n">
        <v>0</v>
      </c>
      <c r="R5019" s="2" t="inlineStr"/>
    </row>
    <row r="5020" ht="15" customHeight="1">
      <c r="A5020" t="inlineStr">
        <is>
          <t>A 33040-2022</t>
        </is>
      </c>
      <c r="B5020" s="1" t="n">
        <v>44785</v>
      </c>
      <c r="C5020" s="1" t="n">
        <v>45587</v>
      </c>
      <c r="D5020" t="inlineStr">
        <is>
          <t>GÄVLEBORGS LÄN</t>
        </is>
      </c>
      <c r="E5020" t="inlineStr">
        <is>
          <t>BOLLNÄS</t>
        </is>
      </c>
      <c r="F5020" t="inlineStr">
        <is>
          <t>Kyrkan</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33022-2022</t>
        </is>
      </c>
      <c r="B5021" s="1" t="n">
        <v>44785</v>
      </c>
      <c r="C5021" s="1" t="n">
        <v>45587</v>
      </c>
      <c r="D5021" t="inlineStr">
        <is>
          <t>GÄVLEBORGS LÄN</t>
        </is>
      </c>
      <c r="E5021" t="inlineStr">
        <is>
          <t>OVANÅKER</t>
        </is>
      </c>
      <c r="F5021" t="inlineStr">
        <is>
          <t>Bergvik skog väst AB</t>
        </is>
      </c>
      <c r="G5021" t="n">
        <v>15.3</v>
      </c>
      <c r="H5021" t="n">
        <v>0</v>
      </c>
      <c r="I5021" t="n">
        <v>0</v>
      </c>
      <c r="J5021" t="n">
        <v>0</v>
      </c>
      <c r="K5021" t="n">
        <v>0</v>
      </c>
      <c r="L5021" t="n">
        <v>0</v>
      </c>
      <c r="M5021" t="n">
        <v>0</v>
      </c>
      <c r="N5021" t="n">
        <v>0</v>
      </c>
      <c r="O5021" t="n">
        <v>0</v>
      </c>
      <c r="P5021" t="n">
        <v>0</v>
      </c>
      <c r="Q5021" t="n">
        <v>0</v>
      </c>
      <c r="R5021" s="2" t="inlineStr"/>
    </row>
    <row r="5022" ht="15" customHeight="1">
      <c r="A5022" t="inlineStr">
        <is>
          <t>A 33086-2022</t>
        </is>
      </c>
      <c r="B5022" s="1" t="n">
        <v>44785</v>
      </c>
      <c r="C5022" s="1" t="n">
        <v>45587</v>
      </c>
      <c r="D5022" t="inlineStr">
        <is>
          <t>GÄVLEBORGS LÄN</t>
        </is>
      </c>
      <c r="E5022" t="inlineStr">
        <is>
          <t>BOLLNÄS</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33178-2022</t>
        </is>
      </c>
      <c r="B5023" s="1" t="n">
        <v>44785</v>
      </c>
      <c r="C5023" s="1" t="n">
        <v>45587</v>
      </c>
      <c r="D5023" t="inlineStr">
        <is>
          <t>GÄVLEBORGS LÄN</t>
        </is>
      </c>
      <c r="E5023" t="inlineStr">
        <is>
          <t>GÄVLE</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33138-2022</t>
        </is>
      </c>
      <c r="B5024" s="1" t="n">
        <v>44785</v>
      </c>
      <c r="C5024" s="1" t="n">
        <v>45587</v>
      </c>
      <c r="D5024" t="inlineStr">
        <is>
          <t>GÄVLEBORGS LÄN</t>
        </is>
      </c>
      <c r="E5024" t="inlineStr">
        <is>
          <t>HUDIKSVALL</t>
        </is>
      </c>
      <c r="F5024" t="inlineStr">
        <is>
          <t>Holmen skog AB</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33175-2022</t>
        </is>
      </c>
      <c r="B5025" s="1" t="n">
        <v>44785</v>
      </c>
      <c r="C5025" s="1" t="n">
        <v>45587</v>
      </c>
      <c r="D5025" t="inlineStr">
        <is>
          <t>GÄVLEBORGS LÄN</t>
        </is>
      </c>
      <c r="E5025" t="inlineStr">
        <is>
          <t>GÄVLE</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33280-2022</t>
        </is>
      </c>
      <c r="B5026" s="1" t="n">
        <v>44788</v>
      </c>
      <c r="C5026" s="1" t="n">
        <v>45587</v>
      </c>
      <c r="D5026" t="inlineStr">
        <is>
          <t>GÄVLEBORGS LÄN</t>
        </is>
      </c>
      <c r="E5026" t="inlineStr">
        <is>
          <t>GÄVLE</t>
        </is>
      </c>
      <c r="F5026" t="inlineStr">
        <is>
          <t>Bergvik skog öst AB</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33414-2022</t>
        </is>
      </c>
      <c r="B5027" s="1" t="n">
        <v>44788</v>
      </c>
      <c r="C5027" s="1" t="n">
        <v>45587</v>
      </c>
      <c r="D5027" t="inlineStr">
        <is>
          <t>GÄVLEBORGS LÄN</t>
        </is>
      </c>
      <c r="E5027" t="inlineStr">
        <is>
          <t>NORDANSTIG</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33293-2022</t>
        </is>
      </c>
      <c r="B5028" s="1" t="n">
        <v>44788</v>
      </c>
      <c r="C5028" s="1" t="n">
        <v>45587</v>
      </c>
      <c r="D5028" t="inlineStr">
        <is>
          <t>GÄVLEBORGS LÄN</t>
        </is>
      </c>
      <c r="E5028" t="inlineStr">
        <is>
          <t>NORDANSTIG</t>
        </is>
      </c>
      <c r="F5028" t="inlineStr">
        <is>
          <t>Holmen skog AB</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33377-2022</t>
        </is>
      </c>
      <c r="B5029" s="1" t="n">
        <v>44788</v>
      </c>
      <c r="C5029" s="1" t="n">
        <v>45587</v>
      </c>
      <c r="D5029" t="inlineStr">
        <is>
          <t>GÄVLEBORGS LÄN</t>
        </is>
      </c>
      <c r="E5029" t="inlineStr">
        <is>
          <t>NORDANSTIG</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33417-2022</t>
        </is>
      </c>
      <c r="B5030" s="1" t="n">
        <v>44788</v>
      </c>
      <c r="C5030" s="1" t="n">
        <v>45587</v>
      </c>
      <c r="D5030" t="inlineStr">
        <is>
          <t>GÄVLEBORGS LÄN</t>
        </is>
      </c>
      <c r="E5030" t="inlineStr">
        <is>
          <t>NORDANSTIG</t>
        </is>
      </c>
      <c r="G5030" t="n">
        <v>11.4</v>
      </c>
      <c r="H5030" t="n">
        <v>0</v>
      </c>
      <c r="I5030" t="n">
        <v>0</v>
      </c>
      <c r="J5030" t="n">
        <v>0</v>
      </c>
      <c r="K5030" t="n">
        <v>0</v>
      </c>
      <c r="L5030" t="n">
        <v>0</v>
      </c>
      <c r="M5030" t="n">
        <v>0</v>
      </c>
      <c r="N5030" t="n">
        <v>0</v>
      </c>
      <c r="O5030" t="n">
        <v>0</v>
      </c>
      <c r="P5030" t="n">
        <v>0</v>
      </c>
      <c r="Q5030" t="n">
        <v>0</v>
      </c>
      <c r="R5030" s="2" t="inlineStr"/>
    </row>
    <row r="5031" ht="15" customHeight="1">
      <c r="A5031" t="inlineStr">
        <is>
          <t>A 33432-2022</t>
        </is>
      </c>
      <c r="B5031" s="1" t="n">
        <v>44788</v>
      </c>
      <c r="C5031" s="1" t="n">
        <v>45587</v>
      </c>
      <c r="D5031" t="inlineStr">
        <is>
          <t>GÄVLEBORGS LÄN</t>
        </is>
      </c>
      <c r="E5031" t="inlineStr">
        <is>
          <t>BOLLNÄS</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33672-2022</t>
        </is>
      </c>
      <c r="B5032" s="1" t="n">
        <v>44789</v>
      </c>
      <c r="C5032" s="1" t="n">
        <v>45587</v>
      </c>
      <c r="D5032" t="inlineStr">
        <is>
          <t>GÄVLEBORGS LÄN</t>
        </is>
      </c>
      <c r="E5032" t="inlineStr">
        <is>
          <t>HOFORS</t>
        </is>
      </c>
      <c r="F5032" t="inlineStr">
        <is>
          <t>Sveaskog</t>
        </is>
      </c>
      <c r="G5032" t="n">
        <v>14.4</v>
      </c>
      <c r="H5032" t="n">
        <v>0</v>
      </c>
      <c r="I5032" t="n">
        <v>0</v>
      </c>
      <c r="J5032" t="n">
        <v>0</v>
      </c>
      <c r="K5032" t="n">
        <v>0</v>
      </c>
      <c r="L5032" t="n">
        <v>0</v>
      </c>
      <c r="M5032" t="n">
        <v>0</v>
      </c>
      <c r="N5032" t="n">
        <v>0</v>
      </c>
      <c r="O5032" t="n">
        <v>0</v>
      </c>
      <c r="P5032" t="n">
        <v>0</v>
      </c>
      <c r="Q5032" t="n">
        <v>0</v>
      </c>
      <c r="R5032" s="2" t="inlineStr"/>
    </row>
    <row r="5033" ht="15" customHeight="1">
      <c r="A5033" t="inlineStr">
        <is>
          <t>A 33559-2022</t>
        </is>
      </c>
      <c r="B5033" s="1" t="n">
        <v>44789</v>
      </c>
      <c r="C5033" s="1" t="n">
        <v>45587</v>
      </c>
      <c r="D5033" t="inlineStr">
        <is>
          <t>GÄVLEBORGS LÄN</t>
        </is>
      </c>
      <c r="E5033" t="inlineStr">
        <is>
          <t>NORDANSTIG</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33567-2022</t>
        </is>
      </c>
      <c r="B5034" s="1" t="n">
        <v>44789</v>
      </c>
      <c r="C5034" s="1" t="n">
        <v>45587</v>
      </c>
      <c r="D5034" t="inlineStr">
        <is>
          <t>GÄVLEBORGS LÄN</t>
        </is>
      </c>
      <c r="E5034" t="inlineStr">
        <is>
          <t>HUDIKSVALL</t>
        </is>
      </c>
      <c r="F5034" t="inlineStr">
        <is>
          <t>Holmen skog AB</t>
        </is>
      </c>
      <c r="G5034" t="n">
        <v>15.6</v>
      </c>
      <c r="H5034" t="n">
        <v>0</v>
      </c>
      <c r="I5034" t="n">
        <v>0</v>
      </c>
      <c r="J5034" t="n">
        <v>0</v>
      </c>
      <c r="K5034" t="n">
        <v>0</v>
      </c>
      <c r="L5034" t="n">
        <v>0</v>
      </c>
      <c r="M5034" t="n">
        <v>0</v>
      </c>
      <c r="N5034" t="n">
        <v>0</v>
      </c>
      <c r="O5034" t="n">
        <v>0</v>
      </c>
      <c r="P5034" t="n">
        <v>0</v>
      </c>
      <c r="Q5034" t="n">
        <v>0</v>
      </c>
      <c r="R5034" s="2" t="inlineStr"/>
    </row>
    <row r="5035" ht="15" customHeight="1">
      <c r="A5035" t="inlineStr">
        <is>
          <t>A 33568-2022</t>
        </is>
      </c>
      <c r="B5035" s="1" t="n">
        <v>44789</v>
      </c>
      <c r="C5035" s="1" t="n">
        <v>45587</v>
      </c>
      <c r="D5035" t="inlineStr">
        <is>
          <t>GÄVLEBORGS LÄN</t>
        </is>
      </c>
      <c r="E5035" t="inlineStr">
        <is>
          <t>LJUSDAL</t>
        </is>
      </c>
      <c r="F5035" t="inlineStr">
        <is>
          <t>Bergvik skog väst AB</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33626-2022</t>
        </is>
      </c>
      <c r="B5036" s="1" t="n">
        <v>44789</v>
      </c>
      <c r="C5036" s="1" t="n">
        <v>45587</v>
      </c>
      <c r="D5036" t="inlineStr">
        <is>
          <t>GÄVLEBORGS LÄN</t>
        </is>
      </c>
      <c r="E5036" t="inlineStr">
        <is>
          <t>LJUSDAL</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33535-2022</t>
        </is>
      </c>
      <c r="B5037" s="1" t="n">
        <v>44789</v>
      </c>
      <c r="C5037" s="1" t="n">
        <v>45587</v>
      </c>
      <c r="D5037" t="inlineStr">
        <is>
          <t>GÄVLEBORGS LÄN</t>
        </is>
      </c>
      <c r="E5037" t="inlineStr">
        <is>
          <t>NORDANSTIG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33558-2022</t>
        </is>
      </c>
      <c r="B5038" s="1" t="n">
        <v>44789</v>
      </c>
      <c r="C5038" s="1" t="n">
        <v>45587</v>
      </c>
      <c r="D5038" t="inlineStr">
        <is>
          <t>GÄVLEBORGS LÄN</t>
        </is>
      </c>
      <c r="E5038" t="inlineStr">
        <is>
          <t>NORDANSTIG</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33674-2022</t>
        </is>
      </c>
      <c r="B5039" s="1" t="n">
        <v>44789</v>
      </c>
      <c r="C5039" s="1" t="n">
        <v>45587</v>
      </c>
      <c r="D5039" t="inlineStr">
        <is>
          <t>GÄVLEBORGS LÄN</t>
        </is>
      </c>
      <c r="E5039" t="inlineStr">
        <is>
          <t>OVANÅKER</t>
        </is>
      </c>
      <c r="F5039" t="inlineStr">
        <is>
          <t>Holmen skog AB</t>
        </is>
      </c>
      <c r="G5039" t="n">
        <v>11.9</v>
      </c>
      <c r="H5039" t="n">
        <v>0</v>
      </c>
      <c r="I5039" t="n">
        <v>0</v>
      </c>
      <c r="J5039" t="n">
        <v>0</v>
      </c>
      <c r="K5039" t="n">
        <v>0</v>
      </c>
      <c r="L5039" t="n">
        <v>0</v>
      </c>
      <c r="M5039" t="n">
        <v>0</v>
      </c>
      <c r="N5039" t="n">
        <v>0</v>
      </c>
      <c r="O5039" t="n">
        <v>0</v>
      </c>
      <c r="P5039" t="n">
        <v>0</v>
      </c>
      <c r="Q5039" t="n">
        <v>0</v>
      </c>
      <c r="R5039" s="2" t="inlineStr"/>
    </row>
    <row r="5040" ht="15" customHeight="1">
      <c r="A5040" t="inlineStr">
        <is>
          <t>A 33806-2022</t>
        </is>
      </c>
      <c r="B5040" s="1" t="n">
        <v>44790</v>
      </c>
      <c r="C5040" s="1" t="n">
        <v>45587</v>
      </c>
      <c r="D5040" t="inlineStr">
        <is>
          <t>GÄVLEBORGS LÄN</t>
        </is>
      </c>
      <c r="E5040" t="inlineStr">
        <is>
          <t>LJUSDAL</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33880-2022</t>
        </is>
      </c>
      <c r="B5041" s="1" t="n">
        <v>44790</v>
      </c>
      <c r="C5041" s="1" t="n">
        <v>45587</v>
      </c>
      <c r="D5041" t="inlineStr">
        <is>
          <t>GÄVLEBORGS LÄN</t>
        </is>
      </c>
      <c r="E5041" t="inlineStr">
        <is>
          <t>GÄVLE</t>
        </is>
      </c>
      <c r="G5041" t="n">
        <v>9.4</v>
      </c>
      <c r="H5041" t="n">
        <v>0</v>
      </c>
      <c r="I5041" t="n">
        <v>0</v>
      </c>
      <c r="J5041" t="n">
        <v>0</v>
      </c>
      <c r="K5041" t="n">
        <v>0</v>
      </c>
      <c r="L5041" t="n">
        <v>0</v>
      </c>
      <c r="M5041" t="n">
        <v>0</v>
      </c>
      <c r="N5041" t="n">
        <v>0</v>
      </c>
      <c r="O5041" t="n">
        <v>0</v>
      </c>
      <c r="P5041" t="n">
        <v>0</v>
      </c>
      <c r="Q5041" t="n">
        <v>0</v>
      </c>
      <c r="R5041" s="2" t="inlineStr"/>
    </row>
    <row r="5042" ht="15" customHeight="1">
      <c r="A5042" t="inlineStr">
        <is>
          <t>A 33775-2022</t>
        </is>
      </c>
      <c r="B5042" s="1" t="n">
        <v>44790</v>
      </c>
      <c r="C5042" s="1" t="n">
        <v>45587</v>
      </c>
      <c r="D5042" t="inlineStr">
        <is>
          <t>GÄVLEBORGS LÄN</t>
        </is>
      </c>
      <c r="E5042" t="inlineStr">
        <is>
          <t>OVANÅKER</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33752-2022</t>
        </is>
      </c>
      <c r="B5043" s="1" t="n">
        <v>44790</v>
      </c>
      <c r="C5043" s="1" t="n">
        <v>45587</v>
      </c>
      <c r="D5043" t="inlineStr">
        <is>
          <t>GÄVLEBORGS LÄN</t>
        </is>
      </c>
      <c r="E5043" t="inlineStr">
        <is>
          <t>HUDIKSVALL</t>
        </is>
      </c>
      <c r="G5043" t="n">
        <v>5.3</v>
      </c>
      <c r="H5043" t="n">
        <v>0</v>
      </c>
      <c r="I5043" t="n">
        <v>0</v>
      </c>
      <c r="J5043" t="n">
        <v>0</v>
      </c>
      <c r="K5043" t="n">
        <v>0</v>
      </c>
      <c r="L5043" t="n">
        <v>0</v>
      </c>
      <c r="M5043" t="n">
        <v>0</v>
      </c>
      <c r="N5043" t="n">
        <v>0</v>
      </c>
      <c r="O5043" t="n">
        <v>0</v>
      </c>
      <c r="P5043" t="n">
        <v>0</v>
      </c>
      <c r="Q5043" t="n">
        <v>0</v>
      </c>
      <c r="R5043" s="2" t="inlineStr"/>
    </row>
    <row r="5044" ht="15" customHeight="1">
      <c r="A5044" t="inlineStr">
        <is>
          <t>A 33968-2022</t>
        </is>
      </c>
      <c r="B5044" s="1" t="n">
        <v>44790</v>
      </c>
      <c r="C5044" s="1" t="n">
        <v>45587</v>
      </c>
      <c r="D5044" t="inlineStr">
        <is>
          <t>GÄVLEBORGS LÄN</t>
        </is>
      </c>
      <c r="E5044" t="inlineStr">
        <is>
          <t>HUDIKSVALL</t>
        </is>
      </c>
      <c r="F5044" t="inlineStr">
        <is>
          <t>Holmen skog AB</t>
        </is>
      </c>
      <c r="G5044" t="n">
        <v>11.1</v>
      </c>
      <c r="H5044" t="n">
        <v>0</v>
      </c>
      <c r="I5044" t="n">
        <v>0</v>
      </c>
      <c r="J5044" t="n">
        <v>0</v>
      </c>
      <c r="K5044" t="n">
        <v>0</v>
      </c>
      <c r="L5044" t="n">
        <v>0</v>
      </c>
      <c r="M5044" t="n">
        <v>0</v>
      </c>
      <c r="N5044" t="n">
        <v>0</v>
      </c>
      <c r="O5044" t="n">
        <v>0</v>
      </c>
      <c r="P5044" t="n">
        <v>0</v>
      </c>
      <c r="Q5044" t="n">
        <v>0</v>
      </c>
      <c r="R5044" s="2" t="inlineStr"/>
    </row>
    <row r="5045" ht="15" customHeight="1">
      <c r="A5045" t="inlineStr">
        <is>
          <t>A 33974-2022</t>
        </is>
      </c>
      <c r="B5045" s="1" t="n">
        <v>44790</v>
      </c>
      <c r="C5045" s="1" t="n">
        <v>45587</v>
      </c>
      <c r="D5045" t="inlineStr">
        <is>
          <t>GÄVLEBORGS LÄN</t>
        </is>
      </c>
      <c r="E5045" t="inlineStr">
        <is>
          <t>NORDANSTIG</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34175-2022</t>
        </is>
      </c>
      <c r="B5046" s="1" t="n">
        <v>44791</v>
      </c>
      <c r="C5046" s="1" t="n">
        <v>45587</v>
      </c>
      <c r="D5046" t="inlineStr">
        <is>
          <t>GÄVLEBORGS LÄN</t>
        </is>
      </c>
      <c r="E5046" t="inlineStr">
        <is>
          <t>BOLLNÄS</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34058-2022</t>
        </is>
      </c>
      <c r="B5047" s="1" t="n">
        <v>44791</v>
      </c>
      <c r="C5047" s="1" t="n">
        <v>45587</v>
      </c>
      <c r="D5047" t="inlineStr">
        <is>
          <t>GÄVLEBORGS LÄN</t>
        </is>
      </c>
      <c r="E5047" t="inlineStr">
        <is>
          <t>LJUSDAL</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34116-2022</t>
        </is>
      </c>
      <c r="B5048" s="1" t="n">
        <v>44791</v>
      </c>
      <c r="C5048" s="1" t="n">
        <v>45587</v>
      </c>
      <c r="D5048" t="inlineStr">
        <is>
          <t>GÄVLEBORGS LÄN</t>
        </is>
      </c>
      <c r="E5048" t="inlineStr">
        <is>
          <t>HUDIKSVALL</t>
        </is>
      </c>
      <c r="F5048" t="inlineStr">
        <is>
          <t>Holmen skog AB</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34172-2022</t>
        </is>
      </c>
      <c r="B5049" s="1" t="n">
        <v>44791</v>
      </c>
      <c r="C5049" s="1" t="n">
        <v>45587</v>
      </c>
      <c r="D5049" t="inlineStr">
        <is>
          <t>GÄVLEBORGS LÄN</t>
        </is>
      </c>
      <c r="E5049" t="inlineStr">
        <is>
          <t>LJUSDAL</t>
        </is>
      </c>
      <c r="G5049" t="n">
        <v>4.6</v>
      </c>
      <c r="H5049" t="n">
        <v>0</v>
      </c>
      <c r="I5049" t="n">
        <v>0</v>
      </c>
      <c r="J5049" t="n">
        <v>0</v>
      </c>
      <c r="K5049" t="n">
        <v>0</v>
      </c>
      <c r="L5049" t="n">
        <v>0</v>
      </c>
      <c r="M5049" t="n">
        <v>0</v>
      </c>
      <c r="N5049" t="n">
        <v>0</v>
      </c>
      <c r="O5049" t="n">
        <v>0</v>
      </c>
      <c r="P5049" t="n">
        <v>0</v>
      </c>
      <c r="Q5049" t="n">
        <v>0</v>
      </c>
      <c r="R5049" s="2" t="inlineStr"/>
    </row>
    <row r="5050" ht="15" customHeight="1">
      <c r="A5050" t="inlineStr">
        <is>
          <t>A 34363-2022</t>
        </is>
      </c>
      <c r="B5050" s="1" t="n">
        <v>44792</v>
      </c>
      <c r="C5050" s="1" t="n">
        <v>45587</v>
      </c>
      <c r="D5050" t="inlineStr">
        <is>
          <t>GÄVLEBORGS LÄN</t>
        </is>
      </c>
      <c r="E5050" t="inlineStr">
        <is>
          <t>HUDIKSVALL</t>
        </is>
      </c>
      <c r="F5050" t="inlineStr">
        <is>
          <t>Holmen skog AB</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34370-2022</t>
        </is>
      </c>
      <c r="B5051" s="1" t="n">
        <v>44792</v>
      </c>
      <c r="C5051" s="1" t="n">
        <v>45587</v>
      </c>
      <c r="D5051" t="inlineStr">
        <is>
          <t>GÄVLEBORGS LÄN</t>
        </is>
      </c>
      <c r="E5051" t="inlineStr">
        <is>
          <t>HUDIKSVALL</t>
        </is>
      </c>
      <c r="F5051" t="inlineStr">
        <is>
          <t>Holmen skog AB</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34422-2022</t>
        </is>
      </c>
      <c r="B5052" s="1" t="n">
        <v>44792</v>
      </c>
      <c r="C5052" s="1" t="n">
        <v>45587</v>
      </c>
      <c r="D5052" t="inlineStr">
        <is>
          <t>GÄVLEBORGS LÄN</t>
        </is>
      </c>
      <c r="E5052" t="inlineStr">
        <is>
          <t>LJUSDAL</t>
        </is>
      </c>
      <c r="F5052" t="inlineStr">
        <is>
          <t>Bergvik skog väst AB</t>
        </is>
      </c>
      <c r="G5052" t="n">
        <v>6.2</v>
      </c>
      <c r="H5052" t="n">
        <v>0</v>
      </c>
      <c r="I5052" t="n">
        <v>0</v>
      </c>
      <c r="J5052" t="n">
        <v>0</v>
      </c>
      <c r="K5052" t="n">
        <v>0</v>
      </c>
      <c r="L5052" t="n">
        <v>0</v>
      </c>
      <c r="M5052" t="n">
        <v>0</v>
      </c>
      <c r="N5052" t="n">
        <v>0</v>
      </c>
      <c r="O5052" t="n">
        <v>0</v>
      </c>
      <c r="P5052" t="n">
        <v>0</v>
      </c>
      <c r="Q5052" t="n">
        <v>0</v>
      </c>
      <c r="R5052" s="2" t="inlineStr"/>
    </row>
    <row r="5053" ht="15" customHeight="1">
      <c r="A5053" t="inlineStr">
        <is>
          <t>A 34352-2022</t>
        </is>
      </c>
      <c r="B5053" s="1" t="n">
        <v>44792</v>
      </c>
      <c r="C5053" s="1" t="n">
        <v>45587</v>
      </c>
      <c r="D5053" t="inlineStr">
        <is>
          <t>GÄVLEBORGS LÄN</t>
        </is>
      </c>
      <c r="E5053" t="inlineStr">
        <is>
          <t>HUDIKSVALL</t>
        </is>
      </c>
      <c r="F5053" t="inlineStr">
        <is>
          <t>Holmen skog AB</t>
        </is>
      </c>
      <c r="G5053" t="n">
        <v>13.3</v>
      </c>
      <c r="H5053" t="n">
        <v>0</v>
      </c>
      <c r="I5053" t="n">
        <v>0</v>
      </c>
      <c r="J5053" t="n">
        <v>0</v>
      </c>
      <c r="K5053" t="n">
        <v>0</v>
      </c>
      <c r="L5053" t="n">
        <v>0</v>
      </c>
      <c r="M5053" t="n">
        <v>0</v>
      </c>
      <c r="N5053" t="n">
        <v>0</v>
      </c>
      <c r="O5053" t="n">
        <v>0</v>
      </c>
      <c r="P5053" t="n">
        <v>0</v>
      </c>
      <c r="Q5053" t="n">
        <v>0</v>
      </c>
      <c r="R5053" s="2" t="inlineStr"/>
    </row>
    <row r="5054" ht="15" customHeight="1">
      <c r="A5054" t="inlineStr">
        <is>
          <t>A 34447-2022</t>
        </is>
      </c>
      <c r="B5054" s="1" t="n">
        <v>44792</v>
      </c>
      <c r="C5054" s="1" t="n">
        <v>45587</v>
      </c>
      <c r="D5054" t="inlineStr">
        <is>
          <t>GÄVLEBORGS LÄN</t>
        </is>
      </c>
      <c r="E5054" t="inlineStr">
        <is>
          <t>LJUSDAL</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34457-2022</t>
        </is>
      </c>
      <c r="B5055" s="1" t="n">
        <v>44792</v>
      </c>
      <c r="C5055" s="1" t="n">
        <v>45587</v>
      </c>
      <c r="D5055" t="inlineStr">
        <is>
          <t>GÄVLEBORGS LÄN</t>
        </is>
      </c>
      <c r="E5055" t="inlineStr">
        <is>
          <t>LJUSDAL</t>
        </is>
      </c>
      <c r="F5055" t="inlineStr">
        <is>
          <t>Sveaskog</t>
        </is>
      </c>
      <c r="G5055" t="n">
        <v>11.1</v>
      </c>
      <c r="H5055" t="n">
        <v>0</v>
      </c>
      <c r="I5055" t="n">
        <v>0</v>
      </c>
      <c r="J5055" t="n">
        <v>0</v>
      </c>
      <c r="K5055" t="n">
        <v>0</v>
      </c>
      <c r="L5055" t="n">
        <v>0</v>
      </c>
      <c r="M5055" t="n">
        <v>0</v>
      </c>
      <c r="N5055" t="n">
        <v>0</v>
      </c>
      <c r="O5055" t="n">
        <v>0</v>
      </c>
      <c r="P5055" t="n">
        <v>0</v>
      </c>
      <c r="Q5055" t="n">
        <v>0</v>
      </c>
      <c r="R5055" s="2" t="inlineStr"/>
    </row>
    <row r="5056" ht="15" customHeight="1">
      <c r="A5056" t="inlineStr">
        <is>
          <t>A 34427-2022</t>
        </is>
      </c>
      <c r="B5056" s="1" t="n">
        <v>44792</v>
      </c>
      <c r="C5056" s="1" t="n">
        <v>45587</v>
      </c>
      <c r="D5056" t="inlineStr">
        <is>
          <t>GÄVLEBORGS LÄN</t>
        </is>
      </c>
      <c r="E5056" t="inlineStr">
        <is>
          <t>HUDIKSVALL</t>
        </is>
      </c>
      <c r="F5056" t="inlineStr">
        <is>
          <t>Holmen skog AB</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34444-2022</t>
        </is>
      </c>
      <c r="B5057" s="1" t="n">
        <v>44792</v>
      </c>
      <c r="C5057" s="1" t="n">
        <v>45587</v>
      </c>
      <c r="D5057" t="inlineStr">
        <is>
          <t>GÄVLEBORGS LÄN</t>
        </is>
      </c>
      <c r="E5057" t="inlineStr">
        <is>
          <t>BOLLNÄS</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34487-2022</t>
        </is>
      </c>
      <c r="B5058" s="1" t="n">
        <v>44792</v>
      </c>
      <c r="C5058" s="1" t="n">
        <v>45587</v>
      </c>
      <c r="D5058" t="inlineStr">
        <is>
          <t>GÄVLEBORGS LÄN</t>
        </is>
      </c>
      <c r="E5058" t="inlineStr">
        <is>
          <t>NORDANSTIG</t>
        </is>
      </c>
      <c r="F5058" t="inlineStr">
        <is>
          <t>Holmen skog AB</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34419-2022</t>
        </is>
      </c>
      <c r="B5059" s="1" t="n">
        <v>44792</v>
      </c>
      <c r="C5059" s="1" t="n">
        <v>45587</v>
      </c>
      <c r="D5059" t="inlineStr">
        <is>
          <t>GÄVLEBORGS LÄN</t>
        </is>
      </c>
      <c r="E5059" t="inlineStr">
        <is>
          <t>LJUSDAL</t>
        </is>
      </c>
      <c r="F5059" t="inlineStr">
        <is>
          <t>Sveaskog</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34491-2022</t>
        </is>
      </c>
      <c r="B5060" s="1" t="n">
        <v>44792</v>
      </c>
      <c r="C5060" s="1" t="n">
        <v>45587</v>
      </c>
      <c r="D5060" t="inlineStr">
        <is>
          <t>GÄVLEBORGS LÄN</t>
        </is>
      </c>
      <c r="E5060" t="inlineStr">
        <is>
          <t>NORDANSTIG</t>
        </is>
      </c>
      <c r="F5060" t="inlineStr">
        <is>
          <t>Holmen skog AB</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34501-2022</t>
        </is>
      </c>
      <c r="B5061" s="1" t="n">
        <v>44792</v>
      </c>
      <c r="C5061" s="1" t="n">
        <v>45587</v>
      </c>
      <c r="D5061" t="inlineStr">
        <is>
          <t>GÄVLEBORGS LÄN</t>
        </is>
      </c>
      <c r="E5061" t="inlineStr">
        <is>
          <t>LJUSDAL</t>
        </is>
      </c>
      <c r="F5061" t="inlineStr">
        <is>
          <t>Sveaskog</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34538-2022</t>
        </is>
      </c>
      <c r="B5062" s="1" t="n">
        <v>44793</v>
      </c>
      <c r="C5062" s="1" t="n">
        <v>45587</v>
      </c>
      <c r="D5062" t="inlineStr">
        <is>
          <t>GÄVLEBORGS LÄN</t>
        </is>
      </c>
      <c r="E5062" t="inlineStr">
        <is>
          <t>OCKELBO</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34602-2022</t>
        </is>
      </c>
      <c r="B5063" s="1" t="n">
        <v>44795</v>
      </c>
      <c r="C5063" s="1" t="n">
        <v>45587</v>
      </c>
      <c r="D5063" t="inlineStr">
        <is>
          <t>GÄVLEBORGS LÄN</t>
        </is>
      </c>
      <c r="E5063" t="inlineStr">
        <is>
          <t>LJUSDAL</t>
        </is>
      </c>
      <c r="G5063" t="n">
        <v>7.7</v>
      </c>
      <c r="H5063" t="n">
        <v>0</v>
      </c>
      <c r="I5063" t="n">
        <v>0</v>
      </c>
      <c r="J5063" t="n">
        <v>0</v>
      </c>
      <c r="K5063" t="n">
        <v>0</v>
      </c>
      <c r="L5063" t="n">
        <v>0</v>
      </c>
      <c r="M5063" t="n">
        <v>0</v>
      </c>
      <c r="N5063" t="n">
        <v>0</v>
      </c>
      <c r="O5063" t="n">
        <v>0</v>
      </c>
      <c r="P5063" t="n">
        <v>0</v>
      </c>
      <c r="Q5063" t="n">
        <v>0</v>
      </c>
      <c r="R5063" s="2" t="inlineStr"/>
    </row>
    <row r="5064" ht="15" customHeight="1">
      <c r="A5064" t="inlineStr">
        <is>
          <t>A 34664-2022</t>
        </is>
      </c>
      <c r="B5064" s="1" t="n">
        <v>44795</v>
      </c>
      <c r="C5064" s="1" t="n">
        <v>45587</v>
      </c>
      <c r="D5064" t="inlineStr">
        <is>
          <t>GÄVLEBORGS LÄN</t>
        </is>
      </c>
      <c r="E5064" t="inlineStr">
        <is>
          <t>HUDIKSVALL</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34706-2022</t>
        </is>
      </c>
      <c r="B5065" s="1" t="n">
        <v>44795</v>
      </c>
      <c r="C5065" s="1" t="n">
        <v>45587</v>
      </c>
      <c r="D5065" t="inlineStr">
        <is>
          <t>GÄVLEBORGS LÄN</t>
        </is>
      </c>
      <c r="E5065" t="inlineStr">
        <is>
          <t>GÄVLE</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34712-2022</t>
        </is>
      </c>
      <c r="B5066" s="1" t="n">
        <v>44795</v>
      </c>
      <c r="C5066" s="1" t="n">
        <v>45587</v>
      </c>
      <c r="D5066" t="inlineStr">
        <is>
          <t>GÄVLEBORGS LÄN</t>
        </is>
      </c>
      <c r="E5066" t="inlineStr">
        <is>
          <t>OCKELBO</t>
        </is>
      </c>
      <c r="G5066" t="n">
        <v>0.3</v>
      </c>
      <c r="H5066" t="n">
        <v>0</v>
      </c>
      <c r="I5066" t="n">
        <v>0</v>
      </c>
      <c r="J5066" t="n">
        <v>0</v>
      </c>
      <c r="K5066" t="n">
        <v>0</v>
      </c>
      <c r="L5066" t="n">
        <v>0</v>
      </c>
      <c r="M5066" t="n">
        <v>0</v>
      </c>
      <c r="N5066" t="n">
        <v>0</v>
      </c>
      <c r="O5066" t="n">
        <v>0</v>
      </c>
      <c r="P5066" t="n">
        <v>0</v>
      </c>
      <c r="Q5066" t="n">
        <v>0</v>
      </c>
      <c r="R5066" s="2" t="inlineStr"/>
    </row>
    <row r="5067" ht="15" customHeight="1">
      <c r="A5067" t="inlineStr">
        <is>
          <t>A 34718-2022</t>
        </is>
      </c>
      <c r="B5067" s="1" t="n">
        <v>44795</v>
      </c>
      <c r="C5067" s="1" t="n">
        <v>45587</v>
      </c>
      <c r="D5067" t="inlineStr">
        <is>
          <t>GÄVLEBORGS LÄN</t>
        </is>
      </c>
      <c r="E5067" t="inlineStr">
        <is>
          <t>OCKELBO</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34725-2022</t>
        </is>
      </c>
      <c r="B5068" s="1" t="n">
        <v>44795</v>
      </c>
      <c r="C5068" s="1" t="n">
        <v>45587</v>
      </c>
      <c r="D5068" t="inlineStr">
        <is>
          <t>GÄVLEBORGS LÄN</t>
        </is>
      </c>
      <c r="E5068" t="inlineStr">
        <is>
          <t>SÖDERHAMN</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34771-2022</t>
        </is>
      </c>
      <c r="B5069" s="1" t="n">
        <v>44795</v>
      </c>
      <c r="C5069" s="1" t="n">
        <v>45587</v>
      </c>
      <c r="D5069" t="inlineStr">
        <is>
          <t>GÄVLEBORGS LÄN</t>
        </is>
      </c>
      <c r="E5069" t="inlineStr">
        <is>
          <t>LJUSDAL</t>
        </is>
      </c>
      <c r="F5069" t="inlineStr">
        <is>
          <t>Allmännings- och besparingsskogar</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34783-2022</t>
        </is>
      </c>
      <c r="B5070" s="1" t="n">
        <v>44795</v>
      </c>
      <c r="C5070" s="1" t="n">
        <v>45587</v>
      </c>
      <c r="D5070" t="inlineStr">
        <is>
          <t>GÄVLEBORGS LÄN</t>
        </is>
      </c>
      <c r="E5070" t="inlineStr">
        <is>
          <t>NORDANSTIG</t>
        </is>
      </c>
      <c r="G5070" t="n">
        <v>7.8</v>
      </c>
      <c r="H5070" t="n">
        <v>0</v>
      </c>
      <c r="I5070" t="n">
        <v>0</v>
      </c>
      <c r="J5070" t="n">
        <v>0</v>
      </c>
      <c r="K5070" t="n">
        <v>0</v>
      </c>
      <c r="L5070" t="n">
        <v>0</v>
      </c>
      <c r="M5070" t="n">
        <v>0</v>
      </c>
      <c r="N5070" t="n">
        <v>0</v>
      </c>
      <c r="O5070" t="n">
        <v>0</v>
      </c>
      <c r="P5070" t="n">
        <v>0</v>
      </c>
      <c r="Q5070" t="n">
        <v>0</v>
      </c>
      <c r="R5070" s="2" t="inlineStr"/>
    </row>
    <row r="5071" ht="15" customHeight="1">
      <c r="A5071" t="inlineStr">
        <is>
          <t>A 34709-2022</t>
        </is>
      </c>
      <c r="B5071" s="1" t="n">
        <v>44795</v>
      </c>
      <c r="C5071" s="1" t="n">
        <v>45587</v>
      </c>
      <c r="D5071" t="inlineStr">
        <is>
          <t>GÄVLEBORGS LÄN</t>
        </is>
      </c>
      <c r="E5071" t="inlineStr">
        <is>
          <t>OCKELBO</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34722-2022</t>
        </is>
      </c>
      <c r="B5072" s="1" t="n">
        <v>44795</v>
      </c>
      <c r="C5072" s="1" t="n">
        <v>45587</v>
      </c>
      <c r="D5072" t="inlineStr">
        <is>
          <t>GÄVLEBORGS LÄN</t>
        </is>
      </c>
      <c r="E5072" t="inlineStr">
        <is>
          <t>OCKELBO</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34871-2022</t>
        </is>
      </c>
      <c r="B5073" s="1" t="n">
        <v>44796</v>
      </c>
      <c r="C5073" s="1" t="n">
        <v>45587</v>
      </c>
      <c r="D5073" t="inlineStr">
        <is>
          <t>GÄVLEBORGS LÄN</t>
        </is>
      </c>
      <c r="E5073" t="inlineStr">
        <is>
          <t>GÄVLE</t>
        </is>
      </c>
      <c r="F5073" t="inlineStr">
        <is>
          <t>Bergvik skog öst AB</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34887-2022</t>
        </is>
      </c>
      <c r="B5074" s="1" t="n">
        <v>44796</v>
      </c>
      <c r="C5074" s="1" t="n">
        <v>45587</v>
      </c>
      <c r="D5074" t="inlineStr">
        <is>
          <t>GÄVLEBORGS LÄN</t>
        </is>
      </c>
      <c r="E5074" t="inlineStr">
        <is>
          <t>BOLLNÄS</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34893-2022</t>
        </is>
      </c>
      <c r="B5075" s="1" t="n">
        <v>44796</v>
      </c>
      <c r="C5075" s="1" t="n">
        <v>45587</v>
      </c>
      <c r="D5075" t="inlineStr">
        <is>
          <t>GÄVLEBORGS LÄN</t>
        </is>
      </c>
      <c r="E5075" t="inlineStr">
        <is>
          <t>BOLLNÄS</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34939-2022</t>
        </is>
      </c>
      <c r="B5076" s="1" t="n">
        <v>44796</v>
      </c>
      <c r="C5076" s="1" t="n">
        <v>45587</v>
      </c>
      <c r="D5076" t="inlineStr">
        <is>
          <t>GÄVLEBORGS LÄN</t>
        </is>
      </c>
      <c r="E5076" t="inlineStr">
        <is>
          <t>BOLLNÄS</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34946-2022</t>
        </is>
      </c>
      <c r="B5077" s="1" t="n">
        <v>44796</v>
      </c>
      <c r="C5077" s="1" t="n">
        <v>45587</v>
      </c>
      <c r="D5077" t="inlineStr">
        <is>
          <t>GÄVLEBORGS LÄN</t>
        </is>
      </c>
      <c r="E5077" t="inlineStr">
        <is>
          <t>SANDVIKEN</t>
        </is>
      </c>
      <c r="F5077" t="inlineStr">
        <is>
          <t>Bergvik skog öst AB</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35028-2022</t>
        </is>
      </c>
      <c r="B5078" s="1" t="n">
        <v>44797</v>
      </c>
      <c r="C5078" s="1" t="n">
        <v>45587</v>
      </c>
      <c r="D5078" t="inlineStr">
        <is>
          <t>GÄVLEBORGS LÄN</t>
        </is>
      </c>
      <c r="E5078" t="inlineStr">
        <is>
          <t>NORDANSTIG</t>
        </is>
      </c>
      <c r="F5078" t="inlineStr">
        <is>
          <t>SCA</t>
        </is>
      </c>
      <c r="G5078" t="n">
        <v>7.2</v>
      </c>
      <c r="H5078" t="n">
        <v>0</v>
      </c>
      <c r="I5078" t="n">
        <v>0</v>
      </c>
      <c r="J5078" t="n">
        <v>0</v>
      </c>
      <c r="K5078" t="n">
        <v>0</v>
      </c>
      <c r="L5078" t="n">
        <v>0</v>
      </c>
      <c r="M5078" t="n">
        <v>0</v>
      </c>
      <c r="N5078" t="n">
        <v>0</v>
      </c>
      <c r="O5078" t="n">
        <v>0</v>
      </c>
      <c r="P5078" t="n">
        <v>0</v>
      </c>
      <c r="Q5078" t="n">
        <v>0</v>
      </c>
      <c r="R5078" s="2" t="inlineStr"/>
    </row>
    <row r="5079" ht="15" customHeight="1">
      <c r="A5079" t="inlineStr">
        <is>
          <t>A 35048-2022</t>
        </is>
      </c>
      <c r="B5079" s="1" t="n">
        <v>44797</v>
      </c>
      <c r="C5079" s="1" t="n">
        <v>45587</v>
      </c>
      <c r="D5079" t="inlineStr">
        <is>
          <t>GÄVLEBORGS LÄN</t>
        </is>
      </c>
      <c r="E5079" t="inlineStr">
        <is>
          <t>OCKELBO</t>
        </is>
      </c>
      <c r="G5079" t="n">
        <v>5.9</v>
      </c>
      <c r="H5079" t="n">
        <v>0</v>
      </c>
      <c r="I5079" t="n">
        <v>0</v>
      </c>
      <c r="J5079" t="n">
        <v>0</v>
      </c>
      <c r="K5079" t="n">
        <v>0</v>
      </c>
      <c r="L5079" t="n">
        <v>0</v>
      </c>
      <c r="M5079" t="n">
        <v>0</v>
      </c>
      <c r="N5079" t="n">
        <v>0</v>
      </c>
      <c r="O5079" t="n">
        <v>0</v>
      </c>
      <c r="P5079" t="n">
        <v>0</v>
      </c>
      <c r="Q5079" t="n">
        <v>0</v>
      </c>
      <c r="R5079" s="2" t="inlineStr"/>
    </row>
    <row r="5080" ht="15" customHeight="1">
      <c r="A5080" t="inlineStr">
        <is>
          <t>A 35059-2022</t>
        </is>
      </c>
      <c r="B5080" s="1" t="n">
        <v>44797</v>
      </c>
      <c r="C5080" s="1" t="n">
        <v>45587</v>
      </c>
      <c r="D5080" t="inlineStr">
        <is>
          <t>GÄVLEBORGS LÄN</t>
        </is>
      </c>
      <c r="E5080" t="inlineStr">
        <is>
          <t>OCKELBO</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35115-2022</t>
        </is>
      </c>
      <c r="B5081" s="1" t="n">
        <v>44797</v>
      </c>
      <c r="C5081" s="1" t="n">
        <v>45587</v>
      </c>
      <c r="D5081" t="inlineStr">
        <is>
          <t>GÄVLEBORGS LÄN</t>
        </is>
      </c>
      <c r="E5081" t="inlineStr">
        <is>
          <t>NORDANSTIG</t>
        </is>
      </c>
      <c r="F5081" t="inlineStr">
        <is>
          <t>Holmen skog AB</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35035-2022</t>
        </is>
      </c>
      <c r="B5082" s="1" t="n">
        <v>44797</v>
      </c>
      <c r="C5082" s="1" t="n">
        <v>45587</v>
      </c>
      <c r="D5082" t="inlineStr">
        <is>
          <t>GÄVLEBORGS LÄN</t>
        </is>
      </c>
      <c r="E5082" t="inlineStr">
        <is>
          <t>LJUSDAL</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35049-2022</t>
        </is>
      </c>
      <c r="B5083" s="1" t="n">
        <v>44797</v>
      </c>
      <c r="C5083" s="1" t="n">
        <v>45587</v>
      </c>
      <c r="D5083" t="inlineStr">
        <is>
          <t>GÄVLEBORGS LÄN</t>
        </is>
      </c>
      <c r="E5083" t="inlineStr">
        <is>
          <t>OCKELBO</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35070-2022</t>
        </is>
      </c>
      <c r="B5084" s="1" t="n">
        <v>44797</v>
      </c>
      <c r="C5084" s="1" t="n">
        <v>45587</v>
      </c>
      <c r="D5084" t="inlineStr">
        <is>
          <t>GÄVLEBORGS LÄN</t>
        </is>
      </c>
      <c r="E5084" t="inlineStr">
        <is>
          <t>NORDANSTIG</t>
        </is>
      </c>
      <c r="F5084" t="inlineStr">
        <is>
          <t>Holmen skog AB</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35129-2022</t>
        </is>
      </c>
      <c r="B5085" s="1" t="n">
        <v>44797</v>
      </c>
      <c r="C5085" s="1" t="n">
        <v>45587</v>
      </c>
      <c r="D5085" t="inlineStr">
        <is>
          <t>GÄVLEBORGS LÄN</t>
        </is>
      </c>
      <c r="E5085" t="inlineStr">
        <is>
          <t>NORDANSTIG</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35053-2022</t>
        </is>
      </c>
      <c r="B5086" s="1" t="n">
        <v>44797</v>
      </c>
      <c r="C5086" s="1" t="n">
        <v>45587</v>
      </c>
      <c r="D5086" t="inlineStr">
        <is>
          <t>GÄVLEBORGS LÄN</t>
        </is>
      </c>
      <c r="E5086" t="inlineStr">
        <is>
          <t>OVANÅKER</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35030-2022</t>
        </is>
      </c>
      <c r="B5087" s="1" t="n">
        <v>44797</v>
      </c>
      <c r="C5087" s="1" t="n">
        <v>45587</v>
      </c>
      <c r="D5087" t="inlineStr">
        <is>
          <t>GÄVLEBORGS LÄN</t>
        </is>
      </c>
      <c r="E5087" t="inlineStr">
        <is>
          <t>LJUSDAL</t>
        </is>
      </c>
      <c r="F5087" t="inlineStr">
        <is>
          <t>Sveaskog</t>
        </is>
      </c>
      <c r="G5087" t="n">
        <v>7.3</v>
      </c>
      <c r="H5087" t="n">
        <v>0</v>
      </c>
      <c r="I5087" t="n">
        <v>0</v>
      </c>
      <c r="J5087" t="n">
        <v>0</v>
      </c>
      <c r="K5087" t="n">
        <v>0</v>
      </c>
      <c r="L5087" t="n">
        <v>0</v>
      </c>
      <c r="M5087" t="n">
        <v>0</v>
      </c>
      <c r="N5087" t="n">
        <v>0</v>
      </c>
      <c r="O5087" t="n">
        <v>0</v>
      </c>
      <c r="P5087" t="n">
        <v>0</v>
      </c>
      <c r="Q5087" t="n">
        <v>0</v>
      </c>
      <c r="R5087" s="2" t="inlineStr"/>
    </row>
    <row r="5088" ht="15" customHeight="1">
      <c r="A5088" t="inlineStr">
        <is>
          <t>A 35054-2022</t>
        </is>
      </c>
      <c r="B5088" s="1" t="n">
        <v>44797</v>
      </c>
      <c r="C5088" s="1" t="n">
        <v>45587</v>
      </c>
      <c r="D5088" t="inlineStr">
        <is>
          <t>GÄVLEBORGS LÄN</t>
        </is>
      </c>
      <c r="E5088" t="inlineStr">
        <is>
          <t>OCKELBO</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35179-2022</t>
        </is>
      </c>
      <c r="B5089" s="1" t="n">
        <v>44797</v>
      </c>
      <c r="C5089" s="1" t="n">
        <v>45587</v>
      </c>
      <c r="D5089" t="inlineStr">
        <is>
          <t>GÄVLEBORGS LÄN</t>
        </is>
      </c>
      <c r="E5089" t="inlineStr">
        <is>
          <t>HUDIKSVALL</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35184-2022</t>
        </is>
      </c>
      <c r="B5090" s="1" t="n">
        <v>44797</v>
      </c>
      <c r="C5090" s="1" t="n">
        <v>45587</v>
      </c>
      <c r="D5090" t="inlineStr">
        <is>
          <t>GÄVLEBORGS LÄN</t>
        </is>
      </c>
      <c r="E5090" t="inlineStr">
        <is>
          <t>SANDVIKEN</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35185-2022</t>
        </is>
      </c>
      <c r="B5091" s="1" t="n">
        <v>44797</v>
      </c>
      <c r="C5091" s="1" t="n">
        <v>45587</v>
      </c>
      <c r="D5091" t="inlineStr">
        <is>
          <t>GÄVLEBORGS LÄN</t>
        </is>
      </c>
      <c r="E5091" t="inlineStr">
        <is>
          <t>SANDVIKEN</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35159-2022</t>
        </is>
      </c>
      <c r="B5092" s="1" t="n">
        <v>44797</v>
      </c>
      <c r="C5092" s="1" t="n">
        <v>45587</v>
      </c>
      <c r="D5092" t="inlineStr">
        <is>
          <t>GÄVLEBORGS LÄN</t>
        </is>
      </c>
      <c r="E5092" t="inlineStr">
        <is>
          <t>HUDIKSVALL</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35324-2022</t>
        </is>
      </c>
      <c r="B5093" s="1" t="n">
        <v>44798</v>
      </c>
      <c r="C5093" s="1" t="n">
        <v>45587</v>
      </c>
      <c r="D5093" t="inlineStr">
        <is>
          <t>GÄVLEBORGS LÄN</t>
        </is>
      </c>
      <c r="E5093" t="inlineStr">
        <is>
          <t>OVANÅKER</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35348-2022</t>
        </is>
      </c>
      <c r="B5094" s="1" t="n">
        <v>44798</v>
      </c>
      <c r="C5094" s="1" t="n">
        <v>45587</v>
      </c>
      <c r="D5094" t="inlineStr">
        <is>
          <t>GÄVLEBORGS LÄN</t>
        </is>
      </c>
      <c r="E5094" t="inlineStr">
        <is>
          <t>OVANÅKER</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35268-2022</t>
        </is>
      </c>
      <c r="B5095" s="1" t="n">
        <v>44798</v>
      </c>
      <c r="C5095" s="1" t="n">
        <v>45587</v>
      </c>
      <c r="D5095" t="inlineStr">
        <is>
          <t>GÄVLEBORGS LÄN</t>
        </is>
      </c>
      <c r="E5095" t="inlineStr">
        <is>
          <t>HUDIKSVALL</t>
        </is>
      </c>
      <c r="F5095" t="inlineStr">
        <is>
          <t>Holmen skog AB</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35245-2022</t>
        </is>
      </c>
      <c r="B5096" s="1" t="n">
        <v>44798</v>
      </c>
      <c r="C5096" s="1" t="n">
        <v>45587</v>
      </c>
      <c r="D5096" t="inlineStr">
        <is>
          <t>GÄVLEBORGS LÄN</t>
        </is>
      </c>
      <c r="E5096" t="inlineStr">
        <is>
          <t>BOLLNÄS</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35387-2022</t>
        </is>
      </c>
      <c r="B5097" s="1" t="n">
        <v>44798</v>
      </c>
      <c r="C5097" s="1" t="n">
        <v>45587</v>
      </c>
      <c r="D5097" t="inlineStr">
        <is>
          <t>GÄVLEBORGS LÄN</t>
        </is>
      </c>
      <c r="E5097" t="inlineStr">
        <is>
          <t>LJUSDAL</t>
        </is>
      </c>
      <c r="F5097" t="inlineStr">
        <is>
          <t>Sveaskog</t>
        </is>
      </c>
      <c r="G5097" t="n">
        <v>6.4</v>
      </c>
      <c r="H5097" t="n">
        <v>0</v>
      </c>
      <c r="I5097" t="n">
        <v>0</v>
      </c>
      <c r="J5097" t="n">
        <v>0</v>
      </c>
      <c r="K5097" t="n">
        <v>0</v>
      </c>
      <c r="L5097" t="n">
        <v>0</v>
      </c>
      <c r="M5097" t="n">
        <v>0</v>
      </c>
      <c r="N5097" t="n">
        <v>0</v>
      </c>
      <c r="O5097" t="n">
        <v>0</v>
      </c>
      <c r="P5097" t="n">
        <v>0</v>
      </c>
      <c r="Q5097" t="n">
        <v>0</v>
      </c>
      <c r="R5097" s="2" t="inlineStr"/>
    </row>
    <row r="5098" ht="15" customHeight="1">
      <c r="A5098" t="inlineStr">
        <is>
          <t>A 35461-2022</t>
        </is>
      </c>
      <c r="B5098" s="1" t="n">
        <v>44798</v>
      </c>
      <c r="C5098" s="1" t="n">
        <v>45587</v>
      </c>
      <c r="D5098" t="inlineStr">
        <is>
          <t>GÄVLEBORGS LÄN</t>
        </is>
      </c>
      <c r="E5098" t="inlineStr">
        <is>
          <t>LJUSDAL</t>
        </is>
      </c>
      <c r="F5098" t="inlineStr">
        <is>
          <t>Holmen skog AB</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35433-2022</t>
        </is>
      </c>
      <c r="B5099" s="1" t="n">
        <v>44798</v>
      </c>
      <c r="C5099" s="1" t="n">
        <v>45587</v>
      </c>
      <c r="D5099" t="inlineStr">
        <is>
          <t>GÄVLEBORGS LÄN</t>
        </is>
      </c>
      <c r="E5099" t="inlineStr">
        <is>
          <t>HUDIKSVALL</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35479-2022</t>
        </is>
      </c>
      <c r="B5100" s="1" t="n">
        <v>44798</v>
      </c>
      <c r="C5100" s="1" t="n">
        <v>45587</v>
      </c>
      <c r="D5100" t="inlineStr">
        <is>
          <t>GÄVLEBORGS LÄN</t>
        </is>
      </c>
      <c r="E5100" t="inlineStr">
        <is>
          <t>NORDANSTIG</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35467-2022</t>
        </is>
      </c>
      <c r="B5101" s="1" t="n">
        <v>44798</v>
      </c>
      <c r="C5101" s="1" t="n">
        <v>45587</v>
      </c>
      <c r="D5101" t="inlineStr">
        <is>
          <t>GÄVLEBORGS LÄN</t>
        </is>
      </c>
      <c r="E5101" t="inlineStr">
        <is>
          <t>LJUSDAL</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35527-2022</t>
        </is>
      </c>
      <c r="B5102" s="1" t="n">
        <v>44799</v>
      </c>
      <c r="C5102" s="1" t="n">
        <v>45587</v>
      </c>
      <c r="D5102" t="inlineStr">
        <is>
          <t>GÄVLEBORGS LÄN</t>
        </is>
      </c>
      <c r="E5102" t="inlineStr">
        <is>
          <t>LJUSDAL</t>
        </is>
      </c>
      <c r="G5102" t="n">
        <v>4.9</v>
      </c>
      <c r="H5102" t="n">
        <v>0</v>
      </c>
      <c r="I5102" t="n">
        <v>0</v>
      </c>
      <c r="J5102" t="n">
        <v>0</v>
      </c>
      <c r="K5102" t="n">
        <v>0</v>
      </c>
      <c r="L5102" t="n">
        <v>0</v>
      </c>
      <c r="M5102" t="n">
        <v>0</v>
      </c>
      <c r="N5102" t="n">
        <v>0</v>
      </c>
      <c r="O5102" t="n">
        <v>0</v>
      </c>
      <c r="P5102" t="n">
        <v>0</v>
      </c>
      <c r="Q5102" t="n">
        <v>0</v>
      </c>
      <c r="R5102" s="2" t="inlineStr"/>
    </row>
    <row r="5103" ht="15" customHeight="1">
      <c r="A5103" t="inlineStr">
        <is>
          <t>A 35586-2022</t>
        </is>
      </c>
      <c r="B5103" s="1" t="n">
        <v>44799</v>
      </c>
      <c r="C5103" s="1" t="n">
        <v>45587</v>
      </c>
      <c r="D5103" t="inlineStr">
        <is>
          <t>GÄVLEBORGS LÄN</t>
        </is>
      </c>
      <c r="E5103" t="inlineStr">
        <is>
          <t>LJUSDAL</t>
        </is>
      </c>
      <c r="F5103" t="inlineStr">
        <is>
          <t>Sveaskog</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35536-2022</t>
        </is>
      </c>
      <c r="B5104" s="1" t="n">
        <v>44799</v>
      </c>
      <c r="C5104" s="1" t="n">
        <v>45587</v>
      </c>
      <c r="D5104" t="inlineStr">
        <is>
          <t>GÄVLEBORGS LÄN</t>
        </is>
      </c>
      <c r="E5104" t="inlineStr">
        <is>
          <t>NORDANSTIG</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35665-2022</t>
        </is>
      </c>
      <c r="B5105" s="1" t="n">
        <v>44799</v>
      </c>
      <c r="C5105" s="1" t="n">
        <v>45587</v>
      </c>
      <c r="D5105" t="inlineStr">
        <is>
          <t>GÄVLEBORGS LÄN</t>
        </is>
      </c>
      <c r="E5105" t="inlineStr">
        <is>
          <t>SÖDERHAMN</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35523-2022</t>
        </is>
      </c>
      <c r="B5106" s="1" t="n">
        <v>44799</v>
      </c>
      <c r="C5106" s="1" t="n">
        <v>45587</v>
      </c>
      <c r="D5106" t="inlineStr">
        <is>
          <t>GÄVLEBORGS LÄN</t>
        </is>
      </c>
      <c r="E5106" t="inlineStr">
        <is>
          <t>SANDVIKEN</t>
        </is>
      </c>
      <c r="G5106" t="n">
        <v>2.1</v>
      </c>
      <c r="H5106" t="n">
        <v>0</v>
      </c>
      <c r="I5106" t="n">
        <v>0</v>
      </c>
      <c r="J5106" t="n">
        <v>0</v>
      </c>
      <c r="K5106" t="n">
        <v>0</v>
      </c>
      <c r="L5106" t="n">
        <v>0</v>
      </c>
      <c r="M5106" t="n">
        <v>0</v>
      </c>
      <c r="N5106" t="n">
        <v>0</v>
      </c>
      <c r="O5106" t="n">
        <v>0</v>
      </c>
      <c r="P5106" t="n">
        <v>0</v>
      </c>
      <c r="Q5106" t="n">
        <v>0</v>
      </c>
      <c r="R5106" s="2" t="inlineStr"/>
      <c r="U5106">
        <f>HYPERLINK("https://klasma.github.io/Logging_2181/knärot/A 35523-2022 karta knärot.png", "A 35523-2022")</f>
        <v/>
      </c>
      <c r="V5106">
        <f>HYPERLINK("https://klasma.github.io/Logging_2181/klagomål/A 35523-2022 FSC-klagomål.docx", "A 35523-2022")</f>
        <v/>
      </c>
      <c r="W5106">
        <f>HYPERLINK("https://klasma.github.io/Logging_2181/klagomålsmail/A 35523-2022 FSC-klagomål mail.docx", "A 35523-2022")</f>
        <v/>
      </c>
      <c r="X5106">
        <f>HYPERLINK("https://klasma.github.io/Logging_2181/tillsyn/A 35523-2022 tillsynsbegäran.docx", "A 35523-2022")</f>
        <v/>
      </c>
      <c r="Y5106">
        <f>HYPERLINK("https://klasma.github.io/Logging_2181/tillsynsmail/A 35523-2022 tillsynsbegäran mail.docx", "A 35523-2022")</f>
        <v/>
      </c>
    </row>
    <row r="5107" ht="15" customHeight="1">
      <c r="A5107" t="inlineStr">
        <is>
          <t>A 35584-2022</t>
        </is>
      </c>
      <c r="B5107" s="1" t="n">
        <v>44799</v>
      </c>
      <c r="C5107" s="1" t="n">
        <v>45587</v>
      </c>
      <c r="D5107" t="inlineStr">
        <is>
          <t>GÄVLEBORGS LÄN</t>
        </is>
      </c>
      <c r="E5107" t="inlineStr">
        <is>
          <t>LJUSDAL</t>
        </is>
      </c>
      <c r="F5107" t="inlineStr">
        <is>
          <t>Sveaskog</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35583-2022</t>
        </is>
      </c>
      <c r="B5108" s="1" t="n">
        <v>44799</v>
      </c>
      <c r="C5108" s="1" t="n">
        <v>45587</v>
      </c>
      <c r="D5108" t="inlineStr">
        <is>
          <t>GÄVLEBORGS LÄN</t>
        </is>
      </c>
      <c r="E5108" t="inlineStr">
        <is>
          <t>LJUSDAL</t>
        </is>
      </c>
      <c r="F5108" t="inlineStr">
        <is>
          <t>Sveaskog</t>
        </is>
      </c>
      <c r="G5108" t="n">
        <v>4.6</v>
      </c>
      <c r="H5108" t="n">
        <v>0</v>
      </c>
      <c r="I5108" t="n">
        <v>0</v>
      </c>
      <c r="J5108" t="n">
        <v>0</v>
      </c>
      <c r="K5108" t="n">
        <v>0</v>
      </c>
      <c r="L5108" t="n">
        <v>0</v>
      </c>
      <c r="M5108" t="n">
        <v>0</v>
      </c>
      <c r="N5108" t="n">
        <v>0</v>
      </c>
      <c r="O5108" t="n">
        <v>0</v>
      </c>
      <c r="P5108" t="n">
        <v>0</v>
      </c>
      <c r="Q5108" t="n">
        <v>0</v>
      </c>
      <c r="R5108" s="2" t="inlineStr"/>
    </row>
    <row r="5109" ht="15" customHeight="1">
      <c r="A5109" t="inlineStr">
        <is>
          <t>A 35591-2022</t>
        </is>
      </c>
      <c r="B5109" s="1" t="n">
        <v>44799</v>
      </c>
      <c r="C5109" s="1" t="n">
        <v>45587</v>
      </c>
      <c r="D5109" t="inlineStr">
        <is>
          <t>GÄVLEBORGS LÄN</t>
        </is>
      </c>
      <c r="E5109" t="inlineStr">
        <is>
          <t>LJUSDAL</t>
        </is>
      </c>
      <c r="F5109" t="inlineStr">
        <is>
          <t>Sveaskog</t>
        </is>
      </c>
      <c r="G5109" t="n">
        <v>12.1</v>
      </c>
      <c r="H5109" t="n">
        <v>0</v>
      </c>
      <c r="I5109" t="n">
        <v>0</v>
      </c>
      <c r="J5109" t="n">
        <v>0</v>
      </c>
      <c r="K5109" t="n">
        <v>0</v>
      </c>
      <c r="L5109" t="n">
        <v>0</v>
      </c>
      <c r="M5109" t="n">
        <v>0</v>
      </c>
      <c r="N5109" t="n">
        <v>0</v>
      </c>
      <c r="O5109" t="n">
        <v>0</v>
      </c>
      <c r="P5109" t="n">
        <v>0</v>
      </c>
      <c r="Q5109" t="n">
        <v>0</v>
      </c>
      <c r="R5109" s="2" t="inlineStr"/>
    </row>
    <row r="5110" ht="15" customHeight="1">
      <c r="A5110" t="inlineStr">
        <is>
          <t>A 35737-2022</t>
        </is>
      </c>
      <c r="B5110" s="1" t="n">
        <v>44800</v>
      </c>
      <c r="C5110" s="1" t="n">
        <v>45587</v>
      </c>
      <c r="D5110" t="inlineStr">
        <is>
          <t>GÄVLEBORGS LÄN</t>
        </is>
      </c>
      <c r="E5110" t="inlineStr">
        <is>
          <t>OVANÅKER</t>
        </is>
      </c>
      <c r="G5110" t="n">
        <v>6.4</v>
      </c>
      <c r="H5110" t="n">
        <v>0</v>
      </c>
      <c r="I5110" t="n">
        <v>0</v>
      </c>
      <c r="J5110" t="n">
        <v>0</v>
      </c>
      <c r="K5110" t="n">
        <v>0</v>
      </c>
      <c r="L5110" t="n">
        <v>0</v>
      </c>
      <c r="M5110" t="n">
        <v>0</v>
      </c>
      <c r="N5110" t="n">
        <v>0</v>
      </c>
      <c r="O5110" t="n">
        <v>0</v>
      </c>
      <c r="P5110" t="n">
        <v>0</v>
      </c>
      <c r="Q5110" t="n">
        <v>0</v>
      </c>
      <c r="R5110" s="2" t="inlineStr"/>
    </row>
    <row r="5111" ht="15" customHeight="1">
      <c r="A5111" t="inlineStr">
        <is>
          <t>A 35734-2022</t>
        </is>
      </c>
      <c r="B5111" s="1" t="n">
        <v>44800</v>
      </c>
      <c r="C5111" s="1" t="n">
        <v>45587</v>
      </c>
      <c r="D5111" t="inlineStr">
        <is>
          <t>GÄVLEBORGS LÄN</t>
        </is>
      </c>
      <c r="E5111" t="inlineStr">
        <is>
          <t>LJUSDAL</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35738-2022</t>
        </is>
      </c>
      <c r="B5112" s="1" t="n">
        <v>44800</v>
      </c>
      <c r="C5112" s="1" t="n">
        <v>45587</v>
      </c>
      <c r="D5112" t="inlineStr">
        <is>
          <t>GÄVLEBORGS LÄN</t>
        </is>
      </c>
      <c r="E5112" t="inlineStr">
        <is>
          <t>OVANÅKER</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35735-2022</t>
        </is>
      </c>
      <c r="B5113" s="1" t="n">
        <v>44799</v>
      </c>
      <c r="C5113" s="1" t="n">
        <v>45587</v>
      </c>
      <c r="D5113" t="inlineStr">
        <is>
          <t>GÄVLEBORGS LÄN</t>
        </is>
      </c>
      <c r="E5113" t="inlineStr">
        <is>
          <t>BOLLNÄS</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35739-2022</t>
        </is>
      </c>
      <c r="B5114" s="1" t="n">
        <v>44799</v>
      </c>
      <c r="C5114" s="1" t="n">
        <v>45587</v>
      </c>
      <c r="D5114" t="inlineStr">
        <is>
          <t>GÄVLEBORGS LÄN</t>
        </is>
      </c>
      <c r="E5114" t="inlineStr">
        <is>
          <t>OVANÅKER</t>
        </is>
      </c>
      <c r="G5114" t="n">
        <v>4.6</v>
      </c>
      <c r="H5114" t="n">
        <v>0</v>
      </c>
      <c r="I5114" t="n">
        <v>0</v>
      </c>
      <c r="J5114" t="n">
        <v>0</v>
      </c>
      <c r="K5114" t="n">
        <v>0</v>
      </c>
      <c r="L5114" t="n">
        <v>0</v>
      </c>
      <c r="M5114" t="n">
        <v>0</v>
      </c>
      <c r="N5114" t="n">
        <v>0</v>
      </c>
      <c r="O5114" t="n">
        <v>0</v>
      </c>
      <c r="P5114" t="n">
        <v>0</v>
      </c>
      <c r="Q5114" t="n">
        <v>0</v>
      </c>
      <c r="R5114" s="2" t="inlineStr"/>
      <c r="U5114">
        <f>HYPERLINK("https://klasma.github.io/Logging_2121/knärot/A 35739-2022 karta knärot.png", "A 35739-2022")</f>
        <v/>
      </c>
      <c r="V5114">
        <f>HYPERLINK("https://klasma.github.io/Logging_2121/klagomål/A 35739-2022 FSC-klagomål.docx", "A 35739-2022")</f>
        <v/>
      </c>
      <c r="W5114">
        <f>HYPERLINK("https://klasma.github.io/Logging_2121/klagomålsmail/A 35739-2022 FSC-klagomål mail.docx", "A 35739-2022")</f>
        <v/>
      </c>
      <c r="X5114">
        <f>HYPERLINK("https://klasma.github.io/Logging_2121/tillsyn/A 35739-2022 tillsynsbegäran.docx", "A 35739-2022")</f>
        <v/>
      </c>
      <c r="Y5114">
        <f>HYPERLINK("https://klasma.github.io/Logging_2121/tillsynsmail/A 35739-2022 tillsynsbegäran mail.docx", "A 35739-2022")</f>
        <v/>
      </c>
    </row>
    <row r="5115" ht="15" customHeight="1">
      <c r="A5115" t="inlineStr">
        <is>
          <t>A 35736-2022</t>
        </is>
      </c>
      <c r="B5115" s="1" t="n">
        <v>44799</v>
      </c>
      <c r="C5115" s="1" t="n">
        <v>45587</v>
      </c>
      <c r="D5115" t="inlineStr">
        <is>
          <t>GÄVLEBORGS LÄN</t>
        </is>
      </c>
      <c r="E5115" t="inlineStr">
        <is>
          <t>BOLLNÄS</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35761-2022</t>
        </is>
      </c>
      <c r="B5116" s="1" t="n">
        <v>44800</v>
      </c>
      <c r="C5116" s="1" t="n">
        <v>45587</v>
      </c>
      <c r="D5116" t="inlineStr">
        <is>
          <t>GÄVLEBORGS LÄN</t>
        </is>
      </c>
      <c r="E5116" t="inlineStr">
        <is>
          <t>GÄVLE</t>
        </is>
      </c>
      <c r="G5116" t="n">
        <v>8.199999999999999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35846-2022</t>
        </is>
      </c>
      <c r="B5117" s="1" t="n">
        <v>44802</v>
      </c>
      <c r="C5117" s="1" t="n">
        <v>45587</v>
      </c>
      <c r="D5117" t="inlineStr">
        <is>
          <t>GÄVLEBORGS LÄN</t>
        </is>
      </c>
      <c r="E5117" t="inlineStr">
        <is>
          <t>OCKELBO</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35855-2022</t>
        </is>
      </c>
      <c r="B5118" s="1" t="n">
        <v>44802</v>
      </c>
      <c r="C5118" s="1" t="n">
        <v>45587</v>
      </c>
      <c r="D5118" t="inlineStr">
        <is>
          <t>GÄVLEBORGS LÄN</t>
        </is>
      </c>
      <c r="E5118" t="inlineStr">
        <is>
          <t>LJUSDAL</t>
        </is>
      </c>
      <c r="G5118" t="n">
        <v>8.6</v>
      </c>
      <c r="H5118" t="n">
        <v>0</v>
      </c>
      <c r="I5118" t="n">
        <v>0</v>
      </c>
      <c r="J5118" t="n">
        <v>0</v>
      </c>
      <c r="K5118" t="n">
        <v>0</v>
      </c>
      <c r="L5118" t="n">
        <v>0</v>
      </c>
      <c r="M5118" t="n">
        <v>0</v>
      </c>
      <c r="N5118" t="n">
        <v>0</v>
      </c>
      <c r="O5118" t="n">
        <v>0</v>
      </c>
      <c r="P5118" t="n">
        <v>0</v>
      </c>
      <c r="Q5118" t="n">
        <v>0</v>
      </c>
      <c r="R5118" s="2" t="inlineStr"/>
    </row>
    <row r="5119" ht="15" customHeight="1">
      <c r="A5119" t="inlineStr">
        <is>
          <t>A 35937-2022</t>
        </is>
      </c>
      <c r="B5119" s="1" t="n">
        <v>44802</v>
      </c>
      <c r="C5119" s="1" t="n">
        <v>45587</v>
      </c>
      <c r="D5119" t="inlineStr">
        <is>
          <t>GÄVLEBORGS LÄN</t>
        </is>
      </c>
      <c r="E5119" t="inlineStr">
        <is>
          <t>HUDIKSVALL</t>
        </is>
      </c>
      <c r="F5119" t="inlineStr">
        <is>
          <t>Holmen skog AB</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35823-2022</t>
        </is>
      </c>
      <c r="B5120" s="1" t="n">
        <v>44802</v>
      </c>
      <c r="C5120" s="1" t="n">
        <v>45587</v>
      </c>
      <c r="D5120" t="inlineStr">
        <is>
          <t>GÄVLEBORGS LÄN</t>
        </is>
      </c>
      <c r="E5120" t="inlineStr">
        <is>
          <t>OVANÅKER</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35890-2022</t>
        </is>
      </c>
      <c r="B5121" s="1" t="n">
        <v>44802</v>
      </c>
      <c r="C5121" s="1" t="n">
        <v>45587</v>
      </c>
      <c r="D5121" t="inlineStr">
        <is>
          <t>GÄVLEBORGS LÄN</t>
        </is>
      </c>
      <c r="E5121" t="inlineStr">
        <is>
          <t>LJUSDAL</t>
        </is>
      </c>
      <c r="F5121" t="inlineStr">
        <is>
          <t>Bergvik skog väst AB</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35991-2022</t>
        </is>
      </c>
      <c r="B5122" s="1" t="n">
        <v>44802</v>
      </c>
      <c r="C5122" s="1" t="n">
        <v>45587</v>
      </c>
      <c r="D5122" t="inlineStr">
        <is>
          <t>GÄVLEBORGS LÄN</t>
        </is>
      </c>
      <c r="E5122" t="inlineStr">
        <is>
          <t>GÄVLE</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35941-2022</t>
        </is>
      </c>
      <c r="B5123" s="1" t="n">
        <v>44802</v>
      </c>
      <c r="C5123" s="1" t="n">
        <v>45587</v>
      </c>
      <c r="D5123" t="inlineStr">
        <is>
          <t>GÄVLEBORGS LÄN</t>
        </is>
      </c>
      <c r="E5123" t="inlineStr">
        <is>
          <t>BOLLNÄS</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36160-2022</t>
        </is>
      </c>
      <c r="B5124" s="1" t="n">
        <v>44803</v>
      </c>
      <c r="C5124" s="1" t="n">
        <v>45587</v>
      </c>
      <c r="D5124" t="inlineStr">
        <is>
          <t>GÄVLEBORGS LÄN</t>
        </is>
      </c>
      <c r="E5124" t="inlineStr">
        <is>
          <t>HUDIKSVALL</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36196-2022</t>
        </is>
      </c>
      <c r="B5125" s="1" t="n">
        <v>44803</v>
      </c>
      <c r="C5125" s="1" t="n">
        <v>45587</v>
      </c>
      <c r="D5125" t="inlineStr">
        <is>
          <t>GÄVLEBORGS LÄN</t>
        </is>
      </c>
      <c r="E5125" t="inlineStr">
        <is>
          <t>LJUSDAL</t>
        </is>
      </c>
      <c r="G5125" t="n">
        <v>37.7</v>
      </c>
      <c r="H5125" t="n">
        <v>0</v>
      </c>
      <c r="I5125" t="n">
        <v>0</v>
      </c>
      <c r="J5125" t="n">
        <v>0</v>
      </c>
      <c r="K5125" t="n">
        <v>0</v>
      </c>
      <c r="L5125" t="n">
        <v>0</v>
      </c>
      <c r="M5125" t="n">
        <v>0</v>
      </c>
      <c r="N5125" t="n">
        <v>0</v>
      </c>
      <c r="O5125" t="n">
        <v>0</v>
      </c>
      <c r="P5125" t="n">
        <v>0</v>
      </c>
      <c r="Q5125" t="n">
        <v>0</v>
      </c>
      <c r="R5125" s="2" t="inlineStr"/>
    </row>
    <row r="5126" ht="15" customHeight="1">
      <c r="A5126" t="inlineStr">
        <is>
          <t>A 36229-2022</t>
        </is>
      </c>
      <c r="B5126" s="1" t="n">
        <v>44803</v>
      </c>
      <c r="C5126" s="1" t="n">
        <v>45587</v>
      </c>
      <c r="D5126" t="inlineStr">
        <is>
          <t>GÄVLEBORGS LÄN</t>
        </is>
      </c>
      <c r="E5126" t="inlineStr">
        <is>
          <t>LJUSDAL</t>
        </is>
      </c>
      <c r="G5126" t="n">
        <v>8.1</v>
      </c>
      <c r="H5126" t="n">
        <v>0</v>
      </c>
      <c r="I5126" t="n">
        <v>0</v>
      </c>
      <c r="J5126" t="n">
        <v>0</v>
      </c>
      <c r="K5126" t="n">
        <v>0</v>
      </c>
      <c r="L5126" t="n">
        <v>0</v>
      </c>
      <c r="M5126" t="n">
        <v>0</v>
      </c>
      <c r="N5126" t="n">
        <v>0</v>
      </c>
      <c r="O5126" t="n">
        <v>0</v>
      </c>
      <c r="P5126" t="n">
        <v>0</v>
      </c>
      <c r="Q5126" t="n">
        <v>0</v>
      </c>
      <c r="R5126" s="2" t="inlineStr"/>
    </row>
    <row r="5127" ht="15" customHeight="1">
      <c r="A5127" t="inlineStr">
        <is>
          <t>A 36236-2022</t>
        </is>
      </c>
      <c r="B5127" s="1" t="n">
        <v>44803</v>
      </c>
      <c r="C5127" s="1" t="n">
        <v>45587</v>
      </c>
      <c r="D5127" t="inlineStr">
        <is>
          <t>GÄVLEBORGS LÄN</t>
        </is>
      </c>
      <c r="E5127" t="inlineStr">
        <is>
          <t>HUDIKSVALL</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36233-2022</t>
        </is>
      </c>
      <c r="B5128" s="1" t="n">
        <v>44803</v>
      </c>
      <c r="C5128" s="1" t="n">
        <v>45587</v>
      </c>
      <c r="D5128" t="inlineStr">
        <is>
          <t>GÄVLEBORGS LÄN</t>
        </is>
      </c>
      <c r="E5128" t="inlineStr">
        <is>
          <t>LJUSDAL</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36466-2022</t>
        </is>
      </c>
      <c r="B5129" s="1" t="n">
        <v>44804</v>
      </c>
      <c r="C5129" s="1" t="n">
        <v>45587</v>
      </c>
      <c r="D5129" t="inlineStr">
        <is>
          <t>GÄVLEBORGS LÄN</t>
        </is>
      </c>
      <c r="E5129" t="inlineStr">
        <is>
          <t>LJUSDAL</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36478-2022</t>
        </is>
      </c>
      <c r="B5130" s="1" t="n">
        <v>44804</v>
      </c>
      <c r="C5130" s="1" t="n">
        <v>45587</v>
      </c>
      <c r="D5130" t="inlineStr">
        <is>
          <t>GÄVLEBORGS LÄN</t>
        </is>
      </c>
      <c r="E5130" t="inlineStr">
        <is>
          <t>NORDANSTIG</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36576-2022</t>
        </is>
      </c>
      <c r="B5131" s="1" t="n">
        <v>44804</v>
      </c>
      <c r="C5131" s="1" t="n">
        <v>45587</v>
      </c>
      <c r="D5131" t="inlineStr">
        <is>
          <t>GÄVLEBORGS LÄN</t>
        </is>
      </c>
      <c r="E5131" t="inlineStr">
        <is>
          <t>OVANÅKER</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36638-2022</t>
        </is>
      </c>
      <c r="B5132" s="1" t="n">
        <v>44804</v>
      </c>
      <c r="C5132" s="1" t="n">
        <v>45587</v>
      </c>
      <c r="D5132" t="inlineStr">
        <is>
          <t>GÄVLEBORGS LÄN</t>
        </is>
      </c>
      <c r="E5132" t="inlineStr">
        <is>
          <t>GÄVLE</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36470-2022</t>
        </is>
      </c>
      <c r="B5133" s="1" t="n">
        <v>44804</v>
      </c>
      <c r="C5133" s="1" t="n">
        <v>45587</v>
      </c>
      <c r="D5133" t="inlineStr">
        <is>
          <t>GÄVLEBORGS LÄN</t>
        </is>
      </c>
      <c r="E5133" t="inlineStr">
        <is>
          <t>LJUSDAL</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36475-2022</t>
        </is>
      </c>
      <c r="B5134" s="1" t="n">
        <v>44804</v>
      </c>
      <c r="C5134" s="1" t="n">
        <v>45587</v>
      </c>
      <c r="D5134" t="inlineStr">
        <is>
          <t>GÄVLEBORGS LÄN</t>
        </is>
      </c>
      <c r="E5134" t="inlineStr">
        <is>
          <t>LJUSDAL</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36518-2022</t>
        </is>
      </c>
      <c r="B5135" s="1" t="n">
        <v>44804</v>
      </c>
      <c r="C5135" s="1" t="n">
        <v>45587</v>
      </c>
      <c r="D5135" t="inlineStr">
        <is>
          <t>GÄVLEBORGS LÄN</t>
        </is>
      </c>
      <c r="E5135" t="inlineStr">
        <is>
          <t>LJUSDAL</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36433-2022</t>
        </is>
      </c>
      <c r="B5136" s="1" t="n">
        <v>44804</v>
      </c>
      <c r="C5136" s="1" t="n">
        <v>45587</v>
      </c>
      <c r="D5136" t="inlineStr">
        <is>
          <t>GÄVLEBORGS LÄN</t>
        </is>
      </c>
      <c r="E5136" t="inlineStr">
        <is>
          <t>GÄVLE</t>
        </is>
      </c>
      <c r="F5136" t="inlineStr">
        <is>
          <t>Bergvik skog öst AB</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36456-2022</t>
        </is>
      </c>
      <c r="B5137" s="1" t="n">
        <v>44804</v>
      </c>
      <c r="C5137" s="1" t="n">
        <v>45587</v>
      </c>
      <c r="D5137" t="inlineStr">
        <is>
          <t>GÄVLEBORGS LÄN</t>
        </is>
      </c>
      <c r="E5137" t="inlineStr">
        <is>
          <t>LJUSDAL</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36516-2022</t>
        </is>
      </c>
      <c r="B5138" s="1" t="n">
        <v>44804</v>
      </c>
      <c r="C5138" s="1" t="n">
        <v>45587</v>
      </c>
      <c r="D5138" t="inlineStr">
        <is>
          <t>GÄVLEBORGS LÄN</t>
        </is>
      </c>
      <c r="E5138" t="inlineStr">
        <is>
          <t>HUDIKSVALL</t>
        </is>
      </c>
      <c r="F5138" t="inlineStr">
        <is>
          <t>Holmen skog AB</t>
        </is>
      </c>
      <c r="G5138" t="n">
        <v>4.7</v>
      </c>
      <c r="H5138" t="n">
        <v>0</v>
      </c>
      <c r="I5138" t="n">
        <v>0</v>
      </c>
      <c r="J5138" t="n">
        <v>0</v>
      </c>
      <c r="K5138" t="n">
        <v>0</v>
      </c>
      <c r="L5138" t="n">
        <v>0</v>
      </c>
      <c r="M5138" t="n">
        <v>0</v>
      </c>
      <c r="N5138" t="n">
        <v>0</v>
      </c>
      <c r="O5138" t="n">
        <v>0</v>
      </c>
      <c r="P5138" t="n">
        <v>0</v>
      </c>
      <c r="Q5138" t="n">
        <v>0</v>
      </c>
      <c r="R5138" s="2" t="inlineStr"/>
    </row>
    <row r="5139" ht="15" customHeight="1">
      <c r="A5139" t="inlineStr">
        <is>
          <t>A 36563-2022</t>
        </is>
      </c>
      <c r="B5139" s="1" t="n">
        <v>44804</v>
      </c>
      <c r="C5139" s="1" t="n">
        <v>45587</v>
      </c>
      <c r="D5139" t="inlineStr">
        <is>
          <t>GÄVLEBORGS LÄN</t>
        </is>
      </c>
      <c r="E5139" t="inlineStr">
        <is>
          <t>LJUSDAL</t>
        </is>
      </c>
      <c r="F5139" t="inlineStr">
        <is>
          <t>Holmen skog AB</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36521-2022</t>
        </is>
      </c>
      <c r="B5140" s="1" t="n">
        <v>44804</v>
      </c>
      <c r="C5140" s="1" t="n">
        <v>45587</v>
      </c>
      <c r="D5140" t="inlineStr">
        <is>
          <t>GÄVLEBORGS LÄN</t>
        </is>
      </c>
      <c r="E5140" t="inlineStr">
        <is>
          <t>OCKELBO</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36646-2022</t>
        </is>
      </c>
      <c r="B5141" s="1" t="n">
        <v>44804</v>
      </c>
      <c r="C5141" s="1" t="n">
        <v>45587</v>
      </c>
      <c r="D5141" t="inlineStr">
        <is>
          <t>GÄVLEBORGS LÄN</t>
        </is>
      </c>
      <c r="E5141" t="inlineStr">
        <is>
          <t>SANDVIKEN</t>
        </is>
      </c>
      <c r="G5141" t="n">
        <v>9.199999999999999</v>
      </c>
      <c r="H5141" t="n">
        <v>0</v>
      </c>
      <c r="I5141" t="n">
        <v>0</v>
      </c>
      <c r="J5141" t="n">
        <v>0</v>
      </c>
      <c r="K5141" t="n">
        <v>0</v>
      </c>
      <c r="L5141" t="n">
        <v>0</v>
      </c>
      <c r="M5141" t="n">
        <v>0</v>
      </c>
      <c r="N5141" t="n">
        <v>0</v>
      </c>
      <c r="O5141" t="n">
        <v>0</v>
      </c>
      <c r="P5141" t="n">
        <v>0</v>
      </c>
      <c r="Q5141" t="n">
        <v>0</v>
      </c>
      <c r="R5141" s="2" t="inlineStr"/>
    </row>
    <row r="5142" ht="15" customHeight="1">
      <c r="A5142" t="inlineStr">
        <is>
          <t>A 36655-2022</t>
        </is>
      </c>
      <c r="B5142" s="1" t="n">
        <v>44804</v>
      </c>
      <c r="C5142" s="1" t="n">
        <v>45587</v>
      </c>
      <c r="D5142" t="inlineStr">
        <is>
          <t>GÄVLEBORGS LÄN</t>
        </is>
      </c>
      <c r="E5142" t="inlineStr">
        <is>
          <t>NORDANSTIG</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36768-2022</t>
        </is>
      </c>
      <c r="B5143" s="1" t="n">
        <v>44805</v>
      </c>
      <c r="C5143" s="1" t="n">
        <v>45587</v>
      </c>
      <c r="D5143" t="inlineStr">
        <is>
          <t>GÄVLEBORGS LÄN</t>
        </is>
      </c>
      <c r="E5143" t="inlineStr">
        <is>
          <t>GÄVLE</t>
        </is>
      </c>
      <c r="F5143" t="inlineStr">
        <is>
          <t>Kyrkan</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36779-2022</t>
        </is>
      </c>
      <c r="B5144" s="1" t="n">
        <v>44805</v>
      </c>
      <c r="C5144" s="1" t="n">
        <v>45587</v>
      </c>
      <c r="D5144" t="inlineStr">
        <is>
          <t>GÄVLEBORGS LÄN</t>
        </is>
      </c>
      <c r="E5144" t="inlineStr">
        <is>
          <t>OCKELBO</t>
        </is>
      </c>
      <c r="G5144" t="n">
        <v>5.2</v>
      </c>
      <c r="H5144" t="n">
        <v>0</v>
      </c>
      <c r="I5144" t="n">
        <v>0</v>
      </c>
      <c r="J5144" t="n">
        <v>0</v>
      </c>
      <c r="K5144" t="n">
        <v>0</v>
      </c>
      <c r="L5144" t="n">
        <v>0</v>
      </c>
      <c r="M5144" t="n">
        <v>0</v>
      </c>
      <c r="N5144" t="n">
        <v>0</v>
      </c>
      <c r="O5144" t="n">
        <v>0</v>
      </c>
      <c r="P5144" t="n">
        <v>0</v>
      </c>
      <c r="Q5144" t="n">
        <v>0</v>
      </c>
      <c r="R5144" s="2" t="inlineStr"/>
    </row>
    <row r="5145" ht="15" customHeight="1">
      <c r="A5145" t="inlineStr">
        <is>
          <t>A 36718-2022</t>
        </is>
      </c>
      <c r="B5145" s="1" t="n">
        <v>44805</v>
      </c>
      <c r="C5145" s="1" t="n">
        <v>45587</v>
      </c>
      <c r="D5145" t="inlineStr">
        <is>
          <t>GÄVLEBORGS LÄN</t>
        </is>
      </c>
      <c r="E5145" t="inlineStr">
        <is>
          <t>OVANÅKER</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36851-2022</t>
        </is>
      </c>
      <c r="B5146" s="1" t="n">
        <v>44805</v>
      </c>
      <c r="C5146" s="1" t="n">
        <v>45587</v>
      </c>
      <c r="D5146" t="inlineStr">
        <is>
          <t>GÄVLEBORGS LÄN</t>
        </is>
      </c>
      <c r="E5146" t="inlineStr">
        <is>
          <t>OCKELBO</t>
        </is>
      </c>
      <c r="F5146" t="inlineStr">
        <is>
          <t>Bergvik skog väst AB</t>
        </is>
      </c>
      <c r="G5146" t="n">
        <v>5.4</v>
      </c>
      <c r="H5146" t="n">
        <v>0</v>
      </c>
      <c r="I5146" t="n">
        <v>0</v>
      </c>
      <c r="J5146" t="n">
        <v>0</v>
      </c>
      <c r="K5146" t="n">
        <v>0</v>
      </c>
      <c r="L5146" t="n">
        <v>0</v>
      </c>
      <c r="M5146" t="n">
        <v>0</v>
      </c>
      <c r="N5146" t="n">
        <v>0</v>
      </c>
      <c r="O5146" t="n">
        <v>0</v>
      </c>
      <c r="P5146" t="n">
        <v>0</v>
      </c>
      <c r="Q5146" t="n">
        <v>0</v>
      </c>
      <c r="R5146" s="2" t="inlineStr"/>
    </row>
    <row r="5147" ht="15" customHeight="1">
      <c r="A5147" t="inlineStr">
        <is>
          <t>A 36833-2022</t>
        </is>
      </c>
      <c r="B5147" s="1" t="n">
        <v>44805</v>
      </c>
      <c r="C5147" s="1" t="n">
        <v>45587</v>
      </c>
      <c r="D5147" t="inlineStr">
        <is>
          <t>GÄVLEBORGS LÄN</t>
        </is>
      </c>
      <c r="E5147" t="inlineStr">
        <is>
          <t>SANDVIKEN</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36895-2022</t>
        </is>
      </c>
      <c r="B5148" s="1" t="n">
        <v>44805</v>
      </c>
      <c r="C5148" s="1" t="n">
        <v>45587</v>
      </c>
      <c r="D5148" t="inlineStr">
        <is>
          <t>GÄVLEBORGS LÄN</t>
        </is>
      </c>
      <c r="E5148" t="inlineStr">
        <is>
          <t>GÄVLE</t>
        </is>
      </c>
      <c r="G5148" t="n">
        <v>6</v>
      </c>
      <c r="H5148" t="n">
        <v>0</v>
      </c>
      <c r="I5148" t="n">
        <v>0</v>
      </c>
      <c r="J5148" t="n">
        <v>0</v>
      </c>
      <c r="K5148" t="n">
        <v>0</v>
      </c>
      <c r="L5148" t="n">
        <v>0</v>
      </c>
      <c r="M5148" t="n">
        <v>0</v>
      </c>
      <c r="N5148" t="n">
        <v>0</v>
      </c>
      <c r="O5148" t="n">
        <v>0</v>
      </c>
      <c r="P5148" t="n">
        <v>0</v>
      </c>
      <c r="Q5148" t="n">
        <v>0</v>
      </c>
      <c r="R5148" s="2" t="inlineStr"/>
    </row>
    <row r="5149" ht="15" customHeight="1">
      <c r="A5149" t="inlineStr">
        <is>
          <t>A 36882-2022</t>
        </is>
      </c>
      <c r="B5149" s="1" t="n">
        <v>44805</v>
      </c>
      <c r="C5149" s="1" t="n">
        <v>45587</v>
      </c>
      <c r="D5149" t="inlineStr">
        <is>
          <t>GÄVLEBORGS LÄN</t>
        </is>
      </c>
      <c r="E5149" t="inlineStr">
        <is>
          <t>HOFORS</t>
        </is>
      </c>
      <c r="F5149" t="inlineStr">
        <is>
          <t>Sveaskog</t>
        </is>
      </c>
      <c r="G5149" t="n">
        <v>7.3</v>
      </c>
      <c r="H5149" t="n">
        <v>0</v>
      </c>
      <c r="I5149" t="n">
        <v>0</v>
      </c>
      <c r="J5149" t="n">
        <v>0</v>
      </c>
      <c r="K5149" t="n">
        <v>0</v>
      </c>
      <c r="L5149" t="n">
        <v>0</v>
      </c>
      <c r="M5149" t="n">
        <v>0</v>
      </c>
      <c r="N5149" t="n">
        <v>0</v>
      </c>
      <c r="O5149" t="n">
        <v>0</v>
      </c>
      <c r="P5149" t="n">
        <v>0</v>
      </c>
      <c r="Q5149" t="n">
        <v>0</v>
      </c>
      <c r="R5149" s="2" t="inlineStr"/>
    </row>
    <row r="5150" ht="15" customHeight="1">
      <c r="A5150" t="inlineStr">
        <is>
          <t>A 36912-2022</t>
        </is>
      </c>
      <c r="B5150" s="1" t="n">
        <v>44805</v>
      </c>
      <c r="C5150" s="1" t="n">
        <v>45587</v>
      </c>
      <c r="D5150" t="inlineStr">
        <is>
          <t>GÄVLEBORGS LÄN</t>
        </is>
      </c>
      <c r="E5150" t="inlineStr">
        <is>
          <t>HUDIKSVALL</t>
        </is>
      </c>
      <c r="F5150" t="inlineStr">
        <is>
          <t>Holmen skog AB</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36920-2022</t>
        </is>
      </c>
      <c r="B5151" s="1" t="n">
        <v>44805</v>
      </c>
      <c r="C5151" s="1" t="n">
        <v>45587</v>
      </c>
      <c r="D5151" t="inlineStr">
        <is>
          <t>GÄVLEBORGS LÄN</t>
        </is>
      </c>
      <c r="E5151" t="inlineStr">
        <is>
          <t>SÖDERHAMN</t>
        </is>
      </c>
      <c r="G5151" t="n">
        <v>5.3</v>
      </c>
      <c r="H5151" t="n">
        <v>0</v>
      </c>
      <c r="I5151" t="n">
        <v>0</v>
      </c>
      <c r="J5151" t="n">
        <v>0</v>
      </c>
      <c r="K5151" t="n">
        <v>0</v>
      </c>
      <c r="L5151" t="n">
        <v>0</v>
      </c>
      <c r="M5151" t="n">
        <v>0</v>
      </c>
      <c r="N5151" t="n">
        <v>0</v>
      </c>
      <c r="O5151" t="n">
        <v>0</v>
      </c>
      <c r="P5151" t="n">
        <v>0</v>
      </c>
      <c r="Q5151" t="n">
        <v>0</v>
      </c>
      <c r="R5151" s="2" t="inlineStr"/>
    </row>
    <row r="5152" ht="15" customHeight="1">
      <c r="A5152" t="inlineStr">
        <is>
          <t>A 36877-2022</t>
        </is>
      </c>
      <c r="B5152" s="1" t="n">
        <v>44805</v>
      </c>
      <c r="C5152" s="1" t="n">
        <v>45587</v>
      </c>
      <c r="D5152" t="inlineStr">
        <is>
          <t>GÄVLEBORGS LÄN</t>
        </is>
      </c>
      <c r="E5152" t="inlineStr">
        <is>
          <t>BOLLNÄS</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36979-2022</t>
        </is>
      </c>
      <c r="B5153" s="1" t="n">
        <v>44806</v>
      </c>
      <c r="C5153" s="1" t="n">
        <v>45587</v>
      </c>
      <c r="D5153" t="inlineStr">
        <is>
          <t>GÄVLEBORGS LÄN</t>
        </is>
      </c>
      <c r="E5153" t="inlineStr">
        <is>
          <t>HUDIKSVALL</t>
        </is>
      </c>
      <c r="F5153" t="inlineStr">
        <is>
          <t>Holmen skog AB</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37005-2022</t>
        </is>
      </c>
      <c r="B5154" s="1" t="n">
        <v>44806</v>
      </c>
      <c r="C5154" s="1" t="n">
        <v>45587</v>
      </c>
      <c r="D5154" t="inlineStr">
        <is>
          <t>GÄVLEBORGS LÄN</t>
        </is>
      </c>
      <c r="E5154" t="inlineStr">
        <is>
          <t>NORDANSTIG</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37020-2022</t>
        </is>
      </c>
      <c r="B5155" s="1" t="n">
        <v>44806</v>
      </c>
      <c r="C5155" s="1" t="n">
        <v>45587</v>
      </c>
      <c r="D5155" t="inlineStr">
        <is>
          <t>GÄVLEBORGS LÄN</t>
        </is>
      </c>
      <c r="E5155" t="inlineStr">
        <is>
          <t>NORDANSTIG</t>
        </is>
      </c>
      <c r="F5155" t="inlineStr">
        <is>
          <t>Holmen skog AB</t>
        </is>
      </c>
      <c r="G5155" t="n">
        <v>4.2</v>
      </c>
      <c r="H5155" t="n">
        <v>0</v>
      </c>
      <c r="I5155" t="n">
        <v>0</v>
      </c>
      <c r="J5155" t="n">
        <v>0</v>
      </c>
      <c r="K5155" t="n">
        <v>0</v>
      </c>
      <c r="L5155" t="n">
        <v>0</v>
      </c>
      <c r="M5155" t="n">
        <v>0</v>
      </c>
      <c r="N5155" t="n">
        <v>0</v>
      </c>
      <c r="O5155" t="n">
        <v>0</v>
      </c>
      <c r="P5155" t="n">
        <v>0</v>
      </c>
      <c r="Q5155" t="n">
        <v>0</v>
      </c>
      <c r="R5155" s="2" t="inlineStr"/>
    </row>
    <row r="5156" ht="15" customHeight="1">
      <c r="A5156" t="inlineStr">
        <is>
          <t>A 36974-2022</t>
        </is>
      </c>
      <c r="B5156" s="1" t="n">
        <v>44806</v>
      </c>
      <c r="C5156" s="1" t="n">
        <v>45587</v>
      </c>
      <c r="D5156" t="inlineStr">
        <is>
          <t>GÄVLEBORGS LÄN</t>
        </is>
      </c>
      <c r="E5156" t="inlineStr">
        <is>
          <t>NORDANSTIG</t>
        </is>
      </c>
      <c r="F5156" t="inlineStr">
        <is>
          <t>Holmen skog AB</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36981-2022</t>
        </is>
      </c>
      <c r="B5157" s="1" t="n">
        <v>44806</v>
      </c>
      <c r="C5157" s="1" t="n">
        <v>45587</v>
      </c>
      <c r="D5157" t="inlineStr">
        <is>
          <t>GÄVLEBORGS LÄN</t>
        </is>
      </c>
      <c r="E5157" t="inlineStr">
        <is>
          <t>BOLLNÄS</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37134-2022</t>
        </is>
      </c>
      <c r="B5158" s="1" t="n">
        <v>44806</v>
      </c>
      <c r="C5158" s="1" t="n">
        <v>45587</v>
      </c>
      <c r="D5158" t="inlineStr">
        <is>
          <t>GÄVLEBORGS LÄN</t>
        </is>
      </c>
      <c r="E5158" t="inlineStr">
        <is>
          <t>NORDANSTIG</t>
        </is>
      </c>
      <c r="F5158" t="inlineStr">
        <is>
          <t>Holmen skog AB</t>
        </is>
      </c>
      <c r="G5158" t="n">
        <v>7.6</v>
      </c>
      <c r="H5158" t="n">
        <v>0</v>
      </c>
      <c r="I5158" t="n">
        <v>0</v>
      </c>
      <c r="J5158" t="n">
        <v>0</v>
      </c>
      <c r="K5158" t="n">
        <v>0</v>
      </c>
      <c r="L5158" t="n">
        <v>0</v>
      </c>
      <c r="M5158" t="n">
        <v>0</v>
      </c>
      <c r="N5158" t="n">
        <v>0</v>
      </c>
      <c r="O5158" t="n">
        <v>0</v>
      </c>
      <c r="P5158" t="n">
        <v>0</v>
      </c>
      <c r="Q5158" t="n">
        <v>0</v>
      </c>
      <c r="R5158" s="2" t="inlineStr"/>
    </row>
    <row r="5159" ht="15" customHeight="1">
      <c r="A5159" t="inlineStr">
        <is>
          <t>A 37060-2022</t>
        </is>
      </c>
      <c r="B5159" s="1" t="n">
        <v>44806</v>
      </c>
      <c r="C5159" s="1" t="n">
        <v>45587</v>
      </c>
      <c r="D5159" t="inlineStr">
        <is>
          <t>GÄVLEBORGS LÄN</t>
        </is>
      </c>
      <c r="E5159" t="inlineStr">
        <is>
          <t>BOLLNÄS</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37071-2022</t>
        </is>
      </c>
      <c r="B5160" s="1" t="n">
        <v>44806</v>
      </c>
      <c r="C5160" s="1" t="n">
        <v>45587</v>
      </c>
      <c r="D5160" t="inlineStr">
        <is>
          <t>GÄVLEBORGS LÄN</t>
        </is>
      </c>
      <c r="E5160" t="inlineStr">
        <is>
          <t>BOLLNÄS</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37317-2022</t>
        </is>
      </c>
      <c r="B5161" s="1" t="n">
        <v>44806</v>
      </c>
      <c r="C5161" s="1" t="n">
        <v>45587</v>
      </c>
      <c r="D5161" t="inlineStr">
        <is>
          <t>GÄVLEBORGS LÄN</t>
        </is>
      </c>
      <c r="E5161" t="inlineStr">
        <is>
          <t>BOLLNÄS</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37303-2022</t>
        </is>
      </c>
      <c r="B5162" s="1" t="n">
        <v>44809</v>
      </c>
      <c r="C5162" s="1" t="n">
        <v>45587</v>
      </c>
      <c r="D5162" t="inlineStr">
        <is>
          <t>GÄVLEBORGS LÄN</t>
        </is>
      </c>
      <c r="E5162" t="inlineStr">
        <is>
          <t>LJUSDAL</t>
        </is>
      </c>
      <c r="G5162" t="n">
        <v>8.6</v>
      </c>
      <c r="H5162" t="n">
        <v>0</v>
      </c>
      <c r="I5162" t="n">
        <v>0</v>
      </c>
      <c r="J5162" t="n">
        <v>0</v>
      </c>
      <c r="K5162" t="n">
        <v>0</v>
      </c>
      <c r="L5162" t="n">
        <v>0</v>
      </c>
      <c r="M5162" t="n">
        <v>0</v>
      </c>
      <c r="N5162" t="n">
        <v>0</v>
      </c>
      <c r="O5162" t="n">
        <v>0</v>
      </c>
      <c r="P5162" t="n">
        <v>0</v>
      </c>
      <c r="Q5162" t="n">
        <v>0</v>
      </c>
      <c r="R5162" s="2" t="inlineStr"/>
    </row>
    <row r="5163" ht="15" customHeight="1">
      <c r="A5163" t="inlineStr">
        <is>
          <t>A 37295-2022</t>
        </is>
      </c>
      <c r="B5163" s="1" t="n">
        <v>44808</v>
      </c>
      <c r="C5163" s="1" t="n">
        <v>45587</v>
      </c>
      <c r="D5163" t="inlineStr">
        <is>
          <t>GÄVLEBORGS LÄN</t>
        </is>
      </c>
      <c r="E5163" t="inlineStr">
        <is>
          <t>NORDANSTIG</t>
        </is>
      </c>
      <c r="G5163" t="n">
        <v>0</v>
      </c>
      <c r="H5163" t="n">
        <v>0</v>
      </c>
      <c r="I5163" t="n">
        <v>0</v>
      </c>
      <c r="J5163" t="n">
        <v>0</v>
      </c>
      <c r="K5163" t="n">
        <v>0</v>
      </c>
      <c r="L5163" t="n">
        <v>0</v>
      </c>
      <c r="M5163" t="n">
        <v>0</v>
      </c>
      <c r="N5163" t="n">
        <v>0</v>
      </c>
      <c r="O5163" t="n">
        <v>0</v>
      </c>
      <c r="P5163" t="n">
        <v>0</v>
      </c>
      <c r="Q5163" t="n">
        <v>0</v>
      </c>
      <c r="R5163" s="2" t="inlineStr"/>
    </row>
    <row r="5164" ht="15" customHeight="1">
      <c r="A5164" t="inlineStr">
        <is>
          <t>A 37343-2022</t>
        </is>
      </c>
      <c r="B5164" s="1" t="n">
        <v>44809</v>
      </c>
      <c r="C5164" s="1" t="n">
        <v>45587</v>
      </c>
      <c r="D5164" t="inlineStr">
        <is>
          <t>GÄVLEBORGS LÄN</t>
        </is>
      </c>
      <c r="E5164" t="inlineStr">
        <is>
          <t>LJUSDAL</t>
        </is>
      </c>
      <c r="F5164" t="inlineStr">
        <is>
          <t>Sveaskog</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37345-2022</t>
        </is>
      </c>
      <c r="B5165" s="1" t="n">
        <v>44809</v>
      </c>
      <c r="C5165" s="1" t="n">
        <v>45587</v>
      </c>
      <c r="D5165" t="inlineStr">
        <is>
          <t>GÄVLEBORGS LÄN</t>
        </is>
      </c>
      <c r="E5165" t="inlineStr">
        <is>
          <t>LJUSDAL</t>
        </is>
      </c>
      <c r="F5165" t="inlineStr">
        <is>
          <t>Sveaskog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37402-2022</t>
        </is>
      </c>
      <c r="B5166" s="1" t="n">
        <v>44809</v>
      </c>
      <c r="C5166" s="1" t="n">
        <v>45587</v>
      </c>
      <c r="D5166" t="inlineStr">
        <is>
          <t>GÄVLEBORGS LÄN</t>
        </is>
      </c>
      <c r="E5166" t="inlineStr">
        <is>
          <t>HUDIKSVALL</t>
        </is>
      </c>
      <c r="G5166" t="n">
        <v>7.8</v>
      </c>
      <c r="H5166" t="n">
        <v>0</v>
      </c>
      <c r="I5166" t="n">
        <v>0</v>
      </c>
      <c r="J5166" t="n">
        <v>0</v>
      </c>
      <c r="K5166" t="n">
        <v>0</v>
      </c>
      <c r="L5166" t="n">
        <v>0</v>
      </c>
      <c r="M5166" t="n">
        <v>0</v>
      </c>
      <c r="N5166" t="n">
        <v>0</v>
      </c>
      <c r="O5166" t="n">
        <v>0</v>
      </c>
      <c r="P5166" t="n">
        <v>0</v>
      </c>
      <c r="Q5166" t="n">
        <v>0</v>
      </c>
      <c r="R5166" s="2" t="inlineStr"/>
    </row>
    <row r="5167" ht="15" customHeight="1">
      <c r="A5167" t="inlineStr">
        <is>
          <t>A 37638-2022</t>
        </is>
      </c>
      <c r="B5167" s="1" t="n">
        <v>44810</v>
      </c>
      <c r="C5167" s="1" t="n">
        <v>45587</v>
      </c>
      <c r="D5167" t="inlineStr">
        <is>
          <t>GÄVLEBORGS LÄN</t>
        </is>
      </c>
      <c r="E5167" t="inlineStr">
        <is>
          <t>HUDIKSVALL</t>
        </is>
      </c>
      <c r="F5167" t="inlineStr">
        <is>
          <t>Holmen skog AB</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37680-2022</t>
        </is>
      </c>
      <c r="B5168" s="1" t="n">
        <v>44810</v>
      </c>
      <c r="C5168" s="1" t="n">
        <v>45587</v>
      </c>
      <c r="D5168" t="inlineStr">
        <is>
          <t>GÄVLEBORGS LÄN</t>
        </is>
      </c>
      <c r="E5168" t="inlineStr">
        <is>
          <t>HOFORS</t>
        </is>
      </c>
      <c r="G5168" t="n">
        <v>6.6</v>
      </c>
      <c r="H5168" t="n">
        <v>0</v>
      </c>
      <c r="I5168" t="n">
        <v>0</v>
      </c>
      <c r="J5168" t="n">
        <v>0</v>
      </c>
      <c r="K5168" t="n">
        <v>0</v>
      </c>
      <c r="L5168" t="n">
        <v>0</v>
      </c>
      <c r="M5168" t="n">
        <v>0</v>
      </c>
      <c r="N5168" t="n">
        <v>0</v>
      </c>
      <c r="O5168" t="n">
        <v>0</v>
      </c>
      <c r="P5168" t="n">
        <v>0</v>
      </c>
      <c r="Q5168" t="n">
        <v>0</v>
      </c>
      <c r="R5168" s="2" t="inlineStr"/>
    </row>
    <row r="5169" ht="15" customHeight="1">
      <c r="A5169" t="inlineStr">
        <is>
          <t>A 37743-2022</t>
        </is>
      </c>
      <c r="B5169" s="1" t="n">
        <v>44810</v>
      </c>
      <c r="C5169" s="1" t="n">
        <v>45587</v>
      </c>
      <c r="D5169" t="inlineStr">
        <is>
          <t>GÄVLEBORGS LÄN</t>
        </is>
      </c>
      <c r="E5169" t="inlineStr">
        <is>
          <t>HOFORS</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37640-2022</t>
        </is>
      </c>
      <c r="B5170" s="1" t="n">
        <v>44810</v>
      </c>
      <c r="C5170" s="1" t="n">
        <v>45587</v>
      </c>
      <c r="D5170" t="inlineStr">
        <is>
          <t>GÄVLEBORGS LÄN</t>
        </is>
      </c>
      <c r="E5170" t="inlineStr">
        <is>
          <t>SÖDERHAMN</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37681-2022</t>
        </is>
      </c>
      <c r="B5171" s="1" t="n">
        <v>44810</v>
      </c>
      <c r="C5171" s="1" t="n">
        <v>45587</v>
      </c>
      <c r="D5171" t="inlineStr">
        <is>
          <t>GÄVLEBORGS LÄN</t>
        </is>
      </c>
      <c r="E5171" t="inlineStr">
        <is>
          <t>HUDIKSVALL</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37632-2022</t>
        </is>
      </c>
      <c r="B5172" s="1" t="n">
        <v>44810</v>
      </c>
      <c r="C5172" s="1" t="n">
        <v>45587</v>
      </c>
      <c r="D5172" t="inlineStr">
        <is>
          <t>GÄVLEBORGS LÄN</t>
        </is>
      </c>
      <c r="E5172" t="inlineStr">
        <is>
          <t>BOLLNÄS</t>
        </is>
      </c>
      <c r="G5172" t="n">
        <v>4.7</v>
      </c>
      <c r="H5172" t="n">
        <v>0</v>
      </c>
      <c r="I5172" t="n">
        <v>0</v>
      </c>
      <c r="J5172" t="n">
        <v>0</v>
      </c>
      <c r="K5172" t="n">
        <v>0</v>
      </c>
      <c r="L5172" t="n">
        <v>0</v>
      </c>
      <c r="M5172" t="n">
        <v>0</v>
      </c>
      <c r="N5172" t="n">
        <v>0</v>
      </c>
      <c r="O5172" t="n">
        <v>0</v>
      </c>
      <c r="P5172" t="n">
        <v>0</v>
      </c>
      <c r="Q5172" t="n">
        <v>0</v>
      </c>
      <c r="R5172" s="2" t="inlineStr"/>
    </row>
    <row r="5173" ht="15" customHeight="1">
      <c r="A5173" t="inlineStr">
        <is>
          <t>A 37697-2022</t>
        </is>
      </c>
      <c r="B5173" s="1" t="n">
        <v>44810</v>
      </c>
      <c r="C5173" s="1" t="n">
        <v>45587</v>
      </c>
      <c r="D5173" t="inlineStr">
        <is>
          <t>GÄVLEBORGS LÄN</t>
        </is>
      </c>
      <c r="E5173" t="inlineStr">
        <is>
          <t>SANDVIKEN</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37767-2022</t>
        </is>
      </c>
      <c r="B5174" s="1" t="n">
        <v>44810</v>
      </c>
      <c r="C5174" s="1" t="n">
        <v>45587</v>
      </c>
      <c r="D5174" t="inlineStr">
        <is>
          <t>GÄVLEBORGS LÄN</t>
        </is>
      </c>
      <c r="E5174" t="inlineStr">
        <is>
          <t>HOFORS</t>
        </is>
      </c>
      <c r="F5174" t="inlineStr">
        <is>
          <t>Sveaskog</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37775-2022</t>
        </is>
      </c>
      <c r="B5175" s="1" t="n">
        <v>44810</v>
      </c>
      <c r="C5175" s="1" t="n">
        <v>45587</v>
      </c>
      <c r="D5175" t="inlineStr">
        <is>
          <t>GÄVLEBORGS LÄN</t>
        </is>
      </c>
      <c r="E5175" t="inlineStr">
        <is>
          <t>GÄVLE</t>
        </is>
      </c>
      <c r="F5175" t="inlineStr">
        <is>
          <t>Bergvik skog väst AB</t>
        </is>
      </c>
      <c r="G5175" t="n">
        <v>8.1</v>
      </c>
      <c r="H5175" t="n">
        <v>0</v>
      </c>
      <c r="I5175" t="n">
        <v>0</v>
      </c>
      <c r="J5175" t="n">
        <v>0</v>
      </c>
      <c r="K5175" t="n">
        <v>0</v>
      </c>
      <c r="L5175" t="n">
        <v>0</v>
      </c>
      <c r="M5175" t="n">
        <v>0</v>
      </c>
      <c r="N5175" t="n">
        <v>0</v>
      </c>
      <c r="O5175" t="n">
        <v>0</v>
      </c>
      <c r="P5175" t="n">
        <v>0</v>
      </c>
      <c r="Q5175" t="n">
        <v>0</v>
      </c>
      <c r="R5175" s="2" t="inlineStr"/>
    </row>
    <row r="5176" ht="15" customHeight="1">
      <c r="A5176" t="inlineStr">
        <is>
          <t>A 37795-2022</t>
        </is>
      </c>
      <c r="B5176" s="1" t="n">
        <v>44810</v>
      </c>
      <c r="C5176" s="1" t="n">
        <v>45587</v>
      </c>
      <c r="D5176" t="inlineStr">
        <is>
          <t>GÄVLEBORGS LÄN</t>
        </is>
      </c>
      <c r="E5176" t="inlineStr">
        <is>
          <t>GÄVLE</t>
        </is>
      </c>
      <c r="F5176" t="inlineStr">
        <is>
          <t>Bergvik skog väst AB</t>
        </is>
      </c>
      <c r="G5176" t="n">
        <v>8.199999999999999</v>
      </c>
      <c r="H5176" t="n">
        <v>0</v>
      </c>
      <c r="I5176" t="n">
        <v>0</v>
      </c>
      <c r="J5176" t="n">
        <v>0</v>
      </c>
      <c r="K5176" t="n">
        <v>0</v>
      </c>
      <c r="L5176" t="n">
        <v>0</v>
      </c>
      <c r="M5176" t="n">
        <v>0</v>
      </c>
      <c r="N5176" t="n">
        <v>0</v>
      </c>
      <c r="O5176" t="n">
        <v>0</v>
      </c>
      <c r="P5176" t="n">
        <v>0</v>
      </c>
      <c r="Q5176" t="n">
        <v>0</v>
      </c>
      <c r="R5176" s="2" t="inlineStr"/>
    </row>
    <row r="5177" ht="15" customHeight="1">
      <c r="A5177" t="inlineStr">
        <is>
          <t>A 37801-2022</t>
        </is>
      </c>
      <c r="B5177" s="1" t="n">
        <v>44810</v>
      </c>
      <c r="C5177" s="1" t="n">
        <v>45587</v>
      </c>
      <c r="D5177" t="inlineStr">
        <is>
          <t>GÄVLEBORGS LÄN</t>
        </is>
      </c>
      <c r="E5177" t="inlineStr">
        <is>
          <t>GÄVLE</t>
        </is>
      </c>
      <c r="F5177" t="inlineStr">
        <is>
          <t>Bergvik skog väst AB</t>
        </is>
      </c>
      <c r="G5177" t="n">
        <v>25.5</v>
      </c>
      <c r="H5177" t="n">
        <v>0</v>
      </c>
      <c r="I5177" t="n">
        <v>0</v>
      </c>
      <c r="J5177" t="n">
        <v>0</v>
      </c>
      <c r="K5177" t="n">
        <v>0</v>
      </c>
      <c r="L5177" t="n">
        <v>0</v>
      </c>
      <c r="M5177" t="n">
        <v>0</v>
      </c>
      <c r="N5177" t="n">
        <v>0</v>
      </c>
      <c r="O5177" t="n">
        <v>0</v>
      </c>
      <c r="P5177" t="n">
        <v>0</v>
      </c>
      <c r="Q5177" t="n">
        <v>0</v>
      </c>
      <c r="R5177" s="2" t="inlineStr"/>
    </row>
    <row r="5178" ht="15" customHeight="1">
      <c r="A5178" t="inlineStr">
        <is>
          <t>A 37792-2022</t>
        </is>
      </c>
      <c r="B5178" s="1" t="n">
        <v>44810</v>
      </c>
      <c r="C5178" s="1" t="n">
        <v>45587</v>
      </c>
      <c r="D5178" t="inlineStr">
        <is>
          <t>GÄVLEBORGS LÄN</t>
        </is>
      </c>
      <c r="E5178" t="inlineStr">
        <is>
          <t>LJUSDAL</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37744-2022</t>
        </is>
      </c>
      <c r="B5179" s="1" t="n">
        <v>44810</v>
      </c>
      <c r="C5179" s="1" t="n">
        <v>45587</v>
      </c>
      <c r="D5179" t="inlineStr">
        <is>
          <t>GÄVLEBORGS LÄN</t>
        </is>
      </c>
      <c r="E5179" t="inlineStr">
        <is>
          <t>HOFORS</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37925-2022</t>
        </is>
      </c>
      <c r="B5180" s="1" t="n">
        <v>44811</v>
      </c>
      <c r="C5180" s="1" t="n">
        <v>45587</v>
      </c>
      <c r="D5180" t="inlineStr">
        <is>
          <t>GÄVLEBORGS LÄN</t>
        </is>
      </c>
      <c r="E5180" t="inlineStr">
        <is>
          <t>OVANÅKER</t>
        </is>
      </c>
      <c r="F5180" t="inlineStr">
        <is>
          <t>Bergvik skog väst AB</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37931-2022</t>
        </is>
      </c>
      <c r="B5181" s="1" t="n">
        <v>44811</v>
      </c>
      <c r="C5181" s="1" t="n">
        <v>45587</v>
      </c>
      <c r="D5181" t="inlineStr">
        <is>
          <t>GÄVLEBORGS LÄN</t>
        </is>
      </c>
      <c r="E5181" t="inlineStr">
        <is>
          <t>HUDIKSVALL</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37965-2022</t>
        </is>
      </c>
      <c r="B5182" s="1" t="n">
        <v>44811</v>
      </c>
      <c r="C5182" s="1" t="n">
        <v>45587</v>
      </c>
      <c r="D5182" t="inlineStr">
        <is>
          <t>GÄVLEBORGS LÄN</t>
        </is>
      </c>
      <c r="E5182" t="inlineStr">
        <is>
          <t>NORDANSTIG</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37972-2022</t>
        </is>
      </c>
      <c r="B5183" s="1" t="n">
        <v>44811</v>
      </c>
      <c r="C5183" s="1" t="n">
        <v>45587</v>
      </c>
      <c r="D5183" t="inlineStr">
        <is>
          <t>GÄVLEBORGS LÄN</t>
        </is>
      </c>
      <c r="E5183" t="inlineStr">
        <is>
          <t>NORDANSTIG</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37986-2022</t>
        </is>
      </c>
      <c r="B5184" s="1" t="n">
        <v>44811</v>
      </c>
      <c r="C5184" s="1" t="n">
        <v>45587</v>
      </c>
      <c r="D5184" t="inlineStr">
        <is>
          <t>GÄVLEBORGS LÄN</t>
        </is>
      </c>
      <c r="E5184" t="inlineStr">
        <is>
          <t>NORDANSTIG</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37995-2022</t>
        </is>
      </c>
      <c r="B5185" s="1" t="n">
        <v>44811</v>
      </c>
      <c r="C5185" s="1" t="n">
        <v>45587</v>
      </c>
      <c r="D5185" t="inlineStr">
        <is>
          <t>GÄVLEBORGS LÄN</t>
        </is>
      </c>
      <c r="E5185" t="inlineStr">
        <is>
          <t>LJUSDAL</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38185-2022</t>
        </is>
      </c>
      <c r="B5186" s="1" t="n">
        <v>44812</v>
      </c>
      <c r="C5186" s="1" t="n">
        <v>45587</v>
      </c>
      <c r="D5186" t="inlineStr">
        <is>
          <t>GÄVLEBORGS LÄN</t>
        </is>
      </c>
      <c r="E5186" t="inlineStr">
        <is>
          <t>HUDIKSVALL</t>
        </is>
      </c>
      <c r="F5186" t="inlineStr">
        <is>
          <t>Holmen skog AB</t>
        </is>
      </c>
      <c r="G5186" t="n">
        <v>8.5</v>
      </c>
      <c r="H5186" t="n">
        <v>0</v>
      </c>
      <c r="I5186" t="n">
        <v>0</v>
      </c>
      <c r="J5186" t="n">
        <v>0</v>
      </c>
      <c r="K5186" t="n">
        <v>0</v>
      </c>
      <c r="L5186" t="n">
        <v>0</v>
      </c>
      <c r="M5186" t="n">
        <v>0</v>
      </c>
      <c r="N5186" t="n">
        <v>0</v>
      </c>
      <c r="O5186" t="n">
        <v>0</v>
      </c>
      <c r="P5186" t="n">
        <v>0</v>
      </c>
      <c r="Q5186" t="n">
        <v>0</v>
      </c>
      <c r="R5186" s="2" t="inlineStr"/>
    </row>
    <row r="5187" ht="15" customHeight="1">
      <c r="A5187" t="inlineStr">
        <is>
          <t>A 38175-2022</t>
        </is>
      </c>
      <c r="B5187" s="1" t="n">
        <v>44812</v>
      </c>
      <c r="C5187" s="1" t="n">
        <v>45587</v>
      </c>
      <c r="D5187" t="inlineStr">
        <is>
          <t>GÄVLEBORGS LÄN</t>
        </is>
      </c>
      <c r="E5187" t="inlineStr">
        <is>
          <t>SANDVIKEN</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38251-2022</t>
        </is>
      </c>
      <c r="B5188" s="1" t="n">
        <v>44812</v>
      </c>
      <c r="C5188" s="1" t="n">
        <v>45587</v>
      </c>
      <c r="D5188" t="inlineStr">
        <is>
          <t>GÄVLEBORGS LÄN</t>
        </is>
      </c>
      <c r="E5188" t="inlineStr">
        <is>
          <t>HOFORS</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38296-2022</t>
        </is>
      </c>
      <c r="B5189" s="1" t="n">
        <v>44812</v>
      </c>
      <c r="C5189" s="1" t="n">
        <v>45587</v>
      </c>
      <c r="D5189" t="inlineStr">
        <is>
          <t>GÄVLEBORGS LÄN</t>
        </is>
      </c>
      <c r="E5189" t="inlineStr">
        <is>
          <t>HUDIKSVALL</t>
        </is>
      </c>
      <c r="F5189" t="inlineStr">
        <is>
          <t>Holmen skog AB</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38315-2022</t>
        </is>
      </c>
      <c r="B5190" s="1" t="n">
        <v>44812</v>
      </c>
      <c r="C5190" s="1" t="n">
        <v>45587</v>
      </c>
      <c r="D5190" t="inlineStr">
        <is>
          <t>GÄVLEBORGS LÄN</t>
        </is>
      </c>
      <c r="E5190" t="inlineStr">
        <is>
          <t>OCKELBO</t>
        </is>
      </c>
      <c r="F5190" t="inlineStr">
        <is>
          <t>Bergvik skog väst AB</t>
        </is>
      </c>
      <c r="G5190" t="n">
        <v>7.9</v>
      </c>
      <c r="H5190" t="n">
        <v>0</v>
      </c>
      <c r="I5190" t="n">
        <v>0</v>
      </c>
      <c r="J5190" t="n">
        <v>0</v>
      </c>
      <c r="K5190" t="n">
        <v>0</v>
      </c>
      <c r="L5190" t="n">
        <v>0</v>
      </c>
      <c r="M5190" t="n">
        <v>0</v>
      </c>
      <c r="N5190" t="n">
        <v>0</v>
      </c>
      <c r="O5190" t="n">
        <v>0</v>
      </c>
      <c r="P5190" t="n">
        <v>0</v>
      </c>
      <c r="Q5190" t="n">
        <v>0</v>
      </c>
      <c r="R5190" s="2" t="inlineStr"/>
    </row>
    <row r="5191" ht="15" customHeight="1">
      <c r="A5191" t="inlineStr">
        <is>
          <t>A 38355-2022</t>
        </is>
      </c>
      <c r="B5191" s="1" t="n">
        <v>44812</v>
      </c>
      <c r="C5191" s="1" t="n">
        <v>45587</v>
      </c>
      <c r="D5191" t="inlineStr">
        <is>
          <t>GÄVLEBORGS LÄN</t>
        </is>
      </c>
      <c r="E5191" t="inlineStr">
        <is>
          <t>SÖDERHAMN</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38332-2022</t>
        </is>
      </c>
      <c r="B5192" s="1" t="n">
        <v>44812</v>
      </c>
      <c r="C5192" s="1" t="n">
        <v>45587</v>
      </c>
      <c r="D5192" t="inlineStr">
        <is>
          <t>GÄVLEBORGS LÄN</t>
        </is>
      </c>
      <c r="E5192" t="inlineStr">
        <is>
          <t>LJUSDAL</t>
        </is>
      </c>
      <c r="F5192" t="inlineStr">
        <is>
          <t>Allmännings- och besparingsskogar</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38345-2022</t>
        </is>
      </c>
      <c r="B5193" s="1" t="n">
        <v>44812</v>
      </c>
      <c r="C5193" s="1" t="n">
        <v>45587</v>
      </c>
      <c r="D5193" t="inlineStr">
        <is>
          <t>GÄVLEBORGS LÄN</t>
        </is>
      </c>
      <c r="E5193" t="inlineStr">
        <is>
          <t>NORDANSTIG</t>
        </is>
      </c>
      <c r="F5193" t="inlineStr">
        <is>
          <t>Holmen skog AB</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38252-2022</t>
        </is>
      </c>
      <c r="B5194" s="1" t="n">
        <v>44812</v>
      </c>
      <c r="C5194" s="1" t="n">
        <v>45587</v>
      </c>
      <c r="D5194" t="inlineStr">
        <is>
          <t>GÄVLEBORGS LÄN</t>
        </is>
      </c>
      <c r="E5194" t="inlineStr">
        <is>
          <t>NORDANSTIG</t>
        </is>
      </c>
      <c r="F5194" t="inlineStr">
        <is>
          <t>Holmen skog AB</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38324-2022</t>
        </is>
      </c>
      <c r="B5195" s="1" t="n">
        <v>44812</v>
      </c>
      <c r="C5195" s="1" t="n">
        <v>45587</v>
      </c>
      <c r="D5195" t="inlineStr">
        <is>
          <t>GÄVLEBORGS LÄN</t>
        </is>
      </c>
      <c r="E5195" t="inlineStr">
        <is>
          <t>OVANÅKER</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38328-2022</t>
        </is>
      </c>
      <c r="B5196" s="1" t="n">
        <v>44812</v>
      </c>
      <c r="C5196" s="1" t="n">
        <v>45587</v>
      </c>
      <c r="D5196" t="inlineStr">
        <is>
          <t>GÄVLEBORGS LÄN</t>
        </is>
      </c>
      <c r="E5196" t="inlineStr">
        <is>
          <t>OCKELBO</t>
        </is>
      </c>
      <c r="F5196" t="inlineStr">
        <is>
          <t>Bergvik skog väst AB</t>
        </is>
      </c>
      <c r="G5196" t="n">
        <v>6.2</v>
      </c>
      <c r="H5196" t="n">
        <v>0</v>
      </c>
      <c r="I5196" t="n">
        <v>0</v>
      </c>
      <c r="J5196" t="n">
        <v>0</v>
      </c>
      <c r="K5196" t="n">
        <v>0</v>
      </c>
      <c r="L5196" t="n">
        <v>0</v>
      </c>
      <c r="M5196" t="n">
        <v>0</v>
      </c>
      <c r="N5196" t="n">
        <v>0</v>
      </c>
      <c r="O5196" t="n">
        <v>0</v>
      </c>
      <c r="P5196" t="n">
        <v>0</v>
      </c>
      <c r="Q5196" t="n">
        <v>0</v>
      </c>
      <c r="R5196" s="2" t="inlineStr"/>
    </row>
    <row r="5197" ht="15" customHeight="1">
      <c r="A5197" t="inlineStr">
        <is>
          <t>A 38341-2022</t>
        </is>
      </c>
      <c r="B5197" s="1" t="n">
        <v>44812</v>
      </c>
      <c r="C5197" s="1" t="n">
        <v>45587</v>
      </c>
      <c r="D5197" t="inlineStr">
        <is>
          <t>GÄVLEBORGS LÄN</t>
        </is>
      </c>
      <c r="E5197" t="inlineStr">
        <is>
          <t>HUDIKSVALL</t>
        </is>
      </c>
      <c r="F5197" t="inlineStr">
        <is>
          <t>Holmen skog AB</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38348-2022</t>
        </is>
      </c>
      <c r="B5198" s="1" t="n">
        <v>44812</v>
      </c>
      <c r="C5198" s="1" t="n">
        <v>45587</v>
      </c>
      <c r="D5198" t="inlineStr">
        <is>
          <t>GÄVLEBORGS LÄN</t>
        </is>
      </c>
      <c r="E5198" t="inlineStr">
        <is>
          <t>NORDANSTIG</t>
        </is>
      </c>
      <c r="F5198" t="inlineStr">
        <is>
          <t>Holmen skog AB</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38480-2022</t>
        </is>
      </c>
      <c r="B5199" s="1" t="n">
        <v>44813</v>
      </c>
      <c r="C5199" s="1" t="n">
        <v>45587</v>
      </c>
      <c r="D5199" t="inlineStr">
        <is>
          <t>GÄVLEBORGS LÄN</t>
        </is>
      </c>
      <c r="E5199" t="inlineStr">
        <is>
          <t>HUDIKSVALL</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38566-2022</t>
        </is>
      </c>
      <c r="B5200" s="1" t="n">
        <v>44813</v>
      </c>
      <c r="C5200" s="1" t="n">
        <v>45587</v>
      </c>
      <c r="D5200" t="inlineStr">
        <is>
          <t>GÄVLEBORGS LÄN</t>
        </is>
      </c>
      <c r="E5200" t="inlineStr">
        <is>
          <t>GÄVLE</t>
        </is>
      </c>
      <c r="F5200" t="inlineStr">
        <is>
          <t>Bergvik skog öst AB</t>
        </is>
      </c>
      <c r="G5200" t="n">
        <v>9.1</v>
      </c>
      <c r="H5200" t="n">
        <v>0</v>
      </c>
      <c r="I5200" t="n">
        <v>0</v>
      </c>
      <c r="J5200" t="n">
        <v>0</v>
      </c>
      <c r="K5200" t="n">
        <v>0</v>
      </c>
      <c r="L5200" t="n">
        <v>0</v>
      </c>
      <c r="M5200" t="n">
        <v>0</v>
      </c>
      <c r="N5200" t="n">
        <v>0</v>
      </c>
      <c r="O5200" t="n">
        <v>0</v>
      </c>
      <c r="P5200" t="n">
        <v>0</v>
      </c>
      <c r="Q5200" t="n">
        <v>0</v>
      </c>
      <c r="R5200" s="2" t="inlineStr"/>
    </row>
    <row r="5201" ht="15" customHeight="1">
      <c r="A5201" t="inlineStr">
        <is>
          <t>A 38479-2022</t>
        </is>
      </c>
      <c r="B5201" s="1" t="n">
        <v>44813</v>
      </c>
      <c r="C5201" s="1" t="n">
        <v>45587</v>
      </c>
      <c r="D5201" t="inlineStr">
        <is>
          <t>GÄVLEBORGS LÄN</t>
        </is>
      </c>
      <c r="E5201" t="inlineStr">
        <is>
          <t>LJUSDAL</t>
        </is>
      </c>
      <c r="F5201" t="inlineStr">
        <is>
          <t>Bergvik skog väst AB</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38540-2022</t>
        </is>
      </c>
      <c r="B5202" s="1" t="n">
        <v>44813</v>
      </c>
      <c r="C5202" s="1" t="n">
        <v>45587</v>
      </c>
      <c r="D5202" t="inlineStr">
        <is>
          <t>GÄVLEBORGS LÄN</t>
        </is>
      </c>
      <c r="E5202" t="inlineStr">
        <is>
          <t>LJUSDAL</t>
        </is>
      </c>
      <c r="F5202" t="inlineStr">
        <is>
          <t>Allmännings- och besparingsskogar</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38447-2022</t>
        </is>
      </c>
      <c r="B5203" s="1" t="n">
        <v>44813</v>
      </c>
      <c r="C5203" s="1" t="n">
        <v>45587</v>
      </c>
      <c r="D5203" t="inlineStr">
        <is>
          <t>GÄVLEBORGS LÄN</t>
        </is>
      </c>
      <c r="E5203" t="inlineStr">
        <is>
          <t>GÄVLE</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38499-2022</t>
        </is>
      </c>
      <c r="B5204" s="1" t="n">
        <v>44813</v>
      </c>
      <c r="C5204" s="1" t="n">
        <v>45587</v>
      </c>
      <c r="D5204" t="inlineStr">
        <is>
          <t>GÄVLEBORGS LÄN</t>
        </is>
      </c>
      <c r="E5204" t="inlineStr">
        <is>
          <t>LJUSDAL</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38548-2022</t>
        </is>
      </c>
      <c r="B5205" s="1" t="n">
        <v>44813</v>
      </c>
      <c r="C5205" s="1" t="n">
        <v>45587</v>
      </c>
      <c r="D5205" t="inlineStr">
        <is>
          <t>GÄVLEBORGS LÄN</t>
        </is>
      </c>
      <c r="E5205" t="inlineStr">
        <is>
          <t>SÖDERHAMN</t>
        </is>
      </c>
      <c r="F5205" t="inlineStr">
        <is>
          <t>Kyrkan</t>
        </is>
      </c>
      <c r="G5205" t="n">
        <v>24.4</v>
      </c>
      <c r="H5205" t="n">
        <v>0</v>
      </c>
      <c r="I5205" t="n">
        <v>0</v>
      </c>
      <c r="J5205" t="n">
        <v>0</v>
      </c>
      <c r="K5205" t="n">
        <v>0</v>
      </c>
      <c r="L5205" t="n">
        <v>0</v>
      </c>
      <c r="M5205" t="n">
        <v>0</v>
      </c>
      <c r="N5205" t="n">
        <v>0</v>
      </c>
      <c r="O5205" t="n">
        <v>0</v>
      </c>
      <c r="P5205" t="n">
        <v>0</v>
      </c>
      <c r="Q5205" t="n">
        <v>0</v>
      </c>
      <c r="R5205" s="2" t="inlineStr"/>
    </row>
    <row r="5206" ht="15" customHeight="1">
      <c r="A5206" t="inlineStr">
        <is>
          <t>A 38575-2022</t>
        </is>
      </c>
      <c r="B5206" s="1" t="n">
        <v>44813</v>
      </c>
      <c r="C5206" s="1" t="n">
        <v>45587</v>
      </c>
      <c r="D5206" t="inlineStr">
        <is>
          <t>GÄVLEBORGS LÄN</t>
        </is>
      </c>
      <c r="E5206" t="inlineStr">
        <is>
          <t>LJUSDAL</t>
        </is>
      </c>
      <c r="F5206" t="inlineStr">
        <is>
          <t>Allmännings- och besparingsskogar</t>
        </is>
      </c>
      <c r="G5206" t="n">
        <v>4.4</v>
      </c>
      <c r="H5206" t="n">
        <v>0</v>
      </c>
      <c r="I5206" t="n">
        <v>0</v>
      </c>
      <c r="J5206" t="n">
        <v>0</v>
      </c>
      <c r="K5206" t="n">
        <v>0</v>
      </c>
      <c r="L5206" t="n">
        <v>0</v>
      </c>
      <c r="M5206" t="n">
        <v>0</v>
      </c>
      <c r="N5206" t="n">
        <v>0</v>
      </c>
      <c r="O5206" t="n">
        <v>0</v>
      </c>
      <c r="P5206" t="n">
        <v>0</v>
      </c>
      <c r="Q5206" t="n">
        <v>0</v>
      </c>
      <c r="R5206" s="2" t="inlineStr"/>
    </row>
    <row r="5207" ht="15" customHeight="1">
      <c r="A5207" t="inlineStr">
        <is>
          <t>A 38594-2022</t>
        </is>
      </c>
      <c r="B5207" s="1" t="n">
        <v>44813</v>
      </c>
      <c r="C5207" s="1" t="n">
        <v>45587</v>
      </c>
      <c r="D5207" t="inlineStr">
        <is>
          <t>GÄVLEBORGS LÄN</t>
        </is>
      </c>
      <c r="E5207" t="inlineStr">
        <is>
          <t>LJUSDAL</t>
        </is>
      </c>
      <c r="F5207" t="inlineStr">
        <is>
          <t>Bergvik skog väst AB</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38598-2022</t>
        </is>
      </c>
      <c r="B5208" s="1" t="n">
        <v>44813</v>
      </c>
      <c r="C5208" s="1" t="n">
        <v>45587</v>
      </c>
      <c r="D5208" t="inlineStr">
        <is>
          <t>GÄVLEBORGS LÄN</t>
        </is>
      </c>
      <c r="E5208" t="inlineStr">
        <is>
          <t>LJUSDAL</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38603-2022</t>
        </is>
      </c>
      <c r="B5209" s="1" t="n">
        <v>44813</v>
      </c>
      <c r="C5209" s="1" t="n">
        <v>45587</v>
      </c>
      <c r="D5209" t="inlineStr">
        <is>
          <t>GÄVLEBORGS LÄN</t>
        </is>
      </c>
      <c r="E5209" t="inlineStr">
        <is>
          <t>NORDANSTIG</t>
        </is>
      </c>
      <c r="G5209" t="n">
        <v>7.5</v>
      </c>
      <c r="H5209" t="n">
        <v>0</v>
      </c>
      <c r="I5209" t="n">
        <v>0</v>
      </c>
      <c r="J5209" t="n">
        <v>0</v>
      </c>
      <c r="K5209" t="n">
        <v>0</v>
      </c>
      <c r="L5209" t="n">
        <v>0</v>
      </c>
      <c r="M5209" t="n">
        <v>0</v>
      </c>
      <c r="N5209" t="n">
        <v>0</v>
      </c>
      <c r="O5209" t="n">
        <v>0</v>
      </c>
      <c r="P5209" t="n">
        <v>0</v>
      </c>
      <c r="Q5209" t="n">
        <v>0</v>
      </c>
      <c r="R5209" s="2" t="inlineStr"/>
    </row>
    <row r="5210" ht="15" customHeight="1">
      <c r="A5210" t="inlineStr">
        <is>
          <t>A 38609-2022</t>
        </is>
      </c>
      <c r="B5210" s="1" t="n">
        <v>44813</v>
      </c>
      <c r="C5210" s="1" t="n">
        <v>45587</v>
      </c>
      <c r="D5210" t="inlineStr">
        <is>
          <t>GÄVLEBORGS LÄN</t>
        </is>
      </c>
      <c r="E5210" t="inlineStr">
        <is>
          <t>SANDVIKEN</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38596-2022</t>
        </is>
      </c>
      <c r="B5211" s="1" t="n">
        <v>44813</v>
      </c>
      <c r="C5211" s="1" t="n">
        <v>45587</v>
      </c>
      <c r="D5211" t="inlineStr">
        <is>
          <t>GÄVLEBORGS LÄN</t>
        </is>
      </c>
      <c r="E5211" t="inlineStr">
        <is>
          <t>LJUSDAL</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38601-2022</t>
        </is>
      </c>
      <c r="B5212" s="1" t="n">
        <v>44813</v>
      </c>
      <c r="C5212" s="1" t="n">
        <v>45587</v>
      </c>
      <c r="D5212" t="inlineStr">
        <is>
          <t>GÄVLEBORGS LÄN</t>
        </is>
      </c>
      <c r="E5212" t="inlineStr">
        <is>
          <t>NORDANSTIG</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38806-2022</t>
        </is>
      </c>
      <c r="B5213" s="1" t="n">
        <v>44816</v>
      </c>
      <c r="C5213" s="1" t="n">
        <v>45587</v>
      </c>
      <c r="D5213" t="inlineStr">
        <is>
          <t>GÄVLEBORGS LÄN</t>
        </is>
      </c>
      <c r="E5213" t="inlineStr">
        <is>
          <t>NORDANSTIG</t>
        </is>
      </c>
      <c r="F5213" t="inlineStr">
        <is>
          <t>Holmen skog AB</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38815-2022</t>
        </is>
      </c>
      <c r="B5214" s="1" t="n">
        <v>44816</v>
      </c>
      <c r="C5214" s="1" t="n">
        <v>45587</v>
      </c>
      <c r="D5214" t="inlineStr">
        <is>
          <t>GÄVLEBORGS LÄN</t>
        </is>
      </c>
      <c r="E5214" t="inlineStr">
        <is>
          <t>HOFORS</t>
        </is>
      </c>
      <c r="G5214" t="n">
        <v>5.5</v>
      </c>
      <c r="H5214" t="n">
        <v>0</v>
      </c>
      <c r="I5214" t="n">
        <v>0</v>
      </c>
      <c r="J5214" t="n">
        <v>0</v>
      </c>
      <c r="K5214" t="n">
        <v>0</v>
      </c>
      <c r="L5214" t="n">
        <v>0</v>
      </c>
      <c r="M5214" t="n">
        <v>0</v>
      </c>
      <c r="N5214" t="n">
        <v>0</v>
      </c>
      <c r="O5214" t="n">
        <v>0</v>
      </c>
      <c r="P5214" t="n">
        <v>0</v>
      </c>
      <c r="Q5214" t="n">
        <v>0</v>
      </c>
      <c r="R5214" s="2" t="inlineStr"/>
    </row>
    <row r="5215" ht="15" customHeight="1">
      <c r="A5215" t="inlineStr">
        <is>
          <t>A 38867-2022</t>
        </is>
      </c>
      <c r="B5215" s="1" t="n">
        <v>44816</v>
      </c>
      <c r="C5215" s="1" t="n">
        <v>45587</v>
      </c>
      <c r="D5215" t="inlineStr">
        <is>
          <t>GÄVLEBORGS LÄN</t>
        </is>
      </c>
      <c r="E5215" t="inlineStr">
        <is>
          <t>BOLLNÄS</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38883-2022</t>
        </is>
      </c>
      <c r="B5216" s="1" t="n">
        <v>44816</v>
      </c>
      <c r="C5216" s="1" t="n">
        <v>45587</v>
      </c>
      <c r="D5216" t="inlineStr">
        <is>
          <t>GÄVLEBORGS LÄN</t>
        </is>
      </c>
      <c r="E5216" t="inlineStr">
        <is>
          <t>BOLLNÄS</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38895-2022</t>
        </is>
      </c>
      <c r="B5217" s="1" t="n">
        <v>44816</v>
      </c>
      <c r="C5217" s="1" t="n">
        <v>45587</v>
      </c>
      <c r="D5217" t="inlineStr">
        <is>
          <t>GÄVLEBORGS LÄN</t>
        </is>
      </c>
      <c r="E5217" t="inlineStr">
        <is>
          <t>NORDANSTIG</t>
        </is>
      </c>
      <c r="F5217" t="inlineStr">
        <is>
          <t>Holmen skog AB</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38910-2022</t>
        </is>
      </c>
      <c r="B5218" s="1" t="n">
        <v>44816</v>
      </c>
      <c r="C5218" s="1" t="n">
        <v>45587</v>
      </c>
      <c r="D5218" t="inlineStr">
        <is>
          <t>GÄVLEBORGS LÄN</t>
        </is>
      </c>
      <c r="E5218" t="inlineStr">
        <is>
          <t>OCKELBO</t>
        </is>
      </c>
      <c r="F5218" t="inlineStr">
        <is>
          <t>Bergvik skog väst AB</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38800-2022</t>
        </is>
      </c>
      <c r="B5219" s="1" t="n">
        <v>44816</v>
      </c>
      <c r="C5219" s="1" t="n">
        <v>45587</v>
      </c>
      <c r="D5219" t="inlineStr">
        <is>
          <t>GÄVLEBORGS LÄN</t>
        </is>
      </c>
      <c r="E5219" t="inlineStr">
        <is>
          <t>NORDANSTIG</t>
        </is>
      </c>
      <c r="F5219" t="inlineStr">
        <is>
          <t>Holmen skog AB</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38744-2022</t>
        </is>
      </c>
      <c r="B5220" s="1" t="n">
        <v>44816</v>
      </c>
      <c r="C5220" s="1" t="n">
        <v>45587</v>
      </c>
      <c r="D5220" t="inlineStr">
        <is>
          <t>GÄVLEBORGS LÄN</t>
        </is>
      </c>
      <c r="E5220" t="inlineStr">
        <is>
          <t>HUDIKSVALL</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38859-2022</t>
        </is>
      </c>
      <c r="B5221" s="1" t="n">
        <v>44816</v>
      </c>
      <c r="C5221" s="1" t="n">
        <v>45587</v>
      </c>
      <c r="D5221" t="inlineStr">
        <is>
          <t>GÄVLEBORGS LÄN</t>
        </is>
      </c>
      <c r="E5221" t="inlineStr">
        <is>
          <t>NORDANSTIG</t>
        </is>
      </c>
      <c r="F5221" t="inlineStr">
        <is>
          <t>Holmen skog AB</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38824-2022</t>
        </is>
      </c>
      <c r="B5222" s="1" t="n">
        <v>44816</v>
      </c>
      <c r="C5222" s="1" t="n">
        <v>45587</v>
      </c>
      <c r="D5222" t="inlineStr">
        <is>
          <t>GÄVLEBORGS LÄN</t>
        </is>
      </c>
      <c r="E5222" t="inlineStr">
        <is>
          <t>LJUSDAL</t>
        </is>
      </c>
      <c r="F5222" t="inlineStr">
        <is>
          <t>Holmen skog AB</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38868-2022</t>
        </is>
      </c>
      <c r="B5223" s="1" t="n">
        <v>44816</v>
      </c>
      <c r="C5223" s="1" t="n">
        <v>45587</v>
      </c>
      <c r="D5223" t="inlineStr">
        <is>
          <t>GÄVLEBORGS LÄN</t>
        </is>
      </c>
      <c r="E5223" t="inlineStr">
        <is>
          <t>NORDANSTIG</t>
        </is>
      </c>
      <c r="F5223" t="inlineStr">
        <is>
          <t>Holmen skog AB</t>
        </is>
      </c>
      <c r="G5223" t="n">
        <v>6</v>
      </c>
      <c r="H5223" t="n">
        <v>0</v>
      </c>
      <c r="I5223" t="n">
        <v>0</v>
      </c>
      <c r="J5223" t="n">
        <v>0</v>
      </c>
      <c r="K5223" t="n">
        <v>0</v>
      </c>
      <c r="L5223" t="n">
        <v>0</v>
      </c>
      <c r="M5223" t="n">
        <v>0</v>
      </c>
      <c r="N5223" t="n">
        <v>0</v>
      </c>
      <c r="O5223" t="n">
        <v>0</v>
      </c>
      <c r="P5223" t="n">
        <v>0</v>
      </c>
      <c r="Q5223" t="n">
        <v>0</v>
      </c>
      <c r="R5223" s="2" t="inlineStr"/>
    </row>
    <row r="5224" ht="15" customHeight="1">
      <c r="A5224" t="inlineStr">
        <is>
          <t>A 38878-2022</t>
        </is>
      </c>
      <c r="B5224" s="1" t="n">
        <v>44816</v>
      </c>
      <c r="C5224" s="1" t="n">
        <v>45587</v>
      </c>
      <c r="D5224" t="inlineStr">
        <is>
          <t>GÄVLEBORGS LÄN</t>
        </is>
      </c>
      <c r="E5224" t="inlineStr">
        <is>
          <t>OCKELBO</t>
        </is>
      </c>
      <c r="F5224" t="inlineStr">
        <is>
          <t>Bergvik skog väst AB</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38893-2022</t>
        </is>
      </c>
      <c r="B5225" s="1" t="n">
        <v>44816</v>
      </c>
      <c r="C5225" s="1" t="n">
        <v>45587</v>
      </c>
      <c r="D5225" t="inlineStr">
        <is>
          <t>GÄVLEBORGS LÄN</t>
        </is>
      </c>
      <c r="E5225" t="inlineStr">
        <is>
          <t>OCKELBO</t>
        </is>
      </c>
      <c r="F5225" t="inlineStr">
        <is>
          <t>Bergvik skog väst AB</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38972-2022</t>
        </is>
      </c>
      <c r="B5226" s="1" t="n">
        <v>44816</v>
      </c>
      <c r="C5226" s="1" t="n">
        <v>45587</v>
      </c>
      <c r="D5226" t="inlineStr">
        <is>
          <t>GÄVLEBORGS LÄN</t>
        </is>
      </c>
      <c r="E5226" t="inlineStr">
        <is>
          <t>OCKELBO</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39037-2022</t>
        </is>
      </c>
      <c r="B5227" s="1" t="n">
        <v>44817</v>
      </c>
      <c r="C5227" s="1" t="n">
        <v>45587</v>
      </c>
      <c r="D5227" t="inlineStr">
        <is>
          <t>GÄVLEBORGS LÄN</t>
        </is>
      </c>
      <c r="E5227" t="inlineStr">
        <is>
          <t>SÖDERHAMN</t>
        </is>
      </c>
      <c r="F5227" t="inlineStr">
        <is>
          <t>Bergvik skog väst AB</t>
        </is>
      </c>
      <c r="G5227" t="n">
        <v>7.9</v>
      </c>
      <c r="H5227" t="n">
        <v>0</v>
      </c>
      <c r="I5227" t="n">
        <v>0</v>
      </c>
      <c r="J5227" t="n">
        <v>0</v>
      </c>
      <c r="K5227" t="n">
        <v>0</v>
      </c>
      <c r="L5227" t="n">
        <v>0</v>
      </c>
      <c r="M5227" t="n">
        <v>0</v>
      </c>
      <c r="N5227" t="n">
        <v>0</v>
      </c>
      <c r="O5227" t="n">
        <v>0</v>
      </c>
      <c r="P5227" t="n">
        <v>0</v>
      </c>
      <c r="Q5227" t="n">
        <v>0</v>
      </c>
      <c r="R5227" s="2" t="inlineStr"/>
    </row>
    <row r="5228" ht="15" customHeight="1">
      <c r="A5228" t="inlineStr">
        <is>
          <t>A 39114-2022</t>
        </is>
      </c>
      <c r="B5228" s="1" t="n">
        <v>44817</v>
      </c>
      <c r="C5228" s="1" t="n">
        <v>45587</v>
      </c>
      <c r="D5228" t="inlineStr">
        <is>
          <t>GÄVLEBORGS LÄN</t>
        </is>
      </c>
      <c r="E5228" t="inlineStr">
        <is>
          <t>HUDIKSVALL</t>
        </is>
      </c>
      <c r="F5228" t="inlineStr">
        <is>
          <t>Holmen skog AB</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39126-2022</t>
        </is>
      </c>
      <c r="B5229" s="1" t="n">
        <v>44817</v>
      </c>
      <c r="C5229" s="1" t="n">
        <v>45587</v>
      </c>
      <c r="D5229" t="inlineStr">
        <is>
          <t>GÄVLEBORGS LÄN</t>
        </is>
      </c>
      <c r="E5229" t="inlineStr">
        <is>
          <t>LJUSDAL</t>
        </is>
      </c>
      <c r="F5229" t="inlineStr">
        <is>
          <t>Holmen skog AB</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39208-2022</t>
        </is>
      </c>
      <c r="B5230" s="1" t="n">
        <v>44817</v>
      </c>
      <c r="C5230" s="1" t="n">
        <v>45587</v>
      </c>
      <c r="D5230" t="inlineStr">
        <is>
          <t>GÄVLEBORGS LÄN</t>
        </is>
      </c>
      <c r="E5230" t="inlineStr">
        <is>
          <t>NORDANSTIG</t>
        </is>
      </c>
      <c r="F5230" t="inlineStr">
        <is>
          <t>Holmen skog AB</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39241-2022</t>
        </is>
      </c>
      <c r="B5231" s="1" t="n">
        <v>44817</v>
      </c>
      <c r="C5231" s="1" t="n">
        <v>45587</v>
      </c>
      <c r="D5231" t="inlineStr">
        <is>
          <t>GÄVLEBORGS LÄN</t>
        </is>
      </c>
      <c r="E5231" t="inlineStr">
        <is>
          <t>SANDVIKEN</t>
        </is>
      </c>
      <c r="F5231" t="inlineStr">
        <is>
          <t>Bergvik skog öst AB</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39301-2022</t>
        </is>
      </c>
      <c r="B5232" s="1" t="n">
        <v>44817</v>
      </c>
      <c r="C5232" s="1" t="n">
        <v>45587</v>
      </c>
      <c r="D5232" t="inlineStr">
        <is>
          <t>GÄVLEBORGS LÄN</t>
        </is>
      </c>
      <c r="E5232" t="inlineStr">
        <is>
          <t>LJUSDAL</t>
        </is>
      </c>
      <c r="F5232" t="inlineStr">
        <is>
          <t>Holmen skog AB</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39041-2022</t>
        </is>
      </c>
      <c r="B5233" s="1" t="n">
        <v>44817</v>
      </c>
      <c r="C5233" s="1" t="n">
        <v>45587</v>
      </c>
      <c r="D5233" t="inlineStr">
        <is>
          <t>GÄVLEBORGS LÄN</t>
        </is>
      </c>
      <c r="E5233" t="inlineStr">
        <is>
          <t>HUDIKSVALL</t>
        </is>
      </c>
      <c r="F5233" t="inlineStr">
        <is>
          <t>Holmen skog AB</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39062-2022</t>
        </is>
      </c>
      <c r="B5234" s="1" t="n">
        <v>44817</v>
      </c>
      <c r="C5234" s="1" t="n">
        <v>45587</v>
      </c>
      <c r="D5234" t="inlineStr">
        <is>
          <t>GÄVLEBORGS LÄN</t>
        </is>
      </c>
      <c r="E5234" t="inlineStr">
        <is>
          <t>LJUSDAL</t>
        </is>
      </c>
      <c r="F5234" t="inlineStr">
        <is>
          <t>Bergvik skog väst AB</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39170-2022</t>
        </is>
      </c>
      <c r="B5235" s="1" t="n">
        <v>44817</v>
      </c>
      <c r="C5235" s="1" t="n">
        <v>45587</v>
      </c>
      <c r="D5235" t="inlineStr">
        <is>
          <t>GÄVLEBORGS LÄN</t>
        </is>
      </c>
      <c r="E5235" t="inlineStr">
        <is>
          <t>SANDVIKEN</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39325-2022</t>
        </is>
      </c>
      <c r="B5236" s="1" t="n">
        <v>44817</v>
      </c>
      <c r="C5236" s="1" t="n">
        <v>45587</v>
      </c>
      <c r="D5236" t="inlineStr">
        <is>
          <t>GÄVLEBORGS LÄN</t>
        </is>
      </c>
      <c r="E5236" t="inlineStr">
        <is>
          <t>OCKELBO</t>
        </is>
      </c>
      <c r="F5236" t="inlineStr">
        <is>
          <t>Bergvik skog väst AB</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39064-2022</t>
        </is>
      </c>
      <c r="B5237" s="1" t="n">
        <v>44817</v>
      </c>
      <c r="C5237" s="1" t="n">
        <v>45587</v>
      </c>
      <c r="D5237" t="inlineStr">
        <is>
          <t>GÄVLEBORGS LÄN</t>
        </is>
      </c>
      <c r="E5237" t="inlineStr">
        <is>
          <t>LJUSDAL</t>
        </is>
      </c>
      <c r="F5237" t="inlineStr">
        <is>
          <t>Bergvik skog väst AB</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39093-2022</t>
        </is>
      </c>
      <c r="B5238" s="1" t="n">
        <v>44817</v>
      </c>
      <c r="C5238" s="1" t="n">
        <v>45587</v>
      </c>
      <c r="D5238" t="inlineStr">
        <is>
          <t>GÄVLEBORGS LÄN</t>
        </is>
      </c>
      <c r="E5238" t="inlineStr">
        <is>
          <t>SÖDERHAMN</t>
        </is>
      </c>
      <c r="F5238" t="inlineStr">
        <is>
          <t>Bergvik skog väst AB</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39107-2022</t>
        </is>
      </c>
      <c r="B5239" s="1" t="n">
        <v>44817</v>
      </c>
      <c r="C5239" s="1" t="n">
        <v>45587</v>
      </c>
      <c r="D5239" t="inlineStr">
        <is>
          <t>GÄVLEBORGS LÄN</t>
        </is>
      </c>
      <c r="E5239" t="inlineStr">
        <is>
          <t>GÄVLE</t>
        </is>
      </c>
      <c r="F5239" t="inlineStr">
        <is>
          <t>Bergvik skog väst AB</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39258-2022</t>
        </is>
      </c>
      <c r="B5240" s="1" t="n">
        <v>44817</v>
      </c>
      <c r="C5240" s="1" t="n">
        <v>45587</v>
      </c>
      <c r="D5240" t="inlineStr">
        <is>
          <t>GÄVLEBORGS LÄN</t>
        </is>
      </c>
      <c r="E5240" t="inlineStr">
        <is>
          <t>HUDIKSVALL</t>
        </is>
      </c>
      <c r="F5240" t="inlineStr">
        <is>
          <t>Holmen skog AB</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39267-2022</t>
        </is>
      </c>
      <c r="B5241" s="1" t="n">
        <v>44817</v>
      </c>
      <c r="C5241" s="1" t="n">
        <v>45587</v>
      </c>
      <c r="D5241" t="inlineStr">
        <is>
          <t>GÄVLEBORGS LÄN</t>
        </is>
      </c>
      <c r="E5241" t="inlineStr">
        <is>
          <t>HUDIKSVALL</t>
        </is>
      </c>
      <c r="F5241" t="inlineStr">
        <is>
          <t>Holmen skog AB</t>
        </is>
      </c>
      <c r="G5241" t="n">
        <v>11.2</v>
      </c>
      <c r="H5241" t="n">
        <v>0</v>
      </c>
      <c r="I5241" t="n">
        <v>0</v>
      </c>
      <c r="J5241" t="n">
        <v>0</v>
      </c>
      <c r="K5241" t="n">
        <v>0</v>
      </c>
      <c r="L5241" t="n">
        <v>0</v>
      </c>
      <c r="M5241" t="n">
        <v>0</v>
      </c>
      <c r="N5241" t="n">
        <v>0</v>
      </c>
      <c r="O5241" t="n">
        <v>0</v>
      </c>
      <c r="P5241" t="n">
        <v>0</v>
      </c>
      <c r="Q5241" t="n">
        <v>0</v>
      </c>
      <c r="R5241" s="2" t="inlineStr"/>
    </row>
    <row r="5242" ht="15" customHeight="1">
      <c r="A5242" t="inlineStr">
        <is>
          <t>A 39141-2022</t>
        </is>
      </c>
      <c r="B5242" s="1" t="n">
        <v>44817</v>
      </c>
      <c r="C5242" s="1" t="n">
        <v>45587</v>
      </c>
      <c r="D5242" t="inlineStr">
        <is>
          <t>GÄVLEBORGS LÄN</t>
        </is>
      </c>
      <c r="E5242" t="inlineStr">
        <is>
          <t>LJUSDAL</t>
        </is>
      </c>
      <c r="F5242" t="inlineStr">
        <is>
          <t>Holmen skog AB</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39228-2022</t>
        </is>
      </c>
      <c r="B5243" s="1" t="n">
        <v>44817</v>
      </c>
      <c r="C5243" s="1" t="n">
        <v>45587</v>
      </c>
      <c r="D5243" t="inlineStr">
        <is>
          <t>GÄVLEBORGS LÄN</t>
        </is>
      </c>
      <c r="E5243" t="inlineStr">
        <is>
          <t>LJUSDAL</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39443-2022</t>
        </is>
      </c>
      <c r="B5244" s="1" t="n">
        <v>44818</v>
      </c>
      <c r="C5244" s="1" t="n">
        <v>45587</v>
      </c>
      <c r="D5244" t="inlineStr">
        <is>
          <t>GÄVLEBORGS LÄN</t>
        </is>
      </c>
      <c r="E5244" t="inlineStr">
        <is>
          <t>HUDIKSVALL</t>
        </is>
      </c>
      <c r="F5244" t="inlineStr">
        <is>
          <t>Holmen skog AB</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39509-2022</t>
        </is>
      </c>
      <c r="B5245" s="1" t="n">
        <v>44818</v>
      </c>
      <c r="C5245" s="1" t="n">
        <v>45587</v>
      </c>
      <c r="D5245" t="inlineStr">
        <is>
          <t>GÄVLEBORGS LÄN</t>
        </is>
      </c>
      <c r="E5245" t="inlineStr">
        <is>
          <t>GÄVLE</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39517-2022</t>
        </is>
      </c>
      <c r="B5246" s="1" t="n">
        <v>44818</v>
      </c>
      <c r="C5246" s="1" t="n">
        <v>45587</v>
      </c>
      <c r="D5246" t="inlineStr">
        <is>
          <t>GÄVLEBORGS LÄN</t>
        </is>
      </c>
      <c r="E5246" t="inlineStr">
        <is>
          <t>NORDANSTIG</t>
        </is>
      </c>
      <c r="F5246" t="inlineStr">
        <is>
          <t>Holmen skog AB</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39528-2022</t>
        </is>
      </c>
      <c r="B5247" s="1" t="n">
        <v>44818</v>
      </c>
      <c r="C5247" s="1" t="n">
        <v>45587</v>
      </c>
      <c r="D5247" t="inlineStr">
        <is>
          <t>GÄVLEBORGS LÄN</t>
        </is>
      </c>
      <c r="E5247" t="inlineStr">
        <is>
          <t>BOLLNÄS</t>
        </is>
      </c>
      <c r="G5247" t="n">
        <v>7.5</v>
      </c>
      <c r="H5247" t="n">
        <v>0</v>
      </c>
      <c r="I5247" t="n">
        <v>0</v>
      </c>
      <c r="J5247" t="n">
        <v>0</v>
      </c>
      <c r="K5247" t="n">
        <v>0</v>
      </c>
      <c r="L5247" t="n">
        <v>0</v>
      </c>
      <c r="M5247" t="n">
        <v>0</v>
      </c>
      <c r="N5247" t="n">
        <v>0</v>
      </c>
      <c r="O5247" t="n">
        <v>0</v>
      </c>
      <c r="P5247" t="n">
        <v>0</v>
      </c>
      <c r="Q5247" t="n">
        <v>0</v>
      </c>
      <c r="R5247" s="2" t="inlineStr"/>
    </row>
    <row r="5248" ht="15" customHeight="1">
      <c r="A5248" t="inlineStr">
        <is>
          <t>A 39557-2022</t>
        </is>
      </c>
      <c r="B5248" s="1" t="n">
        <v>44818</v>
      </c>
      <c r="C5248" s="1" t="n">
        <v>45587</v>
      </c>
      <c r="D5248" t="inlineStr">
        <is>
          <t>GÄVLEBORGS LÄN</t>
        </is>
      </c>
      <c r="E5248" t="inlineStr">
        <is>
          <t>HUDIKSVALL</t>
        </is>
      </c>
      <c r="F5248" t="inlineStr">
        <is>
          <t>Holmen skog AB</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39450-2022</t>
        </is>
      </c>
      <c r="B5249" s="1" t="n">
        <v>44818</v>
      </c>
      <c r="C5249" s="1" t="n">
        <v>45587</v>
      </c>
      <c r="D5249" t="inlineStr">
        <is>
          <t>GÄVLEBORGS LÄN</t>
        </is>
      </c>
      <c r="E5249" t="inlineStr">
        <is>
          <t>OVANÅKER</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39566-2022</t>
        </is>
      </c>
      <c r="B5250" s="1" t="n">
        <v>44818</v>
      </c>
      <c r="C5250" s="1" t="n">
        <v>45587</v>
      </c>
      <c r="D5250" t="inlineStr">
        <is>
          <t>GÄVLEBORGS LÄN</t>
        </is>
      </c>
      <c r="E5250" t="inlineStr">
        <is>
          <t>SANDVIKEN</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39424-2022</t>
        </is>
      </c>
      <c r="B5251" s="1" t="n">
        <v>44818</v>
      </c>
      <c r="C5251" s="1" t="n">
        <v>45587</v>
      </c>
      <c r="D5251" t="inlineStr">
        <is>
          <t>GÄVLEBORGS LÄN</t>
        </is>
      </c>
      <c r="E5251" t="inlineStr">
        <is>
          <t>LJUSDAL</t>
        </is>
      </c>
      <c r="G5251" t="n">
        <v>5.8</v>
      </c>
      <c r="H5251" t="n">
        <v>0</v>
      </c>
      <c r="I5251" t="n">
        <v>0</v>
      </c>
      <c r="J5251" t="n">
        <v>0</v>
      </c>
      <c r="K5251" t="n">
        <v>0</v>
      </c>
      <c r="L5251" t="n">
        <v>0</v>
      </c>
      <c r="M5251" t="n">
        <v>0</v>
      </c>
      <c r="N5251" t="n">
        <v>0</v>
      </c>
      <c r="O5251" t="n">
        <v>0</v>
      </c>
      <c r="P5251" t="n">
        <v>0</v>
      </c>
      <c r="Q5251" t="n">
        <v>0</v>
      </c>
      <c r="R5251" s="2" t="inlineStr"/>
    </row>
    <row r="5252" ht="15" customHeight="1">
      <c r="A5252" t="inlineStr">
        <is>
          <t>A 39510-2022</t>
        </is>
      </c>
      <c r="B5252" s="1" t="n">
        <v>44818</v>
      </c>
      <c r="C5252" s="1" t="n">
        <v>45587</v>
      </c>
      <c r="D5252" t="inlineStr">
        <is>
          <t>GÄVLEBORGS LÄN</t>
        </is>
      </c>
      <c r="E5252" t="inlineStr">
        <is>
          <t>HUDIKSVALL</t>
        </is>
      </c>
      <c r="F5252" t="inlineStr">
        <is>
          <t>Holmen skog AB</t>
        </is>
      </c>
      <c r="G5252" t="n">
        <v>23.9</v>
      </c>
      <c r="H5252" t="n">
        <v>0</v>
      </c>
      <c r="I5252" t="n">
        <v>0</v>
      </c>
      <c r="J5252" t="n">
        <v>0</v>
      </c>
      <c r="K5252" t="n">
        <v>0</v>
      </c>
      <c r="L5252" t="n">
        <v>0</v>
      </c>
      <c r="M5252" t="n">
        <v>0</v>
      </c>
      <c r="N5252" t="n">
        <v>0</v>
      </c>
      <c r="O5252" t="n">
        <v>0</v>
      </c>
      <c r="P5252" t="n">
        <v>0</v>
      </c>
      <c r="Q5252" t="n">
        <v>0</v>
      </c>
      <c r="R5252" s="2" t="inlineStr"/>
    </row>
    <row r="5253" ht="15" customHeight="1">
      <c r="A5253" t="inlineStr">
        <is>
          <t>A 39532-2022</t>
        </is>
      </c>
      <c r="B5253" s="1" t="n">
        <v>44818</v>
      </c>
      <c r="C5253" s="1" t="n">
        <v>45587</v>
      </c>
      <c r="D5253" t="inlineStr">
        <is>
          <t>GÄVLEBORGS LÄN</t>
        </is>
      </c>
      <c r="E5253" t="inlineStr">
        <is>
          <t>OVANÅKER</t>
        </is>
      </c>
      <c r="F5253" t="inlineStr">
        <is>
          <t>Bergvik skog väst AB</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39669-2022</t>
        </is>
      </c>
      <c r="B5254" s="1" t="n">
        <v>44818</v>
      </c>
      <c r="C5254" s="1" t="n">
        <v>45587</v>
      </c>
      <c r="D5254" t="inlineStr">
        <is>
          <t>GÄVLEBORGS LÄN</t>
        </is>
      </c>
      <c r="E5254" t="inlineStr">
        <is>
          <t>HUDIKSVALL</t>
        </is>
      </c>
      <c r="F5254" t="inlineStr">
        <is>
          <t>Holmen skog AB</t>
        </is>
      </c>
      <c r="G5254" t="n">
        <v>5.9</v>
      </c>
      <c r="H5254" t="n">
        <v>0</v>
      </c>
      <c r="I5254" t="n">
        <v>0</v>
      </c>
      <c r="J5254" t="n">
        <v>0</v>
      </c>
      <c r="K5254" t="n">
        <v>0</v>
      </c>
      <c r="L5254" t="n">
        <v>0</v>
      </c>
      <c r="M5254" t="n">
        <v>0</v>
      </c>
      <c r="N5254" t="n">
        <v>0</v>
      </c>
      <c r="O5254" t="n">
        <v>0</v>
      </c>
      <c r="P5254" t="n">
        <v>0</v>
      </c>
      <c r="Q5254" t="n">
        <v>0</v>
      </c>
      <c r="R5254" s="2" t="inlineStr"/>
    </row>
    <row r="5255" ht="15" customHeight="1">
      <c r="A5255" t="inlineStr">
        <is>
          <t>A 39644-2022</t>
        </is>
      </c>
      <c r="B5255" s="1" t="n">
        <v>44818</v>
      </c>
      <c r="C5255" s="1" t="n">
        <v>45587</v>
      </c>
      <c r="D5255" t="inlineStr">
        <is>
          <t>GÄVLEBORGS LÄN</t>
        </is>
      </c>
      <c r="E5255" t="inlineStr">
        <is>
          <t>LJUSDAL</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39777-2022</t>
        </is>
      </c>
      <c r="B5256" s="1" t="n">
        <v>44819</v>
      </c>
      <c r="C5256" s="1" t="n">
        <v>45587</v>
      </c>
      <c r="D5256" t="inlineStr">
        <is>
          <t>GÄVLEBORGS LÄN</t>
        </is>
      </c>
      <c r="E5256" t="inlineStr">
        <is>
          <t>OVANÅKER</t>
        </is>
      </c>
      <c r="F5256" t="inlineStr">
        <is>
          <t>Bergvik skog väst AB</t>
        </is>
      </c>
      <c r="G5256" t="n">
        <v>15.8</v>
      </c>
      <c r="H5256" t="n">
        <v>0</v>
      </c>
      <c r="I5256" t="n">
        <v>0</v>
      </c>
      <c r="J5256" t="n">
        <v>0</v>
      </c>
      <c r="K5256" t="n">
        <v>0</v>
      </c>
      <c r="L5256" t="n">
        <v>0</v>
      </c>
      <c r="M5256" t="n">
        <v>0</v>
      </c>
      <c r="N5256" t="n">
        <v>0</v>
      </c>
      <c r="O5256" t="n">
        <v>0</v>
      </c>
      <c r="P5256" t="n">
        <v>0</v>
      </c>
      <c r="Q5256" t="n">
        <v>0</v>
      </c>
      <c r="R5256" s="2" t="inlineStr"/>
    </row>
    <row r="5257" ht="15" customHeight="1">
      <c r="A5257" t="inlineStr">
        <is>
          <t>A 39832-2022</t>
        </is>
      </c>
      <c r="B5257" s="1" t="n">
        <v>44819</v>
      </c>
      <c r="C5257" s="1" t="n">
        <v>45587</v>
      </c>
      <c r="D5257" t="inlineStr">
        <is>
          <t>GÄVLEBORGS LÄN</t>
        </is>
      </c>
      <c r="E5257" t="inlineStr">
        <is>
          <t>LJUSDAL</t>
        </is>
      </c>
      <c r="F5257" t="inlineStr">
        <is>
          <t>Holmen skog AB</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39723-2022</t>
        </is>
      </c>
      <c r="B5258" s="1" t="n">
        <v>44819</v>
      </c>
      <c r="C5258" s="1" t="n">
        <v>45587</v>
      </c>
      <c r="D5258" t="inlineStr">
        <is>
          <t>GÄVLEBORGS LÄN</t>
        </is>
      </c>
      <c r="E5258" t="inlineStr">
        <is>
          <t>BOLLNÄS</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39848-2022</t>
        </is>
      </c>
      <c r="B5259" s="1" t="n">
        <v>44819</v>
      </c>
      <c r="C5259" s="1" t="n">
        <v>45587</v>
      </c>
      <c r="D5259" t="inlineStr">
        <is>
          <t>GÄVLEBORGS LÄN</t>
        </is>
      </c>
      <c r="E5259" t="inlineStr">
        <is>
          <t>LJUSDAL</t>
        </is>
      </c>
      <c r="F5259" t="inlineStr">
        <is>
          <t>Allmännings- och besparingsskogar</t>
        </is>
      </c>
      <c r="G5259" t="n">
        <v>33.9</v>
      </c>
      <c r="H5259" t="n">
        <v>0</v>
      </c>
      <c r="I5259" t="n">
        <v>0</v>
      </c>
      <c r="J5259" t="n">
        <v>0</v>
      </c>
      <c r="K5259" t="n">
        <v>0</v>
      </c>
      <c r="L5259" t="n">
        <v>0</v>
      </c>
      <c r="M5259" t="n">
        <v>0</v>
      </c>
      <c r="N5259" t="n">
        <v>0</v>
      </c>
      <c r="O5259" t="n">
        <v>0</v>
      </c>
      <c r="P5259" t="n">
        <v>0</v>
      </c>
      <c r="Q5259" t="n">
        <v>0</v>
      </c>
      <c r="R5259" s="2" t="inlineStr"/>
    </row>
    <row r="5260" ht="15" customHeight="1">
      <c r="A5260" t="inlineStr">
        <is>
          <t>A 40131-2022</t>
        </is>
      </c>
      <c r="B5260" s="1" t="n">
        <v>44820</v>
      </c>
      <c r="C5260" s="1" t="n">
        <v>45587</v>
      </c>
      <c r="D5260" t="inlineStr">
        <is>
          <t>GÄVLEBORGS LÄN</t>
        </is>
      </c>
      <c r="E5260" t="inlineStr">
        <is>
          <t>OCKELBO</t>
        </is>
      </c>
      <c r="F5260" t="inlineStr">
        <is>
          <t>Bergvik skog väst AB</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40053-2022</t>
        </is>
      </c>
      <c r="B5261" s="1" t="n">
        <v>44820</v>
      </c>
      <c r="C5261" s="1" t="n">
        <v>45587</v>
      </c>
      <c r="D5261" t="inlineStr">
        <is>
          <t>GÄVLEBORGS LÄN</t>
        </is>
      </c>
      <c r="E5261" t="inlineStr">
        <is>
          <t>OCKELBO</t>
        </is>
      </c>
      <c r="G5261" t="n">
        <v>7.6</v>
      </c>
      <c r="H5261" t="n">
        <v>0</v>
      </c>
      <c r="I5261" t="n">
        <v>0</v>
      </c>
      <c r="J5261" t="n">
        <v>0</v>
      </c>
      <c r="K5261" t="n">
        <v>0</v>
      </c>
      <c r="L5261" t="n">
        <v>0</v>
      </c>
      <c r="M5261" t="n">
        <v>0</v>
      </c>
      <c r="N5261" t="n">
        <v>0</v>
      </c>
      <c r="O5261" t="n">
        <v>0</v>
      </c>
      <c r="P5261" t="n">
        <v>0</v>
      </c>
      <c r="Q5261" t="n">
        <v>0</v>
      </c>
      <c r="R5261" s="2" t="inlineStr"/>
    </row>
    <row r="5262" ht="15" customHeight="1">
      <c r="A5262" t="inlineStr">
        <is>
          <t>A 40134-2022</t>
        </is>
      </c>
      <c r="B5262" s="1" t="n">
        <v>44820</v>
      </c>
      <c r="C5262" s="1" t="n">
        <v>45587</v>
      </c>
      <c r="D5262" t="inlineStr">
        <is>
          <t>GÄVLEBORGS LÄN</t>
        </is>
      </c>
      <c r="E5262" t="inlineStr">
        <is>
          <t>OCKELBO</t>
        </is>
      </c>
      <c r="F5262" t="inlineStr">
        <is>
          <t>Bergvik skog väst AB</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40138-2022</t>
        </is>
      </c>
      <c r="B5263" s="1" t="n">
        <v>44820</v>
      </c>
      <c r="C5263" s="1" t="n">
        <v>45587</v>
      </c>
      <c r="D5263" t="inlineStr">
        <is>
          <t>GÄVLEBORGS LÄN</t>
        </is>
      </c>
      <c r="E5263" t="inlineStr">
        <is>
          <t>OCKELBO</t>
        </is>
      </c>
      <c r="F5263" t="inlineStr">
        <is>
          <t>Bergvik skog väst AB</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40143-2022</t>
        </is>
      </c>
      <c r="B5264" s="1" t="n">
        <v>44820</v>
      </c>
      <c r="C5264" s="1" t="n">
        <v>45587</v>
      </c>
      <c r="D5264" t="inlineStr">
        <is>
          <t>GÄVLEBORGS LÄN</t>
        </is>
      </c>
      <c r="E5264" t="inlineStr">
        <is>
          <t>OCKELBO</t>
        </is>
      </c>
      <c r="F5264" t="inlineStr">
        <is>
          <t>Bergvik skog väst AB</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40140-2022</t>
        </is>
      </c>
      <c r="B5265" s="1" t="n">
        <v>44820</v>
      </c>
      <c r="C5265" s="1" t="n">
        <v>45587</v>
      </c>
      <c r="D5265" t="inlineStr">
        <is>
          <t>GÄVLEBORGS LÄN</t>
        </is>
      </c>
      <c r="E5265" t="inlineStr">
        <is>
          <t>OCKELBO</t>
        </is>
      </c>
      <c r="F5265" t="inlineStr">
        <is>
          <t>Bergvik skog väst AB</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40060-2022</t>
        </is>
      </c>
      <c r="B5266" s="1" t="n">
        <v>44820</v>
      </c>
      <c r="C5266" s="1" t="n">
        <v>45587</v>
      </c>
      <c r="D5266" t="inlineStr">
        <is>
          <t>GÄVLEBORGS LÄN</t>
        </is>
      </c>
      <c r="E5266" t="inlineStr">
        <is>
          <t>OCKELBO</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40130-2022</t>
        </is>
      </c>
      <c r="B5267" s="1" t="n">
        <v>44820</v>
      </c>
      <c r="C5267" s="1" t="n">
        <v>45587</v>
      </c>
      <c r="D5267" t="inlineStr">
        <is>
          <t>GÄVLEBORGS LÄN</t>
        </is>
      </c>
      <c r="E5267" t="inlineStr">
        <is>
          <t>OCKELBO</t>
        </is>
      </c>
      <c r="F5267" t="inlineStr">
        <is>
          <t>Bergvik skog väst AB</t>
        </is>
      </c>
      <c r="G5267" t="n">
        <v>4.5</v>
      </c>
      <c r="H5267" t="n">
        <v>0</v>
      </c>
      <c r="I5267" t="n">
        <v>0</v>
      </c>
      <c r="J5267" t="n">
        <v>0</v>
      </c>
      <c r="K5267" t="n">
        <v>0</v>
      </c>
      <c r="L5267" t="n">
        <v>0</v>
      </c>
      <c r="M5267" t="n">
        <v>0</v>
      </c>
      <c r="N5267" t="n">
        <v>0</v>
      </c>
      <c r="O5267" t="n">
        <v>0</v>
      </c>
      <c r="P5267" t="n">
        <v>0</v>
      </c>
      <c r="Q5267" t="n">
        <v>0</v>
      </c>
      <c r="R5267" s="2" t="inlineStr"/>
    </row>
    <row r="5268" ht="15" customHeight="1">
      <c r="A5268" t="inlineStr">
        <is>
          <t>A 40148-2022</t>
        </is>
      </c>
      <c r="B5268" s="1" t="n">
        <v>44820</v>
      </c>
      <c r="C5268" s="1" t="n">
        <v>45587</v>
      </c>
      <c r="D5268" t="inlineStr">
        <is>
          <t>GÄVLEBORGS LÄN</t>
        </is>
      </c>
      <c r="E5268" t="inlineStr">
        <is>
          <t>SÖDERHAMN</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40110-2022</t>
        </is>
      </c>
      <c r="B5269" s="1" t="n">
        <v>44820</v>
      </c>
      <c r="C5269" s="1" t="n">
        <v>45587</v>
      </c>
      <c r="D5269" t="inlineStr">
        <is>
          <t>GÄVLEBORGS LÄN</t>
        </is>
      </c>
      <c r="E5269" t="inlineStr">
        <is>
          <t>NORDANSTIG</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40127-2022</t>
        </is>
      </c>
      <c r="B5270" s="1" t="n">
        <v>44820</v>
      </c>
      <c r="C5270" s="1" t="n">
        <v>45587</v>
      </c>
      <c r="D5270" t="inlineStr">
        <is>
          <t>GÄVLEBORGS LÄN</t>
        </is>
      </c>
      <c r="E5270" t="inlineStr">
        <is>
          <t>GÄVLE</t>
        </is>
      </c>
      <c r="F5270" t="inlineStr">
        <is>
          <t>Övriga statliga verk och myndigheter</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40162-2022</t>
        </is>
      </c>
      <c r="B5271" s="1" t="n">
        <v>44820</v>
      </c>
      <c r="C5271" s="1" t="n">
        <v>45587</v>
      </c>
      <c r="D5271" t="inlineStr">
        <is>
          <t>GÄVLEBORGS LÄN</t>
        </is>
      </c>
      <c r="E5271" t="inlineStr">
        <is>
          <t>BOLLNÄS</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40937-2022</t>
        </is>
      </c>
      <c r="B5272" s="1" t="n">
        <v>44820</v>
      </c>
      <c r="C5272" s="1" t="n">
        <v>45587</v>
      </c>
      <c r="D5272" t="inlineStr">
        <is>
          <t>GÄVLEBORGS LÄN</t>
        </is>
      </c>
      <c r="E5272" t="inlineStr">
        <is>
          <t>HUDIKSVALL</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40343-2022</t>
        </is>
      </c>
      <c r="B5273" s="1" t="n">
        <v>44823</v>
      </c>
      <c r="C5273" s="1" t="n">
        <v>45587</v>
      </c>
      <c r="D5273" t="inlineStr">
        <is>
          <t>GÄVLEBORGS LÄN</t>
        </is>
      </c>
      <c r="E5273" t="inlineStr">
        <is>
          <t>NORDANSTIG</t>
        </is>
      </c>
      <c r="F5273" t="inlineStr">
        <is>
          <t>Holmen skog AB</t>
        </is>
      </c>
      <c r="G5273" t="n">
        <v>5.7</v>
      </c>
      <c r="H5273" t="n">
        <v>0</v>
      </c>
      <c r="I5273" t="n">
        <v>0</v>
      </c>
      <c r="J5273" t="n">
        <v>0</v>
      </c>
      <c r="K5273" t="n">
        <v>0</v>
      </c>
      <c r="L5273" t="n">
        <v>0</v>
      </c>
      <c r="M5273" t="n">
        <v>0</v>
      </c>
      <c r="N5273" t="n">
        <v>0</v>
      </c>
      <c r="O5273" t="n">
        <v>0</v>
      </c>
      <c r="P5273" t="n">
        <v>0</v>
      </c>
      <c r="Q5273" t="n">
        <v>0</v>
      </c>
      <c r="R5273" s="2" t="inlineStr"/>
    </row>
    <row r="5274" ht="15" customHeight="1">
      <c r="A5274" t="inlineStr">
        <is>
          <t>A 40403-2022</t>
        </is>
      </c>
      <c r="B5274" s="1" t="n">
        <v>44823</v>
      </c>
      <c r="C5274" s="1" t="n">
        <v>45587</v>
      </c>
      <c r="D5274" t="inlineStr">
        <is>
          <t>GÄVLEBORGS LÄN</t>
        </is>
      </c>
      <c r="E5274" t="inlineStr">
        <is>
          <t>OVANÅKER</t>
        </is>
      </c>
      <c r="F5274" t="inlineStr">
        <is>
          <t>Bergvik skog väst AB</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40376-2022</t>
        </is>
      </c>
      <c r="B5275" s="1" t="n">
        <v>44823</v>
      </c>
      <c r="C5275" s="1" t="n">
        <v>45587</v>
      </c>
      <c r="D5275" t="inlineStr">
        <is>
          <t>GÄVLEBORGS LÄN</t>
        </is>
      </c>
      <c r="E5275" t="inlineStr">
        <is>
          <t>BOLLNÄS</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40400-2022</t>
        </is>
      </c>
      <c r="B5276" s="1" t="n">
        <v>44823</v>
      </c>
      <c r="C5276" s="1" t="n">
        <v>45587</v>
      </c>
      <c r="D5276" t="inlineStr">
        <is>
          <t>GÄVLEBORGS LÄN</t>
        </is>
      </c>
      <c r="E5276" t="inlineStr">
        <is>
          <t>OVANÅKER</t>
        </is>
      </c>
      <c r="F5276" t="inlineStr">
        <is>
          <t>Bergvik skog väst AB</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40438-2022</t>
        </is>
      </c>
      <c r="B5277" s="1" t="n">
        <v>44823</v>
      </c>
      <c r="C5277" s="1" t="n">
        <v>45587</v>
      </c>
      <c r="D5277" t="inlineStr">
        <is>
          <t>GÄVLEBORGS LÄN</t>
        </is>
      </c>
      <c r="E5277" t="inlineStr">
        <is>
          <t>NORDANSTIG</t>
        </is>
      </c>
      <c r="F5277" t="inlineStr">
        <is>
          <t>Holmen skog AB</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40462-2022</t>
        </is>
      </c>
      <c r="B5278" s="1" t="n">
        <v>44823</v>
      </c>
      <c r="C5278" s="1" t="n">
        <v>45587</v>
      </c>
      <c r="D5278" t="inlineStr">
        <is>
          <t>GÄVLEBORGS LÄN</t>
        </is>
      </c>
      <c r="E5278" t="inlineStr">
        <is>
          <t>SÖDERHAMN</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40494-2022</t>
        </is>
      </c>
      <c r="B5279" s="1" t="n">
        <v>44823</v>
      </c>
      <c r="C5279" s="1" t="n">
        <v>45587</v>
      </c>
      <c r="D5279" t="inlineStr">
        <is>
          <t>GÄVLEBORGS LÄN</t>
        </is>
      </c>
      <c r="E5279" t="inlineStr">
        <is>
          <t>GÄVLE</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40559-2022</t>
        </is>
      </c>
      <c r="B5280" s="1" t="n">
        <v>44823</v>
      </c>
      <c r="C5280" s="1" t="n">
        <v>45587</v>
      </c>
      <c r="D5280" t="inlineStr">
        <is>
          <t>GÄVLEBORGS LÄN</t>
        </is>
      </c>
      <c r="E5280" t="inlineStr">
        <is>
          <t>NORDANSTIG</t>
        </is>
      </c>
      <c r="F5280" t="inlineStr">
        <is>
          <t>Holmen skog AB</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40593-2022</t>
        </is>
      </c>
      <c r="B5281" s="1" t="n">
        <v>44823</v>
      </c>
      <c r="C5281" s="1" t="n">
        <v>45587</v>
      </c>
      <c r="D5281" t="inlineStr">
        <is>
          <t>GÄVLEBORGS LÄN</t>
        </is>
      </c>
      <c r="E5281" t="inlineStr">
        <is>
          <t>HUDIKSVALL</t>
        </is>
      </c>
      <c r="F5281" t="inlineStr">
        <is>
          <t>Holmen skog AB</t>
        </is>
      </c>
      <c r="G5281" t="n">
        <v>15.3</v>
      </c>
      <c r="H5281" t="n">
        <v>0</v>
      </c>
      <c r="I5281" t="n">
        <v>0</v>
      </c>
      <c r="J5281" t="n">
        <v>0</v>
      </c>
      <c r="K5281" t="n">
        <v>0</v>
      </c>
      <c r="L5281" t="n">
        <v>0</v>
      </c>
      <c r="M5281" t="n">
        <v>0</v>
      </c>
      <c r="N5281" t="n">
        <v>0</v>
      </c>
      <c r="O5281" t="n">
        <v>0</v>
      </c>
      <c r="P5281" t="n">
        <v>0</v>
      </c>
      <c r="Q5281" t="n">
        <v>0</v>
      </c>
      <c r="R5281" s="2" t="inlineStr"/>
    </row>
    <row r="5282" ht="15" customHeight="1">
      <c r="A5282" t="inlineStr">
        <is>
          <t>A 40342-2022</t>
        </is>
      </c>
      <c r="B5282" s="1" t="n">
        <v>44823</v>
      </c>
      <c r="C5282" s="1" t="n">
        <v>45587</v>
      </c>
      <c r="D5282" t="inlineStr">
        <is>
          <t>GÄVLEBORGS LÄN</t>
        </is>
      </c>
      <c r="E5282" t="inlineStr">
        <is>
          <t>NORDANSTIG</t>
        </is>
      </c>
      <c r="F5282" t="inlineStr">
        <is>
          <t>Holmen skog AB</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40388-2022</t>
        </is>
      </c>
      <c r="B5283" s="1" t="n">
        <v>44823</v>
      </c>
      <c r="C5283" s="1" t="n">
        <v>45587</v>
      </c>
      <c r="D5283" t="inlineStr">
        <is>
          <t>GÄVLEBORGS LÄN</t>
        </is>
      </c>
      <c r="E5283" t="inlineStr">
        <is>
          <t>NORDANSTIG</t>
        </is>
      </c>
      <c r="F5283" t="inlineStr">
        <is>
          <t>Holmen skog AB</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40498-2022</t>
        </is>
      </c>
      <c r="B5284" s="1" t="n">
        <v>44823</v>
      </c>
      <c r="C5284" s="1" t="n">
        <v>45587</v>
      </c>
      <c r="D5284" t="inlineStr">
        <is>
          <t>GÄVLEBORGS LÄN</t>
        </is>
      </c>
      <c r="E5284" t="inlineStr">
        <is>
          <t>GÄVLE</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40515-2022</t>
        </is>
      </c>
      <c r="B5285" s="1" t="n">
        <v>44823</v>
      </c>
      <c r="C5285" s="1" t="n">
        <v>45587</v>
      </c>
      <c r="D5285" t="inlineStr">
        <is>
          <t>GÄVLEBORGS LÄN</t>
        </is>
      </c>
      <c r="E5285" t="inlineStr">
        <is>
          <t>HOFORS</t>
        </is>
      </c>
      <c r="F5285" t="inlineStr">
        <is>
          <t>Sveaskog</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40575-2022</t>
        </is>
      </c>
      <c r="B5286" s="1" t="n">
        <v>44823</v>
      </c>
      <c r="C5286" s="1" t="n">
        <v>45587</v>
      </c>
      <c r="D5286" t="inlineStr">
        <is>
          <t>GÄVLEBORGS LÄN</t>
        </is>
      </c>
      <c r="E5286" t="inlineStr">
        <is>
          <t>SÖDERHAMN</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40468-2022</t>
        </is>
      </c>
      <c r="B5287" s="1" t="n">
        <v>44823</v>
      </c>
      <c r="C5287" s="1" t="n">
        <v>45587</v>
      </c>
      <c r="D5287" t="inlineStr">
        <is>
          <t>GÄVLEBORGS LÄN</t>
        </is>
      </c>
      <c r="E5287" t="inlineStr">
        <is>
          <t>SÖDERHAMN</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40507-2022</t>
        </is>
      </c>
      <c r="B5288" s="1" t="n">
        <v>44823</v>
      </c>
      <c r="C5288" s="1" t="n">
        <v>45587</v>
      </c>
      <c r="D5288" t="inlineStr">
        <is>
          <t>GÄVLEBORGS LÄN</t>
        </is>
      </c>
      <c r="E5288" t="inlineStr">
        <is>
          <t>OVANÅKER</t>
        </is>
      </c>
      <c r="F5288" t="inlineStr">
        <is>
          <t>Bergvik skog väst AB</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40517-2022</t>
        </is>
      </c>
      <c r="B5289" s="1" t="n">
        <v>44823</v>
      </c>
      <c r="C5289" s="1" t="n">
        <v>45587</v>
      </c>
      <c r="D5289" t="inlineStr">
        <is>
          <t>GÄVLEBORGS LÄN</t>
        </is>
      </c>
      <c r="E5289" t="inlineStr">
        <is>
          <t>HOFORS</t>
        </is>
      </c>
      <c r="F5289" t="inlineStr">
        <is>
          <t>Sveaskog</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40577-2022</t>
        </is>
      </c>
      <c r="B5290" s="1" t="n">
        <v>44823</v>
      </c>
      <c r="C5290" s="1" t="n">
        <v>45587</v>
      </c>
      <c r="D5290" t="inlineStr">
        <is>
          <t>GÄVLEBORGS LÄN</t>
        </is>
      </c>
      <c r="E5290" t="inlineStr">
        <is>
          <t>SÖDERHAMN</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40554-2022</t>
        </is>
      </c>
      <c r="B5291" s="1" t="n">
        <v>44823</v>
      </c>
      <c r="C5291" s="1" t="n">
        <v>45587</v>
      </c>
      <c r="D5291" t="inlineStr">
        <is>
          <t>GÄVLEBORGS LÄN</t>
        </is>
      </c>
      <c r="E5291" t="inlineStr">
        <is>
          <t>LJUSDAL</t>
        </is>
      </c>
      <c r="F5291" t="inlineStr">
        <is>
          <t>Bergvik skog väst AB</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40766-2022</t>
        </is>
      </c>
      <c r="B5292" s="1" t="n">
        <v>44824</v>
      </c>
      <c r="C5292" s="1" t="n">
        <v>45587</v>
      </c>
      <c r="D5292" t="inlineStr">
        <is>
          <t>GÄVLEBORGS LÄN</t>
        </is>
      </c>
      <c r="E5292" t="inlineStr">
        <is>
          <t>LJUSDAL</t>
        </is>
      </c>
      <c r="F5292" t="inlineStr">
        <is>
          <t>Holmen skog AB</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40729-2022</t>
        </is>
      </c>
      <c r="B5293" s="1" t="n">
        <v>44824</v>
      </c>
      <c r="C5293" s="1" t="n">
        <v>45587</v>
      </c>
      <c r="D5293" t="inlineStr">
        <is>
          <t>GÄVLEBORGS LÄN</t>
        </is>
      </c>
      <c r="E5293" t="inlineStr">
        <is>
          <t>LJUSDAL</t>
        </is>
      </c>
      <c r="F5293" t="inlineStr">
        <is>
          <t>Holmen skog AB</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40743-2022</t>
        </is>
      </c>
      <c r="B5294" s="1" t="n">
        <v>44824</v>
      </c>
      <c r="C5294" s="1" t="n">
        <v>45587</v>
      </c>
      <c r="D5294" t="inlineStr">
        <is>
          <t>GÄVLEBORGS LÄN</t>
        </is>
      </c>
      <c r="E5294" t="inlineStr">
        <is>
          <t>OVANÅKER</t>
        </is>
      </c>
      <c r="F5294" t="inlineStr">
        <is>
          <t>Bergvik skog väst AB</t>
        </is>
      </c>
      <c r="G5294" t="n">
        <v>6.4</v>
      </c>
      <c r="H5294" t="n">
        <v>0</v>
      </c>
      <c r="I5294" t="n">
        <v>0</v>
      </c>
      <c r="J5294" t="n">
        <v>0</v>
      </c>
      <c r="K5294" t="n">
        <v>0</v>
      </c>
      <c r="L5294" t="n">
        <v>0</v>
      </c>
      <c r="M5294" t="n">
        <v>0</v>
      </c>
      <c r="N5294" t="n">
        <v>0</v>
      </c>
      <c r="O5294" t="n">
        <v>0</v>
      </c>
      <c r="P5294" t="n">
        <v>0</v>
      </c>
      <c r="Q5294" t="n">
        <v>0</v>
      </c>
      <c r="R5294" s="2" t="inlineStr"/>
    </row>
    <row r="5295" ht="15" customHeight="1">
      <c r="A5295" t="inlineStr">
        <is>
          <t>A 40798-2022</t>
        </is>
      </c>
      <c r="B5295" s="1" t="n">
        <v>44824</v>
      </c>
      <c r="C5295" s="1" t="n">
        <v>45587</v>
      </c>
      <c r="D5295" t="inlineStr">
        <is>
          <t>GÄVLEBORGS LÄN</t>
        </is>
      </c>
      <c r="E5295" t="inlineStr">
        <is>
          <t>NORDANSTIG</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40811-2022</t>
        </is>
      </c>
      <c r="B5296" s="1" t="n">
        <v>44824</v>
      </c>
      <c r="C5296" s="1" t="n">
        <v>45587</v>
      </c>
      <c r="D5296" t="inlineStr">
        <is>
          <t>GÄVLEBORGS LÄN</t>
        </is>
      </c>
      <c r="E5296" t="inlineStr">
        <is>
          <t>SÖDERHAMN</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41041-2022</t>
        </is>
      </c>
      <c r="B5297" s="1" t="n">
        <v>44824</v>
      </c>
      <c r="C5297" s="1" t="n">
        <v>45587</v>
      </c>
      <c r="D5297" t="inlineStr">
        <is>
          <t>GÄVLEBORGS LÄN</t>
        </is>
      </c>
      <c r="E5297" t="inlineStr">
        <is>
          <t>GÄVLE</t>
        </is>
      </c>
      <c r="F5297" t="inlineStr">
        <is>
          <t>Bergvik skog väst AB</t>
        </is>
      </c>
      <c r="G5297" t="n">
        <v>10.1</v>
      </c>
      <c r="H5297" t="n">
        <v>0</v>
      </c>
      <c r="I5297" t="n">
        <v>0</v>
      </c>
      <c r="J5297" t="n">
        <v>0</v>
      </c>
      <c r="K5297" t="n">
        <v>0</v>
      </c>
      <c r="L5297" t="n">
        <v>0</v>
      </c>
      <c r="M5297" t="n">
        <v>0</v>
      </c>
      <c r="N5297" t="n">
        <v>0</v>
      </c>
      <c r="O5297" t="n">
        <v>0</v>
      </c>
      <c r="P5297" t="n">
        <v>0</v>
      </c>
      <c r="Q5297" t="n">
        <v>0</v>
      </c>
      <c r="R5297" s="2" t="inlineStr"/>
    </row>
    <row r="5298" ht="15" customHeight="1">
      <c r="A5298" t="inlineStr">
        <is>
          <t>A 40787-2022</t>
        </is>
      </c>
      <c r="B5298" s="1" t="n">
        <v>44824</v>
      </c>
      <c r="C5298" s="1" t="n">
        <v>45587</v>
      </c>
      <c r="D5298" t="inlineStr">
        <is>
          <t>GÄVLEBORGS LÄN</t>
        </is>
      </c>
      <c r="E5298" t="inlineStr">
        <is>
          <t>LJUSDAL</t>
        </is>
      </c>
      <c r="F5298" t="inlineStr">
        <is>
          <t>Holmen skog AB</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41037-2022</t>
        </is>
      </c>
      <c r="B5299" s="1" t="n">
        <v>44824</v>
      </c>
      <c r="C5299" s="1" t="n">
        <v>45587</v>
      </c>
      <c r="D5299" t="inlineStr">
        <is>
          <t>GÄVLEBORGS LÄN</t>
        </is>
      </c>
      <c r="E5299" t="inlineStr">
        <is>
          <t>SÖDERHAMN</t>
        </is>
      </c>
      <c r="F5299" t="inlineStr">
        <is>
          <t>Kommuner</t>
        </is>
      </c>
      <c r="G5299" t="n">
        <v>21.6</v>
      </c>
      <c r="H5299" t="n">
        <v>0</v>
      </c>
      <c r="I5299" t="n">
        <v>0</v>
      </c>
      <c r="J5299" t="n">
        <v>0</v>
      </c>
      <c r="K5299" t="n">
        <v>0</v>
      </c>
      <c r="L5299" t="n">
        <v>0</v>
      </c>
      <c r="M5299" t="n">
        <v>0</v>
      </c>
      <c r="N5299" t="n">
        <v>0</v>
      </c>
      <c r="O5299" t="n">
        <v>0</v>
      </c>
      <c r="P5299" t="n">
        <v>0</v>
      </c>
      <c r="Q5299" t="n">
        <v>0</v>
      </c>
      <c r="R5299" s="2" t="inlineStr"/>
    </row>
    <row r="5300" ht="15" customHeight="1">
      <c r="A5300" t="inlineStr">
        <is>
          <t>A 40868-2022</t>
        </is>
      </c>
      <c r="B5300" s="1" t="n">
        <v>44825</v>
      </c>
      <c r="C5300" s="1" t="n">
        <v>45587</v>
      </c>
      <c r="D5300" t="inlineStr">
        <is>
          <t>GÄVLEBORGS LÄN</t>
        </is>
      </c>
      <c r="E5300" t="inlineStr">
        <is>
          <t>NORDANSTIG</t>
        </is>
      </c>
      <c r="F5300" t="inlineStr">
        <is>
          <t>Holmen skog AB</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40876-2022</t>
        </is>
      </c>
      <c r="B5301" s="1" t="n">
        <v>44825</v>
      </c>
      <c r="C5301" s="1" t="n">
        <v>45587</v>
      </c>
      <c r="D5301" t="inlineStr">
        <is>
          <t>GÄVLEBORGS LÄN</t>
        </is>
      </c>
      <c r="E5301" t="inlineStr">
        <is>
          <t>HUDIKSVALL</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40913-2022</t>
        </is>
      </c>
      <c r="B5302" s="1" t="n">
        <v>44825</v>
      </c>
      <c r="C5302" s="1" t="n">
        <v>45587</v>
      </c>
      <c r="D5302" t="inlineStr">
        <is>
          <t>GÄVLEBORGS LÄN</t>
        </is>
      </c>
      <c r="E5302" t="inlineStr">
        <is>
          <t>NORDANSTIG</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40909-2022</t>
        </is>
      </c>
      <c r="B5303" s="1" t="n">
        <v>44825</v>
      </c>
      <c r="C5303" s="1" t="n">
        <v>45587</v>
      </c>
      <c r="D5303" t="inlineStr">
        <is>
          <t>GÄVLEBORGS LÄN</t>
        </is>
      </c>
      <c r="E5303" t="inlineStr">
        <is>
          <t>HUDIKSVALL</t>
        </is>
      </c>
      <c r="F5303" t="inlineStr">
        <is>
          <t>Holmen skog AB</t>
        </is>
      </c>
      <c r="G5303" t="n">
        <v>15.2</v>
      </c>
      <c r="H5303" t="n">
        <v>0</v>
      </c>
      <c r="I5303" t="n">
        <v>0</v>
      </c>
      <c r="J5303" t="n">
        <v>0</v>
      </c>
      <c r="K5303" t="n">
        <v>0</v>
      </c>
      <c r="L5303" t="n">
        <v>0</v>
      </c>
      <c r="M5303" t="n">
        <v>0</v>
      </c>
      <c r="N5303" t="n">
        <v>0</v>
      </c>
      <c r="O5303" t="n">
        <v>0</v>
      </c>
      <c r="P5303" t="n">
        <v>0</v>
      </c>
      <c r="Q5303" t="n">
        <v>0</v>
      </c>
      <c r="R5303" s="2" t="inlineStr"/>
    </row>
    <row r="5304" ht="15" customHeight="1">
      <c r="A5304" t="inlineStr">
        <is>
          <t>A 40861-2022</t>
        </is>
      </c>
      <c r="B5304" s="1" t="n">
        <v>44825</v>
      </c>
      <c r="C5304" s="1" t="n">
        <v>45587</v>
      </c>
      <c r="D5304" t="inlineStr">
        <is>
          <t>GÄVLEBORGS LÄN</t>
        </is>
      </c>
      <c r="E5304" t="inlineStr">
        <is>
          <t>HUDIKSVALL</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41115-2022</t>
        </is>
      </c>
      <c r="B5305" s="1" t="n">
        <v>44825</v>
      </c>
      <c r="C5305" s="1" t="n">
        <v>45587</v>
      </c>
      <c r="D5305" t="inlineStr">
        <is>
          <t>GÄVLEBORGS LÄN</t>
        </is>
      </c>
      <c r="E5305" t="inlineStr">
        <is>
          <t>HUDIKSVALL</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41161-2022</t>
        </is>
      </c>
      <c r="B5306" s="1" t="n">
        <v>44825</v>
      </c>
      <c r="C5306" s="1" t="n">
        <v>45587</v>
      </c>
      <c r="D5306" t="inlineStr">
        <is>
          <t>GÄVLEBORGS LÄN</t>
        </is>
      </c>
      <c r="E5306" t="inlineStr">
        <is>
          <t>NORDANSTIG</t>
        </is>
      </c>
      <c r="G5306" t="n">
        <v>4.8</v>
      </c>
      <c r="H5306" t="n">
        <v>0</v>
      </c>
      <c r="I5306" t="n">
        <v>0</v>
      </c>
      <c r="J5306" t="n">
        <v>0</v>
      </c>
      <c r="K5306" t="n">
        <v>0</v>
      </c>
      <c r="L5306" t="n">
        <v>0</v>
      </c>
      <c r="M5306" t="n">
        <v>0</v>
      </c>
      <c r="N5306" t="n">
        <v>0</v>
      </c>
      <c r="O5306" t="n">
        <v>0</v>
      </c>
      <c r="P5306" t="n">
        <v>0</v>
      </c>
      <c r="Q5306" t="n">
        <v>0</v>
      </c>
      <c r="R5306" s="2" t="inlineStr"/>
    </row>
    <row r="5307" ht="15" customHeight="1">
      <c r="A5307" t="inlineStr">
        <is>
          <t>A 41231-2022</t>
        </is>
      </c>
      <c r="B5307" s="1" t="n">
        <v>44825</v>
      </c>
      <c r="C5307" s="1" t="n">
        <v>45587</v>
      </c>
      <c r="D5307" t="inlineStr">
        <is>
          <t>GÄVLEBORGS LÄN</t>
        </is>
      </c>
      <c r="E5307" t="inlineStr">
        <is>
          <t>HUDIKSVALL</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41221-2022</t>
        </is>
      </c>
      <c r="B5308" s="1" t="n">
        <v>44826</v>
      </c>
      <c r="C5308" s="1" t="n">
        <v>45587</v>
      </c>
      <c r="D5308" t="inlineStr">
        <is>
          <t>GÄVLEBORGS LÄN</t>
        </is>
      </c>
      <c r="E5308" t="inlineStr">
        <is>
          <t>SÖDERHAMN</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41246-2022</t>
        </is>
      </c>
      <c r="B5309" s="1" t="n">
        <v>44826</v>
      </c>
      <c r="C5309" s="1" t="n">
        <v>45587</v>
      </c>
      <c r="D5309" t="inlineStr">
        <is>
          <t>GÄVLEBORGS LÄN</t>
        </is>
      </c>
      <c r="E5309" t="inlineStr">
        <is>
          <t>SÖDERHAMN</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41285-2022</t>
        </is>
      </c>
      <c r="B5310" s="1" t="n">
        <v>44826</v>
      </c>
      <c r="C5310" s="1" t="n">
        <v>45587</v>
      </c>
      <c r="D5310" t="inlineStr">
        <is>
          <t>GÄVLEBORGS LÄN</t>
        </is>
      </c>
      <c r="E5310" t="inlineStr">
        <is>
          <t>LJUSDAL</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41345-2022</t>
        </is>
      </c>
      <c r="B5311" s="1" t="n">
        <v>44826</v>
      </c>
      <c r="C5311" s="1" t="n">
        <v>45587</v>
      </c>
      <c r="D5311" t="inlineStr">
        <is>
          <t>GÄVLEBORGS LÄN</t>
        </is>
      </c>
      <c r="E5311" t="inlineStr">
        <is>
          <t>NORDANSTIG</t>
        </is>
      </c>
      <c r="F5311" t="inlineStr">
        <is>
          <t>Holmen skog AB</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41454-2022</t>
        </is>
      </c>
      <c r="B5312" s="1" t="n">
        <v>44826</v>
      </c>
      <c r="C5312" s="1" t="n">
        <v>45587</v>
      </c>
      <c r="D5312" t="inlineStr">
        <is>
          <t>GÄVLEBORGS LÄN</t>
        </is>
      </c>
      <c r="E5312" t="inlineStr">
        <is>
          <t>BOLLNÄS</t>
        </is>
      </c>
      <c r="F5312" t="inlineStr">
        <is>
          <t>Bergvik skog väst AB</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41356-2022</t>
        </is>
      </c>
      <c r="B5313" s="1" t="n">
        <v>44826</v>
      </c>
      <c r="C5313" s="1" t="n">
        <v>45587</v>
      </c>
      <c r="D5313" t="inlineStr">
        <is>
          <t>GÄVLEBORGS LÄN</t>
        </is>
      </c>
      <c r="E5313" t="inlineStr">
        <is>
          <t>NORDANSTIG</t>
        </is>
      </c>
      <c r="F5313" t="inlineStr">
        <is>
          <t>Holmen skog AB</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41453-2022</t>
        </is>
      </c>
      <c r="B5314" s="1" t="n">
        <v>44826</v>
      </c>
      <c r="C5314" s="1" t="n">
        <v>45587</v>
      </c>
      <c r="D5314" t="inlineStr">
        <is>
          <t>GÄVLEBORGS LÄN</t>
        </is>
      </c>
      <c r="E5314" t="inlineStr">
        <is>
          <t>BOLLNÄS</t>
        </is>
      </c>
      <c r="F5314" t="inlineStr">
        <is>
          <t>Bergvik skog väst AB</t>
        </is>
      </c>
      <c r="G5314" t="n">
        <v>6.7</v>
      </c>
      <c r="H5314" t="n">
        <v>0</v>
      </c>
      <c r="I5314" t="n">
        <v>0</v>
      </c>
      <c r="J5314" t="n">
        <v>0</v>
      </c>
      <c r="K5314" t="n">
        <v>0</v>
      </c>
      <c r="L5314" t="n">
        <v>0</v>
      </c>
      <c r="M5314" t="n">
        <v>0</v>
      </c>
      <c r="N5314" t="n">
        <v>0</v>
      </c>
      <c r="O5314" t="n">
        <v>0</v>
      </c>
      <c r="P5314" t="n">
        <v>0</v>
      </c>
      <c r="Q5314" t="n">
        <v>0</v>
      </c>
      <c r="R5314" s="2" t="inlineStr"/>
    </row>
    <row r="5315" ht="15" customHeight="1">
      <c r="A5315" t="inlineStr">
        <is>
          <t>A 41461-2022</t>
        </is>
      </c>
      <c r="B5315" s="1" t="n">
        <v>44827</v>
      </c>
      <c r="C5315" s="1" t="n">
        <v>45587</v>
      </c>
      <c r="D5315" t="inlineStr">
        <is>
          <t>GÄVLEBORGS LÄN</t>
        </is>
      </c>
      <c r="E5315" t="inlineStr">
        <is>
          <t>LJUSDAL</t>
        </is>
      </c>
      <c r="F5315" t="inlineStr">
        <is>
          <t>SCA</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41658-2022</t>
        </is>
      </c>
      <c r="B5316" s="1" t="n">
        <v>44827</v>
      </c>
      <c r="C5316" s="1" t="n">
        <v>45587</v>
      </c>
      <c r="D5316" t="inlineStr">
        <is>
          <t>GÄVLEBORGS LÄN</t>
        </is>
      </c>
      <c r="E5316" t="inlineStr">
        <is>
          <t>OVANÅKER</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41698-2022</t>
        </is>
      </c>
      <c r="B5317" s="1" t="n">
        <v>44827</v>
      </c>
      <c r="C5317" s="1" t="n">
        <v>45587</v>
      </c>
      <c r="D5317" t="inlineStr">
        <is>
          <t>GÄVLEBORGS LÄN</t>
        </is>
      </c>
      <c r="E5317" t="inlineStr">
        <is>
          <t>LJUSDAL</t>
        </is>
      </c>
      <c r="F5317" t="inlineStr">
        <is>
          <t>Bergvik skog väst AB</t>
        </is>
      </c>
      <c r="G5317" t="n">
        <v>7.4</v>
      </c>
      <c r="H5317" t="n">
        <v>0</v>
      </c>
      <c r="I5317" t="n">
        <v>0</v>
      </c>
      <c r="J5317" t="n">
        <v>0</v>
      </c>
      <c r="K5317" t="n">
        <v>0</v>
      </c>
      <c r="L5317" t="n">
        <v>0</v>
      </c>
      <c r="M5317" t="n">
        <v>0</v>
      </c>
      <c r="N5317" t="n">
        <v>0</v>
      </c>
      <c r="O5317" t="n">
        <v>0</v>
      </c>
      <c r="P5317" t="n">
        <v>0</v>
      </c>
      <c r="Q5317" t="n">
        <v>0</v>
      </c>
      <c r="R5317" s="2" t="inlineStr"/>
    </row>
    <row r="5318" ht="15" customHeight="1">
      <c r="A5318" t="inlineStr">
        <is>
          <t>A 41718-2022</t>
        </is>
      </c>
      <c r="B5318" s="1" t="n">
        <v>44827</v>
      </c>
      <c r="C5318" s="1" t="n">
        <v>45587</v>
      </c>
      <c r="D5318" t="inlineStr">
        <is>
          <t>GÄVLEBORGS LÄN</t>
        </is>
      </c>
      <c r="E5318" t="inlineStr">
        <is>
          <t>LJUSDAL</t>
        </is>
      </c>
      <c r="F5318" t="inlineStr">
        <is>
          <t>Bergvik skog väst AB</t>
        </is>
      </c>
      <c r="G5318" t="n">
        <v>17.3</v>
      </c>
      <c r="H5318" t="n">
        <v>0</v>
      </c>
      <c r="I5318" t="n">
        <v>0</v>
      </c>
      <c r="J5318" t="n">
        <v>0</v>
      </c>
      <c r="K5318" t="n">
        <v>0</v>
      </c>
      <c r="L5318" t="n">
        <v>0</v>
      </c>
      <c r="M5318" t="n">
        <v>0</v>
      </c>
      <c r="N5318" t="n">
        <v>0</v>
      </c>
      <c r="O5318" t="n">
        <v>0</v>
      </c>
      <c r="P5318" t="n">
        <v>0</v>
      </c>
      <c r="Q5318" t="n">
        <v>0</v>
      </c>
      <c r="R5318" s="2" t="inlineStr"/>
    </row>
    <row r="5319" ht="15" customHeight="1">
      <c r="A5319" t="inlineStr">
        <is>
          <t>A 41559-2022</t>
        </is>
      </c>
      <c r="B5319" s="1" t="n">
        <v>44827</v>
      </c>
      <c r="C5319" s="1" t="n">
        <v>45587</v>
      </c>
      <c r="D5319" t="inlineStr">
        <is>
          <t>GÄVLEBORGS LÄN</t>
        </is>
      </c>
      <c r="E5319" t="inlineStr">
        <is>
          <t>GÄVLE</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41831-2022</t>
        </is>
      </c>
      <c r="B5320" s="1" t="n">
        <v>44827</v>
      </c>
      <c r="C5320" s="1" t="n">
        <v>45587</v>
      </c>
      <c r="D5320" t="inlineStr">
        <is>
          <t>GÄVLEBORGS LÄN</t>
        </is>
      </c>
      <c r="E5320" t="inlineStr">
        <is>
          <t>BOLLNÄS</t>
        </is>
      </c>
      <c r="F5320" t="inlineStr">
        <is>
          <t>Bergvik skog väst AB</t>
        </is>
      </c>
      <c r="G5320" t="n">
        <v>5.1</v>
      </c>
      <c r="H5320" t="n">
        <v>0</v>
      </c>
      <c r="I5320" t="n">
        <v>0</v>
      </c>
      <c r="J5320" t="n">
        <v>0</v>
      </c>
      <c r="K5320" t="n">
        <v>0</v>
      </c>
      <c r="L5320" t="n">
        <v>0</v>
      </c>
      <c r="M5320" t="n">
        <v>0</v>
      </c>
      <c r="N5320" t="n">
        <v>0</v>
      </c>
      <c r="O5320" t="n">
        <v>0</v>
      </c>
      <c r="P5320" t="n">
        <v>0</v>
      </c>
      <c r="Q5320" t="n">
        <v>0</v>
      </c>
      <c r="R5320" s="2" t="inlineStr"/>
    </row>
    <row r="5321" ht="15" customHeight="1">
      <c r="A5321" t="inlineStr">
        <is>
          <t>A 41525-2022</t>
        </is>
      </c>
      <c r="B5321" s="1" t="n">
        <v>44827</v>
      </c>
      <c r="C5321" s="1" t="n">
        <v>45587</v>
      </c>
      <c r="D5321" t="inlineStr">
        <is>
          <t>GÄVLEBORGS LÄN</t>
        </is>
      </c>
      <c r="E5321" t="inlineStr">
        <is>
          <t>LJUSDAL</t>
        </is>
      </c>
      <c r="F5321" t="inlineStr">
        <is>
          <t>Holmen skog AB</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41848-2022</t>
        </is>
      </c>
      <c r="B5322" s="1" t="n">
        <v>44828</v>
      </c>
      <c r="C5322" s="1" t="n">
        <v>45587</v>
      </c>
      <c r="D5322" t="inlineStr">
        <is>
          <t>GÄVLEBORGS LÄN</t>
        </is>
      </c>
      <c r="E5322" t="inlineStr">
        <is>
          <t>LJUSDAL</t>
        </is>
      </c>
      <c r="G5322" t="n">
        <v>4.8</v>
      </c>
      <c r="H5322" t="n">
        <v>0</v>
      </c>
      <c r="I5322" t="n">
        <v>0</v>
      </c>
      <c r="J5322" t="n">
        <v>0</v>
      </c>
      <c r="K5322" t="n">
        <v>0</v>
      </c>
      <c r="L5322" t="n">
        <v>0</v>
      </c>
      <c r="M5322" t="n">
        <v>0</v>
      </c>
      <c r="N5322" t="n">
        <v>0</v>
      </c>
      <c r="O5322" t="n">
        <v>0</v>
      </c>
      <c r="P5322" t="n">
        <v>0</v>
      </c>
      <c r="Q5322" t="n">
        <v>0</v>
      </c>
      <c r="R5322" s="2" t="inlineStr"/>
    </row>
    <row r="5323" ht="15" customHeight="1">
      <c r="A5323" t="inlineStr">
        <is>
          <t>A 41861-2022</t>
        </is>
      </c>
      <c r="B5323" s="1" t="n">
        <v>44829</v>
      </c>
      <c r="C5323" s="1" t="n">
        <v>45587</v>
      </c>
      <c r="D5323" t="inlineStr">
        <is>
          <t>GÄVLEBORGS LÄN</t>
        </is>
      </c>
      <c r="E5323" t="inlineStr">
        <is>
          <t>SANDVIKEN</t>
        </is>
      </c>
      <c r="F5323" t="inlineStr">
        <is>
          <t>Sveaskog</t>
        </is>
      </c>
      <c r="G5323" t="n">
        <v>18.2</v>
      </c>
      <c r="H5323" t="n">
        <v>0</v>
      </c>
      <c r="I5323" t="n">
        <v>0</v>
      </c>
      <c r="J5323" t="n">
        <v>0</v>
      </c>
      <c r="K5323" t="n">
        <v>0</v>
      </c>
      <c r="L5323" t="n">
        <v>0</v>
      </c>
      <c r="M5323" t="n">
        <v>0</v>
      </c>
      <c r="N5323" t="n">
        <v>0</v>
      </c>
      <c r="O5323" t="n">
        <v>0</v>
      </c>
      <c r="P5323" t="n">
        <v>0</v>
      </c>
      <c r="Q5323" t="n">
        <v>0</v>
      </c>
      <c r="R5323" s="2" t="inlineStr"/>
    </row>
    <row r="5324" ht="15" customHeight="1">
      <c r="A5324" t="inlineStr">
        <is>
          <t>A 41862-2022</t>
        </is>
      </c>
      <c r="B5324" s="1" t="n">
        <v>44829</v>
      </c>
      <c r="C5324" s="1" t="n">
        <v>45587</v>
      </c>
      <c r="D5324" t="inlineStr">
        <is>
          <t>GÄVLEBORGS LÄN</t>
        </is>
      </c>
      <c r="E5324" t="inlineStr">
        <is>
          <t>SANDVIKEN</t>
        </is>
      </c>
      <c r="F5324" t="inlineStr">
        <is>
          <t>Sveaskog</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41863-2022</t>
        </is>
      </c>
      <c r="B5325" s="1" t="n">
        <v>44829</v>
      </c>
      <c r="C5325" s="1" t="n">
        <v>45587</v>
      </c>
      <c r="D5325" t="inlineStr">
        <is>
          <t>GÄVLEBORGS LÄN</t>
        </is>
      </c>
      <c r="E5325" t="inlineStr">
        <is>
          <t>SANDVIKEN</t>
        </is>
      </c>
      <c r="F5325" t="inlineStr">
        <is>
          <t>Sveaskog</t>
        </is>
      </c>
      <c r="G5325" t="n">
        <v>4.7</v>
      </c>
      <c r="H5325" t="n">
        <v>0</v>
      </c>
      <c r="I5325" t="n">
        <v>0</v>
      </c>
      <c r="J5325" t="n">
        <v>0</v>
      </c>
      <c r="K5325" t="n">
        <v>0</v>
      </c>
      <c r="L5325" t="n">
        <v>0</v>
      </c>
      <c r="M5325" t="n">
        <v>0</v>
      </c>
      <c r="N5325" t="n">
        <v>0</v>
      </c>
      <c r="O5325" t="n">
        <v>0</v>
      </c>
      <c r="P5325" t="n">
        <v>0</v>
      </c>
      <c r="Q5325" t="n">
        <v>0</v>
      </c>
      <c r="R5325" s="2" t="inlineStr"/>
    </row>
    <row r="5326" ht="15" customHeight="1">
      <c r="A5326" t="inlineStr">
        <is>
          <t>A 41962-2022</t>
        </is>
      </c>
      <c r="B5326" s="1" t="n">
        <v>44830</v>
      </c>
      <c r="C5326" s="1" t="n">
        <v>45587</v>
      </c>
      <c r="D5326" t="inlineStr">
        <is>
          <t>GÄVLEBORGS LÄN</t>
        </is>
      </c>
      <c r="E5326" t="inlineStr">
        <is>
          <t>BOLLNÄS</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42118-2022</t>
        </is>
      </c>
      <c r="B5327" s="1" t="n">
        <v>44830</v>
      </c>
      <c r="C5327" s="1" t="n">
        <v>45587</v>
      </c>
      <c r="D5327" t="inlineStr">
        <is>
          <t>GÄVLEBORGS LÄN</t>
        </is>
      </c>
      <c r="E5327" t="inlineStr">
        <is>
          <t>NORDANSTIG</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41960-2022</t>
        </is>
      </c>
      <c r="B5328" s="1" t="n">
        <v>44830</v>
      </c>
      <c r="C5328" s="1" t="n">
        <v>45587</v>
      </c>
      <c r="D5328" t="inlineStr">
        <is>
          <t>GÄVLEBORGS LÄN</t>
        </is>
      </c>
      <c r="E5328" t="inlineStr">
        <is>
          <t>BOLLNÄS</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42129-2022</t>
        </is>
      </c>
      <c r="B5329" s="1" t="n">
        <v>44830</v>
      </c>
      <c r="C5329" s="1" t="n">
        <v>45587</v>
      </c>
      <c r="D5329" t="inlineStr">
        <is>
          <t>GÄVLEBORGS LÄN</t>
        </is>
      </c>
      <c r="E5329" t="inlineStr">
        <is>
          <t>NORDANSTIG</t>
        </is>
      </c>
      <c r="F5329" t="inlineStr">
        <is>
          <t>Holmen skog AB</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42154-2022</t>
        </is>
      </c>
      <c r="B5330" s="1" t="n">
        <v>44830</v>
      </c>
      <c r="C5330" s="1" t="n">
        <v>45587</v>
      </c>
      <c r="D5330" t="inlineStr">
        <is>
          <t>GÄVLEBORGS LÄN</t>
        </is>
      </c>
      <c r="E5330" t="inlineStr">
        <is>
          <t>NORDANSTIG</t>
        </is>
      </c>
      <c r="F5330" t="inlineStr">
        <is>
          <t>Holmen skog AB</t>
        </is>
      </c>
      <c r="G5330" t="n">
        <v>6.5</v>
      </c>
      <c r="H5330" t="n">
        <v>0</v>
      </c>
      <c r="I5330" t="n">
        <v>0</v>
      </c>
      <c r="J5330" t="n">
        <v>0</v>
      </c>
      <c r="K5330" t="n">
        <v>0</v>
      </c>
      <c r="L5330" t="n">
        <v>0</v>
      </c>
      <c r="M5330" t="n">
        <v>0</v>
      </c>
      <c r="N5330" t="n">
        <v>0</v>
      </c>
      <c r="O5330" t="n">
        <v>0</v>
      </c>
      <c r="P5330" t="n">
        <v>0</v>
      </c>
      <c r="Q5330" t="n">
        <v>0</v>
      </c>
      <c r="R5330" s="2" t="inlineStr"/>
    </row>
    <row r="5331" ht="15" customHeight="1">
      <c r="A5331" t="inlineStr">
        <is>
          <t>A 42211-2022</t>
        </is>
      </c>
      <c r="B5331" s="1" t="n">
        <v>44830</v>
      </c>
      <c r="C5331" s="1" t="n">
        <v>45587</v>
      </c>
      <c r="D5331" t="inlineStr">
        <is>
          <t>GÄVLEBORGS LÄN</t>
        </is>
      </c>
      <c r="E5331" t="inlineStr">
        <is>
          <t>OVANÅKER</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42192-2022</t>
        </is>
      </c>
      <c r="B5332" s="1" t="n">
        <v>44830</v>
      </c>
      <c r="C5332" s="1" t="n">
        <v>45587</v>
      </c>
      <c r="D5332" t="inlineStr">
        <is>
          <t>GÄVLEBORGS LÄN</t>
        </is>
      </c>
      <c r="E5332" t="inlineStr">
        <is>
          <t>GÄVLE</t>
        </is>
      </c>
      <c r="F5332" t="inlineStr">
        <is>
          <t>Bergvik skog väst AB</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42330-2022</t>
        </is>
      </c>
      <c r="B5333" s="1" t="n">
        <v>44831</v>
      </c>
      <c r="C5333" s="1" t="n">
        <v>45587</v>
      </c>
      <c r="D5333" t="inlineStr">
        <is>
          <t>GÄVLEBORGS LÄN</t>
        </is>
      </c>
      <c r="E5333" t="inlineStr">
        <is>
          <t>LJUSDAL</t>
        </is>
      </c>
      <c r="F5333" t="inlineStr">
        <is>
          <t>Bergvik skog väst AB</t>
        </is>
      </c>
      <c r="G5333" t="n">
        <v>2.8</v>
      </c>
      <c r="H5333" t="n">
        <v>0</v>
      </c>
      <c r="I5333" t="n">
        <v>0</v>
      </c>
      <c r="J5333" t="n">
        <v>0</v>
      </c>
      <c r="K5333" t="n">
        <v>0</v>
      </c>
      <c r="L5333" t="n">
        <v>0</v>
      </c>
      <c r="M5333" t="n">
        <v>0</v>
      </c>
      <c r="N5333" t="n">
        <v>0</v>
      </c>
      <c r="O5333" t="n">
        <v>0</v>
      </c>
      <c r="P5333" t="n">
        <v>0</v>
      </c>
      <c r="Q5333" t="n">
        <v>0</v>
      </c>
      <c r="R5333" s="2" t="inlineStr"/>
      <c r="U5333">
        <f>HYPERLINK("https://klasma.github.io/Logging_2161/knärot/A 42330-2022 karta knärot.png", "A 42330-2022")</f>
        <v/>
      </c>
      <c r="V5333">
        <f>HYPERLINK("https://klasma.github.io/Logging_2161/klagomål/A 42330-2022 FSC-klagomål.docx", "A 42330-2022")</f>
        <v/>
      </c>
      <c r="W5333">
        <f>HYPERLINK("https://klasma.github.io/Logging_2161/klagomålsmail/A 42330-2022 FSC-klagomål mail.docx", "A 42330-2022")</f>
        <v/>
      </c>
      <c r="X5333">
        <f>HYPERLINK("https://klasma.github.io/Logging_2161/tillsyn/A 42330-2022 tillsynsbegäran.docx", "A 42330-2022")</f>
        <v/>
      </c>
      <c r="Y5333">
        <f>HYPERLINK("https://klasma.github.io/Logging_2161/tillsynsmail/A 42330-2022 tillsynsbegäran mail.docx", "A 42330-2022")</f>
        <v/>
      </c>
    </row>
    <row r="5334" ht="15" customHeight="1">
      <c r="A5334" t="inlineStr">
        <is>
          <t>A 42353-2022</t>
        </is>
      </c>
      <c r="B5334" s="1" t="n">
        <v>44831</v>
      </c>
      <c r="C5334" s="1" t="n">
        <v>45587</v>
      </c>
      <c r="D5334" t="inlineStr">
        <is>
          <t>GÄVLEBORGS LÄN</t>
        </is>
      </c>
      <c r="E5334" t="inlineStr">
        <is>
          <t>HUDIKSVALL</t>
        </is>
      </c>
      <c r="F5334" t="inlineStr">
        <is>
          <t>Holmen skog AB</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42404-2022</t>
        </is>
      </c>
      <c r="B5335" s="1" t="n">
        <v>44831</v>
      </c>
      <c r="C5335" s="1" t="n">
        <v>45587</v>
      </c>
      <c r="D5335" t="inlineStr">
        <is>
          <t>GÄVLEBORGS LÄN</t>
        </is>
      </c>
      <c r="E5335" t="inlineStr">
        <is>
          <t>NORDANSTIG</t>
        </is>
      </c>
      <c r="F5335" t="inlineStr">
        <is>
          <t>Holmen skog AB</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42469-2022</t>
        </is>
      </c>
      <c r="B5336" s="1" t="n">
        <v>44831</v>
      </c>
      <c r="C5336" s="1" t="n">
        <v>45587</v>
      </c>
      <c r="D5336" t="inlineStr">
        <is>
          <t>GÄVLEBORGS LÄN</t>
        </is>
      </c>
      <c r="E5336" t="inlineStr">
        <is>
          <t>NORDANSTIG</t>
        </is>
      </c>
      <c r="F5336" t="inlineStr">
        <is>
          <t>Holmen skog AB</t>
        </is>
      </c>
      <c r="G5336" t="n">
        <v>13.2</v>
      </c>
      <c r="H5336" t="n">
        <v>0</v>
      </c>
      <c r="I5336" t="n">
        <v>0</v>
      </c>
      <c r="J5336" t="n">
        <v>0</v>
      </c>
      <c r="K5336" t="n">
        <v>0</v>
      </c>
      <c r="L5336" t="n">
        <v>0</v>
      </c>
      <c r="M5336" t="n">
        <v>0</v>
      </c>
      <c r="N5336" t="n">
        <v>0</v>
      </c>
      <c r="O5336" t="n">
        <v>0</v>
      </c>
      <c r="P5336" t="n">
        <v>0</v>
      </c>
      <c r="Q5336" t="n">
        <v>0</v>
      </c>
      <c r="R5336" s="2" t="inlineStr"/>
    </row>
    <row r="5337" ht="15" customHeight="1">
      <c r="A5337" t="inlineStr">
        <is>
          <t>A 42507-2022</t>
        </is>
      </c>
      <c r="B5337" s="1" t="n">
        <v>44831</v>
      </c>
      <c r="C5337" s="1" t="n">
        <v>45587</v>
      </c>
      <c r="D5337" t="inlineStr">
        <is>
          <t>GÄVLEBORGS LÄN</t>
        </is>
      </c>
      <c r="E5337" t="inlineStr">
        <is>
          <t>HUDIKSVALL</t>
        </is>
      </c>
      <c r="F5337" t="inlineStr">
        <is>
          <t>Holmen skog AB</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42326-2022</t>
        </is>
      </c>
      <c r="B5338" s="1" t="n">
        <v>44831</v>
      </c>
      <c r="C5338" s="1" t="n">
        <v>45587</v>
      </c>
      <c r="D5338" t="inlineStr">
        <is>
          <t>GÄVLEBORGS LÄN</t>
        </is>
      </c>
      <c r="E5338" t="inlineStr">
        <is>
          <t>LJUSDAL</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42347-2022</t>
        </is>
      </c>
      <c r="B5339" s="1" t="n">
        <v>44831</v>
      </c>
      <c r="C5339" s="1" t="n">
        <v>45587</v>
      </c>
      <c r="D5339" t="inlineStr">
        <is>
          <t>GÄVLEBORGS LÄN</t>
        </is>
      </c>
      <c r="E5339" t="inlineStr">
        <is>
          <t>LJUSDAL</t>
        </is>
      </c>
      <c r="F5339" t="inlineStr">
        <is>
          <t>Bergvik skog väst AB</t>
        </is>
      </c>
      <c r="G5339" t="n">
        <v>14.1</v>
      </c>
      <c r="H5339" t="n">
        <v>0</v>
      </c>
      <c r="I5339" t="n">
        <v>0</v>
      </c>
      <c r="J5339" t="n">
        <v>0</v>
      </c>
      <c r="K5339" t="n">
        <v>0</v>
      </c>
      <c r="L5339" t="n">
        <v>0</v>
      </c>
      <c r="M5339" t="n">
        <v>0</v>
      </c>
      <c r="N5339" t="n">
        <v>0</v>
      </c>
      <c r="O5339" t="n">
        <v>0</v>
      </c>
      <c r="P5339" t="n">
        <v>0</v>
      </c>
      <c r="Q5339" t="n">
        <v>0</v>
      </c>
      <c r="R5339" s="2" t="inlineStr"/>
      <c r="U5339">
        <f>HYPERLINK("https://klasma.github.io/Logging_2161/knärot/A 42347-2022 karta knärot.png", "A 42347-2022")</f>
        <v/>
      </c>
      <c r="V5339">
        <f>HYPERLINK("https://klasma.github.io/Logging_2161/klagomål/A 42347-2022 FSC-klagomål.docx", "A 42347-2022")</f>
        <v/>
      </c>
      <c r="W5339">
        <f>HYPERLINK("https://klasma.github.io/Logging_2161/klagomålsmail/A 42347-2022 FSC-klagomål mail.docx", "A 42347-2022")</f>
        <v/>
      </c>
      <c r="X5339">
        <f>HYPERLINK("https://klasma.github.io/Logging_2161/tillsyn/A 42347-2022 tillsynsbegäran.docx", "A 42347-2022")</f>
        <v/>
      </c>
      <c r="Y5339">
        <f>HYPERLINK("https://klasma.github.io/Logging_2161/tillsynsmail/A 42347-2022 tillsynsbegäran mail.docx", "A 42347-2022")</f>
        <v/>
      </c>
    </row>
    <row r="5340" ht="15" customHeight="1">
      <c r="A5340" t="inlineStr">
        <is>
          <t>A 42392-2022</t>
        </is>
      </c>
      <c r="B5340" s="1" t="n">
        <v>44831</v>
      </c>
      <c r="C5340" s="1" t="n">
        <v>45587</v>
      </c>
      <c r="D5340" t="inlineStr">
        <is>
          <t>GÄVLEBORGS LÄN</t>
        </is>
      </c>
      <c r="E5340" t="inlineStr">
        <is>
          <t>BOLLNÄS</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42350-2022</t>
        </is>
      </c>
      <c r="B5341" s="1" t="n">
        <v>44831</v>
      </c>
      <c r="C5341" s="1" t="n">
        <v>45587</v>
      </c>
      <c r="D5341" t="inlineStr">
        <is>
          <t>GÄVLEBORGS LÄN</t>
        </is>
      </c>
      <c r="E5341" t="inlineStr">
        <is>
          <t>BOLLNÄS</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42325-2022</t>
        </is>
      </c>
      <c r="B5342" s="1" t="n">
        <v>44831</v>
      </c>
      <c r="C5342" s="1" t="n">
        <v>45587</v>
      </c>
      <c r="D5342" t="inlineStr">
        <is>
          <t>GÄVLEBORGS LÄN</t>
        </is>
      </c>
      <c r="E5342" t="inlineStr">
        <is>
          <t>BOLLNÄS</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42406-2022</t>
        </is>
      </c>
      <c r="B5343" s="1" t="n">
        <v>44831</v>
      </c>
      <c r="C5343" s="1" t="n">
        <v>45587</v>
      </c>
      <c r="D5343" t="inlineStr">
        <is>
          <t>GÄVLEBORGS LÄN</t>
        </is>
      </c>
      <c r="E5343" t="inlineStr">
        <is>
          <t>BOLLNÄS</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42629-2022</t>
        </is>
      </c>
      <c r="B5344" s="1" t="n">
        <v>44832</v>
      </c>
      <c r="C5344" s="1" t="n">
        <v>45587</v>
      </c>
      <c r="D5344" t="inlineStr">
        <is>
          <t>GÄVLEBORGS LÄN</t>
        </is>
      </c>
      <c r="E5344" t="inlineStr">
        <is>
          <t>NORDANSTIG</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42513-2022</t>
        </is>
      </c>
      <c r="B5345" s="1" t="n">
        <v>44831</v>
      </c>
      <c r="C5345" s="1" t="n">
        <v>45587</v>
      </c>
      <c r="D5345" t="inlineStr">
        <is>
          <t>GÄVLEBORGS LÄN</t>
        </is>
      </c>
      <c r="E5345" t="inlineStr">
        <is>
          <t>BOLLNÄS</t>
        </is>
      </c>
      <c r="G5345" t="n">
        <v>6.3</v>
      </c>
      <c r="H5345" t="n">
        <v>0</v>
      </c>
      <c r="I5345" t="n">
        <v>0</v>
      </c>
      <c r="J5345" t="n">
        <v>0</v>
      </c>
      <c r="K5345" t="n">
        <v>0</v>
      </c>
      <c r="L5345" t="n">
        <v>0</v>
      </c>
      <c r="M5345" t="n">
        <v>0</v>
      </c>
      <c r="N5345" t="n">
        <v>0</v>
      </c>
      <c r="O5345" t="n">
        <v>0</v>
      </c>
      <c r="P5345" t="n">
        <v>0</v>
      </c>
      <c r="Q5345" t="n">
        <v>0</v>
      </c>
      <c r="R5345" s="2" t="inlineStr"/>
    </row>
    <row r="5346" ht="15" customHeight="1">
      <c r="A5346" t="inlineStr">
        <is>
          <t>A 42519-2022</t>
        </is>
      </c>
      <c r="B5346" s="1" t="n">
        <v>44831</v>
      </c>
      <c r="C5346" s="1" t="n">
        <v>45587</v>
      </c>
      <c r="D5346" t="inlineStr">
        <is>
          <t>GÄVLEBORGS LÄN</t>
        </is>
      </c>
      <c r="E5346" t="inlineStr">
        <is>
          <t>BOLLNÄS</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42630-2022</t>
        </is>
      </c>
      <c r="B5347" s="1" t="n">
        <v>44832</v>
      </c>
      <c r="C5347" s="1" t="n">
        <v>45587</v>
      </c>
      <c r="D5347" t="inlineStr">
        <is>
          <t>GÄVLEBORGS LÄN</t>
        </is>
      </c>
      <c r="E5347" t="inlineStr">
        <is>
          <t>NORDANSTIG</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42683-2022</t>
        </is>
      </c>
      <c r="B5348" s="1" t="n">
        <v>44832</v>
      </c>
      <c r="C5348" s="1" t="n">
        <v>45587</v>
      </c>
      <c r="D5348" t="inlineStr">
        <is>
          <t>GÄVLEBORGS LÄN</t>
        </is>
      </c>
      <c r="E5348" t="inlineStr">
        <is>
          <t>HUDIKSVALL</t>
        </is>
      </c>
      <c r="F5348" t="inlineStr">
        <is>
          <t>Holmen skog AB</t>
        </is>
      </c>
      <c r="G5348" t="n">
        <v>23.4</v>
      </c>
      <c r="H5348" t="n">
        <v>0</v>
      </c>
      <c r="I5348" t="n">
        <v>0</v>
      </c>
      <c r="J5348" t="n">
        <v>0</v>
      </c>
      <c r="K5348" t="n">
        <v>0</v>
      </c>
      <c r="L5348" t="n">
        <v>0</v>
      </c>
      <c r="M5348" t="n">
        <v>0</v>
      </c>
      <c r="N5348" t="n">
        <v>0</v>
      </c>
      <c r="O5348" t="n">
        <v>0</v>
      </c>
      <c r="P5348" t="n">
        <v>0</v>
      </c>
      <c r="Q5348" t="n">
        <v>0</v>
      </c>
      <c r="R5348" s="2" t="inlineStr"/>
    </row>
    <row r="5349" ht="15" customHeight="1">
      <c r="A5349" t="inlineStr">
        <is>
          <t>A 42826-2022</t>
        </is>
      </c>
      <c r="B5349" s="1" t="n">
        <v>44832</v>
      </c>
      <c r="C5349" s="1" t="n">
        <v>45587</v>
      </c>
      <c r="D5349" t="inlineStr">
        <is>
          <t>GÄVLEBORGS LÄN</t>
        </is>
      </c>
      <c r="E5349" t="inlineStr">
        <is>
          <t>LJUSDAL</t>
        </is>
      </c>
      <c r="F5349" t="inlineStr">
        <is>
          <t>Bergvik skog väst AB</t>
        </is>
      </c>
      <c r="G5349" t="n">
        <v>5.4</v>
      </c>
      <c r="H5349" t="n">
        <v>0</v>
      </c>
      <c r="I5349" t="n">
        <v>0</v>
      </c>
      <c r="J5349" t="n">
        <v>0</v>
      </c>
      <c r="K5349" t="n">
        <v>0</v>
      </c>
      <c r="L5349" t="n">
        <v>0</v>
      </c>
      <c r="M5349" t="n">
        <v>0</v>
      </c>
      <c r="N5349" t="n">
        <v>0</v>
      </c>
      <c r="O5349" t="n">
        <v>0</v>
      </c>
      <c r="P5349" t="n">
        <v>0</v>
      </c>
      <c r="Q5349" t="n">
        <v>0</v>
      </c>
      <c r="R5349" s="2" t="inlineStr"/>
    </row>
    <row r="5350" ht="15" customHeight="1">
      <c r="A5350" t="inlineStr">
        <is>
          <t>A 42685-2022</t>
        </is>
      </c>
      <c r="B5350" s="1" t="n">
        <v>44832</v>
      </c>
      <c r="C5350" s="1" t="n">
        <v>45587</v>
      </c>
      <c r="D5350" t="inlineStr">
        <is>
          <t>GÄVLEBORGS LÄN</t>
        </is>
      </c>
      <c r="E5350" t="inlineStr">
        <is>
          <t>OVANÅKER</t>
        </is>
      </c>
      <c r="G5350" t="n">
        <v>7.2</v>
      </c>
      <c r="H5350" t="n">
        <v>0</v>
      </c>
      <c r="I5350" t="n">
        <v>0</v>
      </c>
      <c r="J5350" t="n">
        <v>0</v>
      </c>
      <c r="K5350" t="n">
        <v>0</v>
      </c>
      <c r="L5350" t="n">
        <v>0</v>
      </c>
      <c r="M5350" t="n">
        <v>0</v>
      </c>
      <c r="N5350" t="n">
        <v>0</v>
      </c>
      <c r="O5350" t="n">
        <v>0</v>
      </c>
      <c r="P5350" t="n">
        <v>0</v>
      </c>
      <c r="Q5350" t="n">
        <v>0</v>
      </c>
      <c r="R5350" s="2" t="inlineStr"/>
    </row>
    <row r="5351" ht="15" customHeight="1">
      <c r="A5351" t="inlineStr">
        <is>
          <t>A 42780-2022</t>
        </is>
      </c>
      <c r="B5351" s="1" t="n">
        <v>44832</v>
      </c>
      <c r="C5351" s="1" t="n">
        <v>45587</v>
      </c>
      <c r="D5351" t="inlineStr">
        <is>
          <t>GÄVLEBORGS LÄN</t>
        </is>
      </c>
      <c r="E5351" t="inlineStr">
        <is>
          <t>NORDANSTIG</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42839-2022</t>
        </is>
      </c>
      <c r="B5352" s="1" t="n">
        <v>44832</v>
      </c>
      <c r="C5352" s="1" t="n">
        <v>45587</v>
      </c>
      <c r="D5352" t="inlineStr">
        <is>
          <t>GÄVLEBORGS LÄN</t>
        </is>
      </c>
      <c r="E5352" t="inlineStr">
        <is>
          <t>LJUSDAL</t>
        </is>
      </c>
      <c r="F5352" t="inlineStr">
        <is>
          <t>Bergvik skog väst AB</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42915-2022</t>
        </is>
      </c>
      <c r="B5353" s="1" t="n">
        <v>44833</v>
      </c>
      <c r="C5353" s="1" t="n">
        <v>45587</v>
      </c>
      <c r="D5353" t="inlineStr">
        <is>
          <t>GÄVLEBORGS LÄN</t>
        </is>
      </c>
      <c r="E5353" t="inlineStr">
        <is>
          <t>LJUSDAL</t>
        </is>
      </c>
      <c r="F5353" t="inlineStr">
        <is>
          <t>Bergvik skog väst AB</t>
        </is>
      </c>
      <c r="G5353" t="n">
        <v>11.8</v>
      </c>
      <c r="H5353" t="n">
        <v>0</v>
      </c>
      <c r="I5353" t="n">
        <v>0</v>
      </c>
      <c r="J5353" t="n">
        <v>0</v>
      </c>
      <c r="K5353" t="n">
        <v>0</v>
      </c>
      <c r="L5353" t="n">
        <v>0</v>
      </c>
      <c r="M5353" t="n">
        <v>0</v>
      </c>
      <c r="N5353" t="n">
        <v>0</v>
      </c>
      <c r="O5353" t="n">
        <v>0</v>
      </c>
      <c r="P5353" t="n">
        <v>0</v>
      </c>
      <c r="Q5353" t="n">
        <v>0</v>
      </c>
      <c r="R5353" s="2" t="inlineStr"/>
    </row>
    <row r="5354" ht="15" customHeight="1">
      <c r="A5354" t="inlineStr">
        <is>
          <t>A 42961-2022</t>
        </is>
      </c>
      <c r="B5354" s="1" t="n">
        <v>44833</v>
      </c>
      <c r="C5354" s="1" t="n">
        <v>45587</v>
      </c>
      <c r="D5354" t="inlineStr">
        <is>
          <t>GÄVLEBORGS LÄN</t>
        </is>
      </c>
      <c r="E5354" t="inlineStr">
        <is>
          <t>LJUSDAL</t>
        </is>
      </c>
      <c r="F5354" t="inlineStr">
        <is>
          <t>Bergvik skog väst AB</t>
        </is>
      </c>
      <c r="G5354" t="n">
        <v>7.5</v>
      </c>
      <c r="H5354" t="n">
        <v>0</v>
      </c>
      <c r="I5354" t="n">
        <v>0</v>
      </c>
      <c r="J5354" t="n">
        <v>0</v>
      </c>
      <c r="K5354" t="n">
        <v>0</v>
      </c>
      <c r="L5354" t="n">
        <v>0</v>
      </c>
      <c r="M5354" t="n">
        <v>0</v>
      </c>
      <c r="N5354" t="n">
        <v>0</v>
      </c>
      <c r="O5354" t="n">
        <v>0</v>
      </c>
      <c r="P5354" t="n">
        <v>0</v>
      </c>
      <c r="Q5354" t="n">
        <v>0</v>
      </c>
      <c r="R5354" s="2" t="inlineStr"/>
    </row>
    <row r="5355" ht="15" customHeight="1">
      <c r="A5355" t="inlineStr">
        <is>
          <t>A 42972-2022</t>
        </is>
      </c>
      <c r="B5355" s="1" t="n">
        <v>44833</v>
      </c>
      <c r="C5355" s="1" t="n">
        <v>45587</v>
      </c>
      <c r="D5355" t="inlineStr">
        <is>
          <t>GÄVLEBORGS LÄN</t>
        </is>
      </c>
      <c r="E5355" t="inlineStr">
        <is>
          <t>LJUSDAL</t>
        </is>
      </c>
      <c r="F5355" t="inlineStr">
        <is>
          <t>Bergvik skog väst AB</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43016-2022</t>
        </is>
      </c>
      <c r="B5356" s="1" t="n">
        <v>44833</v>
      </c>
      <c r="C5356" s="1" t="n">
        <v>45587</v>
      </c>
      <c r="D5356" t="inlineStr">
        <is>
          <t>GÄVLEBORGS LÄN</t>
        </is>
      </c>
      <c r="E5356" t="inlineStr">
        <is>
          <t>LJUSDAL</t>
        </is>
      </c>
      <c r="F5356" t="inlineStr">
        <is>
          <t>Naturvårdsverket</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43024-2022</t>
        </is>
      </c>
      <c r="B5357" s="1" t="n">
        <v>44833</v>
      </c>
      <c r="C5357" s="1" t="n">
        <v>45587</v>
      </c>
      <c r="D5357" t="inlineStr">
        <is>
          <t>GÄVLEBORGS LÄN</t>
        </is>
      </c>
      <c r="E5357" t="inlineStr">
        <is>
          <t>LJUSDAL</t>
        </is>
      </c>
      <c r="G5357" t="n">
        <v>7.7</v>
      </c>
      <c r="H5357" t="n">
        <v>0</v>
      </c>
      <c r="I5357" t="n">
        <v>0</v>
      </c>
      <c r="J5357" t="n">
        <v>0</v>
      </c>
      <c r="K5357" t="n">
        <v>0</v>
      </c>
      <c r="L5357" t="n">
        <v>0</v>
      </c>
      <c r="M5357" t="n">
        <v>0</v>
      </c>
      <c r="N5357" t="n">
        <v>0</v>
      </c>
      <c r="O5357" t="n">
        <v>0</v>
      </c>
      <c r="P5357" t="n">
        <v>0</v>
      </c>
      <c r="Q5357" t="n">
        <v>0</v>
      </c>
      <c r="R5357" s="2" t="inlineStr"/>
    </row>
    <row r="5358" ht="15" customHeight="1">
      <c r="A5358" t="inlineStr">
        <is>
          <t>A 42947-2022</t>
        </is>
      </c>
      <c r="B5358" s="1" t="n">
        <v>44833</v>
      </c>
      <c r="C5358" s="1" t="n">
        <v>45587</v>
      </c>
      <c r="D5358" t="inlineStr">
        <is>
          <t>GÄVLEBORGS LÄN</t>
        </is>
      </c>
      <c r="E5358" t="inlineStr">
        <is>
          <t>NORDANSTIG</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42956-2022</t>
        </is>
      </c>
      <c r="B5359" s="1" t="n">
        <v>44833</v>
      </c>
      <c r="C5359" s="1" t="n">
        <v>45587</v>
      </c>
      <c r="D5359" t="inlineStr">
        <is>
          <t>GÄVLEBORGS LÄN</t>
        </is>
      </c>
      <c r="E5359" t="inlineStr">
        <is>
          <t>LJUSDAL</t>
        </is>
      </c>
      <c r="F5359" t="inlineStr">
        <is>
          <t>Bergvik skog väst AB</t>
        </is>
      </c>
      <c r="G5359" t="n">
        <v>6.6</v>
      </c>
      <c r="H5359" t="n">
        <v>0</v>
      </c>
      <c r="I5359" t="n">
        <v>0</v>
      </c>
      <c r="J5359" t="n">
        <v>0</v>
      </c>
      <c r="K5359" t="n">
        <v>0</v>
      </c>
      <c r="L5359" t="n">
        <v>0</v>
      </c>
      <c r="M5359" t="n">
        <v>0</v>
      </c>
      <c r="N5359" t="n">
        <v>0</v>
      </c>
      <c r="O5359" t="n">
        <v>0</v>
      </c>
      <c r="P5359" t="n">
        <v>0</v>
      </c>
      <c r="Q5359" t="n">
        <v>0</v>
      </c>
      <c r="R5359" s="2" t="inlineStr"/>
    </row>
    <row r="5360" ht="15" customHeight="1">
      <c r="A5360" t="inlineStr">
        <is>
          <t>A 43010-2022</t>
        </is>
      </c>
      <c r="B5360" s="1" t="n">
        <v>44833</v>
      </c>
      <c r="C5360" s="1" t="n">
        <v>45587</v>
      </c>
      <c r="D5360" t="inlineStr">
        <is>
          <t>GÄVLEBORGS LÄN</t>
        </is>
      </c>
      <c r="E5360" t="inlineStr">
        <is>
          <t>HUDIKSVALL</t>
        </is>
      </c>
      <c r="F5360" t="inlineStr">
        <is>
          <t>Holmen skog AB</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42918-2022</t>
        </is>
      </c>
      <c r="B5361" s="1" t="n">
        <v>44833</v>
      </c>
      <c r="C5361" s="1" t="n">
        <v>45587</v>
      </c>
      <c r="D5361" t="inlineStr">
        <is>
          <t>GÄVLEBORGS LÄN</t>
        </is>
      </c>
      <c r="E5361" t="inlineStr">
        <is>
          <t>LJUSDAL</t>
        </is>
      </c>
      <c r="F5361" t="inlineStr">
        <is>
          <t>Bergvik skog väst AB</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42964-2022</t>
        </is>
      </c>
      <c r="B5362" s="1" t="n">
        <v>44833</v>
      </c>
      <c r="C5362" s="1" t="n">
        <v>45587</v>
      </c>
      <c r="D5362" t="inlineStr">
        <is>
          <t>GÄVLEBORGS LÄN</t>
        </is>
      </c>
      <c r="E5362" t="inlineStr">
        <is>
          <t>LJUSDAL</t>
        </is>
      </c>
      <c r="F5362" t="inlineStr">
        <is>
          <t>Bergvik skog väst AB</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42959-2022</t>
        </is>
      </c>
      <c r="B5363" s="1" t="n">
        <v>44833</v>
      </c>
      <c r="C5363" s="1" t="n">
        <v>45587</v>
      </c>
      <c r="D5363" t="inlineStr">
        <is>
          <t>GÄVLEBORGS LÄN</t>
        </is>
      </c>
      <c r="E5363" t="inlineStr">
        <is>
          <t>LJUSDAL</t>
        </is>
      </c>
      <c r="F5363" t="inlineStr">
        <is>
          <t>Bergvik skog väst AB</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42981-2022</t>
        </is>
      </c>
      <c r="B5364" s="1" t="n">
        <v>44833</v>
      </c>
      <c r="C5364" s="1" t="n">
        <v>45587</v>
      </c>
      <c r="D5364" t="inlineStr">
        <is>
          <t>GÄVLEBORGS LÄN</t>
        </is>
      </c>
      <c r="E5364" t="inlineStr">
        <is>
          <t>HUDIKSVALL</t>
        </is>
      </c>
      <c r="F5364" t="inlineStr">
        <is>
          <t>Holmen skog AB</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43023-2022</t>
        </is>
      </c>
      <c r="B5365" s="1" t="n">
        <v>44833</v>
      </c>
      <c r="C5365" s="1" t="n">
        <v>45587</v>
      </c>
      <c r="D5365" t="inlineStr">
        <is>
          <t>GÄVLEBORGS LÄN</t>
        </is>
      </c>
      <c r="E5365" t="inlineStr">
        <is>
          <t>LJUSDAL</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43077-2022</t>
        </is>
      </c>
      <c r="B5366" s="1" t="n">
        <v>44833</v>
      </c>
      <c r="C5366" s="1" t="n">
        <v>45587</v>
      </c>
      <c r="D5366" t="inlineStr">
        <is>
          <t>GÄVLEBORGS LÄN</t>
        </is>
      </c>
      <c r="E5366" t="inlineStr">
        <is>
          <t>LJUSDAL</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43060-2022</t>
        </is>
      </c>
      <c r="B5367" s="1" t="n">
        <v>44833</v>
      </c>
      <c r="C5367" s="1" t="n">
        <v>45587</v>
      </c>
      <c r="D5367" t="inlineStr">
        <is>
          <t>GÄVLEBORGS LÄN</t>
        </is>
      </c>
      <c r="E5367" t="inlineStr">
        <is>
          <t>LJUSDAL</t>
        </is>
      </c>
      <c r="G5367" t="n">
        <v>8.9</v>
      </c>
      <c r="H5367" t="n">
        <v>0</v>
      </c>
      <c r="I5367" t="n">
        <v>0</v>
      </c>
      <c r="J5367" t="n">
        <v>0</v>
      </c>
      <c r="K5367" t="n">
        <v>0</v>
      </c>
      <c r="L5367" t="n">
        <v>0</v>
      </c>
      <c r="M5367" t="n">
        <v>0</v>
      </c>
      <c r="N5367" t="n">
        <v>0</v>
      </c>
      <c r="O5367" t="n">
        <v>0</v>
      </c>
      <c r="P5367" t="n">
        <v>0</v>
      </c>
      <c r="Q5367" t="n">
        <v>0</v>
      </c>
      <c r="R5367" s="2" t="inlineStr"/>
    </row>
    <row r="5368" ht="15" customHeight="1">
      <c r="A5368" t="inlineStr">
        <is>
          <t>A 43090-2022</t>
        </is>
      </c>
      <c r="B5368" s="1" t="n">
        <v>44833</v>
      </c>
      <c r="C5368" s="1" t="n">
        <v>45587</v>
      </c>
      <c r="D5368" t="inlineStr">
        <is>
          <t>GÄVLEBORGS LÄN</t>
        </is>
      </c>
      <c r="E5368" t="inlineStr">
        <is>
          <t>LJUSDAL</t>
        </is>
      </c>
      <c r="F5368" t="inlineStr">
        <is>
          <t>Bergvik skog väst AB</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43423-2022</t>
        </is>
      </c>
      <c r="B5369" s="1" t="n">
        <v>44835</v>
      </c>
      <c r="C5369" s="1" t="n">
        <v>45587</v>
      </c>
      <c r="D5369" t="inlineStr">
        <is>
          <t>GÄVLEBORGS LÄN</t>
        </is>
      </c>
      <c r="E5369" t="inlineStr">
        <is>
          <t>LJUSDAL</t>
        </is>
      </c>
      <c r="F5369" t="inlineStr">
        <is>
          <t>SCA</t>
        </is>
      </c>
      <c r="G5369" t="n">
        <v>6.2</v>
      </c>
      <c r="H5369" t="n">
        <v>0</v>
      </c>
      <c r="I5369" t="n">
        <v>0</v>
      </c>
      <c r="J5369" t="n">
        <v>0</v>
      </c>
      <c r="K5369" t="n">
        <v>0</v>
      </c>
      <c r="L5369" t="n">
        <v>0</v>
      </c>
      <c r="M5369" t="n">
        <v>0</v>
      </c>
      <c r="N5369" t="n">
        <v>0</v>
      </c>
      <c r="O5369" t="n">
        <v>0</v>
      </c>
      <c r="P5369" t="n">
        <v>0</v>
      </c>
      <c r="Q5369" t="n">
        <v>0</v>
      </c>
      <c r="R5369" s="2" t="inlineStr"/>
    </row>
    <row r="5370" ht="15" customHeight="1">
      <c r="A5370" t="inlineStr">
        <is>
          <t>A 43425-2022</t>
        </is>
      </c>
      <c r="B5370" s="1" t="n">
        <v>44834</v>
      </c>
      <c r="C5370" s="1" t="n">
        <v>45587</v>
      </c>
      <c r="D5370" t="inlineStr">
        <is>
          <t>GÄVLEBORGS LÄN</t>
        </is>
      </c>
      <c r="E5370" t="inlineStr">
        <is>
          <t>LJUSDAL</t>
        </is>
      </c>
      <c r="F5370" t="inlineStr">
        <is>
          <t>SCA</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43505-2022</t>
        </is>
      </c>
      <c r="B5371" s="1" t="n">
        <v>44837</v>
      </c>
      <c r="C5371" s="1" t="n">
        <v>45587</v>
      </c>
      <c r="D5371" t="inlineStr">
        <is>
          <t>GÄVLEBORGS LÄN</t>
        </is>
      </c>
      <c r="E5371" t="inlineStr">
        <is>
          <t>LJUSDAL</t>
        </is>
      </c>
      <c r="F5371" t="inlineStr">
        <is>
          <t>Naturvårdsverket</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43490-2022</t>
        </is>
      </c>
      <c r="B5372" s="1" t="n">
        <v>44837</v>
      </c>
      <c r="C5372" s="1" t="n">
        <v>45587</v>
      </c>
      <c r="D5372" t="inlineStr">
        <is>
          <t>GÄVLEBORGS LÄN</t>
        </is>
      </c>
      <c r="E5372" t="inlineStr">
        <is>
          <t>SÖDERHAMN</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43523-2022</t>
        </is>
      </c>
      <c r="B5373" s="1" t="n">
        <v>44837</v>
      </c>
      <c r="C5373" s="1" t="n">
        <v>45587</v>
      </c>
      <c r="D5373" t="inlineStr">
        <is>
          <t>GÄVLEBORGS LÄN</t>
        </is>
      </c>
      <c r="E5373" t="inlineStr">
        <is>
          <t>LJUSDAL</t>
        </is>
      </c>
      <c r="G5373" t="n">
        <v>22.4</v>
      </c>
      <c r="H5373" t="n">
        <v>0</v>
      </c>
      <c r="I5373" t="n">
        <v>0</v>
      </c>
      <c r="J5373" t="n">
        <v>0</v>
      </c>
      <c r="K5373" t="n">
        <v>0</v>
      </c>
      <c r="L5373" t="n">
        <v>0</v>
      </c>
      <c r="M5373" t="n">
        <v>0</v>
      </c>
      <c r="N5373" t="n">
        <v>0</v>
      </c>
      <c r="O5373" t="n">
        <v>0</v>
      </c>
      <c r="P5373" t="n">
        <v>0</v>
      </c>
      <c r="Q5373" t="n">
        <v>0</v>
      </c>
      <c r="R5373" s="2" t="inlineStr"/>
    </row>
    <row r="5374" ht="15" customHeight="1">
      <c r="A5374" t="inlineStr">
        <is>
          <t>A 43537-2022</t>
        </is>
      </c>
      <c r="B5374" s="1" t="n">
        <v>44837</v>
      </c>
      <c r="C5374" s="1" t="n">
        <v>45587</v>
      </c>
      <c r="D5374" t="inlineStr">
        <is>
          <t>GÄVLEBORGS LÄN</t>
        </is>
      </c>
      <c r="E5374" t="inlineStr">
        <is>
          <t>LJUSDAL</t>
        </is>
      </c>
      <c r="F5374" t="inlineStr">
        <is>
          <t>Naturvårdsverket</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43610-2022</t>
        </is>
      </c>
      <c r="B5375" s="1" t="n">
        <v>44837</v>
      </c>
      <c r="C5375" s="1" t="n">
        <v>45587</v>
      </c>
      <c r="D5375" t="inlineStr">
        <is>
          <t>GÄVLEBORGS LÄN</t>
        </is>
      </c>
      <c r="E5375" t="inlineStr">
        <is>
          <t>HOFORS</t>
        </is>
      </c>
      <c r="F5375" t="inlineStr">
        <is>
          <t>Sveaskog</t>
        </is>
      </c>
      <c r="G5375" t="n">
        <v>17.6</v>
      </c>
      <c r="H5375" t="n">
        <v>0</v>
      </c>
      <c r="I5375" t="n">
        <v>0</v>
      </c>
      <c r="J5375" t="n">
        <v>0</v>
      </c>
      <c r="K5375" t="n">
        <v>0</v>
      </c>
      <c r="L5375" t="n">
        <v>0</v>
      </c>
      <c r="M5375" t="n">
        <v>0</v>
      </c>
      <c r="N5375" t="n">
        <v>0</v>
      </c>
      <c r="O5375" t="n">
        <v>0</v>
      </c>
      <c r="P5375" t="n">
        <v>0</v>
      </c>
      <c r="Q5375" t="n">
        <v>0</v>
      </c>
      <c r="R5375" s="2" t="inlineStr"/>
    </row>
    <row r="5376" ht="15" customHeight="1">
      <c r="A5376" t="inlineStr">
        <is>
          <t>A 43659-2022</t>
        </is>
      </c>
      <c r="B5376" s="1" t="n">
        <v>44837</v>
      </c>
      <c r="C5376" s="1" t="n">
        <v>45587</v>
      </c>
      <c r="D5376" t="inlineStr">
        <is>
          <t>GÄVLEBORGS LÄN</t>
        </is>
      </c>
      <c r="E5376" t="inlineStr">
        <is>
          <t>OCKELBO</t>
        </is>
      </c>
      <c r="F5376" t="inlineStr">
        <is>
          <t>Bergvik skog väst AB</t>
        </is>
      </c>
      <c r="G5376" t="n">
        <v>9.1</v>
      </c>
      <c r="H5376" t="n">
        <v>0</v>
      </c>
      <c r="I5376" t="n">
        <v>0</v>
      </c>
      <c r="J5376" t="n">
        <v>0</v>
      </c>
      <c r="K5376" t="n">
        <v>0</v>
      </c>
      <c r="L5376" t="n">
        <v>0</v>
      </c>
      <c r="M5376" t="n">
        <v>0</v>
      </c>
      <c r="N5376" t="n">
        <v>0</v>
      </c>
      <c r="O5376" t="n">
        <v>0</v>
      </c>
      <c r="P5376" t="n">
        <v>0</v>
      </c>
      <c r="Q5376" t="n">
        <v>0</v>
      </c>
      <c r="R5376" s="2" t="inlineStr"/>
    </row>
    <row r="5377" ht="15" customHeight="1">
      <c r="A5377" t="inlineStr">
        <is>
          <t>A 43698-2022</t>
        </is>
      </c>
      <c r="B5377" s="1" t="n">
        <v>44837</v>
      </c>
      <c r="C5377" s="1" t="n">
        <v>45587</v>
      </c>
      <c r="D5377" t="inlineStr">
        <is>
          <t>GÄVLEBORGS LÄN</t>
        </is>
      </c>
      <c r="E5377" t="inlineStr">
        <is>
          <t>SÖDERHAMN</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43631-2022</t>
        </is>
      </c>
      <c r="B5378" s="1" t="n">
        <v>44837</v>
      </c>
      <c r="C5378" s="1" t="n">
        <v>45587</v>
      </c>
      <c r="D5378" t="inlineStr">
        <is>
          <t>GÄVLEBORGS LÄN</t>
        </is>
      </c>
      <c r="E5378" t="inlineStr">
        <is>
          <t>HOFORS</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43603-2022</t>
        </is>
      </c>
      <c r="B5379" s="1" t="n">
        <v>44837</v>
      </c>
      <c r="C5379" s="1" t="n">
        <v>45587</v>
      </c>
      <c r="D5379" t="inlineStr">
        <is>
          <t>GÄVLEBORGS LÄN</t>
        </is>
      </c>
      <c r="E5379" t="inlineStr">
        <is>
          <t>HOFORS</t>
        </is>
      </c>
      <c r="F5379" t="inlineStr">
        <is>
          <t>Sveaskog</t>
        </is>
      </c>
      <c r="G5379" t="n">
        <v>11.9</v>
      </c>
      <c r="H5379" t="n">
        <v>0</v>
      </c>
      <c r="I5379" t="n">
        <v>0</v>
      </c>
      <c r="J5379" t="n">
        <v>0</v>
      </c>
      <c r="K5379" t="n">
        <v>0</v>
      </c>
      <c r="L5379" t="n">
        <v>0</v>
      </c>
      <c r="M5379" t="n">
        <v>0</v>
      </c>
      <c r="N5379" t="n">
        <v>0</v>
      </c>
      <c r="O5379" t="n">
        <v>0</v>
      </c>
      <c r="P5379" t="n">
        <v>0</v>
      </c>
      <c r="Q5379" t="n">
        <v>0</v>
      </c>
      <c r="R5379" s="2" t="inlineStr"/>
    </row>
    <row r="5380" ht="15" customHeight="1">
      <c r="A5380" t="inlineStr">
        <is>
          <t>A 43670-2022</t>
        </is>
      </c>
      <c r="B5380" s="1" t="n">
        <v>44837</v>
      </c>
      <c r="C5380" s="1" t="n">
        <v>45587</v>
      </c>
      <c r="D5380" t="inlineStr">
        <is>
          <t>GÄVLEBORGS LÄN</t>
        </is>
      </c>
      <c r="E5380" t="inlineStr">
        <is>
          <t>SÖDERHAMN</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43578-2022</t>
        </is>
      </c>
      <c r="B5381" s="1" t="n">
        <v>44837</v>
      </c>
      <c r="C5381" s="1" t="n">
        <v>45587</v>
      </c>
      <c r="D5381" t="inlineStr">
        <is>
          <t>GÄVLEBORGS LÄN</t>
        </is>
      </c>
      <c r="E5381" t="inlineStr">
        <is>
          <t>HUDIKSVALL</t>
        </is>
      </c>
      <c r="F5381" t="inlineStr">
        <is>
          <t>Holmen skog AB</t>
        </is>
      </c>
      <c r="G5381" t="n">
        <v>8.1</v>
      </c>
      <c r="H5381" t="n">
        <v>0</v>
      </c>
      <c r="I5381" t="n">
        <v>0</v>
      </c>
      <c r="J5381" t="n">
        <v>0</v>
      </c>
      <c r="K5381" t="n">
        <v>0</v>
      </c>
      <c r="L5381" t="n">
        <v>0</v>
      </c>
      <c r="M5381" t="n">
        <v>0</v>
      </c>
      <c r="N5381" t="n">
        <v>0</v>
      </c>
      <c r="O5381" t="n">
        <v>0</v>
      </c>
      <c r="P5381" t="n">
        <v>0</v>
      </c>
      <c r="Q5381" t="n">
        <v>0</v>
      </c>
      <c r="R5381" s="2" t="inlineStr"/>
    </row>
    <row r="5382" ht="15" customHeight="1">
      <c r="A5382" t="inlineStr">
        <is>
          <t>A 43723-2022</t>
        </is>
      </c>
      <c r="B5382" s="1" t="n">
        <v>44837</v>
      </c>
      <c r="C5382" s="1" t="n">
        <v>45587</v>
      </c>
      <c r="D5382" t="inlineStr">
        <is>
          <t>GÄVLEBORGS LÄN</t>
        </is>
      </c>
      <c r="E5382" t="inlineStr">
        <is>
          <t>SÖDERHAMN</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43875-2022</t>
        </is>
      </c>
      <c r="B5383" s="1" t="n">
        <v>44837</v>
      </c>
      <c r="C5383" s="1" t="n">
        <v>45587</v>
      </c>
      <c r="D5383" t="inlineStr">
        <is>
          <t>GÄVLEBORGS LÄN</t>
        </is>
      </c>
      <c r="E5383" t="inlineStr">
        <is>
          <t>SÖDERHAMN</t>
        </is>
      </c>
      <c r="G5383" t="n">
        <v>15.1</v>
      </c>
      <c r="H5383" t="n">
        <v>0</v>
      </c>
      <c r="I5383" t="n">
        <v>0</v>
      </c>
      <c r="J5383" t="n">
        <v>0</v>
      </c>
      <c r="K5383" t="n">
        <v>0</v>
      </c>
      <c r="L5383" t="n">
        <v>0</v>
      </c>
      <c r="M5383" t="n">
        <v>0</v>
      </c>
      <c r="N5383" t="n">
        <v>0</v>
      </c>
      <c r="O5383" t="n">
        <v>0</v>
      </c>
      <c r="P5383" t="n">
        <v>0</v>
      </c>
      <c r="Q5383" t="n">
        <v>0</v>
      </c>
      <c r="R5383" s="2" t="inlineStr"/>
    </row>
    <row r="5384" ht="15" customHeight="1">
      <c r="A5384" t="inlineStr">
        <is>
          <t>A 43799-2022</t>
        </is>
      </c>
      <c r="B5384" s="1" t="n">
        <v>44838</v>
      </c>
      <c r="C5384" s="1" t="n">
        <v>45587</v>
      </c>
      <c r="D5384" t="inlineStr">
        <is>
          <t>GÄVLEBORGS LÄN</t>
        </is>
      </c>
      <c r="E5384" t="inlineStr">
        <is>
          <t>OCKELBO</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43936-2022</t>
        </is>
      </c>
      <c r="B5385" s="1" t="n">
        <v>44838</v>
      </c>
      <c r="C5385" s="1" t="n">
        <v>45587</v>
      </c>
      <c r="D5385" t="inlineStr">
        <is>
          <t>GÄVLEBORGS LÄN</t>
        </is>
      </c>
      <c r="E5385" t="inlineStr">
        <is>
          <t>SÖDERHAMN</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43800-2022</t>
        </is>
      </c>
      <c r="B5386" s="1" t="n">
        <v>44838</v>
      </c>
      <c r="C5386" s="1" t="n">
        <v>45587</v>
      </c>
      <c r="D5386" t="inlineStr">
        <is>
          <t>GÄVLEBORGS LÄN</t>
        </is>
      </c>
      <c r="E5386" t="inlineStr">
        <is>
          <t>OCKELBO</t>
        </is>
      </c>
      <c r="G5386" t="n">
        <v>5.2</v>
      </c>
      <c r="H5386" t="n">
        <v>0</v>
      </c>
      <c r="I5386" t="n">
        <v>0</v>
      </c>
      <c r="J5386" t="n">
        <v>0</v>
      </c>
      <c r="K5386" t="n">
        <v>0</v>
      </c>
      <c r="L5386" t="n">
        <v>0</v>
      </c>
      <c r="M5386" t="n">
        <v>0</v>
      </c>
      <c r="N5386" t="n">
        <v>0</v>
      </c>
      <c r="O5386" t="n">
        <v>0</v>
      </c>
      <c r="P5386" t="n">
        <v>0</v>
      </c>
      <c r="Q5386" t="n">
        <v>0</v>
      </c>
      <c r="R5386" s="2" t="inlineStr"/>
    </row>
    <row r="5387" ht="15" customHeight="1">
      <c r="A5387" t="inlineStr">
        <is>
          <t>A 43853-2022</t>
        </is>
      </c>
      <c r="B5387" s="1" t="n">
        <v>44838</v>
      </c>
      <c r="C5387" s="1" t="n">
        <v>45587</v>
      </c>
      <c r="D5387" t="inlineStr">
        <is>
          <t>GÄVLEBORGS LÄN</t>
        </is>
      </c>
      <c r="E5387" t="inlineStr">
        <is>
          <t>NORDANSTIG</t>
        </is>
      </c>
      <c r="F5387" t="inlineStr">
        <is>
          <t>Holmen skog AB</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43803-2022</t>
        </is>
      </c>
      <c r="B5388" s="1" t="n">
        <v>44838</v>
      </c>
      <c r="C5388" s="1" t="n">
        <v>45587</v>
      </c>
      <c r="D5388" t="inlineStr">
        <is>
          <t>GÄVLEBORGS LÄN</t>
        </is>
      </c>
      <c r="E5388" t="inlineStr">
        <is>
          <t>HUDIKSVALL</t>
        </is>
      </c>
      <c r="F5388" t="inlineStr">
        <is>
          <t>Holmen skog AB</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43802-2022</t>
        </is>
      </c>
      <c r="B5389" s="1" t="n">
        <v>44838</v>
      </c>
      <c r="C5389" s="1" t="n">
        <v>45587</v>
      </c>
      <c r="D5389" t="inlineStr">
        <is>
          <t>GÄVLEBORGS LÄN</t>
        </is>
      </c>
      <c r="E5389" t="inlineStr">
        <is>
          <t>OCKELBO</t>
        </is>
      </c>
      <c r="G5389" t="n">
        <v>8.199999999999999</v>
      </c>
      <c r="H5389" t="n">
        <v>0</v>
      </c>
      <c r="I5389" t="n">
        <v>0</v>
      </c>
      <c r="J5389" t="n">
        <v>0</v>
      </c>
      <c r="K5389" t="n">
        <v>0</v>
      </c>
      <c r="L5389" t="n">
        <v>0</v>
      </c>
      <c r="M5389" t="n">
        <v>0</v>
      </c>
      <c r="N5389" t="n">
        <v>0</v>
      </c>
      <c r="O5389" t="n">
        <v>0</v>
      </c>
      <c r="P5389" t="n">
        <v>0</v>
      </c>
      <c r="Q5389" t="n">
        <v>0</v>
      </c>
      <c r="R5389" s="2" t="inlineStr"/>
    </row>
    <row r="5390" ht="15" customHeight="1">
      <c r="A5390" t="inlineStr">
        <is>
          <t>A 44027-2022</t>
        </is>
      </c>
      <c r="B5390" s="1" t="n">
        <v>44839</v>
      </c>
      <c r="C5390" s="1" t="n">
        <v>45587</v>
      </c>
      <c r="D5390" t="inlineStr">
        <is>
          <t>GÄVLEBORGS LÄN</t>
        </is>
      </c>
      <c r="E5390" t="inlineStr">
        <is>
          <t>LJUSDAL</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44032-2022</t>
        </is>
      </c>
      <c r="B5391" s="1" t="n">
        <v>44838</v>
      </c>
      <c r="C5391" s="1" t="n">
        <v>45587</v>
      </c>
      <c r="D5391" t="inlineStr">
        <is>
          <t>GÄVLEBORGS LÄN</t>
        </is>
      </c>
      <c r="E5391" t="inlineStr">
        <is>
          <t>LJUSDAL</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44048-2022</t>
        </is>
      </c>
      <c r="B5392" s="1" t="n">
        <v>44839</v>
      </c>
      <c r="C5392" s="1" t="n">
        <v>45587</v>
      </c>
      <c r="D5392" t="inlineStr">
        <is>
          <t>GÄVLEBORGS LÄN</t>
        </is>
      </c>
      <c r="E5392" t="inlineStr">
        <is>
          <t>LJUSDAL</t>
        </is>
      </c>
      <c r="F5392" t="inlineStr">
        <is>
          <t>SCA</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44028-2022</t>
        </is>
      </c>
      <c r="B5393" s="1" t="n">
        <v>44838</v>
      </c>
      <c r="C5393" s="1" t="n">
        <v>45587</v>
      </c>
      <c r="D5393" t="inlineStr">
        <is>
          <t>GÄVLEBORGS LÄN</t>
        </is>
      </c>
      <c r="E5393" t="inlineStr">
        <is>
          <t>LJUSDAL</t>
        </is>
      </c>
      <c r="G5393" t="n">
        <v>4.9</v>
      </c>
      <c r="H5393" t="n">
        <v>0</v>
      </c>
      <c r="I5393" t="n">
        <v>0</v>
      </c>
      <c r="J5393" t="n">
        <v>0</v>
      </c>
      <c r="K5393" t="n">
        <v>0</v>
      </c>
      <c r="L5393" t="n">
        <v>0</v>
      </c>
      <c r="M5393" t="n">
        <v>0</v>
      </c>
      <c r="N5393" t="n">
        <v>0</v>
      </c>
      <c r="O5393" t="n">
        <v>0</v>
      </c>
      <c r="P5393" t="n">
        <v>0</v>
      </c>
      <c r="Q5393" t="n">
        <v>0</v>
      </c>
      <c r="R5393" s="2" t="inlineStr"/>
    </row>
    <row r="5394" ht="15" customHeight="1">
      <c r="A5394" t="inlineStr">
        <is>
          <t>A 44041-2022</t>
        </is>
      </c>
      <c r="B5394" s="1" t="n">
        <v>44839</v>
      </c>
      <c r="C5394" s="1" t="n">
        <v>45587</v>
      </c>
      <c r="D5394" t="inlineStr">
        <is>
          <t>GÄVLEBORGS LÄN</t>
        </is>
      </c>
      <c r="E5394" t="inlineStr">
        <is>
          <t>LJUSDAL</t>
        </is>
      </c>
      <c r="F5394" t="inlineStr">
        <is>
          <t>Naturvårdsverket</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44058-2022</t>
        </is>
      </c>
      <c r="B5395" s="1" t="n">
        <v>44839</v>
      </c>
      <c r="C5395" s="1" t="n">
        <v>45587</v>
      </c>
      <c r="D5395" t="inlineStr">
        <is>
          <t>GÄVLEBORGS LÄN</t>
        </is>
      </c>
      <c r="E5395" t="inlineStr">
        <is>
          <t>HUDIKSVALL</t>
        </is>
      </c>
      <c r="F5395" t="inlineStr">
        <is>
          <t>Holmen skog AB</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44090-2022</t>
        </is>
      </c>
      <c r="B5396" s="1" t="n">
        <v>44839</v>
      </c>
      <c r="C5396" s="1" t="n">
        <v>45587</v>
      </c>
      <c r="D5396" t="inlineStr">
        <is>
          <t>GÄVLEBORGS LÄN</t>
        </is>
      </c>
      <c r="E5396" t="inlineStr">
        <is>
          <t>HUDIKSVALL</t>
        </is>
      </c>
      <c r="G5396" t="n">
        <v>6.9</v>
      </c>
      <c r="H5396" t="n">
        <v>0</v>
      </c>
      <c r="I5396" t="n">
        <v>0</v>
      </c>
      <c r="J5396" t="n">
        <v>0</v>
      </c>
      <c r="K5396" t="n">
        <v>0</v>
      </c>
      <c r="L5396" t="n">
        <v>0</v>
      </c>
      <c r="M5396" t="n">
        <v>0</v>
      </c>
      <c r="N5396" t="n">
        <v>0</v>
      </c>
      <c r="O5396" t="n">
        <v>0</v>
      </c>
      <c r="P5396" t="n">
        <v>0</v>
      </c>
      <c r="Q5396" t="n">
        <v>0</v>
      </c>
      <c r="R5396" s="2" t="inlineStr"/>
    </row>
    <row r="5397" ht="15" customHeight="1">
      <c r="A5397" t="inlineStr">
        <is>
          <t>A 44168-2022</t>
        </is>
      </c>
      <c r="B5397" s="1" t="n">
        <v>44839</v>
      </c>
      <c r="C5397" s="1" t="n">
        <v>45587</v>
      </c>
      <c r="D5397" t="inlineStr">
        <is>
          <t>GÄVLEBORGS LÄN</t>
        </is>
      </c>
      <c r="E5397" t="inlineStr">
        <is>
          <t>HUDIKSVALL</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44092-2022</t>
        </is>
      </c>
      <c r="B5398" s="1" t="n">
        <v>44839</v>
      </c>
      <c r="C5398" s="1" t="n">
        <v>45587</v>
      </c>
      <c r="D5398" t="inlineStr">
        <is>
          <t>GÄVLEBORGS LÄN</t>
        </is>
      </c>
      <c r="E5398" t="inlineStr">
        <is>
          <t>OVANÅKER</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44120-2022</t>
        </is>
      </c>
      <c r="B5399" s="1" t="n">
        <v>44839</v>
      </c>
      <c r="C5399" s="1" t="n">
        <v>45587</v>
      </c>
      <c r="D5399" t="inlineStr">
        <is>
          <t>GÄVLEBORGS LÄN</t>
        </is>
      </c>
      <c r="E5399" t="inlineStr">
        <is>
          <t>BOLLNÄS</t>
        </is>
      </c>
      <c r="G5399" t="n">
        <v>10.3</v>
      </c>
      <c r="H5399" t="n">
        <v>0</v>
      </c>
      <c r="I5399" t="n">
        <v>0</v>
      </c>
      <c r="J5399" t="n">
        <v>0</v>
      </c>
      <c r="K5399" t="n">
        <v>0</v>
      </c>
      <c r="L5399" t="n">
        <v>0</v>
      </c>
      <c r="M5399" t="n">
        <v>0</v>
      </c>
      <c r="N5399" t="n">
        <v>0</v>
      </c>
      <c r="O5399" t="n">
        <v>0</v>
      </c>
      <c r="P5399" t="n">
        <v>0</v>
      </c>
      <c r="Q5399" t="n">
        <v>0</v>
      </c>
      <c r="R5399" s="2" t="inlineStr"/>
    </row>
    <row r="5400" ht="15" customHeight="1">
      <c r="A5400" t="inlineStr">
        <is>
          <t>A 44151-2022</t>
        </is>
      </c>
      <c r="B5400" s="1" t="n">
        <v>44839</v>
      </c>
      <c r="C5400" s="1" t="n">
        <v>45587</v>
      </c>
      <c r="D5400" t="inlineStr">
        <is>
          <t>GÄVLEBORGS LÄN</t>
        </is>
      </c>
      <c r="E5400" t="inlineStr">
        <is>
          <t>BOLLNÄS</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44177-2022</t>
        </is>
      </c>
      <c r="B5401" s="1" t="n">
        <v>44839</v>
      </c>
      <c r="C5401" s="1" t="n">
        <v>45587</v>
      </c>
      <c r="D5401" t="inlineStr">
        <is>
          <t>GÄVLEBORGS LÄN</t>
        </is>
      </c>
      <c r="E5401" t="inlineStr">
        <is>
          <t>BOLLNÄS</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44181-2022</t>
        </is>
      </c>
      <c r="B5402" s="1" t="n">
        <v>44839</v>
      </c>
      <c r="C5402" s="1" t="n">
        <v>45587</v>
      </c>
      <c r="D5402" t="inlineStr">
        <is>
          <t>GÄVLEBORGS LÄN</t>
        </is>
      </c>
      <c r="E5402" t="inlineStr">
        <is>
          <t>HUDIKSVALL</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44426-2022</t>
        </is>
      </c>
      <c r="B5403" s="1" t="n">
        <v>44840</v>
      </c>
      <c r="C5403" s="1" t="n">
        <v>45587</v>
      </c>
      <c r="D5403" t="inlineStr">
        <is>
          <t>GÄVLEBORGS LÄN</t>
        </is>
      </c>
      <c r="E5403" t="inlineStr">
        <is>
          <t>HUDIKSVALL</t>
        </is>
      </c>
      <c r="G5403" t="n">
        <v>3.8</v>
      </c>
      <c r="H5403" t="n">
        <v>0</v>
      </c>
      <c r="I5403" t="n">
        <v>0</v>
      </c>
      <c r="J5403" t="n">
        <v>0</v>
      </c>
      <c r="K5403" t="n">
        <v>0</v>
      </c>
      <c r="L5403" t="n">
        <v>0</v>
      </c>
      <c r="M5403" t="n">
        <v>0</v>
      </c>
      <c r="N5403" t="n">
        <v>0</v>
      </c>
      <c r="O5403" t="n">
        <v>0</v>
      </c>
      <c r="P5403" t="n">
        <v>0</v>
      </c>
      <c r="Q5403" t="n">
        <v>0</v>
      </c>
      <c r="R5403" s="2" t="inlineStr"/>
    </row>
    <row r="5404" ht="15" customHeight="1">
      <c r="A5404" t="inlineStr">
        <is>
          <t>A 44310-2022</t>
        </is>
      </c>
      <c r="B5404" s="1" t="n">
        <v>44839</v>
      </c>
      <c r="C5404" s="1" t="n">
        <v>45587</v>
      </c>
      <c r="D5404" t="inlineStr">
        <is>
          <t>GÄVLEBORGS LÄN</t>
        </is>
      </c>
      <c r="E5404" t="inlineStr">
        <is>
          <t>OVANÅKER</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44425-2022</t>
        </is>
      </c>
      <c r="B5405" s="1" t="n">
        <v>44840</v>
      </c>
      <c r="C5405" s="1" t="n">
        <v>45587</v>
      </c>
      <c r="D5405" t="inlineStr">
        <is>
          <t>GÄVLEBORGS LÄN</t>
        </is>
      </c>
      <c r="E5405" t="inlineStr">
        <is>
          <t>HUDIKSVALL</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44178-2022</t>
        </is>
      </c>
      <c r="B5406" s="1" t="n">
        <v>44839</v>
      </c>
      <c r="C5406" s="1" t="n">
        <v>45587</v>
      </c>
      <c r="D5406" t="inlineStr">
        <is>
          <t>GÄVLEBORGS LÄN</t>
        </is>
      </c>
      <c r="E5406" t="inlineStr">
        <is>
          <t>HUDIKSVALL</t>
        </is>
      </c>
      <c r="G5406" t="n">
        <v>5.6</v>
      </c>
      <c r="H5406" t="n">
        <v>0</v>
      </c>
      <c r="I5406" t="n">
        <v>0</v>
      </c>
      <c r="J5406" t="n">
        <v>0</v>
      </c>
      <c r="K5406" t="n">
        <v>0</v>
      </c>
      <c r="L5406" t="n">
        <v>0</v>
      </c>
      <c r="M5406" t="n">
        <v>0</v>
      </c>
      <c r="N5406" t="n">
        <v>0</v>
      </c>
      <c r="O5406" t="n">
        <v>0</v>
      </c>
      <c r="P5406" t="n">
        <v>0</v>
      </c>
      <c r="Q5406" t="n">
        <v>0</v>
      </c>
      <c r="R5406" s="2" t="inlineStr"/>
    </row>
    <row r="5407" ht="15" customHeight="1">
      <c r="A5407" t="inlineStr">
        <is>
          <t>A 44281-2022</t>
        </is>
      </c>
      <c r="B5407" s="1" t="n">
        <v>44839</v>
      </c>
      <c r="C5407" s="1" t="n">
        <v>45587</v>
      </c>
      <c r="D5407" t="inlineStr">
        <is>
          <t>GÄVLEBORGS LÄN</t>
        </is>
      </c>
      <c r="E5407" t="inlineStr">
        <is>
          <t>OCKELBO</t>
        </is>
      </c>
      <c r="F5407" t="inlineStr">
        <is>
          <t>Bergvik skog väst AB</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44287-2022</t>
        </is>
      </c>
      <c r="B5408" s="1" t="n">
        <v>44839</v>
      </c>
      <c r="C5408" s="1" t="n">
        <v>45587</v>
      </c>
      <c r="D5408" t="inlineStr">
        <is>
          <t>GÄVLEBORGS LÄN</t>
        </is>
      </c>
      <c r="E5408" t="inlineStr">
        <is>
          <t>HUDIKSVALL</t>
        </is>
      </c>
      <c r="F5408" t="inlineStr">
        <is>
          <t>Holmen skog AB</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44427-2022</t>
        </is>
      </c>
      <c r="B5409" s="1" t="n">
        <v>44840</v>
      </c>
      <c r="C5409" s="1" t="n">
        <v>45587</v>
      </c>
      <c r="D5409" t="inlineStr">
        <is>
          <t>GÄVLEBORGS LÄN</t>
        </is>
      </c>
      <c r="E5409" t="inlineStr">
        <is>
          <t>HUDIKSVALL</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44655-2022</t>
        </is>
      </c>
      <c r="B5410" s="1" t="n">
        <v>44840</v>
      </c>
      <c r="C5410" s="1" t="n">
        <v>45587</v>
      </c>
      <c r="D5410" t="inlineStr">
        <is>
          <t>GÄVLEBORGS LÄN</t>
        </is>
      </c>
      <c r="E5410" t="inlineStr">
        <is>
          <t>BOLLNÄS</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44594-2022</t>
        </is>
      </c>
      <c r="B5411" s="1" t="n">
        <v>44840</v>
      </c>
      <c r="C5411" s="1" t="n">
        <v>45587</v>
      </c>
      <c r="D5411" t="inlineStr">
        <is>
          <t>GÄVLEBORGS LÄN</t>
        </is>
      </c>
      <c r="E5411" t="inlineStr">
        <is>
          <t>OVANÅKER</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44658-2022</t>
        </is>
      </c>
      <c r="B5412" s="1" t="n">
        <v>44840</v>
      </c>
      <c r="C5412" s="1" t="n">
        <v>45587</v>
      </c>
      <c r="D5412" t="inlineStr">
        <is>
          <t>GÄVLEBORGS LÄN</t>
        </is>
      </c>
      <c r="E5412" t="inlineStr">
        <is>
          <t>LJUSDAL</t>
        </is>
      </c>
      <c r="F5412" t="inlineStr">
        <is>
          <t>Bergvik skog väst AB</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44680-2022</t>
        </is>
      </c>
      <c r="B5413" s="1" t="n">
        <v>44840</v>
      </c>
      <c r="C5413" s="1" t="n">
        <v>45587</v>
      </c>
      <c r="D5413" t="inlineStr">
        <is>
          <t>GÄVLEBORGS LÄN</t>
        </is>
      </c>
      <c r="E5413" t="inlineStr">
        <is>
          <t>LJUSDAL</t>
        </is>
      </c>
      <c r="F5413" t="inlineStr">
        <is>
          <t>Holmen skog AB</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44765-2022</t>
        </is>
      </c>
      <c r="B5414" s="1" t="n">
        <v>44841</v>
      </c>
      <c r="C5414" s="1" t="n">
        <v>45587</v>
      </c>
      <c r="D5414" t="inlineStr">
        <is>
          <t>GÄVLEBORGS LÄN</t>
        </is>
      </c>
      <c r="E5414" t="inlineStr">
        <is>
          <t>NORDANSTIG</t>
        </is>
      </c>
      <c r="F5414" t="inlineStr">
        <is>
          <t>SCA</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44636-2022</t>
        </is>
      </c>
      <c r="B5415" s="1" t="n">
        <v>44840</v>
      </c>
      <c r="C5415" s="1" t="n">
        <v>45587</v>
      </c>
      <c r="D5415" t="inlineStr">
        <is>
          <t>GÄVLEBORGS LÄN</t>
        </is>
      </c>
      <c r="E5415" t="inlineStr">
        <is>
          <t>LJUSDAL</t>
        </is>
      </c>
      <c r="F5415" t="inlineStr">
        <is>
          <t>Bergvik skog väst AB</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44715-2022</t>
        </is>
      </c>
      <c r="B5416" s="1" t="n">
        <v>44840</v>
      </c>
      <c r="C5416" s="1" t="n">
        <v>45587</v>
      </c>
      <c r="D5416" t="inlineStr">
        <is>
          <t>GÄVLEBORGS LÄN</t>
        </is>
      </c>
      <c r="E5416" t="inlineStr">
        <is>
          <t>BOLLNÄS</t>
        </is>
      </c>
      <c r="G5416" t="n">
        <v>4.5</v>
      </c>
      <c r="H5416" t="n">
        <v>0</v>
      </c>
      <c r="I5416" t="n">
        <v>0</v>
      </c>
      <c r="J5416" t="n">
        <v>0</v>
      </c>
      <c r="K5416" t="n">
        <v>0</v>
      </c>
      <c r="L5416" t="n">
        <v>0</v>
      </c>
      <c r="M5416" t="n">
        <v>0</v>
      </c>
      <c r="N5416" t="n">
        <v>0</v>
      </c>
      <c r="O5416" t="n">
        <v>0</v>
      </c>
      <c r="P5416" t="n">
        <v>0</v>
      </c>
      <c r="Q5416" t="n">
        <v>0</v>
      </c>
      <c r="R5416" s="2" t="inlineStr"/>
    </row>
    <row r="5417" ht="15" customHeight="1">
      <c r="A5417" t="inlineStr">
        <is>
          <t>A 45223-2022</t>
        </is>
      </c>
      <c r="B5417" s="1" t="n">
        <v>44840</v>
      </c>
      <c r="C5417" s="1" t="n">
        <v>45587</v>
      </c>
      <c r="D5417" t="inlineStr">
        <is>
          <t>GÄVLEBORGS LÄN</t>
        </is>
      </c>
      <c r="E5417" t="inlineStr">
        <is>
          <t>GÄVLE</t>
        </is>
      </c>
      <c r="F5417" t="inlineStr">
        <is>
          <t>Bergvik skog väst AB</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45280-2022</t>
        </is>
      </c>
      <c r="B5418" s="1" t="n">
        <v>44840</v>
      </c>
      <c r="C5418" s="1" t="n">
        <v>45587</v>
      </c>
      <c r="D5418" t="inlineStr">
        <is>
          <t>GÄVLEBORGS LÄN</t>
        </is>
      </c>
      <c r="E5418" t="inlineStr">
        <is>
          <t>GÄVLE</t>
        </is>
      </c>
      <c r="F5418" t="inlineStr">
        <is>
          <t>Bergvik skog väst AB</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44794-2022</t>
        </is>
      </c>
      <c r="B5419" s="1" t="n">
        <v>44841</v>
      </c>
      <c r="C5419" s="1" t="n">
        <v>45587</v>
      </c>
      <c r="D5419" t="inlineStr">
        <is>
          <t>GÄVLEBORGS LÄN</t>
        </is>
      </c>
      <c r="E5419" t="inlineStr">
        <is>
          <t>OVANÅKER</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44807-2022</t>
        </is>
      </c>
      <c r="B5420" s="1" t="n">
        <v>44841</v>
      </c>
      <c r="C5420" s="1" t="n">
        <v>45587</v>
      </c>
      <c r="D5420" t="inlineStr">
        <is>
          <t>GÄVLEBORGS LÄN</t>
        </is>
      </c>
      <c r="E5420" t="inlineStr">
        <is>
          <t>NORDANSTIG</t>
        </is>
      </c>
      <c r="F5420" t="inlineStr">
        <is>
          <t>Holmen skog AB</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44776-2022</t>
        </is>
      </c>
      <c r="B5421" s="1" t="n">
        <v>44841</v>
      </c>
      <c r="C5421" s="1" t="n">
        <v>45587</v>
      </c>
      <c r="D5421" t="inlineStr">
        <is>
          <t>GÄVLEBORGS LÄN</t>
        </is>
      </c>
      <c r="E5421" t="inlineStr">
        <is>
          <t>NORDANSTIG</t>
        </is>
      </c>
      <c r="F5421" t="inlineStr">
        <is>
          <t>Holmen skog AB</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44938-2022</t>
        </is>
      </c>
      <c r="B5422" s="1" t="n">
        <v>44841</v>
      </c>
      <c r="C5422" s="1" t="n">
        <v>45587</v>
      </c>
      <c r="D5422" t="inlineStr">
        <is>
          <t>GÄVLEBORGS LÄN</t>
        </is>
      </c>
      <c r="E5422" t="inlineStr">
        <is>
          <t>GÄVLE</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44929-2022</t>
        </is>
      </c>
      <c r="B5423" s="1" t="n">
        <v>44841</v>
      </c>
      <c r="C5423" s="1" t="n">
        <v>45587</v>
      </c>
      <c r="D5423" t="inlineStr">
        <is>
          <t>GÄVLEBORGS LÄN</t>
        </is>
      </c>
      <c r="E5423" t="inlineStr">
        <is>
          <t>OCKELBO</t>
        </is>
      </c>
      <c r="F5423" t="inlineStr">
        <is>
          <t>Bergvik skog väst AB</t>
        </is>
      </c>
      <c r="G5423" t="n">
        <v>7.3</v>
      </c>
      <c r="H5423" t="n">
        <v>0</v>
      </c>
      <c r="I5423" t="n">
        <v>0</v>
      </c>
      <c r="J5423" t="n">
        <v>0</v>
      </c>
      <c r="K5423" t="n">
        <v>0</v>
      </c>
      <c r="L5423" t="n">
        <v>0</v>
      </c>
      <c r="M5423" t="n">
        <v>0</v>
      </c>
      <c r="N5423" t="n">
        <v>0</v>
      </c>
      <c r="O5423" t="n">
        <v>0</v>
      </c>
      <c r="P5423" t="n">
        <v>0</v>
      </c>
      <c r="Q5423" t="n">
        <v>0</v>
      </c>
      <c r="R5423" s="2" t="inlineStr"/>
    </row>
    <row r="5424" ht="15" customHeight="1">
      <c r="A5424" t="inlineStr">
        <is>
          <t>A 45054-2022</t>
        </is>
      </c>
      <c r="B5424" s="1" t="n">
        <v>44841</v>
      </c>
      <c r="C5424" s="1" t="n">
        <v>45587</v>
      </c>
      <c r="D5424" t="inlineStr">
        <is>
          <t>GÄVLEBORGS LÄN</t>
        </is>
      </c>
      <c r="E5424" t="inlineStr">
        <is>
          <t>LJUSDAL</t>
        </is>
      </c>
      <c r="F5424" t="inlineStr">
        <is>
          <t>Sveaskog</t>
        </is>
      </c>
      <c r="G5424" t="n">
        <v>11.6</v>
      </c>
      <c r="H5424" t="n">
        <v>0</v>
      </c>
      <c r="I5424" t="n">
        <v>0</v>
      </c>
      <c r="J5424" t="n">
        <v>0</v>
      </c>
      <c r="K5424" t="n">
        <v>0</v>
      </c>
      <c r="L5424" t="n">
        <v>0</v>
      </c>
      <c r="M5424" t="n">
        <v>0</v>
      </c>
      <c r="N5424" t="n">
        <v>0</v>
      </c>
      <c r="O5424" t="n">
        <v>0</v>
      </c>
      <c r="P5424" t="n">
        <v>0</v>
      </c>
      <c r="Q5424" t="n">
        <v>0</v>
      </c>
      <c r="R5424" s="2" t="inlineStr"/>
    </row>
    <row r="5425" ht="15" customHeight="1">
      <c r="A5425" t="inlineStr">
        <is>
          <t>A 44922-2022</t>
        </is>
      </c>
      <c r="B5425" s="1" t="n">
        <v>44841</v>
      </c>
      <c r="C5425" s="1" t="n">
        <v>45587</v>
      </c>
      <c r="D5425" t="inlineStr">
        <is>
          <t>GÄVLEBORGS LÄN</t>
        </is>
      </c>
      <c r="E5425" t="inlineStr">
        <is>
          <t>BOLLNÄS</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45494-2022</t>
        </is>
      </c>
      <c r="B5426" s="1" t="n">
        <v>44841</v>
      </c>
      <c r="C5426" s="1" t="n">
        <v>45587</v>
      </c>
      <c r="D5426" t="inlineStr">
        <is>
          <t>GÄVLEBORGS LÄN</t>
        </is>
      </c>
      <c r="E5426" t="inlineStr">
        <is>
          <t>SÖDERHAMN</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45102-2022</t>
        </is>
      </c>
      <c r="B5427" s="1" t="n">
        <v>44843</v>
      </c>
      <c r="C5427" s="1" t="n">
        <v>45587</v>
      </c>
      <c r="D5427" t="inlineStr">
        <is>
          <t>GÄVLEBORGS LÄN</t>
        </is>
      </c>
      <c r="E5427" t="inlineStr">
        <is>
          <t>SANDVIKEN</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45116-2022</t>
        </is>
      </c>
      <c r="B5428" s="1" t="n">
        <v>44844</v>
      </c>
      <c r="C5428" s="1" t="n">
        <v>45587</v>
      </c>
      <c r="D5428" t="inlineStr">
        <is>
          <t>GÄVLEBORGS LÄN</t>
        </is>
      </c>
      <c r="E5428" t="inlineStr">
        <is>
          <t>LJUSDAL</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45310-2022</t>
        </is>
      </c>
      <c r="B5429" s="1" t="n">
        <v>44844</v>
      </c>
      <c r="C5429" s="1" t="n">
        <v>45587</v>
      </c>
      <c r="D5429" t="inlineStr">
        <is>
          <t>GÄVLEBORGS LÄN</t>
        </is>
      </c>
      <c r="E5429" t="inlineStr">
        <is>
          <t>NORDANSTIG</t>
        </is>
      </c>
      <c r="F5429" t="inlineStr">
        <is>
          <t>Holmen skog AB</t>
        </is>
      </c>
      <c r="G5429" t="n">
        <v>4.5</v>
      </c>
      <c r="H5429" t="n">
        <v>0</v>
      </c>
      <c r="I5429" t="n">
        <v>0</v>
      </c>
      <c r="J5429" t="n">
        <v>0</v>
      </c>
      <c r="K5429" t="n">
        <v>0</v>
      </c>
      <c r="L5429" t="n">
        <v>0</v>
      </c>
      <c r="M5429" t="n">
        <v>0</v>
      </c>
      <c r="N5429" t="n">
        <v>0</v>
      </c>
      <c r="O5429" t="n">
        <v>0</v>
      </c>
      <c r="P5429" t="n">
        <v>0</v>
      </c>
      <c r="Q5429" t="n">
        <v>0</v>
      </c>
      <c r="R5429" s="2" t="inlineStr"/>
    </row>
    <row r="5430" ht="15" customHeight="1">
      <c r="A5430" t="inlineStr">
        <is>
          <t>A 45414-2022</t>
        </is>
      </c>
      <c r="B5430" s="1" t="n">
        <v>44844</v>
      </c>
      <c r="C5430" s="1" t="n">
        <v>45587</v>
      </c>
      <c r="D5430" t="inlineStr">
        <is>
          <t>GÄVLEBORGS LÄN</t>
        </is>
      </c>
      <c r="E5430" t="inlineStr">
        <is>
          <t>LJUSDAL</t>
        </is>
      </c>
      <c r="F5430" t="inlineStr">
        <is>
          <t>Sveaskog</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45353-2022</t>
        </is>
      </c>
      <c r="B5431" s="1" t="n">
        <v>44844</v>
      </c>
      <c r="C5431" s="1" t="n">
        <v>45587</v>
      </c>
      <c r="D5431" t="inlineStr">
        <is>
          <t>GÄVLEBORGS LÄN</t>
        </is>
      </c>
      <c r="E5431" t="inlineStr">
        <is>
          <t>OCKELBO</t>
        </is>
      </c>
      <c r="F5431" t="inlineStr">
        <is>
          <t>Bergvik skog väst AB</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45456-2022</t>
        </is>
      </c>
      <c r="B5432" s="1" t="n">
        <v>44845</v>
      </c>
      <c r="C5432" s="1" t="n">
        <v>45587</v>
      </c>
      <c r="D5432" t="inlineStr">
        <is>
          <t>GÄVLEBORGS LÄN</t>
        </is>
      </c>
      <c r="E5432" t="inlineStr">
        <is>
          <t>OVANÅKER</t>
        </is>
      </c>
      <c r="F5432" t="inlineStr">
        <is>
          <t>Kyrkan</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45519-2022</t>
        </is>
      </c>
      <c r="B5433" s="1" t="n">
        <v>44845</v>
      </c>
      <c r="C5433" s="1" t="n">
        <v>45587</v>
      </c>
      <c r="D5433" t="inlineStr">
        <is>
          <t>GÄVLEBORGS LÄN</t>
        </is>
      </c>
      <c r="E5433" t="inlineStr">
        <is>
          <t>OCKELBO</t>
        </is>
      </c>
      <c r="F5433" t="inlineStr">
        <is>
          <t>Bergvik skog väst AB</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45528-2022</t>
        </is>
      </c>
      <c r="B5434" s="1" t="n">
        <v>44845</v>
      </c>
      <c r="C5434" s="1" t="n">
        <v>45587</v>
      </c>
      <c r="D5434" t="inlineStr">
        <is>
          <t>GÄVLEBORGS LÄN</t>
        </is>
      </c>
      <c r="E5434" t="inlineStr">
        <is>
          <t>OVANÅKER</t>
        </is>
      </c>
      <c r="F5434" t="inlineStr">
        <is>
          <t>Sveaskog</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45483-2022</t>
        </is>
      </c>
      <c r="B5435" s="1" t="n">
        <v>44845</v>
      </c>
      <c r="C5435" s="1" t="n">
        <v>45587</v>
      </c>
      <c r="D5435" t="inlineStr">
        <is>
          <t>GÄVLEBORGS LÄN</t>
        </is>
      </c>
      <c r="E5435" t="inlineStr">
        <is>
          <t>OCKELBO</t>
        </is>
      </c>
      <c r="G5435" t="n">
        <v>34.2</v>
      </c>
      <c r="H5435" t="n">
        <v>0</v>
      </c>
      <c r="I5435" t="n">
        <v>0</v>
      </c>
      <c r="J5435" t="n">
        <v>0</v>
      </c>
      <c r="K5435" t="n">
        <v>0</v>
      </c>
      <c r="L5435" t="n">
        <v>0</v>
      </c>
      <c r="M5435" t="n">
        <v>0</v>
      </c>
      <c r="N5435" t="n">
        <v>0</v>
      </c>
      <c r="O5435" t="n">
        <v>0</v>
      </c>
      <c r="P5435" t="n">
        <v>0</v>
      </c>
      <c r="Q5435" t="n">
        <v>0</v>
      </c>
      <c r="R5435" s="2" t="inlineStr"/>
    </row>
    <row r="5436" ht="15" customHeight="1">
      <c r="A5436" t="inlineStr">
        <is>
          <t>A 45590-2022</t>
        </is>
      </c>
      <c r="B5436" s="1" t="n">
        <v>44845</v>
      </c>
      <c r="C5436" s="1" t="n">
        <v>45587</v>
      </c>
      <c r="D5436" t="inlineStr">
        <is>
          <t>GÄVLEBORGS LÄN</t>
        </is>
      </c>
      <c r="E5436" t="inlineStr">
        <is>
          <t>BOLLNÄS</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45562-2022</t>
        </is>
      </c>
      <c r="B5437" s="1" t="n">
        <v>44845</v>
      </c>
      <c r="C5437" s="1" t="n">
        <v>45587</v>
      </c>
      <c r="D5437" t="inlineStr">
        <is>
          <t>GÄVLEBORGS LÄN</t>
        </is>
      </c>
      <c r="E5437" t="inlineStr">
        <is>
          <t>SANDVIKEN</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45486-2022</t>
        </is>
      </c>
      <c r="B5438" s="1" t="n">
        <v>44845</v>
      </c>
      <c r="C5438" s="1" t="n">
        <v>45587</v>
      </c>
      <c r="D5438" t="inlineStr">
        <is>
          <t>GÄVLEBORGS LÄN</t>
        </is>
      </c>
      <c r="E5438" t="inlineStr">
        <is>
          <t>OVANÅKER</t>
        </is>
      </c>
      <c r="F5438" t="inlineStr">
        <is>
          <t>Kyrkan</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45499-2022</t>
        </is>
      </c>
      <c r="B5439" s="1" t="n">
        <v>44845</v>
      </c>
      <c r="C5439" s="1" t="n">
        <v>45587</v>
      </c>
      <c r="D5439" t="inlineStr">
        <is>
          <t>GÄVLEBORGS LÄN</t>
        </is>
      </c>
      <c r="E5439" t="inlineStr">
        <is>
          <t>OCKELBO</t>
        </is>
      </c>
      <c r="F5439" t="inlineStr">
        <is>
          <t>Bergvik skog väst AB</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45592-2022</t>
        </is>
      </c>
      <c r="B5440" s="1" t="n">
        <v>44845</v>
      </c>
      <c r="C5440" s="1" t="n">
        <v>45587</v>
      </c>
      <c r="D5440" t="inlineStr">
        <is>
          <t>GÄVLEBORGS LÄN</t>
        </is>
      </c>
      <c r="E5440" t="inlineStr">
        <is>
          <t>GÄVLE</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45626-2022</t>
        </is>
      </c>
      <c r="B5441" s="1" t="n">
        <v>44845</v>
      </c>
      <c r="C5441" s="1" t="n">
        <v>45587</v>
      </c>
      <c r="D5441" t="inlineStr">
        <is>
          <t>GÄVLEBORGS LÄN</t>
        </is>
      </c>
      <c r="E5441" t="inlineStr">
        <is>
          <t>GÄVLE</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45686-2022</t>
        </is>
      </c>
      <c r="B5442" s="1" t="n">
        <v>44846</v>
      </c>
      <c r="C5442" s="1" t="n">
        <v>45587</v>
      </c>
      <c r="D5442" t="inlineStr">
        <is>
          <t>GÄVLEBORGS LÄN</t>
        </is>
      </c>
      <c r="E5442" t="inlineStr">
        <is>
          <t>GÄVLE</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45924-2022</t>
        </is>
      </c>
      <c r="B5443" s="1" t="n">
        <v>44845</v>
      </c>
      <c r="C5443" s="1" t="n">
        <v>45587</v>
      </c>
      <c r="D5443" t="inlineStr">
        <is>
          <t>GÄVLEBORGS LÄN</t>
        </is>
      </c>
      <c r="E5443" t="inlineStr">
        <is>
          <t>HUDIKSVALL</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45628-2022</t>
        </is>
      </c>
      <c r="B5444" s="1" t="n">
        <v>44845</v>
      </c>
      <c r="C5444" s="1" t="n">
        <v>45587</v>
      </c>
      <c r="D5444" t="inlineStr">
        <is>
          <t>GÄVLEBORGS LÄN</t>
        </is>
      </c>
      <c r="E5444" t="inlineStr">
        <is>
          <t>GÄVLE</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45655-2022</t>
        </is>
      </c>
      <c r="B5445" s="1" t="n">
        <v>44845</v>
      </c>
      <c r="C5445" s="1" t="n">
        <v>45587</v>
      </c>
      <c r="D5445" t="inlineStr">
        <is>
          <t>GÄVLEBORGS LÄN</t>
        </is>
      </c>
      <c r="E5445" t="inlineStr">
        <is>
          <t>BOLLNÄS</t>
        </is>
      </c>
      <c r="G5445" t="n">
        <v>5.3</v>
      </c>
      <c r="H5445" t="n">
        <v>0</v>
      </c>
      <c r="I5445" t="n">
        <v>0</v>
      </c>
      <c r="J5445" t="n">
        <v>0</v>
      </c>
      <c r="K5445" t="n">
        <v>0</v>
      </c>
      <c r="L5445" t="n">
        <v>0</v>
      </c>
      <c r="M5445" t="n">
        <v>0</v>
      </c>
      <c r="N5445" t="n">
        <v>0</v>
      </c>
      <c r="O5445" t="n">
        <v>0</v>
      </c>
      <c r="P5445" t="n">
        <v>0</v>
      </c>
      <c r="Q5445" t="n">
        <v>0</v>
      </c>
      <c r="R5445" s="2" t="inlineStr"/>
    </row>
    <row r="5446" ht="15" customHeight="1">
      <c r="A5446" t="inlineStr">
        <is>
          <t>A 45752-2022</t>
        </is>
      </c>
      <c r="B5446" s="1" t="n">
        <v>44846</v>
      </c>
      <c r="C5446" s="1" t="n">
        <v>45587</v>
      </c>
      <c r="D5446" t="inlineStr">
        <is>
          <t>GÄVLEBORGS LÄN</t>
        </is>
      </c>
      <c r="E5446" t="inlineStr">
        <is>
          <t>BOLLNÄS</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45747-2022</t>
        </is>
      </c>
      <c r="B5447" s="1" t="n">
        <v>44846</v>
      </c>
      <c r="C5447" s="1" t="n">
        <v>45587</v>
      </c>
      <c r="D5447" t="inlineStr">
        <is>
          <t>GÄVLEBORGS LÄN</t>
        </is>
      </c>
      <c r="E5447" t="inlineStr">
        <is>
          <t>BOLLNÄS</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45784-2022</t>
        </is>
      </c>
      <c r="B5448" s="1" t="n">
        <v>44846</v>
      </c>
      <c r="C5448" s="1" t="n">
        <v>45587</v>
      </c>
      <c r="D5448" t="inlineStr">
        <is>
          <t>GÄVLEBORGS LÄN</t>
        </is>
      </c>
      <c r="E5448" t="inlineStr">
        <is>
          <t>HUDIKSVALL</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45778-2022</t>
        </is>
      </c>
      <c r="B5449" s="1" t="n">
        <v>44846</v>
      </c>
      <c r="C5449" s="1" t="n">
        <v>45587</v>
      </c>
      <c r="D5449" t="inlineStr">
        <is>
          <t>GÄVLEBORGS LÄN</t>
        </is>
      </c>
      <c r="E5449" t="inlineStr">
        <is>
          <t>OVANÅKER</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45819-2022</t>
        </is>
      </c>
      <c r="B5450" s="1" t="n">
        <v>44846</v>
      </c>
      <c r="C5450" s="1" t="n">
        <v>45587</v>
      </c>
      <c r="D5450" t="inlineStr">
        <is>
          <t>GÄVLEBORGS LÄN</t>
        </is>
      </c>
      <c r="E5450" t="inlineStr">
        <is>
          <t>LJUSDAL</t>
        </is>
      </c>
      <c r="G5450" t="n">
        <v>5.9</v>
      </c>
      <c r="H5450" t="n">
        <v>0</v>
      </c>
      <c r="I5450" t="n">
        <v>0</v>
      </c>
      <c r="J5450" t="n">
        <v>0</v>
      </c>
      <c r="K5450" t="n">
        <v>0</v>
      </c>
      <c r="L5450" t="n">
        <v>0</v>
      </c>
      <c r="M5450" t="n">
        <v>0</v>
      </c>
      <c r="N5450" t="n">
        <v>0</v>
      </c>
      <c r="O5450" t="n">
        <v>0</v>
      </c>
      <c r="P5450" t="n">
        <v>0</v>
      </c>
      <c r="Q5450" t="n">
        <v>0</v>
      </c>
      <c r="R5450" s="2" t="inlineStr"/>
    </row>
    <row r="5451" ht="15" customHeight="1">
      <c r="A5451" t="inlineStr">
        <is>
          <t>A 45807-2022</t>
        </is>
      </c>
      <c r="B5451" s="1" t="n">
        <v>44846</v>
      </c>
      <c r="C5451" s="1" t="n">
        <v>45587</v>
      </c>
      <c r="D5451" t="inlineStr">
        <is>
          <t>GÄVLEBORGS LÄN</t>
        </is>
      </c>
      <c r="E5451" t="inlineStr">
        <is>
          <t>SÖDERHAMN</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45822-2022</t>
        </is>
      </c>
      <c r="B5452" s="1" t="n">
        <v>44846</v>
      </c>
      <c r="C5452" s="1" t="n">
        <v>45587</v>
      </c>
      <c r="D5452" t="inlineStr">
        <is>
          <t>GÄVLEBORGS LÄN</t>
        </is>
      </c>
      <c r="E5452" t="inlineStr">
        <is>
          <t>SÖDERHAMN</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45949-2022</t>
        </is>
      </c>
      <c r="B5453" s="1" t="n">
        <v>44846</v>
      </c>
      <c r="C5453" s="1" t="n">
        <v>45587</v>
      </c>
      <c r="D5453" t="inlineStr">
        <is>
          <t>GÄVLEBORGS LÄN</t>
        </is>
      </c>
      <c r="E5453" t="inlineStr">
        <is>
          <t>OVANÅKER</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46009-2022</t>
        </is>
      </c>
      <c r="B5454" s="1" t="n">
        <v>44846</v>
      </c>
      <c r="C5454" s="1" t="n">
        <v>45587</v>
      </c>
      <c r="D5454" t="inlineStr">
        <is>
          <t>GÄVLEBORGS LÄN</t>
        </is>
      </c>
      <c r="E5454" t="inlineStr">
        <is>
          <t>BOLLNÄS</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45872-2022</t>
        </is>
      </c>
      <c r="B5455" s="1" t="n">
        <v>44846</v>
      </c>
      <c r="C5455" s="1" t="n">
        <v>45587</v>
      </c>
      <c r="D5455" t="inlineStr">
        <is>
          <t>GÄVLEBORGS LÄN</t>
        </is>
      </c>
      <c r="E5455" t="inlineStr">
        <is>
          <t>GÄVLE</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45917-2022</t>
        </is>
      </c>
      <c r="B5456" s="1" t="n">
        <v>44846</v>
      </c>
      <c r="C5456" s="1" t="n">
        <v>45587</v>
      </c>
      <c r="D5456" t="inlineStr">
        <is>
          <t>GÄVLEBORGS LÄN</t>
        </is>
      </c>
      <c r="E5456" t="inlineStr">
        <is>
          <t>SANDVIKEN</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45920-2022</t>
        </is>
      </c>
      <c r="B5457" s="1" t="n">
        <v>44846</v>
      </c>
      <c r="C5457" s="1" t="n">
        <v>45587</v>
      </c>
      <c r="D5457" t="inlineStr">
        <is>
          <t>GÄVLEBORGS LÄN</t>
        </is>
      </c>
      <c r="E5457" t="inlineStr">
        <is>
          <t>SANDVIKEN</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45947-2022</t>
        </is>
      </c>
      <c r="B5458" s="1" t="n">
        <v>44846</v>
      </c>
      <c r="C5458" s="1" t="n">
        <v>45587</v>
      </c>
      <c r="D5458" t="inlineStr">
        <is>
          <t>GÄVLEBORGS LÄN</t>
        </is>
      </c>
      <c r="E5458" t="inlineStr">
        <is>
          <t>OVANÅKER</t>
        </is>
      </c>
      <c r="G5458" t="n">
        <v>4.4</v>
      </c>
      <c r="H5458" t="n">
        <v>0</v>
      </c>
      <c r="I5458" t="n">
        <v>0</v>
      </c>
      <c r="J5458" t="n">
        <v>0</v>
      </c>
      <c r="K5458" t="n">
        <v>0</v>
      </c>
      <c r="L5458" t="n">
        <v>0</v>
      </c>
      <c r="M5458" t="n">
        <v>0</v>
      </c>
      <c r="N5458" t="n">
        <v>0</v>
      </c>
      <c r="O5458" t="n">
        <v>0</v>
      </c>
      <c r="P5458" t="n">
        <v>0</v>
      </c>
      <c r="Q5458" t="n">
        <v>0</v>
      </c>
      <c r="R5458" s="2" t="inlineStr"/>
    </row>
    <row r="5459" ht="15" customHeight="1">
      <c r="A5459" t="inlineStr">
        <is>
          <t>A 46007-2022</t>
        </is>
      </c>
      <c r="B5459" s="1" t="n">
        <v>44846</v>
      </c>
      <c r="C5459" s="1" t="n">
        <v>45587</v>
      </c>
      <c r="D5459" t="inlineStr">
        <is>
          <t>GÄVLEBORGS LÄN</t>
        </is>
      </c>
      <c r="E5459" t="inlineStr">
        <is>
          <t>BOLLNÄS</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46063-2022</t>
        </is>
      </c>
      <c r="B5460" s="1" t="n">
        <v>44847</v>
      </c>
      <c r="C5460" s="1" t="n">
        <v>45587</v>
      </c>
      <c r="D5460" t="inlineStr">
        <is>
          <t>GÄVLEBORGS LÄN</t>
        </is>
      </c>
      <c r="E5460" t="inlineStr">
        <is>
          <t>HUDIKSVALL</t>
        </is>
      </c>
      <c r="F5460" t="inlineStr">
        <is>
          <t>Naturvårdsverket</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46112-2022</t>
        </is>
      </c>
      <c r="B5461" s="1" t="n">
        <v>44847</v>
      </c>
      <c r="C5461" s="1" t="n">
        <v>45587</v>
      </c>
      <c r="D5461" t="inlineStr">
        <is>
          <t>GÄVLEBORGS LÄN</t>
        </is>
      </c>
      <c r="E5461" t="inlineStr">
        <is>
          <t>OCKELBO</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46157-2022</t>
        </is>
      </c>
      <c r="B5462" s="1" t="n">
        <v>44847</v>
      </c>
      <c r="C5462" s="1" t="n">
        <v>45587</v>
      </c>
      <c r="D5462" t="inlineStr">
        <is>
          <t>GÄVLEBORGS LÄN</t>
        </is>
      </c>
      <c r="E5462" t="inlineStr">
        <is>
          <t>LJUSDAL</t>
        </is>
      </c>
      <c r="F5462" t="inlineStr">
        <is>
          <t>Bergvik skog väst AB</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46221-2022</t>
        </is>
      </c>
      <c r="B5463" s="1" t="n">
        <v>44847</v>
      </c>
      <c r="C5463" s="1" t="n">
        <v>45587</v>
      </c>
      <c r="D5463" t="inlineStr">
        <is>
          <t>GÄVLEBORGS LÄN</t>
        </is>
      </c>
      <c r="E5463" t="inlineStr">
        <is>
          <t>LJUSDAL</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46109-2022</t>
        </is>
      </c>
      <c r="B5464" s="1" t="n">
        <v>44847</v>
      </c>
      <c r="C5464" s="1" t="n">
        <v>45587</v>
      </c>
      <c r="D5464" t="inlineStr">
        <is>
          <t>GÄVLEBORGS LÄN</t>
        </is>
      </c>
      <c r="E5464" t="inlineStr">
        <is>
          <t>BOLLNÄS</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46177-2022</t>
        </is>
      </c>
      <c r="B5465" s="1" t="n">
        <v>44847</v>
      </c>
      <c r="C5465" s="1" t="n">
        <v>45587</v>
      </c>
      <c r="D5465" t="inlineStr">
        <is>
          <t>GÄVLEBORGS LÄN</t>
        </is>
      </c>
      <c r="E5465" t="inlineStr">
        <is>
          <t>SANDVIKEN</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46248-2022</t>
        </is>
      </c>
      <c r="B5466" s="1" t="n">
        <v>44847</v>
      </c>
      <c r="C5466" s="1" t="n">
        <v>45587</v>
      </c>
      <c r="D5466" t="inlineStr">
        <is>
          <t>GÄVLEBORGS LÄN</t>
        </is>
      </c>
      <c r="E5466" t="inlineStr">
        <is>
          <t>HUDIKSVALL</t>
        </is>
      </c>
      <c r="F5466" t="inlineStr">
        <is>
          <t>Holmen skog AB</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46198-2022</t>
        </is>
      </c>
      <c r="B5467" s="1" t="n">
        <v>44847</v>
      </c>
      <c r="C5467" s="1" t="n">
        <v>45587</v>
      </c>
      <c r="D5467" t="inlineStr">
        <is>
          <t>GÄVLEBORGS LÄN</t>
        </is>
      </c>
      <c r="E5467" t="inlineStr">
        <is>
          <t>LJUSDAL</t>
        </is>
      </c>
      <c r="F5467" t="inlineStr">
        <is>
          <t>Bergvik skog väst AB</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46289-2022</t>
        </is>
      </c>
      <c r="B5468" s="1" t="n">
        <v>44847</v>
      </c>
      <c r="C5468" s="1" t="n">
        <v>45587</v>
      </c>
      <c r="D5468" t="inlineStr">
        <is>
          <t>GÄVLEBORGS LÄN</t>
        </is>
      </c>
      <c r="E5468" t="inlineStr">
        <is>
          <t>SANDVIKEN</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46302-2022</t>
        </is>
      </c>
      <c r="B5469" s="1" t="n">
        <v>44847</v>
      </c>
      <c r="C5469" s="1" t="n">
        <v>45587</v>
      </c>
      <c r="D5469" t="inlineStr">
        <is>
          <t>GÄVLEBORGS LÄN</t>
        </is>
      </c>
      <c r="E5469" t="inlineStr">
        <is>
          <t>SÖDERHAMN</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46064-2022</t>
        </is>
      </c>
      <c r="B5470" s="1" t="n">
        <v>44847</v>
      </c>
      <c r="C5470" s="1" t="n">
        <v>45587</v>
      </c>
      <c r="D5470" t="inlineStr">
        <is>
          <t>GÄVLEBORGS LÄN</t>
        </is>
      </c>
      <c r="E5470" t="inlineStr">
        <is>
          <t>HUDIKSVALL</t>
        </is>
      </c>
      <c r="F5470" t="inlineStr">
        <is>
          <t>Naturvårdsverket</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46193-2022</t>
        </is>
      </c>
      <c r="B5471" s="1" t="n">
        <v>44847</v>
      </c>
      <c r="C5471" s="1" t="n">
        <v>45587</v>
      </c>
      <c r="D5471" t="inlineStr">
        <is>
          <t>GÄVLEBORGS LÄN</t>
        </is>
      </c>
      <c r="E5471" t="inlineStr">
        <is>
          <t>LJUSDAL</t>
        </is>
      </c>
      <c r="F5471" t="inlineStr">
        <is>
          <t>Bergvik skog väst AB</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46256-2022</t>
        </is>
      </c>
      <c r="B5472" s="1" t="n">
        <v>44847</v>
      </c>
      <c r="C5472" s="1" t="n">
        <v>45587</v>
      </c>
      <c r="D5472" t="inlineStr">
        <is>
          <t>GÄVLEBORGS LÄN</t>
        </is>
      </c>
      <c r="E5472" t="inlineStr">
        <is>
          <t>LJUSDAL</t>
        </is>
      </c>
      <c r="F5472" t="inlineStr">
        <is>
          <t>Holmen skog AB</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46464-2022</t>
        </is>
      </c>
      <c r="B5473" s="1" t="n">
        <v>44848</v>
      </c>
      <c r="C5473" s="1" t="n">
        <v>45587</v>
      </c>
      <c r="D5473" t="inlineStr">
        <is>
          <t>GÄVLEBORGS LÄN</t>
        </is>
      </c>
      <c r="E5473" t="inlineStr">
        <is>
          <t>HUDIKSVALL</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46469-2022</t>
        </is>
      </c>
      <c r="B5474" s="1" t="n">
        <v>44848</v>
      </c>
      <c r="C5474" s="1" t="n">
        <v>45587</v>
      </c>
      <c r="D5474" t="inlineStr">
        <is>
          <t>GÄVLEBORGS LÄN</t>
        </is>
      </c>
      <c r="E5474" t="inlineStr">
        <is>
          <t>HUDIKSVALL</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46377-2022</t>
        </is>
      </c>
      <c r="B5475" s="1" t="n">
        <v>44848</v>
      </c>
      <c r="C5475" s="1" t="n">
        <v>45587</v>
      </c>
      <c r="D5475" t="inlineStr">
        <is>
          <t>GÄVLEBORGS LÄN</t>
        </is>
      </c>
      <c r="E5475" t="inlineStr">
        <is>
          <t>OVANÅKER</t>
        </is>
      </c>
      <c r="F5475" t="inlineStr">
        <is>
          <t>Sveaskog</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46466-2022</t>
        </is>
      </c>
      <c r="B5476" s="1" t="n">
        <v>44848</v>
      </c>
      <c r="C5476" s="1" t="n">
        <v>45587</v>
      </c>
      <c r="D5476" t="inlineStr">
        <is>
          <t>GÄVLEBORGS LÄN</t>
        </is>
      </c>
      <c r="E5476" t="inlineStr">
        <is>
          <t>HUDIKSVALL</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46382-2022</t>
        </is>
      </c>
      <c r="B5477" s="1" t="n">
        <v>44848</v>
      </c>
      <c r="C5477" s="1" t="n">
        <v>45587</v>
      </c>
      <c r="D5477" t="inlineStr">
        <is>
          <t>GÄVLEBORGS LÄN</t>
        </is>
      </c>
      <c r="E5477" t="inlineStr">
        <is>
          <t>GÄVLE</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46465-2022</t>
        </is>
      </c>
      <c r="B5478" s="1" t="n">
        <v>44848</v>
      </c>
      <c r="C5478" s="1" t="n">
        <v>45587</v>
      </c>
      <c r="D5478" t="inlineStr">
        <is>
          <t>GÄVLEBORGS LÄN</t>
        </is>
      </c>
      <c r="E5478" t="inlineStr">
        <is>
          <t>HUDIKSVALL</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46378-2022</t>
        </is>
      </c>
      <c r="B5479" s="1" t="n">
        <v>44848</v>
      </c>
      <c r="C5479" s="1" t="n">
        <v>45587</v>
      </c>
      <c r="D5479" t="inlineStr">
        <is>
          <t>GÄVLEBORGS LÄN</t>
        </is>
      </c>
      <c r="E5479" t="inlineStr">
        <is>
          <t>SANDVIKEN</t>
        </is>
      </c>
      <c r="F5479" t="inlineStr">
        <is>
          <t>Sveaskog</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46404-2022</t>
        </is>
      </c>
      <c r="B5480" s="1" t="n">
        <v>44848</v>
      </c>
      <c r="C5480" s="1" t="n">
        <v>45587</v>
      </c>
      <c r="D5480" t="inlineStr">
        <is>
          <t>GÄVLEBORGS LÄN</t>
        </is>
      </c>
      <c r="E5480" t="inlineStr">
        <is>
          <t>LJUSDAL</t>
        </is>
      </c>
      <c r="F5480" t="inlineStr">
        <is>
          <t>Bergvik skog väst AB</t>
        </is>
      </c>
      <c r="G5480" t="n">
        <v>9.199999999999999</v>
      </c>
      <c r="H5480" t="n">
        <v>0</v>
      </c>
      <c r="I5480" t="n">
        <v>0</v>
      </c>
      <c r="J5480" t="n">
        <v>0</v>
      </c>
      <c r="K5480" t="n">
        <v>0</v>
      </c>
      <c r="L5480" t="n">
        <v>0</v>
      </c>
      <c r="M5480" t="n">
        <v>0</v>
      </c>
      <c r="N5480" t="n">
        <v>0</v>
      </c>
      <c r="O5480" t="n">
        <v>0</v>
      </c>
      <c r="P5480" t="n">
        <v>0</v>
      </c>
      <c r="Q5480" t="n">
        <v>0</v>
      </c>
      <c r="R5480" s="2" t="inlineStr"/>
    </row>
    <row r="5481" ht="15" customHeight="1">
      <c r="A5481" t="inlineStr">
        <is>
          <t>A 46467-2022</t>
        </is>
      </c>
      <c r="B5481" s="1" t="n">
        <v>44848</v>
      </c>
      <c r="C5481" s="1" t="n">
        <v>45587</v>
      </c>
      <c r="D5481" t="inlineStr">
        <is>
          <t>GÄVLEBORGS LÄN</t>
        </is>
      </c>
      <c r="E5481" t="inlineStr">
        <is>
          <t>HUDIKSVALL</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46572-2022</t>
        </is>
      </c>
      <c r="B5482" s="1" t="n">
        <v>44848</v>
      </c>
      <c r="C5482" s="1" t="n">
        <v>45587</v>
      </c>
      <c r="D5482" t="inlineStr">
        <is>
          <t>GÄVLEBORGS LÄN</t>
        </is>
      </c>
      <c r="E5482" t="inlineStr">
        <is>
          <t>LJUSDAL</t>
        </is>
      </c>
      <c r="F5482" t="inlineStr">
        <is>
          <t>Sveaskog</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46588-2022</t>
        </is>
      </c>
      <c r="B5483" s="1" t="n">
        <v>44848</v>
      </c>
      <c r="C5483" s="1" t="n">
        <v>45587</v>
      </c>
      <c r="D5483" t="inlineStr">
        <is>
          <t>GÄVLEBORGS LÄN</t>
        </is>
      </c>
      <c r="E5483" t="inlineStr">
        <is>
          <t>NORDANSTIG</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46592-2022</t>
        </is>
      </c>
      <c r="B5484" s="1" t="n">
        <v>44848</v>
      </c>
      <c r="C5484" s="1" t="n">
        <v>45587</v>
      </c>
      <c r="D5484" t="inlineStr">
        <is>
          <t>GÄVLEBORGS LÄN</t>
        </is>
      </c>
      <c r="E5484" t="inlineStr">
        <is>
          <t>NORDANSTIG</t>
        </is>
      </c>
      <c r="F5484" t="inlineStr">
        <is>
          <t>Holmen skog AB</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46701-2022</t>
        </is>
      </c>
      <c r="B5485" s="1" t="n">
        <v>44851</v>
      </c>
      <c r="C5485" s="1" t="n">
        <v>45587</v>
      </c>
      <c r="D5485" t="inlineStr">
        <is>
          <t>GÄVLEBORGS LÄN</t>
        </is>
      </c>
      <c r="E5485" t="inlineStr">
        <is>
          <t>SÖDERHAMN</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46709-2022</t>
        </is>
      </c>
      <c r="B5486" s="1" t="n">
        <v>44851</v>
      </c>
      <c r="C5486" s="1" t="n">
        <v>45587</v>
      </c>
      <c r="D5486" t="inlineStr">
        <is>
          <t>GÄVLEBORGS LÄN</t>
        </is>
      </c>
      <c r="E5486" t="inlineStr">
        <is>
          <t>OVANÅKER</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46727-2022</t>
        </is>
      </c>
      <c r="B5487" s="1" t="n">
        <v>44851</v>
      </c>
      <c r="C5487" s="1" t="n">
        <v>45587</v>
      </c>
      <c r="D5487" t="inlineStr">
        <is>
          <t>GÄVLEBORGS LÄN</t>
        </is>
      </c>
      <c r="E5487" t="inlineStr">
        <is>
          <t>HUDIKSVALL</t>
        </is>
      </c>
      <c r="F5487" t="inlineStr">
        <is>
          <t>Holmen skog AB</t>
        </is>
      </c>
      <c r="G5487" t="n">
        <v>7.9</v>
      </c>
      <c r="H5487" t="n">
        <v>0</v>
      </c>
      <c r="I5487" t="n">
        <v>0</v>
      </c>
      <c r="J5487" t="n">
        <v>0</v>
      </c>
      <c r="K5487" t="n">
        <v>0</v>
      </c>
      <c r="L5487" t="n">
        <v>0</v>
      </c>
      <c r="M5487" t="n">
        <v>0</v>
      </c>
      <c r="N5487" t="n">
        <v>0</v>
      </c>
      <c r="O5487" t="n">
        <v>0</v>
      </c>
      <c r="P5487" t="n">
        <v>0</v>
      </c>
      <c r="Q5487" t="n">
        <v>0</v>
      </c>
      <c r="R5487" s="2" t="inlineStr"/>
    </row>
    <row r="5488" ht="15" customHeight="1">
      <c r="A5488" t="inlineStr">
        <is>
          <t>A 46828-2022</t>
        </is>
      </c>
      <c r="B5488" s="1" t="n">
        <v>44851</v>
      </c>
      <c r="C5488" s="1" t="n">
        <v>45587</v>
      </c>
      <c r="D5488" t="inlineStr">
        <is>
          <t>GÄVLEBORGS LÄN</t>
        </is>
      </c>
      <c r="E5488" t="inlineStr">
        <is>
          <t>NORDANSTIG</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46754-2022</t>
        </is>
      </c>
      <c r="B5489" s="1" t="n">
        <v>44851</v>
      </c>
      <c r="C5489" s="1" t="n">
        <v>45587</v>
      </c>
      <c r="D5489" t="inlineStr">
        <is>
          <t>GÄVLEBORGS LÄN</t>
        </is>
      </c>
      <c r="E5489" t="inlineStr">
        <is>
          <t>HUDIKSVALL</t>
        </is>
      </c>
      <c r="F5489" t="inlineStr">
        <is>
          <t>Holmen skog AB</t>
        </is>
      </c>
      <c r="G5489" t="n">
        <v>5.8</v>
      </c>
      <c r="H5489" t="n">
        <v>0</v>
      </c>
      <c r="I5489" t="n">
        <v>0</v>
      </c>
      <c r="J5489" t="n">
        <v>0</v>
      </c>
      <c r="K5489" t="n">
        <v>0</v>
      </c>
      <c r="L5489" t="n">
        <v>0</v>
      </c>
      <c r="M5489" t="n">
        <v>0</v>
      </c>
      <c r="N5489" t="n">
        <v>0</v>
      </c>
      <c r="O5489" t="n">
        <v>0</v>
      </c>
      <c r="P5489" t="n">
        <v>0</v>
      </c>
      <c r="Q5489" t="n">
        <v>0</v>
      </c>
      <c r="R5489" s="2" t="inlineStr"/>
    </row>
    <row r="5490" ht="15" customHeight="1">
      <c r="A5490" t="inlineStr">
        <is>
          <t>A 46934-2022</t>
        </is>
      </c>
      <c r="B5490" s="1" t="n">
        <v>44851</v>
      </c>
      <c r="C5490" s="1" t="n">
        <v>45587</v>
      </c>
      <c r="D5490" t="inlineStr">
        <is>
          <t>GÄVLEBORGS LÄN</t>
        </is>
      </c>
      <c r="E5490" t="inlineStr">
        <is>
          <t>NORDANSTIG</t>
        </is>
      </c>
      <c r="F5490" t="inlineStr">
        <is>
          <t>Holmen skog AB</t>
        </is>
      </c>
      <c r="G5490" t="n">
        <v>4.1</v>
      </c>
      <c r="H5490" t="n">
        <v>0</v>
      </c>
      <c r="I5490" t="n">
        <v>0</v>
      </c>
      <c r="J5490" t="n">
        <v>0</v>
      </c>
      <c r="K5490" t="n">
        <v>0</v>
      </c>
      <c r="L5490" t="n">
        <v>0</v>
      </c>
      <c r="M5490" t="n">
        <v>0</v>
      </c>
      <c r="N5490" t="n">
        <v>0</v>
      </c>
      <c r="O5490" t="n">
        <v>0</v>
      </c>
      <c r="P5490" t="n">
        <v>0</v>
      </c>
      <c r="Q5490" t="n">
        <v>0</v>
      </c>
      <c r="R5490" s="2" t="inlineStr"/>
    </row>
    <row r="5491" ht="15" customHeight="1">
      <c r="A5491" t="inlineStr">
        <is>
          <t>A 46960-2022</t>
        </is>
      </c>
      <c r="B5491" s="1" t="n">
        <v>44852</v>
      </c>
      <c r="C5491" s="1" t="n">
        <v>45587</v>
      </c>
      <c r="D5491" t="inlineStr">
        <is>
          <t>GÄVLEBORGS LÄN</t>
        </is>
      </c>
      <c r="E5491" t="inlineStr">
        <is>
          <t>OVANÅKER</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46965-2022</t>
        </is>
      </c>
      <c r="B5492" s="1" t="n">
        <v>44852</v>
      </c>
      <c r="C5492" s="1" t="n">
        <v>45587</v>
      </c>
      <c r="D5492" t="inlineStr">
        <is>
          <t>GÄVLEBORGS LÄN</t>
        </is>
      </c>
      <c r="E5492" t="inlineStr">
        <is>
          <t>BOLLNÄS</t>
        </is>
      </c>
      <c r="F5492" t="inlineStr">
        <is>
          <t>Bergvik skog väst AB</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46963-2022</t>
        </is>
      </c>
      <c r="B5493" s="1" t="n">
        <v>44852</v>
      </c>
      <c r="C5493" s="1" t="n">
        <v>45587</v>
      </c>
      <c r="D5493" t="inlineStr">
        <is>
          <t>GÄVLEBORGS LÄN</t>
        </is>
      </c>
      <c r="E5493" t="inlineStr">
        <is>
          <t>BOLLNÄS</t>
        </is>
      </c>
      <c r="F5493" t="inlineStr">
        <is>
          <t>Bergvik skog väst AB</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46823-2022</t>
        </is>
      </c>
      <c r="B5494" s="1" t="n">
        <v>44851</v>
      </c>
      <c r="C5494" s="1" t="n">
        <v>45587</v>
      </c>
      <c r="D5494" t="inlineStr">
        <is>
          <t>GÄVLEBORGS LÄN</t>
        </is>
      </c>
      <c r="E5494" t="inlineStr">
        <is>
          <t>OVANÅKER</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46931-2022</t>
        </is>
      </c>
      <c r="B5495" s="1" t="n">
        <v>44851</v>
      </c>
      <c r="C5495" s="1" t="n">
        <v>45587</v>
      </c>
      <c r="D5495" t="inlineStr">
        <is>
          <t>GÄVLEBORGS LÄN</t>
        </is>
      </c>
      <c r="E5495" t="inlineStr">
        <is>
          <t>NORDANSTIG</t>
        </is>
      </c>
      <c r="F5495" t="inlineStr">
        <is>
          <t>Holmen skog AB</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46935-2022</t>
        </is>
      </c>
      <c r="B5496" s="1" t="n">
        <v>44851</v>
      </c>
      <c r="C5496" s="1" t="n">
        <v>45587</v>
      </c>
      <c r="D5496" t="inlineStr">
        <is>
          <t>GÄVLEBORGS LÄN</t>
        </is>
      </c>
      <c r="E5496" t="inlineStr">
        <is>
          <t>NORDANSTIG</t>
        </is>
      </c>
      <c r="F5496" t="inlineStr">
        <is>
          <t>Holmen skog AB</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46961-2022</t>
        </is>
      </c>
      <c r="B5497" s="1" t="n">
        <v>44852</v>
      </c>
      <c r="C5497" s="1" t="n">
        <v>45587</v>
      </c>
      <c r="D5497" t="inlineStr">
        <is>
          <t>GÄVLEBORGS LÄN</t>
        </is>
      </c>
      <c r="E5497" t="inlineStr">
        <is>
          <t>BOLLNÄS</t>
        </is>
      </c>
      <c r="F5497" t="inlineStr">
        <is>
          <t>Bergvik skog väst AB</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46995-2022</t>
        </is>
      </c>
      <c r="B5498" s="1" t="n">
        <v>44852</v>
      </c>
      <c r="C5498" s="1" t="n">
        <v>45587</v>
      </c>
      <c r="D5498" t="inlineStr">
        <is>
          <t>GÄVLEBORGS LÄN</t>
        </is>
      </c>
      <c r="E5498" t="inlineStr">
        <is>
          <t>BOLLNÄS</t>
        </is>
      </c>
      <c r="F5498" t="inlineStr">
        <is>
          <t>Bergvik skog väst AB</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47380-2022</t>
        </is>
      </c>
      <c r="B5499" s="1" t="n">
        <v>44853</v>
      </c>
      <c r="C5499" s="1" t="n">
        <v>45587</v>
      </c>
      <c r="D5499" t="inlineStr">
        <is>
          <t>GÄVLEBORGS LÄN</t>
        </is>
      </c>
      <c r="E5499" t="inlineStr">
        <is>
          <t>OVANÅKER</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47480-2022</t>
        </is>
      </c>
      <c r="B5500" s="1" t="n">
        <v>44853</v>
      </c>
      <c r="C5500" s="1" t="n">
        <v>45587</v>
      </c>
      <c r="D5500" t="inlineStr">
        <is>
          <t>GÄVLEBORGS LÄN</t>
        </is>
      </c>
      <c r="E5500" t="inlineStr">
        <is>
          <t>OVANÅKER</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47502-2022</t>
        </is>
      </c>
      <c r="B5501" s="1" t="n">
        <v>44853</v>
      </c>
      <c r="C5501" s="1" t="n">
        <v>45587</v>
      </c>
      <c r="D5501" t="inlineStr">
        <is>
          <t>GÄVLEBORGS LÄN</t>
        </is>
      </c>
      <c r="E5501" t="inlineStr">
        <is>
          <t>LJUSDAL</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47454-2022</t>
        </is>
      </c>
      <c r="B5502" s="1" t="n">
        <v>44853</v>
      </c>
      <c r="C5502" s="1" t="n">
        <v>45587</v>
      </c>
      <c r="D5502" t="inlineStr">
        <is>
          <t>GÄVLEBORGS LÄN</t>
        </is>
      </c>
      <c r="E5502" t="inlineStr">
        <is>
          <t>GÄVLE</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47590-2022</t>
        </is>
      </c>
      <c r="B5503" s="1" t="n">
        <v>44854</v>
      </c>
      <c r="C5503" s="1" t="n">
        <v>45587</v>
      </c>
      <c r="D5503" t="inlineStr">
        <is>
          <t>GÄVLEBORGS LÄN</t>
        </is>
      </c>
      <c r="E5503" t="inlineStr">
        <is>
          <t>NORDANSTIG</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47458-2022</t>
        </is>
      </c>
      <c r="B5504" s="1" t="n">
        <v>44853</v>
      </c>
      <c r="C5504" s="1" t="n">
        <v>45587</v>
      </c>
      <c r="D5504" t="inlineStr">
        <is>
          <t>GÄVLEBORGS LÄN</t>
        </is>
      </c>
      <c r="E5504" t="inlineStr">
        <is>
          <t>GÄVLE</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47589-2022</t>
        </is>
      </c>
      <c r="B5505" s="1" t="n">
        <v>44854</v>
      </c>
      <c r="C5505" s="1" t="n">
        <v>45587</v>
      </c>
      <c r="D5505" t="inlineStr">
        <is>
          <t>GÄVLEBORGS LÄN</t>
        </is>
      </c>
      <c r="E5505" t="inlineStr">
        <is>
          <t>NORDANSTIG</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47723-2022</t>
        </is>
      </c>
      <c r="B5506" s="1" t="n">
        <v>44854</v>
      </c>
      <c r="C5506" s="1" t="n">
        <v>45587</v>
      </c>
      <c r="D5506" t="inlineStr">
        <is>
          <t>GÄVLEBORGS LÄN</t>
        </is>
      </c>
      <c r="E5506" t="inlineStr">
        <is>
          <t>BOLLNÄS</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47683-2022</t>
        </is>
      </c>
      <c r="B5507" s="1" t="n">
        <v>44854</v>
      </c>
      <c r="C5507" s="1" t="n">
        <v>45587</v>
      </c>
      <c r="D5507" t="inlineStr">
        <is>
          <t>GÄVLEBORGS LÄN</t>
        </is>
      </c>
      <c r="E5507" t="inlineStr">
        <is>
          <t>HUDIKSVALL</t>
        </is>
      </c>
      <c r="F5507" t="inlineStr">
        <is>
          <t>Holmen skog AB</t>
        </is>
      </c>
      <c r="G5507" t="n">
        <v>8.1</v>
      </c>
      <c r="H5507" t="n">
        <v>0</v>
      </c>
      <c r="I5507" t="n">
        <v>0</v>
      </c>
      <c r="J5507" t="n">
        <v>0</v>
      </c>
      <c r="K5507" t="n">
        <v>0</v>
      </c>
      <c r="L5507" t="n">
        <v>0</v>
      </c>
      <c r="M5507" t="n">
        <v>0</v>
      </c>
      <c r="N5507" t="n">
        <v>0</v>
      </c>
      <c r="O5507" t="n">
        <v>0</v>
      </c>
      <c r="P5507" t="n">
        <v>0</v>
      </c>
      <c r="Q5507" t="n">
        <v>0</v>
      </c>
      <c r="R5507" s="2" t="inlineStr"/>
    </row>
    <row r="5508" ht="15" customHeight="1">
      <c r="A5508" t="inlineStr">
        <is>
          <t>A 47710-2022</t>
        </is>
      </c>
      <c r="B5508" s="1" t="n">
        <v>44854</v>
      </c>
      <c r="C5508" s="1" t="n">
        <v>45587</v>
      </c>
      <c r="D5508" t="inlineStr">
        <is>
          <t>GÄVLEBORGS LÄN</t>
        </is>
      </c>
      <c r="E5508" t="inlineStr">
        <is>
          <t>SANDVIKEN</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47718-2022</t>
        </is>
      </c>
      <c r="B5509" s="1" t="n">
        <v>44854</v>
      </c>
      <c r="C5509" s="1" t="n">
        <v>45587</v>
      </c>
      <c r="D5509" t="inlineStr">
        <is>
          <t>GÄVLEBORGS LÄN</t>
        </is>
      </c>
      <c r="E5509" t="inlineStr">
        <is>
          <t>SANDVIKEN</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47711-2022</t>
        </is>
      </c>
      <c r="B5510" s="1" t="n">
        <v>44854</v>
      </c>
      <c r="C5510" s="1" t="n">
        <v>45587</v>
      </c>
      <c r="D5510" t="inlineStr">
        <is>
          <t>GÄVLEBORGS LÄN</t>
        </is>
      </c>
      <c r="E5510" t="inlineStr">
        <is>
          <t>SANDVIKEN</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47720-2022</t>
        </is>
      </c>
      <c r="B5511" s="1" t="n">
        <v>44854</v>
      </c>
      <c r="C5511" s="1" t="n">
        <v>45587</v>
      </c>
      <c r="D5511" t="inlineStr">
        <is>
          <t>GÄVLEBORGS LÄN</t>
        </is>
      </c>
      <c r="E5511" t="inlineStr">
        <is>
          <t>SANDVIKEN</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48007-2022</t>
        </is>
      </c>
      <c r="B5512" s="1" t="n">
        <v>44855</v>
      </c>
      <c r="C5512" s="1" t="n">
        <v>45587</v>
      </c>
      <c r="D5512" t="inlineStr">
        <is>
          <t>GÄVLEBORGS LÄN</t>
        </is>
      </c>
      <c r="E5512" t="inlineStr">
        <is>
          <t>BOLLNÄS</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47917-2022</t>
        </is>
      </c>
      <c r="B5513" s="1" t="n">
        <v>44855</v>
      </c>
      <c r="C5513" s="1" t="n">
        <v>45587</v>
      </c>
      <c r="D5513" t="inlineStr">
        <is>
          <t>GÄVLEBORGS LÄN</t>
        </is>
      </c>
      <c r="E5513" t="inlineStr">
        <is>
          <t>OVANÅKER</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47855-2022</t>
        </is>
      </c>
      <c r="B5514" s="1" t="n">
        <v>44855</v>
      </c>
      <c r="C5514" s="1" t="n">
        <v>45587</v>
      </c>
      <c r="D5514" t="inlineStr">
        <is>
          <t>GÄVLEBORGS LÄN</t>
        </is>
      </c>
      <c r="E5514" t="inlineStr">
        <is>
          <t>LJUSDAL</t>
        </is>
      </c>
      <c r="F5514" t="inlineStr">
        <is>
          <t>Sveaskog</t>
        </is>
      </c>
      <c r="G5514" t="n">
        <v>7.8</v>
      </c>
      <c r="H5514" t="n">
        <v>0</v>
      </c>
      <c r="I5514" t="n">
        <v>0</v>
      </c>
      <c r="J5514" t="n">
        <v>0</v>
      </c>
      <c r="K5514" t="n">
        <v>0</v>
      </c>
      <c r="L5514" t="n">
        <v>0</v>
      </c>
      <c r="M5514" t="n">
        <v>0</v>
      </c>
      <c r="N5514" t="n">
        <v>0</v>
      </c>
      <c r="O5514" t="n">
        <v>0</v>
      </c>
      <c r="P5514" t="n">
        <v>0</v>
      </c>
      <c r="Q5514" t="n">
        <v>0</v>
      </c>
      <c r="R5514" s="2" t="inlineStr"/>
    </row>
    <row r="5515" ht="15" customHeight="1">
      <c r="A5515" t="inlineStr">
        <is>
          <t>A 47889-2022</t>
        </is>
      </c>
      <c r="B5515" s="1" t="n">
        <v>44855</v>
      </c>
      <c r="C5515" s="1" t="n">
        <v>45587</v>
      </c>
      <c r="D5515" t="inlineStr">
        <is>
          <t>GÄVLEBORGS LÄN</t>
        </is>
      </c>
      <c r="E5515" t="inlineStr">
        <is>
          <t>SANDVIKEN</t>
        </is>
      </c>
      <c r="F5515" t="inlineStr">
        <is>
          <t>Sveaskog</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47853-2022</t>
        </is>
      </c>
      <c r="B5516" s="1" t="n">
        <v>44855</v>
      </c>
      <c r="C5516" s="1" t="n">
        <v>45587</v>
      </c>
      <c r="D5516" t="inlineStr">
        <is>
          <t>GÄVLEBORGS LÄN</t>
        </is>
      </c>
      <c r="E5516" t="inlineStr">
        <is>
          <t>LJUSDAL</t>
        </is>
      </c>
      <c r="F5516" t="inlineStr">
        <is>
          <t>Sveaskog</t>
        </is>
      </c>
      <c r="G5516" t="n">
        <v>7.5</v>
      </c>
      <c r="H5516" t="n">
        <v>0</v>
      </c>
      <c r="I5516" t="n">
        <v>0</v>
      </c>
      <c r="J5516" t="n">
        <v>0</v>
      </c>
      <c r="K5516" t="n">
        <v>0</v>
      </c>
      <c r="L5516" t="n">
        <v>0</v>
      </c>
      <c r="M5516" t="n">
        <v>0</v>
      </c>
      <c r="N5516" t="n">
        <v>0</v>
      </c>
      <c r="O5516" t="n">
        <v>0</v>
      </c>
      <c r="P5516" t="n">
        <v>0</v>
      </c>
      <c r="Q5516" t="n">
        <v>0</v>
      </c>
      <c r="R5516" s="2" t="inlineStr"/>
    </row>
    <row r="5517" ht="15" customHeight="1">
      <c r="A5517" t="inlineStr">
        <is>
          <t>A 49059-2022</t>
        </is>
      </c>
      <c r="B5517" s="1" t="n">
        <v>44855</v>
      </c>
      <c r="C5517" s="1" t="n">
        <v>45587</v>
      </c>
      <c r="D5517" t="inlineStr">
        <is>
          <t>GÄVLEBORGS LÄN</t>
        </is>
      </c>
      <c r="E5517" t="inlineStr">
        <is>
          <t>SANDVIKEN</t>
        </is>
      </c>
      <c r="F5517" t="inlineStr">
        <is>
          <t>Bergvik skog väst AB</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48080-2022</t>
        </is>
      </c>
      <c r="B5518" s="1" t="n">
        <v>44855</v>
      </c>
      <c r="C5518" s="1" t="n">
        <v>45587</v>
      </c>
      <c r="D5518" t="inlineStr">
        <is>
          <t>GÄVLEBORGS LÄN</t>
        </is>
      </c>
      <c r="E5518" t="inlineStr">
        <is>
          <t>NORDANSTIG</t>
        </is>
      </c>
      <c r="F5518" t="inlineStr">
        <is>
          <t>SCA</t>
        </is>
      </c>
      <c r="G5518" t="n">
        <v>12.1</v>
      </c>
      <c r="H5518" t="n">
        <v>0</v>
      </c>
      <c r="I5518" t="n">
        <v>0</v>
      </c>
      <c r="J5518" t="n">
        <v>0</v>
      </c>
      <c r="K5518" t="n">
        <v>0</v>
      </c>
      <c r="L5518" t="n">
        <v>0</v>
      </c>
      <c r="M5518" t="n">
        <v>0</v>
      </c>
      <c r="N5518" t="n">
        <v>0</v>
      </c>
      <c r="O5518" t="n">
        <v>0</v>
      </c>
      <c r="P5518" t="n">
        <v>0</v>
      </c>
      <c r="Q5518" t="n">
        <v>0</v>
      </c>
      <c r="R5518" s="2" t="inlineStr"/>
    </row>
    <row r="5519" ht="15" customHeight="1">
      <c r="A5519" t="inlineStr">
        <is>
          <t>A 48102-2022</t>
        </is>
      </c>
      <c r="B5519" s="1" t="n">
        <v>44856</v>
      </c>
      <c r="C5519" s="1" t="n">
        <v>45587</v>
      </c>
      <c r="D5519" t="inlineStr">
        <is>
          <t>GÄVLEBORGS LÄN</t>
        </is>
      </c>
      <c r="E5519" t="inlineStr">
        <is>
          <t>SÖDERHAMN</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48103-2022</t>
        </is>
      </c>
      <c r="B5520" s="1" t="n">
        <v>44856</v>
      </c>
      <c r="C5520" s="1" t="n">
        <v>45587</v>
      </c>
      <c r="D5520" t="inlineStr">
        <is>
          <t>GÄVLEBORGS LÄN</t>
        </is>
      </c>
      <c r="E5520" t="inlineStr">
        <is>
          <t>SÖDERHAMN</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48110-2022</t>
        </is>
      </c>
      <c r="B5521" s="1" t="n">
        <v>44857</v>
      </c>
      <c r="C5521" s="1" t="n">
        <v>45587</v>
      </c>
      <c r="D5521" t="inlineStr">
        <is>
          <t>GÄVLEBORGS LÄN</t>
        </is>
      </c>
      <c r="E5521" t="inlineStr">
        <is>
          <t>BOLLNÄS</t>
        </is>
      </c>
      <c r="F5521" t="inlineStr">
        <is>
          <t>Bergvik skog väst AB</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48111-2022</t>
        </is>
      </c>
      <c r="B5522" s="1" t="n">
        <v>44857</v>
      </c>
      <c r="C5522" s="1" t="n">
        <v>45587</v>
      </c>
      <c r="D5522" t="inlineStr">
        <is>
          <t>GÄVLEBORGS LÄN</t>
        </is>
      </c>
      <c r="E5522" t="inlineStr">
        <is>
          <t>BOLLNÄS</t>
        </is>
      </c>
      <c r="F5522" t="inlineStr">
        <is>
          <t>Bergvik skog väst AB</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48214-2022</t>
        </is>
      </c>
      <c r="B5523" s="1" t="n">
        <v>44858</v>
      </c>
      <c r="C5523" s="1" t="n">
        <v>45587</v>
      </c>
      <c r="D5523" t="inlineStr">
        <is>
          <t>GÄVLEBORGS LÄN</t>
        </is>
      </c>
      <c r="E5523" t="inlineStr">
        <is>
          <t>OCKELBO</t>
        </is>
      </c>
      <c r="F5523" t="inlineStr">
        <is>
          <t>Bergvik skog väst AB</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48332-2022</t>
        </is>
      </c>
      <c r="B5524" s="1" t="n">
        <v>44858</v>
      </c>
      <c r="C5524" s="1" t="n">
        <v>45587</v>
      </c>
      <c r="D5524" t="inlineStr">
        <is>
          <t>GÄVLEBORGS LÄN</t>
        </is>
      </c>
      <c r="E5524" t="inlineStr">
        <is>
          <t>LJUSDAL</t>
        </is>
      </c>
      <c r="F5524" t="inlineStr">
        <is>
          <t>Bergvik skog väst AB</t>
        </is>
      </c>
      <c r="G5524" t="n">
        <v>5</v>
      </c>
      <c r="H5524" t="n">
        <v>0</v>
      </c>
      <c r="I5524" t="n">
        <v>0</v>
      </c>
      <c r="J5524" t="n">
        <v>0</v>
      </c>
      <c r="K5524" t="n">
        <v>0</v>
      </c>
      <c r="L5524" t="n">
        <v>0</v>
      </c>
      <c r="M5524" t="n">
        <v>0</v>
      </c>
      <c r="N5524" t="n">
        <v>0</v>
      </c>
      <c r="O5524" t="n">
        <v>0</v>
      </c>
      <c r="P5524" t="n">
        <v>0</v>
      </c>
      <c r="Q5524" t="n">
        <v>0</v>
      </c>
      <c r="R5524" s="2" t="inlineStr"/>
    </row>
    <row r="5525" ht="15" customHeight="1">
      <c r="A5525" t="inlineStr">
        <is>
          <t>A 48371-2022</t>
        </is>
      </c>
      <c r="B5525" s="1" t="n">
        <v>44858</v>
      </c>
      <c r="C5525" s="1" t="n">
        <v>45587</v>
      </c>
      <c r="D5525" t="inlineStr">
        <is>
          <t>GÄVLEBORGS LÄN</t>
        </is>
      </c>
      <c r="E5525" t="inlineStr">
        <is>
          <t>BOLLNÄS</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48381-2022</t>
        </is>
      </c>
      <c r="B5526" s="1" t="n">
        <v>44858</v>
      </c>
      <c r="C5526" s="1" t="n">
        <v>45587</v>
      </c>
      <c r="D5526" t="inlineStr">
        <is>
          <t>GÄVLEBORGS LÄN</t>
        </is>
      </c>
      <c r="E5526" t="inlineStr">
        <is>
          <t>OCKELBO</t>
        </is>
      </c>
      <c r="F5526" t="inlineStr">
        <is>
          <t>Bergvik skog väst AB</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48399-2022</t>
        </is>
      </c>
      <c r="B5527" s="1" t="n">
        <v>44858</v>
      </c>
      <c r="C5527" s="1" t="n">
        <v>45587</v>
      </c>
      <c r="D5527" t="inlineStr">
        <is>
          <t>GÄVLEBORGS LÄN</t>
        </is>
      </c>
      <c r="E5527" t="inlineStr">
        <is>
          <t>OCKELBO</t>
        </is>
      </c>
      <c r="F5527" t="inlineStr">
        <is>
          <t>Bergvik skog väst AB</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48157-2022</t>
        </is>
      </c>
      <c r="B5528" s="1" t="n">
        <v>44858</v>
      </c>
      <c r="C5528" s="1" t="n">
        <v>45587</v>
      </c>
      <c r="D5528" t="inlineStr">
        <is>
          <t>GÄVLEBORGS LÄN</t>
        </is>
      </c>
      <c r="E5528" t="inlineStr">
        <is>
          <t>OCKELBO</t>
        </is>
      </c>
      <c r="F5528" t="inlineStr">
        <is>
          <t>Bergvik skog väst AB</t>
        </is>
      </c>
      <c r="G5528" t="n">
        <v>19.5</v>
      </c>
      <c r="H5528" t="n">
        <v>0</v>
      </c>
      <c r="I5528" t="n">
        <v>0</v>
      </c>
      <c r="J5528" t="n">
        <v>0</v>
      </c>
      <c r="K5528" t="n">
        <v>0</v>
      </c>
      <c r="L5528" t="n">
        <v>0</v>
      </c>
      <c r="M5528" t="n">
        <v>0</v>
      </c>
      <c r="N5528" t="n">
        <v>0</v>
      </c>
      <c r="O5528" t="n">
        <v>0</v>
      </c>
      <c r="P5528" t="n">
        <v>0</v>
      </c>
      <c r="Q5528" t="n">
        <v>0</v>
      </c>
      <c r="R5528" s="2" t="inlineStr"/>
    </row>
    <row r="5529" ht="15" customHeight="1">
      <c r="A5529" t="inlineStr">
        <is>
          <t>A 48201-2022</t>
        </is>
      </c>
      <c r="B5529" s="1" t="n">
        <v>44858</v>
      </c>
      <c r="C5529" s="1" t="n">
        <v>45587</v>
      </c>
      <c r="D5529" t="inlineStr">
        <is>
          <t>GÄVLEBORGS LÄN</t>
        </is>
      </c>
      <c r="E5529" t="inlineStr">
        <is>
          <t>OCKELBO</t>
        </is>
      </c>
      <c r="F5529" t="inlineStr">
        <is>
          <t>Bergvik skog väst AB</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48370-2022</t>
        </is>
      </c>
      <c r="B5530" s="1" t="n">
        <v>44858</v>
      </c>
      <c r="C5530" s="1" t="n">
        <v>45587</v>
      </c>
      <c r="D5530" t="inlineStr">
        <is>
          <t>GÄVLEBORGS LÄN</t>
        </is>
      </c>
      <c r="E5530" t="inlineStr">
        <is>
          <t>LJUSDAL</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48394-2022</t>
        </is>
      </c>
      <c r="B5531" s="1" t="n">
        <v>44858</v>
      </c>
      <c r="C5531" s="1" t="n">
        <v>45587</v>
      </c>
      <c r="D5531" t="inlineStr">
        <is>
          <t>GÄVLEBORGS LÄN</t>
        </is>
      </c>
      <c r="E5531" t="inlineStr">
        <is>
          <t>OCKELBO</t>
        </is>
      </c>
      <c r="F5531" t="inlineStr">
        <is>
          <t>Bergvik skog väst AB</t>
        </is>
      </c>
      <c r="G5531" t="n">
        <v>5.4</v>
      </c>
      <c r="H5531" t="n">
        <v>0</v>
      </c>
      <c r="I5531" t="n">
        <v>0</v>
      </c>
      <c r="J5531" t="n">
        <v>0</v>
      </c>
      <c r="K5531" t="n">
        <v>0</v>
      </c>
      <c r="L5531" t="n">
        <v>0</v>
      </c>
      <c r="M5531" t="n">
        <v>0</v>
      </c>
      <c r="N5531" t="n">
        <v>0</v>
      </c>
      <c r="O5531" t="n">
        <v>0</v>
      </c>
      <c r="P5531" t="n">
        <v>0</v>
      </c>
      <c r="Q5531" t="n">
        <v>0</v>
      </c>
      <c r="R5531" s="2" t="inlineStr"/>
    </row>
    <row r="5532" ht="15" customHeight="1">
      <c r="A5532" t="inlineStr">
        <is>
          <t>A 48141-2022</t>
        </is>
      </c>
      <c r="B5532" s="1" t="n">
        <v>44858</v>
      </c>
      <c r="C5532" s="1" t="n">
        <v>45587</v>
      </c>
      <c r="D5532" t="inlineStr">
        <is>
          <t>GÄVLEBORGS LÄN</t>
        </is>
      </c>
      <c r="E5532" t="inlineStr">
        <is>
          <t>BOLLNÄS</t>
        </is>
      </c>
      <c r="F5532" t="inlineStr">
        <is>
          <t>Bergvik skog väst AB</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48179-2022</t>
        </is>
      </c>
      <c r="B5533" s="1" t="n">
        <v>44858</v>
      </c>
      <c r="C5533" s="1" t="n">
        <v>45587</v>
      </c>
      <c r="D5533" t="inlineStr">
        <is>
          <t>GÄVLEBORGS LÄN</t>
        </is>
      </c>
      <c r="E5533" t="inlineStr">
        <is>
          <t>NORDANSTIG</t>
        </is>
      </c>
      <c r="F5533" t="inlineStr">
        <is>
          <t>Holmen skog AB</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48199-2022</t>
        </is>
      </c>
      <c r="B5534" s="1" t="n">
        <v>44858</v>
      </c>
      <c r="C5534" s="1" t="n">
        <v>45587</v>
      </c>
      <c r="D5534" t="inlineStr">
        <is>
          <t>GÄVLEBORGS LÄN</t>
        </is>
      </c>
      <c r="E5534" t="inlineStr">
        <is>
          <t>OCKELBO</t>
        </is>
      </c>
      <c r="F5534" t="inlineStr">
        <is>
          <t>Bergvik skog väst AB</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48205-2022</t>
        </is>
      </c>
      <c r="B5535" s="1" t="n">
        <v>44858</v>
      </c>
      <c r="C5535" s="1" t="n">
        <v>45587</v>
      </c>
      <c r="D5535" t="inlineStr">
        <is>
          <t>GÄVLEBORGS LÄN</t>
        </is>
      </c>
      <c r="E5535" t="inlineStr">
        <is>
          <t>OCKELBO</t>
        </is>
      </c>
      <c r="F5535" t="inlineStr">
        <is>
          <t>Bergvik skog väst AB</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48197-2022</t>
        </is>
      </c>
      <c r="B5536" s="1" t="n">
        <v>44858</v>
      </c>
      <c r="C5536" s="1" t="n">
        <v>45587</v>
      </c>
      <c r="D5536" t="inlineStr">
        <is>
          <t>GÄVLEBORGS LÄN</t>
        </is>
      </c>
      <c r="E5536" t="inlineStr">
        <is>
          <t>OCKELBO</t>
        </is>
      </c>
      <c r="F5536" t="inlineStr">
        <is>
          <t>Bergvik skog väst AB</t>
        </is>
      </c>
      <c r="G5536" t="n">
        <v>4.7</v>
      </c>
      <c r="H5536" t="n">
        <v>0</v>
      </c>
      <c r="I5536" t="n">
        <v>0</v>
      </c>
      <c r="J5536" t="n">
        <v>0</v>
      </c>
      <c r="K5536" t="n">
        <v>0</v>
      </c>
      <c r="L5536" t="n">
        <v>0</v>
      </c>
      <c r="M5536" t="n">
        <v>0</v>
      </c>
      <c r="N5536" t="n">
        <v>0</v>
      </c>
      <c r="O5536" t="n">
        <v>0</v>
      </c>
      <c r="P5536" t="n">
        <v>0</v>
      </c>
      <c r="Q5536" t="n">
        <v>0</v>
      </c>
      <c r="R5536" s="2" t="inlineStr"/>
    </row>
    <row r="5537" ht="15" customHeight="1">
      <c r="A5537" t="inlineStr">
        <is>
          <t>A 48211-2022</t>
        </is>
      </c>
      <c r="B5537" s="1" t="n">
        <v>44858</v>
      </c>
      <c r="C5537" s="1" t="n">
        <v>45587</v>
      </c>
      <c r="D5537" t="inlineStr">
        <is>
          <t>GÄVLEBORGS LÄN</t>
        </is>
      </c>
      <c r="E5537" t="inlineStr">
        <is>
          <t>OCKELBO</t>
        </is>
      </c>
      <c r="F5537" t="inlineStr">
        <is>
          <t>Bergvik skog väst AB</t>
        </is>
      </c>
      <c r="G5537" t="n">
        <v>6.8</v>
      </c>
      <c r="H5537" t="n">
        <v>0</v>
      </c>
      <c r="I5537" t="n">
        <v>0</v>
      </c>
      <c r="J5537" t="n">
        <v>0</v>
      </c>
      <c r="K5537" t="n">
        <v>0</v>
      </c>
      <c r="L5537" t="n">
        <v>0</v>
      </c>
      <c r="M5537" t="n">
        <v>0</v>
      </c>
      <c r="N5537" t="n">
        <v>0</v>
      </c>
      <c r="O5537" t="n">
        <v>0</v>
      </c>
      <c r="P5537" t="n">
        <v>0</v>
      </c>
      <c r="Q5537" t="n">
        <v>0</v>
      </c>
      <c r="R5537" s="2" t="inlineStr"/>
    </row>
    <row r="5538" ht="15" customHeight="1">
      <c r="A5538" t="inlineStr">
        <is>
          <t>A 48366-2022</t>
        </is>
      </c>
      <c r="B5538" s="1" t="n">
        <v>44858</v>
      </c>
      <c r="C5538" s="1" t="n">
        <v>45587</v>
      </c>
      <c r="D5538" t="inlineStr">
        <is>
          <t>GÄVLEBORGS LÄN</t>
        </is>
      </c>
      <c r="E5538" t="inlineStr">
        <is>
          <t>OCKELBO</t>
        </is>
      </c>
      <c r="F5538" t="inlineStr">
        <is>
          <t>Bergvik skog väst AB</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48330-2022</t>
        </is>
      </c>
      <c r="B5539" s="1" t="n">
        <v>44858</v>
      </c>
      <c r="C5539" s="1" t="n">
        <v>45587</v>
      </c>
      <c r="D5539" t="inlineStr">
        <is>
          <t>GÄVLEBORGS LÄN</t>
        </is>
      </c>
      <c r="E5539" t="inlineStr">
        <is>
          <t>LJUSDAL</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48369-2022</t>
        </is>
      </c>
      <c r="B5540" s="1" t="n">
        <v>44858</v>
      </c>
      <c r="C5540" s="1" t="n">
        <v>45587</v>
      </c>
      <c r="D5540" t="inlineStr">
        <is>
          <t>GÄVLEBORGS LÄN</t>
        </is>
      </c>
      <c r="E5540" t="inlineStr">
        <is>
          <t>OVANÅKER</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48463-2022</t>
        </is>
      </c>
      <c r="B5541" s="1" t="n">
        <v>44858</v>
      </c>
      <c r="C5541" s="1" t="n">
        <v>45587</v>
      </c>
      <c r="D5541" t="inlineStr">
        <is>
          <t>GÄVLEBORGS LÄN</t>
        </is>
      </c>
      <c r="E5541" t="inlineStr">
        <is>
          <t>OCKELBO</t>
        </is>
      </c>
      <c r="F5541" t="inlineStr">
        <is>
          <t>Bergvik skog väst AB</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48469-2022</t>
        </is>
      </c>
      <c r="B5542" s="1" t="n">
        <v>44858</v>
      </c>
      <c r="C5542" s="1" t="n">
        <v>45587</v>
      </c>
      <c r="D5542" t="inlineStr">
        <is>
          <t>GÄVLEBORGS LÄN</t>
        </is>
      </c>
      <c r="E5542" t="inlineStr">
        <is>
          <t>OCKELBO</t>
        </is>
      </c>
      <c r="F5542" t="inlineStr">
        <is>
          <t>Bergvik skog väst AB</t>
        </is>
      </c>
      <c r="G5542" t="n">
        <v>7.2</v>
      </c>
      <c r="H5542" t="n">
        <v>0</v>
      </c>
      <c r="I5542" t="n">
        <v>0</v>
      </c>
      <c r="J5542" t="n">
        <v>0</v>
      </c>
      <c r="K5542" t="n">
        <v>0</v>
      </c>
      <c r="L5542" t="n">
        <v>0</v>
      </c>
      <c r="M5542" t="n">
        <v>0</v>
      </c>
      <c r="N5542" t="n">
        <v>0</v>
      </c>
      <c r="O5542" t="n">
        <v>0</v>
      </c>
      <c r="P5542" t="n">
        <v>0</v>
      </c>
      <c r="Q5542" t="n">
        <v>0</v>
      </c>
      <c r="R5542" s="2" t="inlineStr"/>
    </row>
    <row r="5543" ht="15" customHeight="1">
      <c r="A5543" t="inlineStr">
        <is>
          <t>A 48764-2022</t>
        </is>
      </c>
      <c r="B5543" s="1" t="n">
        <v>44859</v>
      </c>
      <c r="C5543" s="1" t="n">
        <v>45587</v>
      </c>
      <c r="D5543" t="inlineStr">
        <is>
          <t>GÄVLEBORGS LÄN</t>
        </is>
      </c>
      <c r="E5543" t="inlineStr">
        <is>
          <t>BOLLNÄS</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48654-2022</t>
        </is>
      </c>
      <c r="B5544" s="1" t="n">
        <v>44859</v>
      </c>
      <c r="C5544" s="1" t="n">
        <v>45587</v>
      </c>
      <c r="D5544" t="inlineStr">
        <is>
          <t>GÄVLEBORGS LÄN</t>
        </is>
      </c>
      <c r="E5544" t="inlineStr">
        <is>
          <t>LJUSDAL</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48665-2022</t>
        </is>
      </c>
      <c r="B5545" s="1" t="n">
        <v>44859</v>
      </c>
      <c r="C5545" s="1" t="n">
        <v>45587</v>
      </c>
      <c r="D5545" t="inlineStr">
        <is>
          <t>GÄVLEBORGS LÄN</t>
        </is>
      </c>
      <c r="E5545" t="inlineStr">
        <is>
          <t>HUDIKSVALL</t>
        </is>
      </c>
      <c r="F5545" t="inlineStr">
        <is>
          <t>Holmen skog AB</t>
        </is>
      </c>
      <c r="G5545" t="n">
        <v>7</v>
      </c>
      <c r="H5545" t="n">
        <v>0</v>
      </c>
      <c r="I5545" t="n">
        <v>0</v>
      </c>
      <c r="J5545" t="n">
        <v>0</v>
      </c>
      <c r="K5545" t="n">
        <v>0</v>
      </c>
      <c r="L5545" t="n">
        <v>0</v>
      </c>
      <c r="M5545" t="n">
        <v>0</v>
      </c>
      <c r="N5545" t="n">
        <v>0</v>
      </c>
      <c r="O5545" t="n">
        <v>0</v>
      </c>
      <c r="P5545" t="n">
        <v>0</v>
      </c>
      <c r="Q5545" t="n">
        <v>0</v>
      </c>
      <c r="R5545" s="2" t="inlineStr"/>
    </row>
    <row r="5546" ht="15" customHeight="1">
      <c r="A5546" t="inlineStr">
        <is>
          <t>A 48677-2022</t>
        </is>
      </c>
      <c r="B5546" s="1" t="n">
        <v>44859</v>
      </c>
      <c r="C5546" s="1" t="n">
        <v>45587</v>
      </c>
      <c r="D5546" t="inlineStr">
        <is>
          <t>GÄVLEBORGS LÄN</t>
        </is>
      </c>
      <c r="E5546" t="inlineStr">
        <is>
          <t>GÄVLE</t>
        </is>
      </c>
      <c r="F5546" t="inlineStr">
        <is>
          <t>Kyrkan</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48666-2022</t>
        </is>
      </c>
      <c r="B5547" s="1" t="n">
        <v>44859</v>
      </c>
      <c r="C5547" s="1" t="n">
        <v>45587</v>
      </c>
      <c r="D5547" t="inlineStr">
        <is>
          <t>GÄVLEBORGS LÄN</t>
        </is>
      </c>
      <c r="E5547" t="inlineStr">
        <is>
          <t>BOLLNÄS</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48889-2022</t>
        </is>
      </c>
      <c r="B5548" s="1" t="n">
        <v>44860</v>
      </c>
      <c r="C5548" s="1" t="n">
        <v>45587</v>
      </c>
      <c r="D5548" t="inlineStr">
        <is>
          <t>GÄVLEBORGS LÄN</t>
        </is>
      </c>
      <c r="E5548" t="inlineStr">
        <is>
          <t>HUDIKSVALL</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48664-2022</t>
        </is>
      </c>
      <c r="B5549" s="1" t="n">
        <v>44859</v>
      </c>
      <c r="C5549" s="1" t="n">
        <v>45587</v>
      </c>
      <c r="D5549" t="inlineStr">
        <is>
          <t>GÄVLEBORGS LÄN</t>
        </is>
      </c>
      <c r="E5549" t="inlineStr">
        <is>
          <t>BOLLNÄS</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48832-2022</t>
        </is>
      </c>
      <c r="B5550" s="1" t="n">
        <v>44859</v>
      </c>
      <c r="C5550" s="1" t="n">
        <v>45587</v>
      </c>
      <c r="D5550" t="inlineStr">
        <is>
          <t>GÄVLEBORGS LÄN</t>
        </is>
      </c>
      <c r="E5550" t="inlineStr">
        <is>
          <t>NORDANSTIG</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48811-2022</t>
        </is>
      </c>
      <c r="B5551" s="1" t="n">
        <v>44859</v>
      </c>
      <c r="C5551" s="1" t="n">
        <v>45587</v>
      </c>
      <c r="D5551" t="inlineStr">
        <is>
          <t>GÄVLEBORGS LÄN</t>
        </is>
      </c>
      <c r="E5551" t="inlineStr">
        <is>
          <t>OVANÅKER</t>
        </is>
      </c>
      <c r="F5551" t="inlineStr">
        <is>
          <t>Bergvik skog väst AB</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49021-2022</t>
        </is>
      </c>
      <c r="B5552" s="1" t="n">
        <v>44860</v>
      </c>
      <c r="C5552" s="1" t="n">
        <v>45587</v>
      </c>
      <c r="D5552" t="inlineStr">
        <is>
          <t>GÄVLEBORGS LÄN</t>
        </is>
      </c>
      <c r="E5552" t="inlineStr">
        <is>
          <t>OVANÅKER</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49172-2022</t>
        </is>
      </c>
      <c r="B5553" s="1" t="n">
        <v>44860</v>
      </c>
      <c r="C5553" s="1" t="n">
        <v>45587</v>
      </c>
      <c r="D5553" t="inlineStr">
        <is>
          <t>GÄVLEBORGS LÄN</t>
        </is>
      </c>
      <c r="E5553" t="inlineStr">
        <is>
          <t>LJUSDAL</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49222-2022</t>
        </is>
      </c>
      <c r="B5554" s="1" t="n">
        <v>44861</v>
      </c>
      <c r="C5554" s="1" t="n">
        <v>45587</v>
      </c>
      <c r="D5554" t="inlineStr">
        <is>
          <t>GÄVLEBORGS LÄN</t>
        </is>
      </c>
      <c r="E5554" t="inlineStr">
        <is>
          <t>HUDIKSVALL</t>
        </is>
      </c>
      <c r="F5554" t="inlineStr">
        <is>
          <t>Holmen skog AB</t>
        </is>
      </c>
      <c r="G5554" t="n">
        <v>7.4</v>
      </c>
      <c r="H5554" t="n">
        <v>0</v>
      </c>
      <c r="I5554" t="n">
        <v>0</v>
      </c>
      <c r="J5554" t="n">
        <v>0</v>
      </c>
      <c r="K5554" t="n">
        <v>0</v>
      </c>
      <c r="L5554" t="n">
        <v>0</v>
      </c>
      <c r="M5554" t="n">
        <v>0</v>
      </c>
      <c r="N5554" t="n">
        <v>0</v>
      </c>
      <c r="O5554" t="n">
        <v>0</v>
      </c>
      <c r="P5554" t="n">
        <v>0</v>
      </c>
      <c r="Q5554" t="n">
        <v>0</v>
      </c>
      <c r="R5554" s="2" t="inlineStr"/>
    </row>
    <row r="5555" ht="15" customHeight="1">
      <c r="A5555" t="inlineStr">
        <is>
          <t>A 49266-2022</t>
        </is>
      </c>
      <c r="B5555" s="1" t="n">
        <v>44861</v>
      </c>
      <c r="C5555" s="1" t="n">
        <v>45587</v>
      </c>
      <c r="D5555" t="inlineStr">
        <is>
          <t>GÄVLEBORGS LÄN</t>
        </is>
      </c>
      <c r="E5555" t="inlineStr">
        <is>
          <t>SÖDERHAMN</t>
        </is>
      </c>
      <c r="F5555" t="inlineStr">
        <is>
          <t>Kyrkan</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49493-2022</t>
        </is>
      </c>
      <c r="B5556" s="1" t="n">
        <v>44861</v>
      </c>
      <c r="C5556" s="1" t="n">
        <v>45587</v>
      </c>
      <c r="D5556" t="inlineStr">
        <is>
          <t>GÄVLEBORGS LÄN</t>
        </is>
      </c>
      <c r="E5556" t="inlineStr">
        <is>
          <t>SANDVIKEN</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49488-2022</t>
        </is>
      </c>
      <c r="B5557" s="1" t="n">
        <v>44861</v>
      </c>
      <c r="C5557" s="1" t="n">
        <v>45587</v>
      </c>
      <c r="D5557" t="inlineStr">
        <is>
          <t>GÄVLEBORGS LÄN</t>
        </is>
      </c>
      <c r="E5557" t="inlineStr">
        <is>
          <t>BOLLNÄS</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49247-2022</t>
        </is>
      </c>
      <c r="B5558" s="1" t="n">
        <v>44861</v>
      </c>
      <c r="C5558" s="1" t="n">
        <v>45587</v>
      </c>
      <c r="D5558" t="inlineStr">
        <is>
          <t>GÄVLEBORGS LÄN</t>
        </is>
      </c>
      <c r="E5558" t="inlineStr">
        <is>
          <t>SÖDERHAMN</t>
        </is>
      </c>
      <c r="F5558" t="inlineStr">
        <is>
          <t>Kyrkan</t>
        </is>
      </c>
      <c r="G5558" t="n">
        <v>4.5</v>
      </c>
      <c r="H5558" t="n">
        <v>0</v>
      </c>
      <c r="I5558" t="n">
        <v>0</v>
      </c>
      <c r="J5558" t="n">
        <v>0</v>
      </c>
      <c r="K5558" t="n">
        <v>0</v>
      </c>
      <c r="L5558" t="n">
        <v>0</v>
      </c>
      <c r="M5558" t="n">
        <v>0</v>
      </c>
      <c r="N5558" t="n">
        <v>0</v>
      </c>
      <c r="O5558" t="n">
        <v>0</v>
      </c>
      <c r="P5558" t="n">
        <v>0</v>
      </c>
      <c r="Q5558" t="n">
        <v>0</v>
      </c>
      <c r="R5558" s="2" t="inlineStr"/>
    </row>
    <row r="5559" ht="15" customHeight="1">
      <c r="A5559" t="inlineStr">
        <is>
          <t>A 49571-2022</t>
        </is>
      </c>
      <c r="B5559" s="1" t="n">
        <v>44862</v>
      </c>
      <c r="C5559" s="1" t="n">
        <v>45587</v>
      </c>
      <c r="D5559" t="inlineStr">
        <is>
          <t>GÄVLEBORGS LÄN</t>
        </is>
      </c>
      <c r="E5559" t="inlineStr">
        <is>
          <t>OCKELBO</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49612-2022</t>
        </is>
      </c>
      <c r="B5560" s="1" t="n">
        <v>44862</v>
      </c>
      <c r="C5560" s="1" t="n">
        <v>45587</v>
      </c>
      <c r="D5560" t="inlineStr">
        <is>
          <t>GÄVLEBORGS LÄN</t>
        </is>
      </c>
      <c r="E5560" t="inlineStr">
        <is>
          <t>NORDANSTIG</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49624-2022</t>
        </is>
      </c>
      <c r="B5561" s="1" t="n">
        <v>44862</v>
      </c>
      <c r="C5561" s="1" t="n">
        <v>45587</v>
      </c>
      <c r="D5561" t="inlineStr">
        <is>
          <t>GÄVLEBORGS LÄN</t>
        </is>
      </c>
      <c r="E5561" t="inlineStr">
        <is>
          <t>BOLLNÄS</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49607-2022</t>
        </is>
      </c>
      <c r="B5562" s="1" t="n">
        <v>44862</v>
      </c>
      <c r="C5562" s="1" t="n">
        <v>45587</v>
      </c>
      <c r="D5562" t="inlineStr">
        <is>
          <t>GÄVLEBORGS LÄN</t>
        </is>
      </c>
      <c r="E5562" t="inlineStr">
        <is>
          <t>NORDANSTIG</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49616-2022</t>
        </is>
      </c>
      <c r="B5563" s="1" t="n">
        <v>44862</v>
      </c>
      <c r="C5563" s="1" t="n">
        <v>45587</v>
      </c>
      <c r="D5563" t="inlineStr">
        <is>
          <t>GÄVLEBORGS LÄN</t>
        </is>
      </c>
      <c r="E5563" t="inlineStr">
        <is>
          <t>HUDIKSVALL</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49654-2022</t>
        </is>
      </c>
      <c r="B5564" s="1" t="n">
        <v>44862</v>
      </c>
      <c r="C5564" s="1" t="n">
        <v>45587</v>
      </c>
      <c r="D5564" t="inlineStr">
        <is>
          <t>GÄVLEBORGS LÄN</t>
        </is>
      </c>
      <c r="E5564" t="inlineStr">
        <is>
          <t>OVANÅKER</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49771-2022</t>
        </is>
      </c>
      <c r="B5565" s="1" t="n">
        <v>44862</v>
      </c>
      <c r="C5565" s="1" t="n">
        <v>45587</v>
      </c>
      <c r="D5565" t="inlineStr">
        <is>
          <t>GÄVLEBORGS LÄN</t>
        </is>
      </c>
      <c r="E5565" t="inlineStr">
        <is>
          <t>GÄVLE</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49671-2022</t>
        </is>
      </c>
      <c r="B5566" s="1" t="n">
        <v>44862</v>
      </c>
      <c r="C5566" s="1" t="n">
        <v>45587</v>
      </c>
      <c r="D5566" t="inlineStr">
        <is>
          <t>GÄVLEBORGS LÄN</t>
        </is>
      </c>
      <c r="E5566" t="inlineStr">
        <is>
          <t>LJUSDAL</t>
        </is>
      </c>
      <c r="F5566" t="inlineStr">
        <is>
          <t>Sveaskog</t>
        </is>
      </c>
      <c r="G5566" t="n">
        <v>11.4</v>
      </c>
      <c r="H5566" t="n">
        <v>0</v>
      </c>
      <c r="I5566" t="n">
        <v>0</v>
      </c>
      <c r="J5566" t="n">
        <v>0</v>
      </c>
      <c r="K5566" t="n">
        <v>0</v>
      </c>
      <c r="L5566" t="n">
        <v>0</v>
      </c>
      <c r="M5566" t="n">
        <v>0</v>
      </c>
      <c r="N5566" t="n">
        <v>0</v>
      </c>
      <c r="O5566" t="n">
        <v>0</v>
      </c>
      <c r="P5566" t="n">
        <v>0</v>
      </c>
      <c r="Q5566" t="n">
        <v>0</v>
      </c>
      <c r="R5566" s="2" t="inlineStr"/>
    </row>
    <row r="5567" ht="15" customHeight="1">
      <c r="A5567" t="inlineStr">
        <is>
          <t>A 49591-2022</t>
        </is>
      </c>
      <c r="B5567" s="1" t="n">
        <v>44862</v>
      </c>
      <c r="C5567" s="1" t="n">
        <v>45587</v>
      </c>
      <c r="D5567" t="inlineStr">
        <is>
          <t>GÄVLEBORGS LÄN</t>
        </is>
      </c>
      <c r="E5567" t="inlineStr">
        <is>
          <t>BOLLNÄS</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49672-2022</t>
        </is>
      </c>
      <c r="B5568" s="1" t="n">
        <v>44862</v>
      </c>
      <c r="C5568" s="1" t="n">
        <v>45587</v>
      </c>
      <c r="D5568" t="inlineStr">
        <is>
          <t>GÄVLEBORGS LÄN</t>
        </is>
      </c>
      <c r="E5568" t="inlineStr">
        <is>
          <t>LJUSDAL</t>
        </is>
      </c>
      <c r="F5568" t="inlineStr">
        <is>
          <t>Sveaskog</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49716-2022</t>
        </is>
      </c>
      <c r="B5569" s="1" t="n">
        <v>44862</v>
      </c>
      <c r="C5569" s="1" t="n">
        <v>45587</v>
      </c>
      <c r="D5569" t="inlineStr">
        <is>
          <t>GÄVLEBORGS LÄN</t>
        </is>
      </c>
      <c r="E5569" t="inlineStr">
        <is>
          <t>LJUSDAL</t>
        </is>
      </c>
      <c r="G5569" t="n">
        <v>13.7</v>
      </c>
      <c r="H5569" t="n">
        <v>0</v>
      </c>
      <c r="I5569" t="n">
        <v>0</v>
      </c>
      <c r="J5569" t="n">
        <v>0</v>
      </c>
      <c r="K5569" t="n">
        <v>0</v>
      </c>
      <c r="L5569" t="n">
        <v>0</v>
      </c>
      <c r="M5569" t="n">
        <v>0</v>
      </c>
      <c r="N5569" t="n">
        <v>0</v>
      </c>
      <c r="O5569" t="n">
        <v>0</v>
      </c>
      <c r="P5569" t="n">
        <v>0</v>
      </c>
      <c r="Q5569" t="n">
        <v>0</v>
      </c>
      <c r="R5569" s="2" t="inlineStr"/>
    </row>
    <row r="5570" ht="15" customHeight="1">
      <c r="A5570" t="inlineStr">
        <is>
          <t>A 49803-2022</t>
        </is>
      </c>
      <c r="B5570" s="1" t="n">
        <v>44862</v>
      </c>
      <c r="C5570" s="1" t="n">
        <v>45587</v>
      </c>
      <c r="D5570" t="inlineStr">
        <is>
          <t>GÄVLEBORGS LÄN</t>
        </is>
      </c>
      <c r="E5570" t="inlineStr">
        <is>
          <t>LJUSDAL</t>
        </is>
      </c>
      <c r="F5570" t="inlineStr">
        <is>
          <t>Sveaskog</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49713-2022</t>
        </is>
      </c>
      <c r="B5571" s="1" t="n">
        <v>44862</v>
      </c>
      <c r="C5571" s="1" t="n">
        <v>45587</v>
      </c>
      <c r="D5571" t="inlineStr">
        <is>
          <t>GÄVLEBORGS LÄN</t>
        </is>
      </c>
      <c r="E5571" t="inlineStr">
        <is>
          <t>HUDIKSVALL</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49726-2022</t>
        </is>
      </c>
      <c r="B5572" s="1" t="n">
        <v>44862</v>
      </c>
      <c r="C5572" s="1" t="n">
        <v>45587</v>
      </c>
      <c r="D5572" t="inlineStr">
        <is>
          <t>GÄVLEBORGS LÄN</t>
        </is>
      </c>
      <c r="E5572" t="inlineStr">
        <is>
          <t>LJUSDAL</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49881-2022</t>
        </is>
      </c>
      <c r="B5573" s="1" t="n">
        <v>44864</v>
      </c>
      <c r="C5573" s="1" t="n">
        <v>45587</v>
      </c>
      <c r="D5573" t="inlineStr">
        <is>
          <t>GÄVLEBORGS LÄN</t>
        </is>
      </c>
      <c r="E5573" t="inlineStr">
        <is>
          <t>LJUSDAL</t>
        </is>
      </c>
      <c r="G5573" t="n">
        <v>5</v>
      </c>
      <c r="H5573" t="n">
        <v>0</v>
      </c>
      <c r="I5573" t="n">
        <v>0</v>
      </c>
      <c r="J5573" t="n">
        <v>0</v>
      </c>
      <c r="K5573" t="n">
        <v>0</v>
      </c>
      <c r="L5573" t="n">
        <v>0</v>
      </c>
      <c r="M5573" t="n">
        <v>0</v>
      </c>
      <c r="N5573" t="n">
        <v>0</v>
      </c>
      <c r="O5573" t="n">
        <v>0</v>
      </c>
      <c r="P5573" t="n">
        <v>0</v>
      </c>
      <c r="Q5573" t="n">
        <v>0</v>
      </c>
      <c r="R5573" s="2" t="inlineStr"/>
    </row>
    <row r="5574" ht="15" customHeight="1">
      <c r="A5574" t="inlineStr">
        <is>
          <t>A 49926-2022</t>
        </is>
      </c>
      <c r="B5574" s="1" t="n">
        <v>44865</v>
      </c>
      <c r="C5574" s="1" t="n">
        <v>45587</v>
      </c>
      <c r="D5574" t="inlineStr">
        <is>
          <t>GÄVLEBORGS LÄN</t>
        </is>
      </c>
      <c r="E5574" t="inlineStr">
        <is>
          <t>HUDIKSVALL</t>
        </is>
      </c>
      <c r="F5574" t="inlineStr">
        <is>
          <t>Holmen skog AB</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50053-2022</t>
        </is>
      </c>
      <c r="B5575" s="1" t="n">
        <v>44865</v>
      </c>
      <c r="C5575" s="1" t="n">
        <v>45587</v>
      </c>
      <c r="D5575" t="inlineStr">
        <is>
          <t>GÄVLEBORGS LÄN</t>
        </is>
      </c>
      <c r="E5575" t="inlineStr">
        <is>
          <t>BOLLNÄS</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50066-2022</t>
        </is>
      </c>
      <c r="B5576" s="1" t="n">
        <v>44865</v>
      </c>
      <c r="C5576" s="1" t="n">
        <v>45587</v>
      </c>
      <c r="D5576" t="inlineStr">
        <is>
          <t>GÄVLEBORGS LÄN</t>
        </is>
      </c>
      <c r="E5576" t="inlineStr">
        <is>
          <t>BOLLNÄS</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50150-2022</t>
        </is>
      </c>
      <c r="B5577" s="1" t="n">
        <v>44865</v>
      </c>
      <c r="C5577" s="1" t="n">
        <v>45587</v>
      </c>
      <c r="D5577" t="inlineStr">
        <is>
          <t>GÄVLEBORGS LÄN</t>
        </is>
      </c>
      <c r="E5577" t="inlineStr">
        <is>
          <t>HUDIKSVALL</t>
        </is>
      </c>
      <c r="F5577" t="inlineStr">
        <is>
          <t>Holmen skog AB</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50205-2022</t>
        </is>
      </c>
      <c r="B5578" s="1" t="n">
        <v>44865</v>
      </c>
      <c r="C5578" s="1" t="n">
        <v>45587</v>
      </c>
      <c r="D5578" t="inlineStr">
        <is>
          <t>GÄVLEBORGS LÄN</t>
        </is>
      </c>
      <c r="E5578" t="inlineStr">
        <is>
          <t>HUDIKSVALL</t>
        </is>
      </c>
      <c r="F5578" t="inlineStr">
        <is>
          <t>Holmen skog AB</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50226-2022</t>
        </is>
      </c>
      <c r="B5579" s="1" t="n">
        <v>44865</v>
      </c>
      <c r="C5579" s="1" t="n">
        <v>45587</v>
      </c>
      <c r="D5579" t="inlineStr">
        <is>
          <t>GÄVLEBORGS LÄN</t>
        </is>
      </c>
      <c r="E5579" t="inlineStr">
        <is>
          <t>HUDIKSVALL</t>
        </is>
      </c>
      <c r="G5579" t="n">
        <v>5.4</v>
      </c>
      <c r="H5579" t="n">
        <v>0</v>
      </c>
      <c r="I5579" t="n">
        <v>0</v>
      </c>
      <c r="J5579" t="n">
        <v>0</v>
      </c>
      <c r="K5579" t="n">
        <v>0</v>
      </c>
      <c r="L5579" t="n">
        <v>0</v>
      </c>
      <c r="M5579" t="n">
        <v>0</v>
      </c>
      <c r="N5579" t="n">
        <v>0</v>
      </c>
      <c r="O5579" t="n">
        <v>0</v>
      </c>
      <c r="P5579" t="n">
        <v>0</v>
      </c>
      <c r="Q5579" t="n">
        <v>0</v>
      </c>
      <c r="R5579" s="2" t="inlineStr"/>
    </row>
    <row r="5580" ht="15" customHeight="1">
      <c r="A5580" t="inlineStr">
        <is>
          <t>A 50235-2022</t>
        </is>
      </c>
      <c r="B5580" s="1" t="n">
        <v>44865</v>
      </c>
      <c r="C5580" s="1" t="n">
        <v>45587</v>
      </c>
      <c r="D5580" t="inlineStr">
        <is>
          <t>GÄVLEBORGS LÄN</t>
        </is>
      </c>
      <c r="E5580" t="inlineStr">
        <is>
          <t>HUDIKSVALL</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50271-2022</t>
        </is>
      </c>
      <c r="B5581" s="1" t="n">
        <v>44865</v>
      </c>
      <c r="C5581" s="1" t="n">
        <v>45587</v>
      </c>
      <c r="D5581" t="inlineStr">
        <is>
          <t>GÄVLEBORGS LÄN</t>
        </is>
      </c>
      <c r="E5581" t="inlineStr">
        <is>
          <t>GÄVLE</t>
        </is>
      </c>
      <c r="F5581" t="inlineStr">
        <is>
          <t>Bergvik skog öst AB</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50299-2022</t>
        </is>
      </c>
      <c r="B5582" s="1" t="n">
        <v>44865</v>
      </c>
      <c r="C5582" s="1" t="n">
        <v>45587</v>
      </c>
      <c r="D5582" t="inlineStr">
        <is>
          <t>GÄVLEBORGS LÄN</t>
        </is>
      </c>
      <c r="E5582" t="inlineStr">
        <is>
          <t>LJUSDAL</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50277-2022</t>
        </is>
      </c>
      <c r="B5583" s="1" t="n">
        <v>44865</v>
      </c>
      <c r="C5583" s="1" t="n">
        <v>45587</v>
      </c>
      <c r="D5583" t="inlineStr">
        <is>
          <t>GÄVLEBORGS LÄN</t>
        </is>
      </c>
      <c r="E5583" t="inlineStr">
        <is>
          <t>SANDVIKEN</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50272-2022</t>
        </is>
      </c>
      <c r="B5584" s="1" t="n">
        <v>44865</v>
      </c>
      <c r="C5584" s="1" t="n">
        <v>45587</v>
      </c>
      <c r="D5584" t="inlineStr">
        <is>
          <t>GÄVLEBORGS LÄN</t>
        </is>
      </c>
      <c r="E5584" t="inlineStr">
        <is>
          <t>GÄVLE</t>
        </is>
      </c>
      <c r="F5584" t="inlineStr">
        <is>
          <t>Bergvik skog öst AB</t>
        </is>
      </c>
      <c r="G5584" t="n">
        <v>6.1</v>
      </c>
      <c r="H5584" t="n">
        <v>0</v>
      </c>
      <c r="I5584" t="n">
        <v>0</v>
      </c>
      <c r="J5584" t="n">
        <v>0</v>
      </c>
      <c r="K5584" t="n">
        <v>0</v>
      </c>
      <c r="L5584" t="n">
        <v>0</v>
      </c>
      <c r="M5584" t="n">
        <v>0</v>
      </c>
      <c r="N5584" t="n">
        <v>0</v>
      </c>
      <c r="O5584" t="n">
        <v>0</v>
      </c>
      <c r="P5584" t="n">
        <v>0</v>
      </c>
      <c r="Q5584" t="n">
        <v>0</v>
      </c>
      <c r="R5584" s="2" t="inlineStr"/>
    </row>
    <row r="5585" ht="15" customHeight="1">
      <c r="A5585" t="inlineStr">
        <is>
          <t>A 50345-2022</t>
        </is>
      </c>
      <c r="B5585" s="1" t="n">
        <v>44866</v>
      </c>
      <c r="C5585" s="1" t="n">
        <v>45587</v>
      </c>
      <c r="D5585" t="inlineStr">
        <is>
          <t>GÄVLEBORGS LÄN</t>
        </is>
      </c>
      <c r="E5585" t="inlineStr">
        <is>
          <t>LJUSDAL</t>
        </is>
      </c>
      <c r="F5585" t="inlineStr">
        <is>
          <t>Holmen skog AB</t>
        </is>
      </c>
      <c r="G5585" t="n">
        <v>10.1</v>
      </c>
      <c r="H5585" t="n">
        <v>0</v>
      </c>
      <c r="I5585" t="n">
        <v>0</v>
      </c>
      <c r="J5585" t="n">
        <v>0</v>
      </c>
      <c r="K5585" t="n">
        <v>0</v>
      </c>
      <c r="L5585" t="n">
        <v>0</v>
      </c>
      <c r="M5585" t="n">
        <v>0</v>
      </c>
      <c r="N5585" t="n">
        <v>0</v>
      </c>
      <c r="O5585" t="n">
        <v>0</v>
      </c>
      <c r="P5585" t="n">
        <v>0</v>
      </c>
      <c r="Q5585" t="n">
        <v>0</v>
      </c>
      <c r="R5585" s="2" t="inlineStr"/>
    </row>
    <row r="5586" ht="15" customHeight="1">
      <c r="A5586" t="inlineStr">
        <is>
          <t>A 50369-2022</t>
        </is>
      </c>
      <c r="B5586" s="1" t="n">
        <v>44866</v>
      </c>
      <c r="C5586" s="1" t="n">
        <v>45587</v>
      </c>
      <c r="D5586" t="inlineStr">
        <is>
          <t>GÄVLEBORGS LÄN</t>
        </is>
      </c>
      <c r="E5586" t="inlineStr">
        <is>
          <t>LJUSDAL</t>
        </is>
      </c>
      <c r="F5586" t="inlineStr">
        <is>
          <t>Bergvik skog väst AB</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50347-2022</t>
        </is>
      </c>
      <c r="B5587" s="1" t="n">
        <v>44866</v>
      </c>
      <c r="C5587" s="1" t="n">
        <v>45587</v>
      </c>
      <c r="D5587" t="inlineStr">
        <is>
          <t>GÄVLEBORGS LÄN</t>
        </is>
      </c>
      <c r="E5587" t="inlineStr">
        <is>
          <t>LJUSDAL</t>
        </is>
      </c>
      <c r="F5587" t="inlineStr">
        <is>
          <t>Holmen skog AB</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50427-2022</t>
        </is>
      </c>
      <c r="B5588" s="1" t="n">
        <v>44866</v>
      </c>
      <c r="C5588" s="1" t="n">
        <v>45587</v>
      </c>
      <c r="D5588" t="inlineStr">
        <is>
          <t>GÄVLEBORGS LÄN</t>
        </is>
      </c>
      <c r="E5588" t="inlineStr">
        <is>
          <t>NORDANSTIG</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50351-2022</t>
        </is>
      </c>
      <c r="B5589" s="1" t="n">
        <v>44866</v>
      </c>
      <c r="C5589" s="1" t="n">
        <v>45587</v>
      </c>
      <c r="D5589" t="inlineStr">
        <is>
          <t>GÄVLEBORGS LÄN</t>
        </is>
      </c>
      <c r="E5589" t="inlineStr">
        <is>
          <t>LJUSDAL</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50421-2022</t>
        </is>
      </c>
      <c r="B5590" s="1" t="n">
        <v>44866</v>
      </c>
      <c r="C5590" s="1" t="n">
        <v>45587</v>
      </c>
      <c r="D5590" t="inlineStr">
        <is>
          <t>GÄVLEBORGS LÄN</t>
        </is>
      </c>
      <c r="E5590" t="inlineStr">
        <is>
          <t>SANDVIKEN</t>
        </is>
      </c>
      <c r="F5590" t="inlineStr">
        <is>
          <t>Kommuner</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50534-2022</t>
        </is>
      </c>
      <c r="B5591" s="1" t="n">
        <v>44866</v>
      </c>
      <c r="C5591" s="1" t="n">
        <v>45587</v>
      </c>
      <c r="D5591" t="inlineStr">
        <is>
          <t>GÄVLEBORGS LÄN</t>
        </is>
      </c>
      <c r="E5591" t="inlineStr">
        <is>
          <t>HUDIKSVALL</t>
        </is>
      </c>
      <c r="F5591" t="inlineStr">
        <is>
          <t>Holmen skog AB</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50553-2022</t>
        </is>
      </c>
      <c r="B5592" s="1" t="n">
        <v>44866</v>
      </c>
      <c r="C5592" s="1" t="n">
        <v>45587</v>
      </c>
      <c r="D5592" t="inlineStr">
        <is>
          <t>GÄVLEBORGS LÄN</t>
        </is>
      </c>
      <c r="E5592" t="inlineStr">
        <is>
          <t>HUDIKSVALL</t>
        </is>
      </c>
      <c r="F5592" t="inlineStr">
        <is>
          <t>Holmen skog AB</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50567-2022</t>
        </is>
      </c>
      <c r="B5593" s="1" t="n">
        <v>44866</v>
      </c>
      <c r="C5593" s="1" t="n">
        <v>45587</v>
      </c>
      <c r="D5593" t="inlineStr">
        <is>
          <t>GÄVLEBORGS LÄN</t>
        </is>
      </c>
      <c r="E5593" t="inlineStr">
        <is>
          <t>LJUSDAL</t>
        </is>
      </c>
      <c r="F5593" t="inlineStr">
        <is>
          <t>Holmen skog AB</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50574-2022</t>
        </is>
      </c>
      <c r="B5594" s="1" t="n">
        <v>44866</v>
      </c>
      <c r="C5594" s="1" t="n">
        <v>45587</v>
      </c>
      <c r="D5594" t="inlineStr">
        <is>
          <t>GÄVLEBORGS LÄN</t>
        </is>
      </c>
      <c r="E5594" t="inlineStr">
        <is>
          <t>HUDIKSVALL</t>
        </is>
      </c>
      <c r="F5594" t="inlineStr">
        <is>
          <t>Holmen skog AB</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50583-2022</t>
        </is>
      </c>
      <c r="B5595" s="1" t="n">
        <v>44866</v>
      </c>
      <c r="C5595" s="1" t="n">
        <v>45587</v>
      </c>
      <c r="D5595" t="inlineStr">
        <is>
          <t>GÄVLEBORGS LÄN</t>
        </is>
      </c>
      <c r="E5595" t="inlineStr">
        <is>
          <t>NORDANSTIG</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50579-2022</t>
        </is>
      </c>
      <c r="B5596" s="1" t="n">
        <v>44866</v>
      </c>
      <c r="C5596" s="1" t="n">
        <v>45587</v>
      </c>
      <c r="D5596" t="inlineStr">
        <is>
          <t>GÄVLEBORGS LÄN</t>
        </is>
      </c>
      <c r="E5596" t="inlineStr">
        <is>
          <t>LJUSDAL</t>
        </is>
      </c>
      <c r="F5596" t="inlineStr">
        <is>
          <t>Bergvik skog väst AB</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50588-2022</t>
        </is>
      </c>
      <c r="B5597" s="1" t="n">
        <v>44866</v>
      </c>
      <c r="C5597" s="1" t="n">
        <v>45587</v>
      </c>
      <c r="D5597" t="inlineStr">
        <is>
          <t>GÄVLEBORGS LÄN</t>
        </is>
      </c>
      <c r="E5597" t="inlineStr">
        <is>
          <t>HUDIKSVALL</t>
        </is>
      </c>
      <c r="F5597" t="inlineStr">
        <is>
          <t>Holmen skog AB</t>
        </is>
      </c>
      <c r="G5597" t="n">
        <v>12.6</v>
      </c>
      <c r="H5597" t="n">
        <v>0</v>
      </c>
      <c r="I5597" t="n">
        <v>0</v>
      </c>
      <c r="J5597" t="n">
        <v>0</v>
      </c>
      <c r="K5597" t="n">
        <v>0</v>
      </c>
      <c r="L5597" t="n">
        <v>0</v>
      </c>
      <c r="M5597" t="n">
        <v>0</v>
      </c>
      <c r="N5597" t="n">
        <v>0</v>
      </c>
      <c r="O5597" t="n">
        <v>0</v>
      </c>
      <c r="P5597" t="n">
        <v>0</v>
      </c>
      <c r="Q5597" t="n">
        <v>0</v>
      </c>
      <c r="R5597" s="2" t="inlineStr"/>
    </row>
    <row r="5598" ht="15" customHeight="1">
      <c r="A5598" t="inlineStr">
        <is>
          <t>A 50637-2022</t>
        </is>
      </c>
      <c r="B5598" s="1" t="n">
        <v>44866</v>
      </c>
      <c r="C5598" s="1" t="n">
        <v>45587</v>
      </c>
      <c r="D5598" t="inlineStr">
        <is>
          <t>GÄVLEBORGS LÄN</t>
        </is>
      </c>
      <c r="E5598" t="inlineStr">
        <is>
          <t>OVANÅKER</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50740-2022</t>
        </is>
      </c>
      <c r="B5599" s="1" t="n">
        <v>44867</v>
      </c>
      <c r="C5599" s="1" t="n">
        <v>45587</v>
      </c>
      <c r="D5599" t="inlineStr">
        <is>
          <t>GÄVLEBORGS LÄN</t>
        </is>
      </c>
      <c r="E5599" t="inlineStr">
        <is>
          <t>LJUSDAL</t>
        </is>
      </c>
      <c r="F5599" t="inlineStr">
        <is>
          <t>Kommuner</t>
        </is>
      </c>
      <c r="G5599" t="n">
        <v>5.7</v>
      </c>
      <c r="H5599" t="n">
        <v>0</v>
      </c>
      <c r="I5599" t="n">
        <v>0</v>
      </c>
      <c r="J5599" t="n">
        <v>0</v>
      </c>
      <c r="K5599" t="n">
        <v>0</v>
      </c>
      <c r="L5599" t="n">
        <v>0</v>
      </c>
      <c r="M5599" t="n">
        <v>0</v>
      </c>
      <c r="N5599" t="n">
        <v>0</v>
      </c>
      <c r="O5599" t="n">
        <v>0</v>
      </c>
      <c r="P5599" t="n">
        <v>0</v>
      </c>
      <c r="Q5599" t="n">
        <v>0</v>
      </c>
      <c r="R5599" s="2" t="inlineStr"/>
    </row>
    <row r="5600" ht="15" customHeight="1">
      <c r="A5600" t="inlineStr">
        <is>
          <t>A 50818-2022</t>
        </is>
      </c>
      <c r="B5600" s="1" t="n">
        <v>44867</v>
      </c>
      <c r="C5600" s="1" t="n">
        <v>45587</v>
      </c>
      <c r="D5600" t="inlineStr">
        <is>
          <t>GÄVLEBORGS LÄN</t>
        </is>
      </c>
      <c r="E5600" t="inlineStr">
        <is>
          <t>HUDIKSVALL</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50863-2022</t>
        </is>
      </c>
      <c r="B5601" s="1" t="n">
        <v>44867</v>
      </c>
      <c r="C5601" s="1" t="n">
        <v>45587</v>
      </c>
      <c r="D5601" t="inlineStr">
        <is>
          <t>GÄVLEBORGS LÄN</t>
        </is>
      </c>
      <c r="E5601" t="inlineStr">
        <is>
          <t>LJUSDAL</t>
        </is>
      </c>
      <c r="F5601" t="inlineStr">
        <is>
          <t>Holmen skog AB</t>
        </is>
      </c>
      <c r="G5601" t="n">
        <v>5.6</v>
      </c>
      <c r="H5601" t="n">
        <v>0</v>
      </c>
      <c r="I5601" t="n">
        <v>0</v>
      </c>
      <c r="J5601" t="n">
        <v>0</v>
      </c>
      <c r="K5601" t="n">
        <v>0</v>
      </c>
      <c r="L5601" t="n">
        <v>0</v>
      </c>
      <c r="M5601" t="n">
        <v>0</v>
      </c>
      <c r="N5601" t="n">
        <v>0</v>
      </c>
      <c r="O5601" t="n">
        <v>0</v>
      </c>
      <c r="P5601" t="n">
        <v>0</v>
      </c>
      <c r="Q5601" t="n">
        <v>0</v>
      </c>
      <c r="R5601" s="2" t="inlineStr"/>
    </row>
    <row r="5602" ht="15" customHeight="1">
      <c r="A5602" t="inlineStr">
        <is>
          <t>A 50931-2022</t>
        </is>
      </c>
      <c r="B5602" s="1" t="n">
        <v>44867</v>
      </c>
      <c r="C5602" s="1" t="n">
        <v>45587</v>
      </c>
      <c r="D5602" t="inlineStr">
        <is>
          <t>GÄVLEBORGS LÄN</t>
        </is>
      </c>
      <c r="E5602" t="inlineStr">
        <is>
          <t>LJUSDAL</t>
        </is>
      </c>
      <c r="F5602" t="inlineStr">
        <is>
          <t>Sveaskog</t>
        </is>
      </c>
      <c r="G5602" t="n">
        <v>9.699999999999999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50733-2022</t>
        </is>
      </c>
      <c r="B5603" s="1" t="n">
        <v>44867</v>
      </c>
      <c r="C5603" s="1" t="n">
        <v>45587</v>
      </c>
      <c r="D5603" t="inlineStr">
        <is>
          <t>GÄVLEBORGS LÄN</t>
        </is>
      </c>
      <c r="E5603" t="inlineStr">
        <is>
          <t>LJUSDAL</t>
        </is>
      </c>
      <c r="F5603" t="inlineStr">
        <is>
          <t>Kommuner</t>
        </is>
      </c>
      <c r="G5603" t="n">
        <v>6.3</v>
      </c>
      <c r="H5603" t="n">
        <v>0</v>
      </c>
      <c r="I5603" t="n">
        <v>0</v>
      </c>
      <c r="J5603" t="n">
        <v>0</v>
      </c>
      <c r="K5603" t="n">
        <v>0</v>
      </c>
      <c r="L5603" t="n">
        <v>0</v>
      </c>
      <c r="M5603" t="n">
        <v>0</v>
      </c>
      <c r="N5603" t="n">
        <v>0</v>
      </c>
      <c r="O5603" t="n">
        <v>0</v>
      </c>
      <c r="P5603" t="n">
        <v>0</v>
      </c>
      <c r="Q5603" t="n">
        <v>0</v>
      </c>
      <c r="R5603" s="2" t="inlineStr"/>
    </row>
    <row r="5604" ht="15" customHeight="1">
      <c r="A5604" t="inlineStr">
        <is>
          <t>A 50743-2022</t>
        </is>
      </c>
      <c r="B5604" s="1" t="n">
        <v>44867</v>
      </c>
      <c r="C5604" s="1" t="n">
        <v>45587</v>
      </c>
      <c r="D5604" t="inlineStr">
        <is>
          <t>GÄVLEBORGS LÄN</t>
        </is>
      </c>
      <c r="E5604" t="inlineStr">
        <is>
          <t>LJUSDAL</t>
        </is>
      </c>
      <c r="F5604" t="inlineStr">
        <is>
          <t>Kommuner</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50877-2022</t>
        </is>
      </c>
      <c r="B5605" s="1" t="n">
        <v>44867</v>
      </c>
      <c r="C5605" s="1" t="n">
        <v>45587</v>
      </c>
      <c r="D5605" t="inlineStr">
        <is>
          <t>GÄVLEBORGS LÄN</t>
        </is>
      </c>
      <c r="E5605" t="inlineStr">
        <is>
          <t>LJUSDAL</t>
        </is>
      </c>
      <c r="F5605" t="inlineStr">
        <is>
          <t>Holmen skog AB</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50927-2022</t>
        </is>
      </c>
      <c r="B5606" s="1" t="n">
        <v>44867</v>
      </c>
      <c r="C5606" s="1" t="n">
        <v>45587</v>
      </c>
      <c r="D5606" t="inlineStr">
        <is>
          <t>GÄVLEBORGS LÄN</t>
        </is>
      </c>
      <c r="E5606" t="inlineStr">
        <is>
          <t>LJUSDAL</t>
        </is>
      </c>
      <c r="F5606" t="inlineStr">
        <is>
          <t>Holmen skog AB</t>
        </is>
      </c>
      <c r="G5606" t="n">
        <v>4.4</v>
      </c>
      <c r="H5606" t="n">
        <v>0</v>
      </c>
      <c r="I5606" t="n">
        <v>0</v>
      </c>
      <c r="J5606" t="n">
        <v>0</v>
      </c>
      <c r="K5606" t="n">
        <v>0</v>
      </c>
      <c r="L5606" t="n">
        <v>0</v>
      </c>
      <c r="M5606" t="n">
        <v>0</v>
      </c>
      <c r="N5606" t="n">
        <v>0</v>
      </c>
      <c r="O5606" t="n">
        <v>0</v>
      </c>
      <c r="P5606" t="n">
        <v>0</v>
      </c>
      <c r="Q5606" t="n">
        <v>0</v>
      </c>
      <c r="R5606" s="2" t="inlineStr"/>
    </row>
    <row r="5607" ht="15" customHeight="1">
      <c r="A5607" t="inlineStr">
        <is>
          <t>A 50871-2022</t>
        </is>
      </c>
      <c r="B5607" s="1" t="n">
        <v>44867</v>
      </c>
      <c r="C5607" s="1" t="n">
        <v>45587</v>
      </c>
      <c r="D5607" t="inlineStr">
        <is>
          <t>GÄVLEBORGS LÄN</t>
        </is>
      </c>
      <c r="E5607" t="inlineStr">
        <is>
          <t>GÄVLE</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50886-2022</t>
        </is>
      </c>
      <c r="B5608" s="1" t="n">
        <v>44867</v>
      </c>
      <c r="C5608" s="1" t="n">
        <v>45587</v>
      </c>
      <c r="D5608" t="inlineStr">
        <is>
          <t>GÄVLEBORGS LÄN</t>
        </is>
      </c>
      <c r="E5608" t="inlineStr">
        <is>
          <t>LJUSDAL</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50937-2022</t>
        </is>
      </c>
      <c r="B5609" s="1" t="n">
        <v>44867</v>
      </c>
      <c r="C5609" s="1" t="n">
        <v>45587</v>
      </c>
      <c r="D5609" t="inlineStr">
        <is>
          <t>GÄVLEBORGS LÄN</t>
        </is>
      </c>
      <c r="E5609" t="inlineStr">
        <is>
          <t>OVANÅKER</t>
        </is>
      </c>
      <c r="F5609" t="inlineStr">
        <is>
          <t>Bergvik skog väst AB</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50778-2022</t>
        </is>
      </c>
      <c r="B5610" s="1" t="n">
        <v>44867</v>
      </c>
      <c r="C5610" s="1" t="n">
        <v>45587</v>
      </c>
      <c r="D5610" t="inlineStr">
        <is>
          <t>GÄVLEBORGS LÄN</t>
        </is>
      </c>
      <c r="E5610" t="inlineStr">
        <is>
          <t>GÄVLE</t>
        </is>
      </c>
      <c r="F5610" t="inlineStr">
        <is>
          <t>Bergvik skog öst AB</t>
        </is>
      </c>
      <c r="G5610" t="n">
        <v>9</v>
      </c>
      <c r="H5610" t="n">
        <v>0</v>
      </c>
      <c r="I5610" t="n">
        <v>0</v>
      </c>
      <c r="J5610" t="n">
        <v>0</v>
      </c>
      <c r="K5610" t="n">
        <v>0</v>
      </c>
      <c r="L5610" t="n">
        <v>0</v>
      </c>
      <c r="M5610" t="n">
        <v>0</v>
      </c>
      <c r="N5610" t="n">
        <v>0</v>
      </c>
      <c r="O5610" t="n">
        <v>0</v>
      </c>
      <c r="P5610" t="n">
        <v>0</v>
      </c>
      <c r="Q5610" t="n">
        <v>0</v>
      </c>
      <c r="R5610" s="2" t="inlineStr"/>
    </row>
    <row r="5611" ht="15" customHeight="1">
      <c r="A5611" t="inlineStr">
        <is>
          <t>A 50876-2022</t>
        </is>
      </c>
      <c r="B5611" s="1" t="n">
        <v>44867</v>
      </c>
      <c r="C5611" s="1" t="n">
        <v>45587</v>
      </c>
      <c r="D5611" t="inlineStr">
        <is>
          <t>GÄVLEBORGS LÄN</t>
        </is>
      </c>
      <c r="E5611" t="inlineStr">
        <is>
          <t>SÖDERHAMN</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51048-2022</t>
        </is>
      </c>
      <c r="B5612" s="1" t="n">
        <v>44868</v>
      </c>
      <c r="C5612" s="1" t="n">
        <v>45587</v>
      </c>
      <c r="D5612" t="inlineStr">
        <is>
          <t>GÄVLEBORGS LÄN</t>
        </is>
      </c>
      <c r="E5612" t="inlineStr">
        <is>
          <t>LJUSDAL</t>
        </is>
      </c>
      <c r="F5612" t="inlineStr">
        <is>
          <t>Bergvik skog väst AB</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51092-2022</t>
        </is>
      </c>
      <c r="B5613" s="1" t="n">
        <v>44868</v>
      </c>
      <c r="C5613" s="1" t="n">
        <v>45587</v>
      </c>
      <c r="D5613" t="inlineStr">
        <is>
          <t>GÄVLEBORGS LÄN</t>
        </is>
      </c>
      <c r="E5613" t="inlineStr">
        <is>
          <t>OVANÅKER</t>
        </is>
      </c>
      <c r="G5613" t="n">
        <v>7.3</v>
      </c>
      <c r="H5613" t="n">
        <v>0</v>
      </c>
      <c r="I5613" t="n">
        <v>0</v>
      </c>
      <c r="J5613" t="n">
        <v>0</v>
      </c>
      <c r="K5613" t="n">
        <v>0</v>
      </c>
      <c r="L5613" t="n">
        <v>0</v>
      </c>
      <c r="M5613" t="n">
        <v>0</v>
      </c>
      <c r="N5613" t="n">
        <v>0</v>
      </c>
      <c r="O5613" t="n">
        <v>0</v>
      </c>
      <c r="P5613" t="n">
        <v>0</v>
      </c>
      <c r="Q5613" t="n">
        <v>0</v>
      </c>
      <c r="R5613" s="2" t="inlineStr"/>
    </row>
    <row r="5614" ht="15" customHeight="1">
      <c r="A5614" t="inlineStr">
        <is>
          <t>A 51089-2022</t>
        </is>
      </c>
      <c r="B5614" s="1" t="n">
        <v>44868</v>
      </c>
      <c r="C5614" s="1" t="n">
        <v>45587</v>
      </c>
      <c r="D5614" t="inlineStr">
        <is>
          <t>GÄVLEBORGS LÄN</t>
        </is>
      </c>
      <c r="E5614" t="inlineStr">
        <is>
          <t>LJUSDAL</t>
        </is>
      </c>
      <c r="F5614" t="inlineStr">
        <is>
          <t>Bergvik skog väst AB</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51099-2022</t>
        </is>
      </c>
      <c r="B5615" s="1" t="n">
        <v>44868</v>
      </c>
      <c r="C5615" s="1" t="n">
        <v>45587</v>
      </c>
      <c r="D5615" t="inlineStr">
        <is>
          <t>GÄVLEBORGS LÄN</t>
        </is>
      </c>
      <c r="E5615" t="inlineStr">
        <is>
          <t>LJUSDAL</t>
        </is>
      </c>
      <c r="F5615" t="inlineStr">
        <is>
          <t>Bergvik skog väst AB</t>
        </is>
      </c>
      <c r="G5615" t="n">
        <v>7.1</v>
      </c>
      <c r="H5615" t="n">
        <v>0</v>
      </c>
      <c r="I5615" t="n">
        <v>0</v>
      </c>
      <c r="J5615" t="n">
        <v>0</v>
      </c>
      <c r="K5615" t="n">
        <v>0</v>
      </c>
      <c r="L5615" t="n">
        <v>0</v>
      </c>
      <c r="M5615" t="n">
        <v>0</v>
      </c>
      <c r="N5615" t="n">
        <v>0</v>
      </c>
      <c r="O5615" t="n">
        <v>0</v>
      </c>
      <c r="P5615" t="n">
        <v>0</v>
      </c>
      <c r="Q5615" t="n">
        <v>0</v>
      </c>
      <c r="R5615" s="2" t="inlineStr"/>
    </row>
    <row r="5616" ht="15" customHeight="1">
      <c r="A5616" t="inlineStr">
        <is>
          <t>A 51038-2022</t>
        </is>
      </c>
      <c r="B5616" s="1" t="n">
        <v>44868</v>
      </c>
      <c r="C5616" s="1" t="n">
        <v>45587</v>
      </c>
      <c r="D5616" t="inlineStr">
        <is>
          <t>GÄVLEBORGS LÄN</t>
        </is>
      </c>
      <c r="E5616" t="inlineStr">
        <is>
          <t>BOLLNÄS</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51044-2022</t>
        </is>
      </c>
      <c r="B5617" s="1" t="n">
        <v>44868</v>
      </c>
      <c r="C5617" s="1" t="n">
        <v>45587</v>
      </c>
      <c r="D5617" t="inlineStr">
        <is>
          <t>GÄVLEBORGS LÄN</t>
        </is>
      </c>
      <c r="E5617" t="inlineStr">
        <is>
          <t>LJUSDAL</t>
        </is>
      </c>
      <c r="F5617" t="inlineStr">
        <is>
          <t>Bergvik skog väst AB</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51049-2022</t>
        </is>
      </c>
      <c r="B5618" s="1" t="n">
        <v>44868</v>
      </c>
      <c r="C5618" s="1" t="n">
        <v>45587</v>
      </c>
      <c r="D5618" t="inlineStr">
        <is>
          <t>GÄVLEBORGS LÄN</t>
        </is>
      </c>
      <c r="E5618" t="inlineStr">
        <is>
          <t>LJUSDAL</t>
        </is>
      </c>
      <c r="F5618" t="inlineStr">
        <is>
          <t>Bergvik skog väst AB</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51076-2022</t>
        </is>
      </c>
      <c r="B5619" s="1" t="n">
        <v>44868</v>
      </c>
      <c r="C5619" s="1" t="n">
        <v>45587</v>
      </c>
      <c r="D5619" t="inlineStr">
        <is>
          <t>GÄVLEBORGS LÄN</t>
        </is>
      </c>
      <c r="E5619" t="inlineStr">
        <is>
          <t>GÄVLE</t>
        </is>
      </c>
      <c r="F5619" t="inlineStr">
        <is>
          <t>Kyrkan</t>
        </is>
      </c>
      <c r="G5619" t="n">
        <v>5.3</v>
      </c>
      <c r="H5619" t="n">
        <v>0</v>
      </c>
      <c r="I5619" t="n">
        <v>0</v>
      </c>
      <c r="J5619" t="n">
        <v>0</v>
      </c>
      <c r="K5619" t="n">
        <v>0</v>
      </c>
      <c r="L5619" t="n">
        <v>0</v>
      </c>
      <c r="M5619" t="n">
        <v>0</v>
      </c>
      <c r="N5619" t="n">
        <v>0</v>
      </c>
      <c r="O5619" t="n">
        <v>0</v>
      </c>
      <c r="P5619" t="n">
        <v>0</v>
      </c>
      <c r="Q5619" t="n">
        <v>0</v>
      </c>
      <c r="R5619" s="2" t="inlineStr"/>
    </row>
    <row r="5620" ht="15" customHeight="1">
      <c r="A5620" t="inlineStr">
        <is>
          <t>A 51115-2022</t>
        </is>
      </c>
      <c r="B5620" s="1" t="n">
        <v>44868</v>
      </c>
      <c r="C5620" s="1" t="n">
        <v>45587</v>
      </c>
      <c r="D5620" t="inlineStr">
        <is>
          <t>GÄVLEBORGS LÄN</t>
        </is>
      </c>
      <c r="E5620" t="inlineStr">
        <is>
          <t>LJUSDAL</t>
        </is>
      </c>
      <c r="F5620" t="inlineStr">
        <is>
          <t>Bergvik skog väst AB</t>
        </is>
      </c>
      <c r="G5620" t="n">
        <v>12.9</v>
      </c>
      <c r="H5620" t="n">
        <v>0</v>
      </c>
      <c r="I5620" t="n">
        <v>0</v>
      </c>
      <c r="J5620" t="n">
        <v>0</v>
      </c>
      <c r="K5620" t="n">
        <v>0</v>
      </c>
      <c r="L5620" t="n">
        <v>0</v>
      </c>
      <c r="M5620" t="n">
        <v>0</v>
      </c>
      <c r="N5620" t="n">
        <v>0</v>
      </c>
      <c r="O5620" t="n">
        <v>0</v>
      </c>
      <c r="P5620" t="n">
        <v>0</v>
      </c>
      <c r="Q5620" t="n">
        <v>0</v>
      </c>
      <c r="R5620" s="2" t="inlineStr"/>
    </row>
    <row r="5621" ht="15" customHeight="1">
      <c r="A5621" t="inlineStr">
        <is>
          <t>A 51123-2022</t>
        </is>
      </c>
      <c r="B5621" s="1" t="n">
        <v>44868</v>
      </c>
      <c r="C5621" s="1" t="n">
        <v>45587</v>
      </c>
      <c r="D5621" t="inlineStr">
        <is>
          <t>GÄVLEBORGS LÄN</t>
        </is>
      </c>
      <c r="E5621" t="inlineStr">
        <is>
          <t>LJUSDAL</t>
        </is>
      </c>
      <c r="F5621" t="inlineStr">
        <is>
          <t>Sveaskog</t>
        </is>
      </c>
      <c r="G5621" t="n">
        <v>8.9</v>
      </c>
      <c r="H5621" t="n">
        <v>0</v>
      </c>
      <c r="I5621" t="n">
        <v>0</v>
      </c>
      <c r="J5621" t="n">
        <v>0</v>
      </c>
      <c r="K5621" t="n">
        <v>0</v>
      </c>
      <c r="L5621" t="n">
        <v>0</v>
      </c>
      <c r="M5621" t="n">
        <v>0</v>
      </c>
      <c r="N5621" t="n">
        <v>0</v>
      </c>
      <c r="O5621" t="n">
        <v>0</v>
      </c>
      <c r="P5621" t="n">
        <v>0</v>
      </c>
      <c r="Q5621" t="n">
        <v>0</v>
      </c>
      <c r="R5621" s="2" t="inlineStr"/>
    </row>
    <row r="5622" ht="15" customHeight="1">
      <c r="A5622" t="inlineStr">
        <is>
          <t>A 51122-2022</t>
        </is>
      </c>
      <c r="B5622" s="1" t="n">
        <v>44868</v>
      </c>
      <c r="C5622" s="1" t="n">
        <v>45587</v>
      </c>
      <c r="D5622" t="inlineStr">
        <is>
          <t>GÄVLEBORGS LÄN</t>
        </is>
      </c>
      <c r="E5622" t="inlineStr">
        <is>
          <t>OVANÅKER</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51121-2022</t>
        </is>
      </c>
      <c r="B5623" s="1" t="n">
        <v>44868</v>
      </c>
      <c r="C5623" s="1" t="n">
        <v>45587</v>
      </c>
      <c r="D5623" t="inlineStr">
        <is>
          <t>GÄVLEBORGS LÄN</t>
        </is>
      </c>
      <c r="E5623" t="inlineStr">
        <is>
          <t>LJUSDAL</t>
        </is>
      </c>
      <c r="F5623" t="inlineStr">
        <is>
          <t>Sveaskog</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51127-2022</t>
        </is>
      </c>
      <c r="B5624" s="1" t="n">
        <v>44868</v>
      </c>
      <c r="C5624" s="1" t="n">
        <v>45587</v>
      </c>
      <c r="D5624" t="inlineStr">
        <is>
          <t>GÄVLEBORGS LÄN</t>
        </is>
      </c>
      <c r="E5624" t="inlineStr">
        <is>
          <t>OVANÅKER</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51145-2022</t>
        </is>
      </c>
      <c r="B5625" s="1" t="n">
        <v>44868</v>
      </c>
      <c r="C5625" s="1" t="n">
        <v>45587</v>
      </c>
      <c r="D5625" t="inlineStr">
        <is>
          <t>GÄVLEBORGS LÄN</t>
        </is>
      </c>
      <c r="E5625" t="inlineStr">
        <is>
          <t>LJUSDAL</t>
        </is>
      </c>
      <c r="F5625" t="inlineStr">
        <is>
          <t>Bergvik skog väst AB</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51162-2022</t>
        </is>
      </c>
      <c r="B5626" s="1" t="n">
        <v>44868</v>
      </c>
      <c r="C5626" s="1" t="n">
        <v>45587</v>
      </c>
      <c r="D5626" t="inlineStr">
        <is>
          <t>GÄVLEBORGS LÄN</t>
        </is>
      </c>
      <c r="E5626" t="inlineStr">
        <is>
          <t>SANDVIKEN</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51250-2022</t>
        </is>
      </c>
      <c r="B5627" s="1" t="n">
        <v>44868</v>
      </c>
      <c r="C5627" s="1" t="n">
        <v>45587</v>
      </c>
      <c r="D5627" t="inlineStr">
        <is>
          <t>GÄVLEBORGS LÄN</t>
        </is>
      </c>
      <c r="E5627" t="inlineStr">
        <is>
          <t>NORDANSTIG</t>
        </is>
      </c>
      <c r="F5627" t="inlineStr">
        <is>
          <t>Holmen skog AB</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51205-2022</t>
        </is>
      </c>
      <c r="B5628" s="1" t="n">
        <v>44868</v>
      </c>
      <c r="C5628" s="1" t="n">
        <v>45587</v>
      </c>
      <c r="D5628" t="inlineStr">
        <is>
          <t>GÄVLEBORGS LÄN</t>
        </is>
      </c>
      <c r="E5628" t="inlineStr">
        <is>
          <t>HOFORS</t>
        </is>
      </c>
      <c r="F5628" t="inlineStr">
        <is>
          <t>Sveaskog</t>
        </is>
      </c>
      <c r="G5628" t="n">
        <v>10</v>
      </c>
      <c r="H5628" t="n">
        <v>0</v>
      </c>
      <c r="I5628" t="n">
        <v>0</v>
      </c>
      <c r="J5628" t="n">
        <v>0</v>
      </c>
      <c r="K5628" t="n">
        <v>0</v>
      </c>
      <c r="L5628" t="n">
        <v>0</v>
      </c>
      <c r="M5628" t="n">
        <v>0</v>
      </c>
      <c r="N5628" t="n">
        <v>0</v>
      </c>
      <c r="O5628" t="n">
        <v>0</v>
      </c>
      <c r="P5628" t="n">
        <v>0</v>
      </c>
      <c r="Q5628" t="n">
        <v>0</v>
      </c>
      <c r="R5628" s="2" t="inlineStr"/>
    </row>
    <row r="5629" ht="15" customHeight="1">
      <c r="A5629" t="inlineStr">
        <is>
          <t>A 51252-2022</t>
        </is>
      </c>
      <c r="B5629" s="1" t="n">
        <v>44868</v>
      </c>
      <c r="C5629" s="1" t="n">
        <v>45587</v>
      </c>
      <c r="D5629" t="inlineStr">
        <is>
          <t>GÄVLEBORGS LÄN</t>
        </is>
      </c>
      <c r="E5629" t="inlineStr">
        <is>
          <t>OVANÅKER</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51202-2022</t>
        </is>
      </c>
      <c r="B5630" s="1" t="n">
        <v>44868</v>
      </c>
      <c r="C5630" s="1" t="n">
        <v>45587</v>
      </c>
      <c r="D5630" t="inlineStr">
        <is>
          <t>GÄVLEBORGS LÄN</t>
        </is>
      </c>
      <c r="E5630" t="inlineStr">
        <is>
          <t>HOFORS</t>
        </is>
      </c>
      <c r="F5630" t="inlineStr">
        <is>
          <t>Sveaskog</t>
        </is>
      </c>
      <c r="G5630" t="n">
        <v>11.3</v>
      </c>
      <c r="H5630" t="n">
        <v>0</v>
      </c>
      <c r="I5630" t="n">
        <v>0</v>
      </c>
      <c r="J5630" t="n">
        <v>0</v>
      </c>
      <c r="K5630" t="n">
        <v>0</v>
      </c>
      <c r="L5630" t="n">
        <v>0</v>
      </c>
      <c r="M5630" t="n">
        <v>0</v>
      </c>
      <c r="N5630" t="n">
        <v>0</v>
      </c>
      <c r="O5630" t="n">
        <v>0</v>
      </c>
      <c r="P5630" t="n">
        <v>0</v>
      </c>
      <c r="Q5630" t="n">
        <v>0</v>
      </c>
      <c r="R5630" s="2" t="inlineStr"/>
    </row>
    <row r="5631" ht="15" customHeight="1">
      <c r="A5631" t="inlineStr">
        <is>
          <t>A 51209-2022</t>
        </is>
      </c>
      <c r="B5631" s="1" t="n">
        <v>44868</v>
      </c>
      <c r="C5631" s="1" t="n">
        <v>45587</v>
      </c>
      <c r="D5631" t="inlineStr">
        <is>
          <t>GÄVLEBORGS LÄN</t>
        </is>
      </c>
      <c r="E5631" t="inlineStr">
        <is>
          <t>NORDANSTIG</t>
        </is>
      </c>
      <c r="F5631" t="inlineStr">
        <is>
          <t>Holmen skog AB</t>
        </is>
      </c>
      <c r="G5631" t="n">
        <v>5.4</v>
      </c>
      <c r="H5631" t="n">
        <v>0</v>
      </c>
      <c r="I5631" t="n">
        <v>0</v>
      </c>
      <c r="J5631" t="n">
        <v>0</v>
      </c>
      <c r="K5631" t="n">
        <v>0</v>
      </c>
      <c r="L5631" t="n">
        <v>0</v>
      </c>
      <c r="M5631" t="n">
        <v>0</v>
      </c>
      <c r="N5631" t="n">
        <v>0</v>
      </c>
      <c r="O5631" t="n">
        <v>0</v>
      </c>
      <c r="P5631" t="n">
        <v>0</v>
      </c>
      <c r="Q5631" t="n">
        <v>0</v>
      </c>
      <c r="R5631" s="2" t="inlineStr"/>
    </row>
    <row r="5632" ht="15" customHeight="1">
      <c r="A5632" t="inlineStr">
        <is>
          <t>A 51277-2022</t>
        </is>
      </c>
      <c r="B5632" s="1" t="n">
        <v>44868</v>
      </c>
      <c r="C5632" s="1" t="n">
        <v>45587</v>
      </c>
      <c r="D5632" t="inlineStr">
        <is>
          <t>GÄVLEBORGS LÄN</t>
        </is>
      </c>
      <c r="E5632" t="inlineStr">
        <is>
          <t>HOFORS</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51237-2022</t>
        </is>
      </c>
      <c r="B5633" s="1" t="n">
        <v>44868</v>
      </c>
      <c r="C5633" s="1" t="n">
        <v>45587</v>
      </c>
      <c r="D5633" t="inlineStr">
        <is>
          <t>GÄVLEBORGS LÄN</t>
        </is>
      </c>
      <c r="E5633" t="inlineStr">
        <is>
          <t>OVANÅKER</t>
        </is>
      </c>
      <c r="G5633" t="n">
        <v>6.5</v>
      </c>
      <c r="H5633" t="n">
        <v>0</v>
      </c>
      <c r="I5633" t="n">
        <v>0</v>
      </c>
      <c r="J5633" t="n">
        <v>0</v>
      </c>
      <c r="K5633" t="n">
        <v>0</v>
      </c>
      <c r="L5633" t="n">
        <v>0</v>
      </c>
      <c r="M5633" t="n">
        <v>0</v>
      </c>
      <c r="N5633" t="n">
        <v>0</v>
      </c>
      <c r="O5633" t="n">
        <v>0</v>
      </c>
      <c r="P5633" t="n">
        <v>0</v>
      </c>
      <c r="Q5633" t="n">
        <v>0</v>
      </c>
      <c r="R5633" s="2" t="inlineStr"/>
    </row>
    <row r="5634" ht="15" customHeight="1">
      <c r="A5634" t="inlineStr">
        <is>
          <t>A 51276-2022</t>
        </is>
      </c>
      <c r="B5634" s="1" t="n">
        <v>44868</v>
      </c>
      <c r="C5634" s="1" t="n">
        <v>45587</v>
      </c>
      <c r="D5634" t="inlineStr">
        <is>
          <t>GÄVLEBORGS LÄN</t>
        </is>
      </c>
      <c r="E5634" t="inlineStr">
        <is>
          <t>HOFORS</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51330-2022</t>
        </is>
      </c>
      <c r="B5635" s="1" t="n">
        <v>44869</v>
      </c>
      <c r="C5635" s="1" t="n">
        <v>45587</v>
      </c>
      <c r="D5635" t="inlineStr">
        <is>
          <t>GÄVLEBORGS LÄN</t>
        </is>
      </c>
      <c r="E5635" t="inlineStr">
        <is>
          <t>LJUSDAL</t>
        </is>
      </c>
      <c r="F5635" t="inlineStr">
        <is>
          <t>Bergvik skog väst AB</t>
        </is>
      </c>
      <c r="G5635" t="n">
        <v>9.199999999999999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51381-2022</t>
        </is>
      </c>
      <c r="B5636" s="1" t="n">
        <v>44869</v>
      </c>
      <c r="C5636" s="1" t="n">
        <v>45587</v>
      </c>
      <c r="D5636" t="inlineStr">
        <is>
          <t>GÄVLEBORGS LÄN</t>
        </is>
      </c>
      <c r="E5636" t="inlineStr">
        <is>
          <t>GÄVLE</t>
        </is>
      </c>
      <c r="F5636" t="inlineStr">
        <is>
          <t>Bergvik skog öst AB</t>
        </is>
      </c>
      <c r="G5636" t="n">
        <v>3.7</v>
      </c>
      <c r="H5636" t="n">
        <v>0</v>
      </c>
      <c r="I5636" t="n">
        <v>0</v>
      </c>
      <c r="J5636" t="n">
        <v>0</v>
      </c>
      <c r="K5636" t="n">
        <v>0</v>
      </c>
      <c r="L5636" t="n">
        <v>0</v>
      </c>
      <c r="M5636" t="n">
        <v>0</v>
      </c>
      <c r="N5636" t="n">
        <v>0</v>
      </c>
      <c r="O5636" t="n">
        <v>0</v>
      </c>
      <c r="P5636" t="n">
        <v>0</v>
      </c>
      <c r="Q5636" t="n">
        <v>0</v>
      </c>
      <c r="R5636" s="2" t="inlineStr"/>
    </row>
    <row r="5637" ht="15" customHeight="1">
      <c r="A5637" t="inlineStr">
        <is>
          <t>A 51432-2022</t>
        </is>
      </c>
      <c r="B5637" s="1" t="n">
        <v>44869</v>
      </c>
      <c r="C5637" s="1" t="n">
        <v>45587</v>
      </c>
      <c r="D5637" t="inlineStr">
        <is>
          <t>GÄVLEBORGS LÄN</t>
        </is>
      </c>
      <c r="E5637" t="inlineStr">
        <is>
          <t>HUDIKSVALL</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51443-2022</t>
        </is>
      </c>
      <c r="B5638" s="1" t="n">
        <v>44869</v>
      </c>
      <c r="C5638" s="1" t="n">
        <v>45587</v>
      </c>
      <c r="D5638" t="inlineStr">
        <is>
          <t>GÄVLEBORGS LÄN</t>
        </is>
      </c>
      <c r="E5638" t="inlineStr">
        <is>
          <t>BOLLNÄS</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51458-2022</t>
        </is>
      </c>
      <c r="B5639" s="1" t="n">
        <v>44869</v>
      </c>
      <c r="C5639" s="1" t="n">
        <v>45587</v>
      </c>
      <c r="D5639" t="inlineStr">
        <is>
          <t>GÄVLEBORGS LÄN</t>
        </is>
      </c>
      <c r="E5639" t="inlineStr">
        <is>
          <t>SÖDERHAMN</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52206-2022</t>
        </is>
      </c>
      <c r="B5640" s="1" t="n">
        <v>44869</v>
      </c>
      <c r="C5640" s="1" t="n">
        <v>45587</v>
      </c>
      <c r="D5640" t="inlineStr">
        <is>
          <t>GÄVLEBORGS LÄN</t>
        </is>
      </c>
      <c r="E5640" t="inlineStr">
        <is>
          <t>NORDANSTIG</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51567-2022</t>
        </is>
      </c>
      <c r="B5641" s="1" t="n">
        <v>44870</v>
      </c>
      <c r="C5641" s="1" t="n">
        <v>45587</v>
      </c>
      <c r="D5641" t="inlineStr">
        <is>
          <t>GÄVLEBORGS LÄN</t>
        </is>
      </c>
      <c r="E5641" t="inlineStr">
        <is>
          <t>HUDIKSVALL</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51519-2022</t>
        </is>
      </c>
      <c r="B5642" s="1" t="n">
        <v>44869</v>
      </c>
      <c r="C5642" s="1" t="n">
        <v>45587</v>
      </c>
      <c r="D5642" t="inlineStr">
        <is>
          <t>GÄVLEBORGS LÄN</t>
        </is>
      </c>
      <c r="E5642" t="inlineStr">
        <is>
          <t>LJUSDAL</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51590-2022</t>
        </is>
      </c>
      <c r="B5643" s="1" t="n">
        <v>44871</v>
      </c>
      <c r="C5643" s="1" t="n">
        <v>45587</v>
      </c>
      <c r="D5643" t="inlineStr">
        <is>
          <t>GÄVLEBORGS LÄN</t>
        </is>
      </c>
      <c r="E5643" t="inlineStr">
        <is>
          <t>HUDIKSVALL</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51734-2022</t>
        </is>
      </c>
      <c r="B5644" s="1" t="n">
        <v>44872</v>
      </c>
      <c r="C5644" s="1" t="n">
        <v>45587</v>
      </c>
      <c r="D5644" t="inlineStr">
        <is>
          <t>GÄVLEBORGS LÄN</t>
        </is>
      </c>
      <c r="E5644" t="inlineStr">
        <is>
          <t>OVANÅKER</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51738-2022</t>
        </is>
      </c>
      <c r="B5645" s="1" t="n">
        <v>44872</v>
      </c>
      <c r="C5645" s="1" t="n">
        <v>45587</v>
      </c>
      <c r="D5645" t="inlineStr">
        <is>
          <t>GÄVLEBORGS LÄN</t>
        </is>
      </c>
      <c r="E5645" t="inlineStr">
        <is>
          <t>LJUSDAL</t>
        </is>
      </c>
      <c r="F5645" t="inlineStr">
        <is>
          <t>Bergvik skog väst AB</t>
        </is>
      </c>
      <c r="G5645" t="n">
        <v>6.6</v>
      </c>
      <c r="H5645" t="n">
        <v>0</v>
      </c>
      <c r="I5645" t="n">
        <v>0</v>
      </c>
      <c r="J5645" t="n">
        <v>0</v>
      </c>
      <c r="K5645" t="n">
        <v>0</v>
      </c>
      <c r="L5645" t="n">
        <v>0</v>
      </c>
      <c r="M5645" t="n">
        <v>0</v>
      </c>
      <c r="N5645" t="n">
        <v>0</v>
      </c>
      <c r="O5645" t="n">
        <v>0</v>
      </c>
      <c r="P5645" t="n">
        <v>0</v>
      </c>
      <c r="Q5645" t="n">
        <v>0</v>
      </c>
      <c r="R5645" s="2" t="inlineStr"/>
    </row>
    <row r="5646" ht="15" customHeight="1">
      <c r="A5646" t="inlineStr">
        <is>
          <t>A 51744-2022</t>
        </is>
      </c>
      <c r="B5646" s="1" t="n">
        <v>44872</v>
      </c>
      <c r="C5646" s="1" t="n">
        <v>45587</v>
      </c>
      <c r="D5646" t="inlineStr">
        <is>
          <t>GÄVLEBORGS LÄN</t>
        </is>
      </c>
      <c r="E5646" t="inlineStr">
        <is>
          <t>OCKELBO</t>
        </is>
      </c>
      <c r="F5646" t="inlineStr">
        <is>
          <t>Bergvik skog väst AB</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51867-2022</t>
        </is>
      </c>
      <c r="B5647" s="1" t="n">
        <v>44872</v>
      </c>
      <c r="C5647" s="1" t="n">
        <v>45587</v>
      </c>
      <c r="D5647" t="inlineStr">
        <is>
          <t>GÄVLEBORGS LÄN</t>
        </is>
      </c>
      <c r="E5647" t="inlineStr">
        <is>
          <t>BOLLNÄS</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51645-2022</t>
        </is>
      </c>
      <c r="B5648" s="1" t="n">
        <v>44872</v>
      </c>
      <c r="C5648" s="1" t="n">
        <v>45587</v>
      </c>
      <c r="D5648" t="inlineStr">
        <is>
          <t>GÄVLEBORGS LÄN</t>
        </is>
      </c>
      <c r="E5648" t="inlineStr">
        <is>
          <t>BOLLNÄS</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51666-2022</t>
        </is>
      </c>
      <c r="B5649" s="1" t="n">
        <v>44872</v>
      </c>
      <c r="C5649" s="1" t="n">
        <v>45587</v>
      </c>
      <c r="D5649" t="inlineStr">
        <is>
          <t>GÄVLEBORGS LÄN</t>
        </is>
      </c>
      <c r="E5649" t="inlineStr">
        <is>
          <t>BOLLNÄS</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51747-2022</t>
        </is>
      </c>
      <c r="B5650" s="1" t="n">
        <v>44872</v>
      </c>
      <c r="C5650" s="1" t="n">
        <v>45587</v>
      </c>
      <c r="D5650" t="inlineStr">
        <is>
          <t>GÄVLEBORGS LÄN</t>
        </is>
      </c>
      <c r="E5650" t="inlineStr">
        <is>
          <t>OCKELBO</t>
        </is>
      </c>
      <c r="F5650" t="inlineStr">
        <is>
          <t>Bergvik skog väst AB</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51767-2022</t>
        </is>
      </c>
      <c r="B5651" s="1" t="n">
        <v>44872</v>
      </c>
      <c r="C5651" s="1" t="n">
        <v>45587</v>
      </c>
      <c r="D5651" t="inlineStr">
        <is>
          <t>GÄVLEBORGS LÄN</t>
        </is>
      </c>
      <c r="E5651" t="inlineStr">
        <is>
          <t>NORDANSTIG</t>
        </is>
      </c>
      <c r="F5651" t="inlineStr">
        <is>
          <t>Holmen skog AB</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51634-2022</t>
        </is>
      </c>
      <c r="B5652" s="1" t="n">
        <v>44872</v>
      </c>
      <c r="C5652" s="1" t="n">
        <v>45587</v>
      </c>
      <c r="D5652" t="inlineStr">
        <is>
          <t>GÄVLEBORGS LÄN</t>
        </is>
      </c>
      <c r="E5652" t="inlineStr">
        <is>
          <t>LJUSDAL</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51700-2022</t>
        </is>
      </c>
      <c r="B5653" s="1" t="n">
        <v>44872</v>
      </c>
      <c r="C5653" s="1" t="n">
        <v>45587</v>
      </c>
      <c r="D5653" t="inlineStr">
        <is>
          <t>GÄVLEBORGS LÄN</t>
        </is>
      </c>
      <c r="E5653" t="inlineStr">
        <is>
          <t>OVANÅKER</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51710-2022</t>
        </is>
      </c>
      <c r="B5654" s="1" t="n">
        <v>44872</v>
      </c>
      <c r="C5654" s="1" t="n">
        <v>45587</v>
      </c>
      <c r="D5654" t="inlineStr">
        <is>
          <t>GÄVLEBORGS LÄN</t>
        </is>
      </c>
      <c r="E5654" t="inlineStr">
        <is>
          <t>NORDANSTIG</t>
        </is>
      </c>
      <c r="F5654" t="inlineStr">
        <is>
          <t>Holmen skog AB</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51726-2022</t>
        </is>
      </c>
      <c r="B5655" s="1" t="n">
        <v>44872</v>
      </c>
      <c r="C5655" s="1" t="n">
        <v>45587</v>
      </c>
      <c r="D5655" t="inlineStr">
        <is>
          <t>GÄVLEBORGS LÄN</t>
        </is>
      </c>
      <c r="E5655" t="inlineStr">
        <is>
          <t>LJUSDAL</t>
        </is>
      </c>
      <c r="F5655" t="inlineStr">
        <is>
          <t>Bergvik skog väst AB</t>
        </is>
      </c>
      <c r="G5655" t="n">
        <v>9.800000000000001</v>
      </c>
      <c r="H5655" t="n">
        <v>0</v>
      </c>
      <c r="I5655" t="n">
        <v>0</v>
      </c>
      <c r="J5655" t="n">
        <v>0</v>
      </c>
      <c r="K5655" t="n">
        <v>0</v>
      </c>
      <c r="L5655" t="n">
        <v>0</v>
      </c>
      <c r="M5655" t="n">
        <v>0</v>
      </c>
      <c r="N5655" t="n">
        <v>0</v>
      </c>
      <c r="O5655" t="n">
        <v>0</v>
      </c>
      <c r="P5655" t="n">
        <v>0</v>
      </c>
      <c r="Q5655" t="n">
        <v>0</v>
      </c>
      <c r="R5655" s="2" t="inlineStr"/>
    </row>
    <row r="5656" ht="15" customHeight="1">
      <c r="A5656" t="inlineStr">
        <is>
          <t>A 51732-2022</t>
        </is>
      </c>
      <c r="B5656" s="1" t="n">
        <v>44872</v>
      </c>
      <c r="C5656" s="1" t="n">
        <v>45587</v>
      </c>
      <c r="D5656" t="inlineStr">
        <is>
          <t>GÄVLEBORGS LÄN</t>
        </is>
      </c>
      <c r="E5656" t="inlineStr">
        <is>
          <t>OVANÅKER</t>
        </is>
      </c>
      <c r="G5656" t="n">
        <v>6.5</v>
      </c>
      <c r="H5656" t="n">
        <v>0</v>
      </c>
      <c r="I5656" t="n">
        <v>0</v>
      </c>
      <c r="J5656" t="n">
        <v>0</v>
      </c>
      <c r="K5656" t="n">
        <v>0</v>
      </c>
      <c r="L5656" t="n">
        <v>0</v>
      </c>
      <c r="M5656" t="n">
        <v>0</v>
      </c>
      <c r="N5656" t="n">
        <v>0</v>
      </c>
      <c r="O5656" t="n">
        <v>0</v>
      </c>
      <c r="P5656" t="n">
        <v>0</v>
      </c>
      <c r="Q5656" t="n">
        <v>0</v>
      </c>
      <c r="R5656" s="2" t="inlineStr"/>
    </row>
    <row r="5657" ht="15" customHeight="1">
      <c r="A5657" t="inlineStr">
        <is>
          <t>A 51737-2022</t>
        </is>
      </c>
      <c r="B5657" s="1" t="n">
        <v>44872</v>
      </c>
      <c r="C5657" s="1" t="n">
        <v>45587</v>
      </c>
      <c r="D5657" t="inlineStr">
        <is>
          <t>GÄVLEBORGS LÄN</t>
        </is>
      </c>
      <c r="E5657" t="inlineStr">
        <is>
          <t>OVANÅKER</t>
        </is>
      </c>
      <c r="F5657" t="inlineStr">
        <is>
          <t>Bergvik skog väst AB</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51754-2022</t>
        </is>
      </c>
      <c r="B5658" s="1" t="n">
        <v>44872</v>
      </c>
      <c r="C5658" s="1" t="n">
        <v>45587</v>
      </c>
      <c r="D5658" t="inlineStr">
        <is>
          <t>GÄVLEBORGS LÄN</t>
        </is>
      </c>
      <c r="E5658" t="inlineStr">
        <is>
          <t>LJUSDAL</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51783-2022</t>
        </is>
      </c>
      <c r="B5659" s="1" t="n">
        <v>44872</v>
      </c>
      <c r="C5659" s="1" t="n">
        <v>45587</v>
      </c>
      <c r="D5659" t="inlineStr">
        <is>
          <t>GÄVLEBORGS LÄN</t>
        </is>
      </c>
      <c r="E5659" t="inlineStr">
        <is>
          <t>OVANÅKER</t>
        </is>
      </c>
      <c r="F5659" t="inlineStr">
        <is>
          <t>Bergvik skog väst AB</t>
        </is>
      </c>
      <c r="G5659" t="n">
        <v>4</v>
      </c>
      <c r="H5659" t="n">
        <v>0</v>
      </c>
      <c r="I5659" t="n">
        <v>0</v>
      </c>
      <c r="J5659" t="n">
        <v>0</v>
      </c>
      <c r="K5659" t="n">
        <v>0</v>
      </c>
      <c r="L5659" t="n">
        <v>0</v>
      </c>
      <c r="M5659" t="n">
        <v>0</v>
      </c>
      <c r="N5659" t="n">
        <v>0</v>
      </c>
      <c r="O5659" t="n">
        <v>0</v>
      </c>
      <c r="P5659" t="n">
        <v>0</v>
      </c>
      <c r="Q5659" t="n">
        <v>0</v>
      </c>
      <c r="R5659" s="2" t="inlineStr"/>
    </row>
    <row r="5660" ht="15" customHeight="1">
      <c r="A5660" t="inlineStr">
        <is>
          <t>A 51838-2022</t>
        </is>
      </c>
      <c r="B5660" s="1" t="n">
        <v>44872</v>
      </c>
      <c r="C5660" s="1" t="n">
        <v>45587</v>
      </c>
      <c r="D5660" t="inlineStr">
        <is>
          <t>GÄVLEBORGS LÄN</t>
        </is>
      </c>
      <c r="E5660" t="inlineStr">
        <is>
          <t>LJUSDAL</t>
        </is>
      </c>
      <c r="F5660" t="inlineStr">
        <is>
          <t>Bergvik skog väst AB</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51865-2022</t>
        </is>
      </c>
      <c r="B5661" s="1" t="n">
        <v>44872</v>
      </c>
      <c r="C5661" s="1" t="n">
        <v>45587</v>
      </c>
      <c r="D5661" t="inlineStr">
        <is>
          <t>GÄVLEBORGS LÄN</t>
        </is>
      </c>
      <c r="E5661" t="inlineStr">
        <is>
          <t>HUDIKSVALL</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51902-2022</t>
        </is>
      </c>
      <c r="B5662" s="1" t="n">
        <v>44872</v>
      </c>
      <c r="C5662" s="1" t="n">
        <v>45587</v>
      </c>
      <c r="D5662" t="inlineStr">
        <is>
          <t>GÄVLEBORGS LÄN</t>
        </is>
      </c>
      <c r="E5662" t="inlineStr">
        <is>
          <t>OVANÅKER</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51841-2022</t>
        </is>
      </c>
      <c r="B5663" s="1" t="n">
        <v>44872</v>
      </c>
      <c r="C5663" s="1" t="n">
        <v>45587</v>
      </c>
      <c r="D5663" t="inlineStr">
        <is>
          <t>GÄVLEBORGS LÄN</t>
        </is>
      </c>
      <c r="E5663" t="inlineStr">
        <is>
          <t>NORDANSTIG</t>
        </is>
      </c>
      <c r="F5663" t="inlineStr">
        <is>
          <t>Holmen skog AB</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51853-2022</t>
        </is>
      </c>
      <c r="B5664" s="1" t="n">
        <v>44872</v>
      </c>
      <c r="C5664" s="1" t="n">
        <v>45587</v>
      </c>
      <c r="D5664" t="inlineStr">
        <is>
          <t>GÄVLEBORGS LÄN</t>
        </is>
      </c>
      <c r="E5664" t="inlineStr">
        <is>
          <t>LJUSDAL</t>
        </is>
      </c>
      <c r="F5664" t="inlineStr">
        <is>
          <t>Bergvik skog väst AB</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51927-2022</t>
        </is>
      </c>
      <c r="B5665" s="1" t="n">
        <v>44872</v>
      </c>
      <c r="C5665" s="1" t="n">
        <v>45587</v>
      </c>
      <c r="D5665" t="inlineStr">
        <is>
          <t>GÄVLEBORGS LÄN</t>
        </is>
      </c>
      <c r="E5665" t="inlineStr">
        <is>
          <t>OVANÅKER</t>
        </is>
      </c>
      <c r="G5665" t="n">
        <v>9.1</v>
      </c>
      <c r="H5665" t="n">
        <v>0</v>
      </c>
      <c r="I5665" t="n">
        <v>0</v>
      </c>
      <c r="J5665" t="n">
        <v>0</v>
      </c>
      <c r="K5665" t="n">
        <v>0</v>
      </c>
      <c r="L5665" t="n">
        <v>0</v>
      </c>
      <c r="M5665" t="n">
        <v>0</v>
      </c>
      <c r="N5665" t="n">
        <v>0</v>
      </c>
      <c r="O5665" t="n">
        <v>0</v>
      </c>
      <c r="P5665" t="n">
        <v>0</v>
      </c>
      <c r="Q5665" t="n">
        <v>0</v>
      </c>
      <c r="R5665" s="2" t="inlineStr"/>
    </row>
    <row r="5666" ht="15" customHeight="1">
      <c r="A5666" t="inlineStr">
        <is>
          <t>A 51937-2022</t>
        </is>
      </c>
      <c r="B5666" s="1" t="n">
        <v>44872</v>
      </c>
      <c r="C5666" s="1" t="n">
        <v>45587</v>
      </c>
      <c r="D5666" t="inlineStr">
        <is>
          <t>GÄVLEBORGS LÄN</t>
        </is>
      </c>
      <c r="E5666" t="inlineStr">
        <is>
          <t>HUDIKSVALL</t>
        </is>
      </c>
      <c r="F5666" t="inlineStr">
        <is>
          <t>Holmen skog AB</t>
        </is>
      </c>
      <c r="G5666" t="n">
        <v>13.8</v>
      </c>
      <c r="H5666" t="n">
        <v>0</v>
      </c>
      <c r="I5666" t="n">
        <v>0</v>
      </c>
      <c r="J5666" t="n">
        <v>0</v>
      </c>
      <c r="K5666" t="n">
        <v>0</v>
      </c>
      <c r="L5666" t="n">
        <v>0</v>
      </c>
      <c r="M5666" t="n">
        <v>0</v>
      </c>
      <c r="N5666" t="n">
        <v>0</v>
      </c>
      <c r="O5666" t="n">
        <v>0</v>
      </c>
      <c r="P5666" t="n">
        <v>0</v>
      </c>
      <c r="Q5666" t="n">
        <v>0</v>
      </c>
      <c r="R5666" s="2" t="inlineStr"/>
    </row>
    <row r="5667" ht="15" customHeight="1">
      <c r="A5667" t="inlineStr">
        <is>
          <t>A 51851-2022</t>
        </is>
      </c>
      <c r="B5667" s="1" t="n">
        <v>44872</v>
      </c>
      <c r="C5667" s="1" t="n">
        <v>45587</v>
      </c>
      <c r="D5667" t="inlineStr">
        <is>
          <t>GÄVLEBORGS LÄN</t>
        </is>
      </c>
      <c r="E5667" t="inlineStr">
        <is>
          <t>HUDIKSVALL</t>
        </is>
      </c>
      <c r="F5667" t="inlineStr">
        <is>
          <t>Holmen skog AB</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51972-2022</t>
        </is>
      </c>
      <c r="B5668" s="1" t="n">
        <v>44872</v>
      </c>
      <c r="C5668" s="1" t="n">
        <v>45587</v>
      </c>
      <c r="D5668" t="inlineStr">
        <is>
          <t>GÄVLEBORGS LÄN</t>
        </is>
      </c>
      <c r="E5668" t="inlineStr">
        <is>
          <t>OCKELBO</t>
        </is>
      </c>
      <c r="G5668" t="n">
        <v>9</v>
      </c>
      <c r="H5668" t="n">
        <v>0</v>
      </c>
      <c r="I5668" t="n">
        <v>0</v>
      </c>
      <c r="J5668" t="n">
        <v>0</v>
      </c>
      <c r="K5668" t="n">
        <v>0</v>
      </c>
      <c r="L5668" t="n">
        <v>0</v>
      </c>
      <c r="M5668" t="n">
        <v>0</v>
      </c>
      <c r="N5668" t="n">
        <v>0</v>
      </c>
      <c r="O5668" t="n">
        <v>0</v>
      </c>
      <c r="P5668" t="n">
        <v>0</v>
      </c>
      <c r="Q5668" t="n">
        <v>0</v>
      </c>
      <c r="R5668" s="2" t="inlineStr"/>
    </row>
    <row r="5669" ht="15" customHeight="1">
      <c r="A5669" t="inlineStr">
        <is>
          <t>A 51922-2022</t>
        </is>
      </c>
      <c r="B5669" s="1" t="n">
        <v>44872</v>
      </c>
      <c r="C5669" s="1" t="n">
        <v>45587</v>
      </c>
      <c r="D5669" t="inlineStr">
        <is>
          <t>GÄVLEBORGS LÄN</t>
        </is>
      </c>
      <c r="E5669" t="inlineStr">
        <is>
          <t>LJUSDAL</t>
        </is>
      </c>
      <c r="F5669" t="inlineStr">
        <is>
          <t>Kommuner</t>
        </is>
      </c>
      <c r="G5669" t="n">
        <v>5</v>
      </c>
      <c r="H5669" t="n">
        <v>0</v>
      </c>
      <c r="I5669" t="n">
        <v>0</v>
      </c>
      <c r="J5669" t="n">
        <v>0</v>
      </c>
      <c r="K5669" t="n">
        <v>0</v>
      </c>
      <c r="L5669" t="n">
        <v>0</v>
      </c>
      <c r="M5669" t="n">
        <v>0</v>
      </c>
      <c r="N5669" t="n">
        <v>0</v>
      </c>
      <c r="O5669" t="n">
        <v>0</v>
      </c>
      <c r="P5669" t="n">
        <v>0</v>
      </c>
      <c r="Q5669" t="n">
        <v>0</v>
      </c>
      <c r="R5669" s="2" t="inlineStr"/>
    </row>
    <row r="5670" ht="15" customHeight="1">
      <c r="A5670" t="inlineStr">
        <is>
          <t>A 52120-2022</t>
        </is>
      </c>
      <c r="B5670" s="1" t="n">
        <v>44873</v>
      </c>
      <c r="C5670" s="1" t="n">
        <v>45587</v>
      </c>
      <c r="D5670" t="inlineStr">
        <is>
          <t>GÄVLEBORGS LÄN</t>
        </is>
      </c>
      <c r="E5670" t="inlineStr">
        <is>
          <t>NORDANSTIG</t>
        </is>
      </c>
      <c r="G5670" t="n">
        <v>6.9</v>
      </c>
      <c r="H5670" t="n">
        <v>0</v>
      </c>
      <c r="I5670" t="n">
        <v>0</v>
      </c>
      <c r="J5670" t="n">
        <v>0</v>
      </c>
      <c r="K5670" t="n">
        <v>0</v>
      </c>
      <c r="L5670" t="n">
        <v>0</v>
      </c>
      <c r="M5670" t="n">
        <v>0</v>
      </c>
      <c r="N5670" t="n">
        <v>0</v>
      </c>
      <c r="O5670" t="n">
        <v>0</v>
      </c>
      <c r="P5670" t="n">
        <v>0</v>
      </c>
      <c r="Q5670" t="n">
        <v>0</v>
      </c>
      <c r="R5670" s="2" t="inlineStr"/>
    </row>
    <row r="5671" ht="15" customHeight="1">
      <c r="A5671" t="inlineStr">
        <is>
          <t>A 52121-2022</t>
        </is>
      </c>
      <c r="B5671" s="1" t="n">
        <v>44873</v>
      </c>
      <c r="C5671" s="1" t="n">
        <v>45587</v>
      </c>
      <c r="D5671" t="inlineStr">
        <is>
          <t>GÄVLEBORGS LÄN</t>
        </is>
      </c>
      <c r="E5671" t="inlineStr">
        <is>
          <t>LJUSDAL</t>
        </is>
      </c>
      <c r="F5671" t="inlineStr">
        <is>
          <t>Bergvik skog väst AB</t>
        </is>
      </c>
      <c r="G5671" t="n">
        <v>6.9</v>
      </c>
      <c r="H5671" t="n">
        <v>0</v>
      </c>
      <c r="I5671" t="n">
        <v>0</v>
      </c>
      <c r="J5671" t="n">
        <v>0</v>
      </c>
      <c r="K5671" t="n">
        <v>0</v>
      </c>
      <c r="L5671" t="n">
        <v>0</v>
      </c>
      <c r="M5671" t="n">
        <v>0</v>
      </c>
      <c r="N5671" t="n">
        <v>0</v>
      </c>
      <c r="O5671" t="n">
        <v>0</v>
      </c>
      <c r="P5671" t="n">
        <v>0</v>
      </c>
      <c r="Q5671" t="n">
        <v>0</v>
      </c>
      <c r="R5671" s="2" t="inlineStr"/>
    </row>
    <row r="5672" ht="15" customHeight="1">
      <c r="A5672" t="inlineStr">
        <is>
          <t>A 52180-2022</t>
        </is>
      </c>
      <c r="B5672" s="1" t="n">
        <v>44873</v>
      </c>
      <c r="C5672" s="1" t="n">
        <v>45587</v>
      </c>
      <c r="D5672" t="inlineStr">
        <is>
          <t>GÄVLEBORGS LÄN</t>
        </is>
      </c>
      <c r="E5672" t="inlineStr">
        <is>
          <t>NORDANSTIG</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52187-2022</t>
        </is>
      </c>
      <c r="B5673" s="1" t="n">
        <v>44873</v>
      </c>
      <c r="C5673" s="1" t="n">
        <v>45587</v>
      </c>
      <c r="D5673" t="inlineStr">
        <is>
          <t>GÄVLEBORGS LÄN</t>
        </is>
      </c>
      <c r="E5673" t="inlineStr">
        <is>
          <t>NORDANSTIG</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52271-2022</t>
        </is>
      </c>
      <c r="B5674" s="1" t="n">
        <v>44873</v>
      </c>
      <c r="C5674" s="1" t="n">
        <v>45587</v>
      </c>
      <c r="D5674" t="inlineStr">
        <is>
          <t>GÄVLEBORGS LÄN</t>
        </is>
      </c>
      <c r="E5674" t="inlineStr">
        <is>
          <t>BOLLNÄS</t>
        </is>
      </c>
      <c r="G5674" t="n">
        <v>14.7</v>
      </c>
      <c r="H5674" t="n">
        <v>0</v>
      </c>
      <c r="I5674" t="n">
        <v>0</v>
      </c>
      <c r="J5674" t="n">
        <v>0</v>
      </c>
      <c r="K5674" t="n">
        <v>0</v>
      </c>
      <c r="L5674" t="n">
        <v>0</v>
      </c>
      <c r="M5674" t="n">
        <v>0</v>
      </c>
      <c r="N5674" t="n">
        <v>0</v>
      </c>
      <c r="O5674" t="n">
        <v>0</v>
      </c>
      <c r="P5674" t="n">
        <v>0</v>
      </c>
      <c r="Q5674" t="n">
        <v>0</v>
      </c>
      <c r="R5674" s="2" t="inlineStr"/>
    </row>
    <row r="5675" ht="15" customHeight="1">
      <c r="A5675" t="inlineStr">
        <is>
          <t>A 52226-2022</t>
        </is>
      </c>
      <c r="B5675" s="1" t="n">
        <v>44873</v>
      </c>
      <c r="C5675" s="1" t="n">
        <v>45587</v>
      </c>
      <c r="D5675" t="inlineStr">
        <is>
          <t>GÄVLEBORGS LÄN</t>
        </is>
      </c>
      <c r="E5675" t="inlineStr">
        <is>
          <t>LJUSDAL</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52200-2022</t>
        </is>
      </c>
      <c r="B5676" s="1" t="n">
        <v>44873</v>
      </c>
      <c r="C5676" s="1" t="n">
        <v>45587</v>
      </c>
      <c r="D5676" t="inlineStr">
        <is>
          <t>GÄVLEBORGS LÄN</t>
        </is>
      </c>
      <c r="E5676" t="inlineStr">
        <is>
          <t>SANDVIKEN</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52222-2022</t>
        </is>
      </c>
      <c r="B5677" s="1" t="n">
        <v>44873</v>
      </c>
      <c r="C5677" s="1" t="n">
        <v>45587</v>
      </c>
      <c r="D5677" t="inlineStr">
        <is>
          <t>GÄVLEBORGS LÄN</t>
        </is>
      </c>
      <c r="E5677" t="inlineStr">
        <is>
          <t>LJUSDAL</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52276-2022</t>
        </is>
      </c>
      <c r="B5678" s="1" t="n">
        <v>44873</v>
      </c>
      <c r="C5678" s="1" t="n">
        <v>45587</v>
      </c>
      <c r="D5678" t="inlineStr">
        <is>
          <t>GÄVLEBORGS LÄN</t>
        </is>
      </c>
      <c r="E5678" t="inlineStr">
        <is>
          <t>SANDVIKEN</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52285-2022</t>
        </is>
      </c>
      <c r="B5679" s="1" t="n">
        <v>44873</v>
      </c>
      <c r="C5679" s="1" t="n">
        <v>45587</v>
      </c>
      <c r="D5679" t="inlineStr">
        <is>
          <t>GÄVLEBORGS LÄN</t>
        </is>
      </c>
      <c r="E5679" t="inlineStr">
        <is>
          <t>SANDVIKEN</t>
        </is>
      </c>
      <c r="F5679" t="inlineStr">
        <is>
          <t>Sveaskog</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52282-2022</t>
        </is>
      </c>
      <c r="B5680" s="1" t="n">
        <v>44873</v>
      </c>
      <c r="C5680" s="1" t="n">
        <v>45587</v>
      </c>
      <c r="D5680" t="inlineStr">
        <is>
          <t>GÄVLEBORGS LÄN</t>
        </is>
      </c>
      <c r="E5680" t="inlineStr">
        <is>
          <t>SANDVIKEN</t>
        </is>
      </c>
      <c r="F5680" t="inlineStr">
        <is>
          <t>Sveaskog</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52320-2022</t>
        </is>
      </c>
      <c r="B5681" s="1" t="n">
        <v>44873</v>
      </c>
      <c r="C5681" s="1" t="n">
        <v>45587</v>
      </c>
      <c r="D5681" t="inlineStr">
        <is>
          <t>GÄVLEBORGS LÄN</t>
        </is>
      </c>
      <c r="E5681" t="inlineStr">
        <is>
          <t>HOFORS</t>
        </is>
      </c>
      <c r="G5681" t="n">
        <v>6.1</v>
      </c>
      <c r="H5681" t="n">
        <v>0</v>
      </c>
      <c r="I5681" t="n">
        <v>0</v>
      </c>
      <c r="J5681" t="n">
        <v>0</v>
      </c>
      <c r="K5681" t="n">
        <v>0</v>
      </c>
      <c r="L5681" t="n">
        <v>0</v>
      </c>
      <c r="M5681" t="n">
        <v>0</v>
      </c>
      <c r="N5681" t="n">
        <v>0</v>
      </c>
      <c r="O5681" t="n">
        <v>0</v>
      </c>
      <c r="P5681" t="n">
        <v>0</v>
      </c>
      <c r="Q5681" t="n">
        <v>0</v>
      </c>
      <c r="R5681" s="2" t="inlineStr"/>
    </row>
    <row r="5682" ht="15" customHeight="1">
      <c r="A5682" t="inlineStr">
        <is>
          <t>A 52394-2022</t>
        </is>
      </c>
      <c r="B5682" s="1" t="n">
        <v>44874</v>
      </c>
      <c r="C5682" s="1" t="n">
        <v>45587</v>
      </c>
      <c r="D5682" t="inlineStr">
        <is>
          <t>GÄVLEBORGS LÄN</t>
        </is>
      </c>
      <c r="E5682" t="inlineStr">
        <is>
          <t>GÄVLE</t>
        </is>
      </c>
      <c r="F5682" t="inlineStr">
        <is>
          <t>Bergvik skog öst AB</t>
        </is>
      </c>
      <c r="G5682" t="n">
        <v>4.6</v>
      </c>
      <c r="H5682" t="n">
        <v>0</v>
      </c>
      <c r="I5682" t="n">
        <v>0</v>
      </c>
      <c r="J5682" t="n">
        <v>0</v>
      </c>
      <c r="K5682" t="n">
        <v>0</v>
      </c>
      <c r="L5682" t="n">
        <v>0</v>
      </c>
      <c r="M5682" t="n">
        <v>0</v>
      </c>
      <c r="N5682" t="n">
        <v>0</v>
      </c>
      <c r="O5682" t="n">
        <v>0</v>
      </c>
      <c r="P5682" t="n">
        <v>0</v>
      </c>
      <c r="Q5682" t="n">
        <v>0</v>
      </c>
      <c r="R5682" s="2" t="inlineStr"/>
    </row>
    <row r="5683" ht="15" customHeight="1">
      <c r="A5683" t="inlineStr">
        <is>
          <t>A 52401-2022</t>
        </is>
      </c>
      <c r="B5683" s="1" t="n">
        <v>44874</v>
      </c>
      <c r="C5683" s="1" t="n">
        <v>45587</v>
      </c>
      <c r="D5683" t="inlineStr">
        <is>
          <t>GÄVLEBORGS LÄN</t>
        </is>
      </c>
      <c r="E5683" t="inlineStr">
        <is>
          <t>GÄVLE</t>
        </is>
      </c>
      <c r="F5683" t="inlineStr">
        <is>
          <t>Bergvik skog öst AB</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52443-2022</t>
        </is>
      </c>
      <c r="B5684" s="1" t="n">
        <v>44874</v>
      </c>
      <c r="C5684" s="1" t="n">
        <v>45587</v>
      </c>
      <c r="D5684" t="inlineStr">
        <is>
          <t>GÄVLEBORGS LÄN</t>
        </is>
      </c>
      <c r="E5684" t="inlineStr">
        <is>
          <t>LJUSDAL</t>
        </is>
      </c>
      <c r="F5684" t="inlineStr">
        <is>
          <t>Kyrkan</t>
        </is>
      </c>
      <c r="G5684" t="n">
        <v>10.4</v>
      </c>
      <c r="H5684" t="n">
        <v>0</v>
      </c>
      <c r="I5684" t="n">
        <v>0</v>
      </c>
      <c r="J5684" t="n">
        <v>0</v>
      </c>
      <c r="K5684" t="n">
        <v>0</v>
      </c>
      <c r="L5684" t="n">
        <v>0</v>
      </c>
      <c r="M5684" t="n">
        <v>0</v>
      </c>
      <c r="N5684" t="n">
        <v>0</v>
      </c>
      <c r="O5684" t="n">
        <v>0</v>
      </c>
      <c r="P5684" t="n">
        <v>0</v>
      </c>
      <c r="Q5684" t="n">
        <v>0</v>
      </c>
      <c r="R5684" s="2" t="inlineStr"/>
    </row>
    <row r="5685" ht="15" customHeight="1">
      <c r="A5685" t="inlineStr">
        <is>
          <t>A 52387-2022</t>
        </is>
      </c>
      <c r="B5685" s="1" t="n">
        <v>44874</v>
      </c>
      <c r="C5685" s="1" t="n">
        <v>45587</v>
      </c>
      <c r="D5685" t="inlineStr">
        <is>
          <t>GÄVLEBORGS LÄN</t>
        </is>
      </c>
      <c r="E5685" t="inlineStr">
        <is>
          <t>GÄVLE</t>
        </is>
      </c>
      <c r="F5685" t="inlineStr">
        <is>
          <t>Kommuner</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52560-2022</t>
        </is>
      </c>
      <c r="B5686" s="1" t="n">
        <v>44874</v>
      </c>
      <c r="C5686" s="1" t="n">
        <v>45587</v>
      </c>
      <c r="D5686" t="inlineStr">
        <is>
          <t>GÄVLEBORGS LÄN</t>
        </is>
      </c>
      <c r="E5686" t="inlineStr">
        <is>
          <t>NORDANSTIG</t>
        </is>
      </c>
      <c r="F5686" t="inlineStr">
        <is>
          <t>Holmen skog AB</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52607-2022</t>
        </is>
      </c>
      <c r="B5687" s="1" t="n">
        <v>44874</v>
      </c>
      <c r="C5687" s="1" t="n">
        <v>45587</v>
      </c>
      <c r="D5687" t="inlineStr">
        <is>
          <t>GÄVLEBORGS LÄN</t>
        </is>
      </c>
      <c r="E5687" t="inlineStr">
        <is>
          <t>OVANÅKER</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52615-2022</t>
        </is>
      </c>
      <c r="B5688" s="1" t="n">
        <v>44874</v>
      </c>
      <c r="C5688" s="1" t="n">
        <v>45587</v>
      </c>
      <c r="D5688" t="inlineStr">
        <is>
          <t>GÄVLEBORGS LÄN</t>
        </is>
      </c>
      <c r="E5688" t="inlineStr">
        <is>
          <t>OVANÅKER</t>
        </is>
      </c>
      <c r="G5688" t="n">
        <v>4.6</v>
      </c>
      <c r="H5688" t="n">
        <v>0</v>
      </c>
      <c r="I5688" t="n">
        <v>0</v>
      </c>
      <c r="J5688" t="n">
        <v>0</v>
      </c>
      <c r="K5688" t="n">
        <v>0</v>
      </c>
      <c r="L5688" t="n">
        <v>0</v>
      </c>
      <c r="M5688" t="n">
        <v>0</v>
      </c>
      <c r="N5688" t="n">
        <v>0</v>
      </c>
      <c r="O5688" t="n">
        <v>0</v>
      </c>
      <c r="P5688" t="n">
        <v>0</v>
      </c>
      <c r="Q5688" t="n">
        <v>0</v>
      </c>
      <c r="R5688" s="2" t="inlineStr"/>
    </row>
    <row r="5689" ht="15" customHeight="1">
      <c r="A5689" t="inlineStr">
        <is>
          <t>A 52626-2022</t>
        </is>
      </c>
      <c r="B5689" s="1" t="n">
        <v>44874</v>
      </c>
      <c r="C5689" s="1" t="n">
        <v>45587</v>
      </c>
      <c r="D5689" t="inlineStr">
        <is>
          <t>GÄVLEBORGS LÄN</t>
        </is>
      </c>
      <c r="E5689" t="inlineStr">
        <is>
          <t>LJUSDAL</t>
        </is>
      </c>
      <c r="F5689" t="inlineStr">
        <is>
          <t>Kyrkan</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52637-2022</t>
        </is>
      </c>
      <c r="B5690" s="1" t="n">
        <v>44874</v>
      </c>
      <c r="C5690" s="1" t="n">
        <v>45587</v>
      </c>
      <c r="D5690" t="inlineStr">
        <is>
          <t>GÄVLEBORGS LÄN</t>
        </is>
      </c>
      <c r="E5690" t="inlineStr">
        <is>
          <t>OCKELBO</t>
        </is>
      </c>
      <c r="F5690" t="inlineStr">
        <is>
          <t>Bergvik skog väst AB</t>
        </is>
      </c>
      <c r="G5690" t="n">
        <v>6.9</v>
      </c>
      <c r="H5690" t="n">
        <v>0</v>
      </c>
      <c r="I5690" t="n">
        <v>0</v>
      </c>
      <c r="J5690" t="n">
        <v>0</v>
      </c>
      <c r="K5690" t="n">
        <v>0</v>
      </c>
      <c r="L5690" t="n">
        <v>0</v>
      </c>
      <c r="M5690" t="n">
        <v>0</v>
      </c>
      <c r="N5690" t="n">
        <v>0</v>
      </c>
      <c r="O5690" t="n">
        <v>0</v>
      </c>
      <c r="P5690" t="n">
        <v>0</v>
      </c>
      <c r="Q5690" t="n">
        <v>0</v>
      </c>
      <c r="R5690" s="2" t="inlineStr"/>
    </row>
    <row r="5691" ht="15" customHeight="1">
      <c r="A5691" t="inlineStr">
        <is>
          <t>A 52397-2022</t>
        </is>
      </c>
      <c r="B5691" s="1" t="n">
        <v>44874</v>
      </c>
      <c r="C5691" s="1" t="n">
        <v>45587</v>
      </c>
      <c r="D5691" t="inlineStr">
        <is>
          <t>GÄVLEBORGS LÄN</t>
        </is>
      </c>
      <c r="E5691" t="inlineStr">
        <is>
          <t>HUDIKSVALL</t>
        </is>
      </c>
      <c r="G5691" t="n">
        <v>7.1</v>
      </c>
      <c r="H5691" t="n">
        <v>0</v>
      </c>
      <c r="I5691" t="n">
        <v>0</v>
      </c>
      <c r="J5691" t="n">
        <v>0</v>
      </c>
      <c r="K5691" t="n">
        <v>0</v>
      </c>
      <c r="L5691" t="n">
        <v>0</v>
      </c>
      <c r="M5691" t="n">
        <v>0</v>
      </c>
      <c r="N5691" t="n">
        <v>0</v>
      </c>
      <c r="O5691" t="n">
        <v>0</v>
      </c>
      <c r="P5691" t="n">
        <v>0</v>
      </c>
      <c r="Q5691" t="n">
        <v>0</v>
      </c>
      <c r="R5691" s="2" t="inlineStr"/>
    </row>
    <row r="5692" ht="15" customHeight="1">
      <c r="A5692" t="inlineStr">
        <is>
          <t>A 52430-2022</t>
        </is>
      </c>
      <c r="B5692" s="1" t="n">
        <v>44874</v>
      </c>
      <c r="C5692" s="1" t="n">
        <v>45587</v>
      </c>
      <c r="D5692" t="inlineStr">
        <is>
          <t>GÄVLEBORGS LÄN</t>
        </is>
      </c>
      <c r="E5692" t="inlineStr">
        <is>
          <t>NORDANSTIG</t>
        </is>
      </c>
      <c r="F5692" t="inlineStr">
        <is>
          <t>Holmen skog AB</t>
        </is>
      </c>
      <c r="G5692" t="n">
        <v>7.4</v>
      </c>
      <c r="H5692" t="n">
        <v>0</v>
      </c>
      <c r="I5692" t="n">
        <v>0</v>
      </c>
      <c r="J5692" t="n">
        <v>0</v>
      </c>
      <c r="K5692" t="n">
        <v>0</v>
      </c>
      <c r="L5692" t="n">
        <v>0</v>
      </c>
      <c r="M5692" t="n">
        <v>0</v>
      </c>
      <c r="N5692" t="n">
        <v>0</v>
      </c>
      <c r="O5692" t="n">
        <v>0</v>
      </c>
      <c r="P5692" t="n">
        <v>0</v>
      </c>
      <c r="Q5692" t="n">
        <v>0</v>
      </c>
      <c r="R5692" s="2" t="inlineStr"/>
    </row>
    <row r="5693" ht="15" customHeight="1">
      <c r="A5693" t="inlineStr">
        <is>
          <t>A 52414-2022</t>
        </is>
      </c>
      <c r="B5693" s="1" t="n">
        <v>44874</v>
      </c>
      <c r="C5693" s="1" t="n">
        <v>45587</v>
      </c>
      <c r="D5693" t="inlineStr">
        <is>
          <t>GÄVLEBORGS LÄN</t>
        </is>
      </c>
      <c r="E5693" t="inlineStr">
        <is>
          <t>NORDANSTIG</t>
        </is>
      </c>
      <c r="F5693" t="inlineStr">
        <is>
          <t>Holmen skog AB</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52568-2022</t>
        </is>
      </c>
      <c r="B5694" s="1" t="n">
        <v>44874</v>
      </c>
      <c r="C5694" s="1" t="n">
        <v>45587</v>
      </c>
      <c r="D5694" t="inlineStr">
        <is>
          <t>GÄVLEBORGS LÄN</t>
        </is>
      </c>
      <c r="E5694" t="inlineStr">
        <is>
          <t>LJUSDAL</t>
        </is>
      </c>
      <c r="F5694" t="inlineStr">
        <is>
          <t>Kyrkan</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52608-2022</t>
        </is>
      </c>
      <c r="B5695" s="1" t="n">
        <v>44874</v>
      </c>
      <c r="C5695" s="1" t="n">
        <v>45587</v>
      </c>
      <c r="D5695" t="inlineStr">
        <is>
          <t>GÄVLEBORGS LÄN</t>
        </is>
      </c>
      <c r="E5695" t="inlineStr">
        <is>
          <t>NORDANSTIG</t>
        </is>
      </c>
      <c r="F5695" t="inlineStr">
        <is>
          <t>Holmen skog AB</t>
        </is>
      </c>
      <c r="G5695" t="n">
        <v>5.5</v>
      </c>
      <c r="H5695" t="n">
        <v>0</v>
      </c>
      <c r="I5695" t="n">
        <v>0</v>
      </c>
      <c r="J5695" t="n">
        <v>0</v>
      </c>
      <c r="K5695" t="n">
        <v>0</v>
      </c>
      <c r="L5695" t="n">
        <v>0</v>
      </c>
      <c r="M5695" t="n">
        <v>0</v>
      </c>
      <c r="N5695" t="n">
        <v>0</v>
      </c>
      <c r="O5695" t="n">
        <v>0</v>
      </c>
      <c r="P5695" t="n">
        <v>0</v>
      </c>
      <c r="Q5695" t="n">
        <v>0</v>
      </c>
      <c r="R5695" s="2" t="inlineStr"/>
    </row>
    <row r="5696" ht="15" customHeight="1">
      <c r="A5696" t="inlineStr">
        <is>
          <t>A 52628-2022</t>
        </is>
      </c>
      <c r="B5696" s="1" t="n">
        <v>44874</v>
      </c>
      <c r="C5696" s="1" t="n">
        <v>45587</v>
      </c>
      <c r="D5696" t="inlineStr">
        <is>
          <t>GÄVLEBORGS LÄN</t>
        </is>
      </c>
      <c r="E5696" t="inlineStr">
        <is>
          <t>SANDVIKEN</t>
        </is>
      </c>
      <c r="F5696" t="inlineStr">
        <is>
          <t>Sveaskog</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52746-2022</t>
        </is>
      </c>
      <c r="B5697" s="1" t="n">
        <v>44874</v>
      </c>
      <c r="C5697" s="1" t="n">
        <v>45587</v>
      </c>
      <c r="D5697" t="inlineStr">
        <is>
          <t>GÄVLEBORGS LÄN</t>
        </is>
      </c>
      <c r="E5697" t="inlineStr">
        <is>
          <t>NORDANSTIG</t>
        </is>
      </c>
      <c r="F5697" t="inlineStr">
        <is>
          <t>SCA</t>
        </is>
      </c>
      <c r="G5697" t="n">
        <v>7.1</v>
      </c>
      <c r="H5697" t="n">
        <v>0</v>
      </c>
      <c r="I5697" t="n">
        <v>0</v>
      </c>
      <c r="J5697" t="n">
        <v>0</v>
      </c>
      <c r="K5697" t="n">
        <v>0</v>
      </c>
      <c r="L5697" t="n">
        <v>0</v>
      </c>
      <c r="M5697" t="n">
        <v>0</v>
      </c>
      <c r="N5697" t="n">
        <v>0</v>
      </c>
      <c r="O5697" t="n">
        <v>0</v>
      </c>
      <c r="P5697" t="n">
        <v>0</v>
      </c>
      <c r="Q5697" t="n">
        <v>0</v>
      </c>
      <c r="R5697" s="2" t="inlineStr"/>
    </row>
    <row r="5698" ht="15" customHeight="1">
      <c r="A5698" t="inlineStr">
        <is>
          <t>A 53495-2022</t>
        </is>
      </c>
      <c r="B5698" s="1" t="n">
        <v>44874</v>
      </c>
      <c r="C5698" s="1" t="n">
        <v>45587</v>
      </c>
      <c r="D5698" t="inlineStr">
        <is>
          <t>GÄVLEBORGS LÄN</t>
        </is>
      </c>
      <c r="E5698" t="inlineStr">
        <is>
          <t>SANDVIKEN</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52756-2022</t>
        </is>
      </c>
      <c r="B5699" s="1" t="n">
        <v>44875</v>
      </c>
      <c r="C5699" s="1" t="n">
        <v>45587</v>
      </c>
      <c r="D5699" t="inlineStr">
        <is>
          <t>GÄVLEBORGS LÄN</t>
        </is>
      </c>
      <c r="E5699" t="inlineStr">
        <is>
          <t>BOLLNÄS</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52872-2022</t>
        </is>
      </c>
      <c r="B5700" s="1" t="n">
        <v>44875</v>
      </c>
      <c r="C5700" s="1" t="n">
        <v>45587</v>
      </c>
      <c r="D5700" t="inlineStr">
        <is>
          <t>GÄVLEBORGS LÄN</t>
        </is>
      </c>
      <c r="E5700" t="inlineStr">
        <is>
          <t>OCKELBO</t>
        </is>
      </c>
      <c r="G5700" t="n">
        <v>3.8</v>
      </c>
      <c r="H5700" t="n">
        <v>0</v>
      </c>
      <c r="I5700" t="n">
        <v>0</v>
      </c>
      <c r="J5700" t="n">
        <v>0</v>
      </c>
      <c r="K5700" t="n">
        <v>0</v>
      </c>
      <c r="L5700" t="n">
        <v>0</v>
      </c>
      <c r="M5700" t="n">
        <v>0</v>
      </c>
      <c r="N5700" t="n">
        <v>0</v>
      </c>
      <c r="O5700" t="n">
        <v>0</v>
      </c>
      <c r="P5700" t="n">
        <v>0</v>
      </c>
      <c r="Q5700" t="n">
        <v>0</v>
      </c>
      <c r="R5700" s="2" t="inlineStr"/>
    </row>
    <row r="5701" ht="15" customHeight="1">
      <c r="A5701" t="inlineStr">
        <is>
          <t>A 52932-2022</t>
        </is>
      </c>
      <c r="B5701" s="1" t="n">
        <v>44875</v>
      </c>
      <c r="C5701" s="1" t="n">
        <v>45587</v>
      </c>
      <c r="D5701" t="inlineStr">
        <is>
          <t>GÄVLEBORGS LÄN</t>
        </is>
      </c>
      <c r="E5701" t="inlineStr">
        <is>
          <t>SANDVIKEN</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52765-2022</t>
        </is>
      </c>
      <c r="B5702" s="1" t="n">
        <v>44875</v>
      </c>
      <c r="C5702" s="1" t="n">
        <v>45587</v>
      </c>
      <c r="D5702" t="inlineStr">
        <is>
          <t>GÄVLEBORGS LÄN</t>
        </is>
      </c>
      <c r="E5702" t="inlineStr">
        <is>
          <t>SANDVIKEN</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52774-2022</t>
        </is>
      </c>
      <c r="B5703" s="1" t="n">
        <v>44875</v>
      </c>
      <c r="C5703" s="1" t="n">
        <v>45587</v>
      </c>
      <c r="D5703" t="inlineStr">
        <is>
          <t>GÄVLEBORGS LÄN</t>
        </is>
      </c>
      <c r="E5703" t="inlineStr">
        <is>
          <t>BOLLNÄS</t>
        </is>
      </c>
      <c r="F5703" t="inlineStr">
        <is>
          <t>Bergvik skog väst AB</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52824-2022</t>
        </is>
      </c>
      <c r="B5704" s="1" t="n">
        <v>44875</v>
      </c>
      <c r="C5704" s="1" t="n">
        <v>45587</v>
      </c>
      <c r="D5704" t="inlineStr">
        <is>
          <t>GÄVLEBORGS LÄN</t>
        </is>
      </c>
      <c r="E5704" t="inlineStr">
        <is>
          <t>LJUSDAL</t>
        </is>
      </c>
      <c r="F5704" t="inlineStr">
        <is>
          <t>Bergvik skog väst AB</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52850-2022</t>
        </is>
      </c>
      <c r="B5705" s="1" t="n">
        <v>44875</v>
      </c>
      <c r="C5705" s="1" t="n">
        <v>45587</v>
      </c>
      <c r="D5705" t="inlineStr">
        <is>
          <t>GÄVLEBORGS LÄN</t>
        </is>
      </c>
      <c r="E5705" t="inlineStr">
        <is>
          <t>BOLLNÄS</t>
        </is>
      </c>
      <c r="F5705" t="inlineStr">
        <is>
          <t>Bergvik skog väst AB</t>
        </is>
      </c>
      <c r="G5705" t="n">
        <v>5.8</v>
      </c>
      <c r="H5705" t="n">
        <v>0</v>
      </c>
      <c r="I5705" t="n">
        <v>0</v>
      </c>
      <c r="J5705" t="n">
        <v>0</v>
      </c>
      <c r="K5705" t="n">
        <v>0</v>
      </c>
      <c r="L5705" t="n">
        <v>0</v>
      </c>
      <c r="M5705" t="n">
        <v>0</v>
      </c>
      <c r="N5705" t="n">
        <v>0</v>
      </c>
      <c r="O5705" t="n">
        <v>0</v>
      </c>
      <c r="P5705" t="n">
        <v>0</v>
      </c>
      <c r="Q5705" t="n">
        <v>0</v>
      </c>
      <c r="R5705" s="2" t="inlineStr"/>
    </row>
    <row r="5706" ht="15" customHeight="1">
      <c r="A5706" t="inlineStr">
        <is>
          <t>A 52868-2022</t>
        </is>
      </c>
      <c r="B5706" s="1" t="n">
        <v>44875</v>
      </c>
      <c r="C5706" s="1" t="n">
        <v>45587</v>
      </c>
      <c r="D5706" t="inlineStr">
        <is>
          <t>GÄVLEBORGS LÄN</t>
        </is>
      </c>
      <c r="E5706" t="inlineStr">
        <is>
          <t>OCKELBO</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52907-2022</t>
        </is>
      </c>
      <c r="B5707" s="1" t="n">
        <v>44875</v>
      </c>
      <c r="C5707" s="1" t="n">
        <v>45587</v>
      </c>
      <c r="D5707" t="inlineStr">
        <is>
          <t>GÄVLEBORGS LÄN</t>
        </is>
      </c>
      <c r="E5707" t="inlineStr">
        <is>
          <t>BOLLNÄS</t>
        </is>
      </c>
      <c r="F5707" t="inlineStr">
        <is>
          <t>Bergvik skog väst AB</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52763-2022</t>
        </is>
      </c>
      <c r="B5708" s="1" t="n">
        <v>44875</v>
      </c>
      <c r="C5708" s="1" t="n">
        <v>45587</v>
      </c>
      <c r="D5708" t="inlineStr">
        <is>
          <t>GÄVLEBORGS LÄN</t>
        </is>
      </c>
      <c r="E5708" t="inlineStr">
        <is>
          <t>SANDVIKEN</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52787-2022</t>
        </is>
      </c>
      <c r="B5709" s="1" t="n">
        <v>44875</v>
      </c>
      <c r="C5709" s="1" t="n">
        <v>45587</v>
      </c>
      <c r="D5709" t="inlineStr">
        <is>
          <t>GÄVLEBORGS LÄN</t>
        </is>
      </c>
      <c r="E5709" t="inlineStr">
        <is>
          <t>BOLLNÄS</t>
        </is>
      </c>
      <c r="F5709" t="inlineStr">
        <is>
          <t>Kyrkan</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52842-2022</t>
        </is>
      </c>
      <c r="B5710" s="1" t="n">
        <v>44875</v>
      </c>
      <c r="C5710" s="1" t="n">
        <v>45587</v>
      </c>
      <c r="D5710" t="inlineStr">
        <is>
          <t>GÄVLEBORGS LÄN</t>
        </is>
      </c>
      <c r="E5710" t="inlineStr">
        <is>
          <t>LJUSDAL</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52947-2022</t>
        </is>
      </c>
      <c r="B5711" s="1" t="n">
        <v>44875</v>
      </c>
      <c r="C5711" s="1" t="n">
        <v>45587</v>
      </c>
      <c r="D5711" t="inlineStr">
        <is>
          <t>GÄVLEBORGS LÄN</t>
        </is>
      </c>
      <c r="E5711" t="inlineStr">
        <is>
          <t>HUDIKSVALL</t>
        </is>
      </c>
      <c r="F5711" t="inlineStr">
        <is>
          <t>Holmen skog AB</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52966-2022</t>
        </is>
      </c>
      <c r="B5712" s="1" t="n">
        <v>44875</v>
      </c>
      <c r="C5712" s="1" t="n">
        <v>45587</v>
      </c>
      <c r="D5712" t="inlineStr">
        <is>
          <t>GÄVLEBORGS LÄN</t>
        </is>
      </c>
      <c r="E5712" t="inlineStr">
        <is>
          <t>HUDIKSVALL</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53082-2022</t>
        </is>
      </c>
      <c r="B5713" s="1" t="n">
        <v>44876</v>
      </c>
      <c r="C5713" s="1" t="n">
        <v>45587</v>
      </c>
      <c r="D5713" t="inlineStr">
        <is>
          <t>GÄVLEBORGS LÄN</t>
        </is>
      </c>
      <c r="E5713" t="inlineStr">
        <is>
          <t>GÄVLE</t>
        </is>
      </c>
      <c r="G5713" t="n">
        <v>4.1</v>
      </c>
      <c r="H5713" t="n">
        <v>0</v>
      </c>
      <c r="I5713" t="n">
        <v>0</v>
      </c>
      <c r="J5713" t="n">
        <v>0</v>
      </c>
      <c r="K5713" t="n">
        <v>0</v>
      </c>
      <c r="L5713" t="n">
        <v>0</v>
      </c>
      <c r="M5713" t="n">
        <v>0</v>
      </c>
      <c r="N5713" t="n">
        <v>0</v>
      </c>
      <c r="O5713" t="n">
        <v>0</v>
      </c>
      <c r="P5713" t="n">
        <v>0</v>
      </c>
      <c r="Q5713" t="n">
        <v>0</v>
      </c>
      <c r="R5713" s="2" t="inlineStr"/>
    </row>
    <row r="5714" ht="15" customHeight="1">
      <c r="A5714" t="inlineStr">
        <is>
          <t>A 53159-2022</t>
        </is>
      </c>
      <c r="B5714" s="1" t="n">
        <v>44876</v>
      </c>
      <c r="C5714" s="1" t="n">
        <v>45587</v>
      </c>
      <c r="D5714" t="inlineStr">
        <is>
          <t>GÄVLEBORGS LÄN</t>
        </is>
      </c>
      <c r="E5714" t="inlineStr">
        <is>
          <t>LJUSDAL</t>
        </is>
      </c>
      <c r="F5714" t="inlineStr">
        <is>
          <t>Kyrkan</t>
        </is>
      </c>
      <c r="G5714" t="n">
        <v>26.3</v>
      </c>
      <c r="H5714" t="n">
        <v>0</v>
      </c>
      <c r="I5714" t="n">
        <v>0</v>
      </c>
      <c r="J5714" t="n">
        <v>0</v>
      </c>
      <c r="K5714" t="n">
        <v>0</v>
      </c>
      <c r="L5714" t="n">
        <v>0</v>
      </c>
      <c r="M5714" t="n">
        <v>0</v>
      </c>
      <c r="N5714" t="n">
        <v>0</v>
      </c>
      <c r="O5714" t="n">
        <v>0</v>
      </c>
      <c r="P5714" t="n">
        <v>0</v>
      </c>
      <c r="Q5714" t="n">
        <v>0</v>
      </c>
      <c r="R5714" s="2" t="inlineStr"/>
    </row>
    <row r="5715" ht="15" customHeight="1">
      <c r="A5715" t="inlineStr">
        <is>
          <t>A 53046-2022</t>
        </is>
      </c>
      <c r="B5715" s="1" t="n">
        <v>44876</v>
      </c>
      <c r="C5715" s="1" t="n">
        <v>45587</v>
      </c>
      <c r="D5715" t="inlineStr">
        <is>
          <t>GÄVLEBORGS LÄN</t>
        </is>
      </c>
      <c r="E5715" t="inlineStr">
        <is>
          <t>BOLLNÄS</t>
        </is>
      </c>
      <c r="F5715" t="inlineStr">
        <is>
          <t>Bergvik skog väst AB</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53079-2022</t>
        </is>
      </c>
      <c r="B5716" s="1" t="n">
        <v>44876</v>
      </c>
      <c r="C5716" s="1" t="n">
        <v>45587</v>
      </c>
      <c r="D5716" t="inlineStr">
        <is>
          <t>GÄVLEBORGS LÄN</t>
        </is>
      </c>
      <c r="E5716" t="inlineStr">
        <is>
          <t>NORDANSTIG</t>
        </is>
      </c>
      <c r="F5716" t="inlineStr">
        <is>
          <t>Holmen skog AB</t>
        </is>
      </c>
      <c r="G5716" t="n">
        <v>7.2</v>
      </c>
      <c r="H5716" t="n">
        <v>0</v>
      </c>
      <c r="I5716" t="n">
        <v>0</v>
      </c>
      <c r="J5716" t="n">
        <v>0</v>
      </c>
      <c r="K5716" t="n">
        <v>0</v>
      </c>
      <c r="L5716" t="n">
        <v>0</v>
      </c>
      <c r="M5716" t="n">
        <v>0</v>
      </c>
      <c r="N5716" t="n">
        <v>0</v>
      </c>
      <c r="O5716" t="n">
        <v>0</v>
      </c>
      <c r="P5716" t="n">
        <v>0</v>
      </c>
      <c r="Q5716" t="n">
        <v>0</v>
      </c>
      <c r="R5716" s="2" t="inlineStr"/>
    </row>
    <row r="5717" ht="15" customHeight="1">
      <c r="A5717" t="inlineStr">
        <is>
          <t>A 53049-2022</t>
        </is>
      </c>
      <c r="B5717" s="1" t="n">
        <v>44876</v>
      </c>
      <c r="C5717" s="1" t="n">
        <v>45587</v>
      </c>
      <c r="D5717" t="inlineStr">
        <is>
          <t>GÄVLEBORGS LÄN</t>
        </is>
      </c>
      <c r="E5717" t="inlineStr">
        <is>
          <t>GÄVLE</t>
        </is>
      </c>
      <c r="F5717" t="inlineStr">
        <is>
          <t>Kommuner</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53069-2022</t>
        </is>
      </c>
      <c r="B5718" s="1" t="n">
        <v>44876</v>
      </c>
      <c r="C5718" s="1" t="n">
        <v>45587</v>
      </c>
      <c r="D5718" t="inlineStr">
        <is>
          <t>GÄVLEBORGS LÄN</t>
        </is>
      </c>
      <c r="E5718" t="inlineStr">
        <is>
          <t>BOLLNÄS</t>
        </is>
      </c>
      <c r="F5718" t="inlineStr">
        <is>
          <t>Bergvik skog väst AB</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53213-2022</t>
        </is>
      </c>
      <c r="B5719" s="1" t="n">
        <v>44876</v>
      </c>
      <c r="C5719" s="1" t="n">
        <v>45587</v>
      </c>
      <c r="D5719" t="inlineStr">
        <is>
          <t>GÄVLEBORGS LÄN</t>
        </is>
      </c>
      <c r="E5719" t="inlineStr">
        <is>
          <t>OVANÅKER</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53211-2022</t>
        </is>
      </c>
      <c r="B5720" s="1" t="n">
        <v>44876</v>
      </c>
      <c r="C5720" s="1" t="n">
        <v>45587</v>
      </c>
      <c r="D5720" t="inlineStr">
        <is>
          <t>GÄVLEBORGS LÄN</t>
        </is>
      </c>
      <c r="E5720" t="inlineStr">
        <is>
          <t>BOLLNÄS</t>
        </is>
      </c>
      <c r="F5720" t="inlineStr">
        <is>
          <t>Bergvik skog väst AB</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53174-2022</t>
        </is>
      </c>
      <c r="B5721" s="1" t="n">
        <v>44876</v>
      </c>
      <c r="C5721" s="1" t="n">
        <v>45587</v>
      </c>
      <c r="D5721" t="inlineStr">
        <is>
          <t>GÄVLEBORGS LÄN</t>
        </is>
      </c>
      <c r="E5721" t="inlineStr">
        <is>
          <t>OVANÅKER</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53258-2022</t>
        </is>
      </c>
      <c r="B5722" s="1" t="n">
        <v>44876</v>
      </c>
      <c r="C5722" s="1" t="n">
        <v>45587</v>
      </c>
      <c r="D5722" t="inlineStr">
        <is>
          <t>GÄVLEBORGS LÄN</t>
        </is>
      </c>
      <c r="E5722" t="inlineStr">
        <is>
          <t>SANDVIKEN</t>
        </is>
      </c>
      <c r="F5722" t="inlineStr">
        <is>
          <t>Sveaskog</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53183-2022</t>
        </is>
      </c>
      <c r="B5723" s="1" t="n">
        <v>44876</v>
      </c>
      <c r="C5723" s="1" t="n">
        <v>45587</v>
      </c>
      <c r="D5723" t="inlineStr">
        <is>
          <t>GÄVLEBORGS LÄN</t>
        </is>
      </c>
      <c r="E5723" t="inlineStr">
        <is>
          <t>BOLLNÄS</t>
        </is>
      </c>
      <c r="F5723" t="inlineStr">
        <is>
          <t>Bergvik skog väst AB</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53317-2022</t>
        </is>
      </c>
      <c r="B5724" s="1" t="n">
        <v>44878</v>
      </c>
      <c r="C5724" s="1" t="n">
        <v>45587</v>
      </c>
      <c r="D5724" t="inlineStr">
        <is>
          <t>GÄVLEBORGS LÄN</t>
        </is>
      </c>
      <c r="E5724" t="inlineStr">
        <is>
          <t>BOLLNÄS</t>
        </is>
      </c>
      <c r="F5724" t="inlineStr">
        <is>
          <t>Bergvik skog väst AB</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53445-2022</t>
        </is>
      </c>
      <c r="B5725" s="1" t="n">
        <v>44879</v>
      </c>
      <c r="C5725" s="1" t="n">
        <v>45587</v>
      </c>
      <c r="D5725" t="inlineStr">
        <is>
          <t>GÄVLEBORGS LÄN</t>
        </is>
      </c>
      <c r="E5725" t="inlineStr">
        <is>
          <t>OVANÅKER</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53516-2022</t>
        </is>
      </c>
      <c r="B5726" s="1" t="n">
        <v>44879</v>
      </c>
      <c r="C5726" s="1" t="n">
        <v>45587</v>
      </c>
      <c r="D5726" t="inlineStr">
        <is>
          <t>GÄVLEBORGS LÄN</t>
        </is>
      </c>
      <c r="E5726" t="inlineStr">
        <is>
          <t>BOLLNÄS</t>
        </is>
      </c>
      <c r="F5726" t="inlineStr">
        <is>
          <t>Bergvik skog väst AB</t>
        </is>
      </c>
      <c r="G5726" t="n">
        <v>4.3</v>
      </c>
      <c r="H5726" t="n">
        <v>0</v>
      </c>
      <c r="I5726" t="n">
        <v>0</v>
      </c>
      <c r="J5726" t="n">
        <v>0</v>
      </c>
      <c r="K5726" t="n">
        <v>0</v>
      </c>
      <c r="L5726" t="n">
        <v>0</v>
      </c>
      <c r="M5726" t="n">
        <v>0</v>
      </c>
      <c r="N5726" t="n">
        <v>0</v>
      </c>
      <c r="O5726" t="n">
        <v>0</v>
      </c>
      <c r="P5726" t="n">
        <v>0</v>
      </c>
      <c r="Q5726" t="n">
        <v>0</v>
      </c>
      <c r="R5726" s="2" t="inlineStr"/>
    </row>
    <row r="5727" ht="15" customHeight="1">
      <c r="A5727" t="inlineStr">
        <is>
          <t>A 53562-2022</t>
        </is>
      </c>
      <c r="B5727" s="1" t="n">
        <v>44879</v>
      </c>
      <c r="C5727" s="1" t="n">
        <v>45587</v>
      </c>
      <c r="D5727" t="inlineStr">
        <is>
          <t>GÄVLEBORGS LÄN</t>
        </is>
      </c>
      <c r="E5727" t="inlineStr">
        <is>
          <t>BOLLNÄS</t>
        </is>
      </c>
      <c r="F5727" t="inlineStr">
        <is>
          <t>Bergvik skog väst AB</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53566-2022</t>
        </is>
      </c>
      <c r="B5728" s="1" t="n">
        <v>44879</v>
      </c>
      <c r="C5728" s="1" t="n">
        <v>45587</v>
      </c>
      <c r="D5728" t="inlineStr">
        <is>
          <t>GÄVLEBORGS LÄN</t>
        </is>
      </c>
      <c r="E5728" t="inlineStr">
        <is>
          <t>BOLLNÄS</t>
        </is>
      </c>
      <c r="F5728" t="inlineStr">
        <is>
          <t>Holmen skog AB</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53339-2022</t>
        </is>
      </c>
      <c r="B5729" s="1" t="n">
        <v>44879</v>
      </c>
      <c r="C5729" s="1" t="n">
        <v>45587</v>
      </c>
      <c r="D5729" t="inlineStr">
        <is>
          <t>GÄVLEBORGS LÄN</t>
        </is>
      </c>
      <c r="E5729" t="inlineStr">
        <is>
          <t>HUDIKSVALL</t>
        </is>
      </c>
      <c r="F5729" t="inlineStr">
        <is>
          <t>Holmen skog AB</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53393-2022</t>
        </is>
      </c>
      <c r="B5730" s="1" t="n">
        <v>44879</v>
      </c>
      <c r="C5730" s="1" t="n">
        <v>45587</v>
      </c>
      <c r="D5730" t="inlineStr">
        <is>
          <t>GÄVLEBORGS LÄN</t>
        </is>
      </c>
      <c r="E5730" t="inlineStr">
        <is>
          <t>OCKELBO</t>
        </is>
      </c>
      <c r="G5730" t="n">
        <v>4.2</v>
      </c>
      <c r="H5730" t="n">
        <v>0</v>
      </c>
      <c r="I5730" t="n">
        <v>0</v>
      </c>
      <c r="J5730" t="n">
        <v>0</v>
      </c>
      <c r="K5730" t="n">
        <v>0</v>
      </c>
      <c r="L5730" t="n">
        <v>0</v>
      </c>
      <c r="M5730" t="n">
        <v>0</v>
      </c>
      <c r="N5730" t="n">
        <v>0</v>
      </c>
      <c r="O5730" t="n">
        <v>0</v>
      </c>
      <c r="P5730" t="n">
        <v>0</v>
      </c>
      <c r="Q5730" t="n">
        <v>0</v>
      </c>
      <c r="R5730" s="2" t="inlineStr"/>
    </row>
    <row r="5731" ht="15" customHeight="1">
      <c r="A5731" t="inlineStr">
        <is>
          <t>A 53337-2022</t>
        </is>
      </c>
      <c r="B5731" s="1" t="n">
        <v>44879</v>
      </c>
      <c r="C5731" s="1" t="n">
        <v>45587</v>
      </c>
      <c r="D5731" t="inlineStr">
        <is>
          <t>GÄVLEBORGS LÄN</t>
        </is>
      </c>
      <c r="E5731" t="inlineStr">
        <is>
          <t>BOLLNÄS</t>
        </is>
      </c>
      <c r="F5731" t="inlineStr">
        <is>
          <t>Bergvik skog väst AB</t>
        </is>
      </c>
      <c r="G5731" t="n">
        <v>4.3</v>
      </c>
      <c r="H5731" t="n">
        <v>0</v>
      </c>
      <c r="I5731" t="n">
        <v>0</v>
      </c>
      <c r="J5731" t="n">
        <v>0</v>
      </c>
      <c r="K5731" t="n">
        <v>0</v>
      </c>
      <c r="L5731" t="n">
        <v>0</v>
      </c>
      <c r="M5731" t="n">
        <v>0</v>
      </c>
      <c r="N5731" t="n">
        <v>0</v>
      </c>
      <c r="O5731" t="n">
        <v>0</v>
      </c>
      <c r="P5731" t="n">
        <v>0</v>
      </c>
      <c r="Q5731" t="n">
        <v>0</v>
      </c>
      <c r="R5731" s="2" t="inlineStr"/>
    </row>
    <row r="5732" ht="15" customHeight="1">
      <c r="A5732" t="inlineStr">
        <is>
          <t>A 53343-2022</t>
        </is>
      </c>
      <c r="B5732" s="1" t="n">
        <v>44879</v>
      </c>
      <c r="C5732" s="1" t="n">
        <v>45587</v>
      </c>
      <c r="D5732" t="inlineStr">
        <is>
          <t>GÄVLEBORGS LÄN</t>
        </is>
      </c>
      <c r="E5732" t="inlineStr">
        <is>
          <t>OVANÅKER</t>
        </is>
      </c>
      <c r="F5732" t="inlineStr">
        <is>
          <t>Holmen skog AB</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53342-2022</t>
        </is>
      </c>
      <c r="B5733" s="1" t="n">
        <v>44879</v>
      </c>
      <c r="C5733" s="1" t="n">
        <v>45587</v>
      </c>
      <c r="D5733" t="inlineStr">
        <is>
          <t>GÄVLEBORGS LÄN</t>
        </is>
      </c>
      <c r="E5733" t="inlineStr">
        <is>
          <t>BOLLNÄS</t>
        </is>
      </c>
      <c r="F5733" t="inlineStr">
        <is>
          <t>Bergvik skog väst AB</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53487-2022</t>
        </is>
      </c>
      <c r="B5734" s="1" t="n">
        <v>44879</v>
      </c>
      <c r="C5734" s="1" t="n">
        <v>45587</v>
      </c>
      <c r="D5734" t="inlineStr">
        <is>
          <t>GÄVLEBORGS LÄN</t>
        </is>
      </c>
      <c r="E5734" t="inlineStr">
        <is>
          <t>LJUSDAL</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53511-2022</t>
        </is>
      </c>
      <c r="B5735" s="1" t="n">
        <v>44879</v>
      </c>
      <c r="C5735" s="1" t="n">
        <v>45587</v>
      </c>
      <c r="D5735" t="inlineStr">
        <is>
          <t>GÄVLEBORGS LÄN</t>
        </is>
      </c>
      <c r="E5735" t="inlineStr">
        <is>
          <t>BOLLNÄS</t>
        </is>
      </c>
      <c r="F5735" t="inlineStr">
        <is>
          <t>Bergvik skog väst AB</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53438-2022</t>
        </is>
      </c>
      <c r="B5736" s="1" t="n">
        <v>44879</v>
      </c>
      <c r="C5736" s="1" t="n">
        <v>45587</v>
      </c>
      <c r="D5736" t="inlineStr">
        <is>
          <t>GÄVLEBORGS LÄN</t>
        </is>
      </c>
      <c r="E5736" t="inlineStr">
        <is>
          <t>HUDIKSVALL</t>
        </is>
      </c>
      <c r="F5736" t="inlineStr">
        <is>
          <t>Holmen skog AB</t>
        </is>
      </c>
      <c r="G5736" t="n">
        <v>8.4</v>
      </c>
      <c r="H5736" t="n">
        <v>0</v>
      </c>
      <c r="I5736" t="n">
        <v>0</v>
      </c>
      <c r="J5736" t="n">
        <v>0</v>
      </c>
      <c r="K5736" t="n">
        <v>0</v>
      </c>
      <c r="L5736" t="n">
        <v>0</v>
      </c>
      <c r="M5736" t="n">
        <v>0</v>
      </c>
      <c r="N5736" t="n">
        <v>0</v>
      </c>
      <c r="O5736" t="n">
        <v>0</v>
      </c>
      <c r="P5736" t="n">
        <v>0</v>
      </c>
      <c r="Q5736" t="n">
        <v>0</v>
      </c>
      <c r="R5736" s="2" t="inlineStr"/>
    </row>
    <row r="5737" ht="15" customHeight="1">
      <c r="A5737" t="inlineStr">
        <is>
          <t>A 53448-2022</t>
        </is>
      </c>
      <c r="B5737" s="1" t="n">
        <v>44879</v>
      </c>
      <c r="C5737" s="1" t="n">
        <v>45587</v>
      </c>
      <c r="D5737" t="inlineStr">
        <is>
          <t>GÄVLEBORGS LÄN</t>
        </is>
      </c>
      <c r="E5737" t="inlineStr">
        <is>
          <t>BOLLNÄS</t>
        </is>
      </c>
      <c r="F5737" t="inlineStr">
        <is>
          <t>Bergvik skog väst AB</t>
        </is>
      </c>
      <c r="G5737" t="n">
        <v>11.3</v>
      </c>
      <c r="H5737" t="n">
        <v>0</v>
      </c>
      <c r="I5737" t="n">
        <v>0</v>
      </c>
      <c r="J5737" t="n">
        <v>0</v>
      </c>
      <c r="K5737" t="n">
        <v>0</v>
      </c>
      <c r="L5737" t="n">
        <v>0</v>
      </c>
      <c r="M5737" t="n">
        <v>0</v>
      </c>
      <c r="N5737" t="n">
        <v>0</v>
      </c>
      <c r="O5737" t="n">
        <v>0</v>
      </c>
      <c r="P5737" t="n">
        <v>0</v>
      </c>
      <c r="Q5737" t="n">
        <v>0</v>
      </c>
      <c r="R5737" s="2" t="inlineStr"/>
    </row>
    <row r="5738" ht="15" customHeight="1">
      <c r="A5738" t="inlineStr">
        <is>
          <t>A 53532-2022</t>
        </is>
      </c>
      <c r="B5738" s="1" t="n">
        <v>44879</v>
      </c>
      <c r="C5738" s="1" t="n">
        <v>45587</v>
      </c>
      <c r="D5738" t="inlineStr">
        <is>
          <t>GÄVLEBORGS LÄN</t>
        </is>
      </c>
      <c r="E5738" t="inlineStr">
        <is>
          <t>OCKELBO</t>
        </is>
      </c>
      <c r="F5738" t="inlineStr">
        <is>
          <t>Bergvik skog väst AB</t>
        </is>
      </c>
      <c r="G5738" t="n">
        <v>6.4</v>
      </c>
      <c r="H5738" t="n">
        <v>0</v>
      </c>
      <c r="I5738" t="n">
        <v>0</v>
      </c>
      <c r="J5738" t="n">
        <v>0</v>
      </c>
      <c r="K5738" t="n">
        <v>0</v>
      </c>
      <c r="L5738" t="n">
        <v>0</v>
      </c>
      <c r="M5738" t="n">
        <v>0</v>
      </c>
      <c r="N5738" t="n">
        <v>0</v>
      </c>
      <c r="O5738" t="n">
        <v>0</v>
      </c>
      <c r="P5738" t="n">
        <v>0</v>
      </c>
      <c r="Q5738" t="n">
        <v>0</v>
      </c>
      <c r="R5738" s="2" t="inlineStr"/>
    </row>
    <row r="5739" ht="15" customHeight="1">
      <c r="A5739" t="inlineStr">
        <is>
          <t>A 53558-2022</t>
        </is>
      </c>
      <c r="B5739" s="1" t="n">
        <v>44879</v>
      </c>
      <c r="C5739" s="1" t="n">
        <v>45587</v>
      </c>
      <c r="D5739" t="inlineStr">
        <is>
          <t>GÄVLEBORGS LÄN</t>
        </is>
      </c>
      <c r="E5739" t="inlineStr">
        <is>
          <t>BOLLNÄS</t>
        </is>
      </c>
      <c r="F5739" t="inlineStr">
        <is>
          <t>Holmen skog AB</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53611-2022</t>
        </is>
      </c>
      <c r="B5740" s="1" t="n">
        <v>44879</v>
      </c>
      <c r="C5740" s="1" t="n">
        <v>45587</v>
      </c>
      <c r="D5740" t="inlineStr">
        <is>
          <t>GÄVLEBORGS LÄN</t>
        </is>
      </c>
      <c r="E5740" t="inlineStr">
        <is>
          <t>BOLLNÄS</t>
        </is>
      </c>
      <c r="F5740" t="inlineStr">
        <is>
          <t>Bergvik skog väst AB</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53613-2022</t>
        </is>
      </c>
      <c r="B5741" s="1" t="n">
        <v>44879</v>
      </c>
      <c r="C5741" s="1" t="n">
        <v>45587</v>
      </c>
      <c r="D5741" t="inlineStr">
        <is>
          <t>GÄVLEBORGS LÄN</t>
        </is>
      </c>
      <c r="E5741" t="inlineStr">
        <is>
          <t>BOLLNÄS</t>
        </is>
      </c>
      <c r="F5741" t="inlineStr">
        <is>
          <t>Bergvik skog väst AB</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53618-2022</t>
        </is>
      </c>
      <c r="B5742" s="1" t="n">
        <v>44879</v>
      </c>
      <c r="C5742" s="1" t="n">
        <v>45587</v>
      </c>
      <c r="D5742" t="inlineStr">
        <is>
          <t>GÄVLEBORGS LÄN</t>
        </is>
      </c>
      <c r="E5742" t="inlineStr">
        <is>
          <t>BOLLNÄS</t>
        </is>
      </c>
      <c r="F5742" t="inlineStr">
        <is>
          <t>Bergvik skog väst AB</t>
        </is>
      </c>
      <c r="G5742" t="n">
        <v>7.1</v>
      </c>
      <c r="H5742" t="n">
        <v>0</v>
      </c>
      <c r="I5742" t="n">
        <v>0</v>
      </c>
      <c r="J5742" t="n">
        <v>0</v>
      </c>
      <c r="K5742" t="n">
        <v>0</v>
      </c>
      <c r="L5742" t="n">
        <v>0</v>
      </c>
      <c r="M5742" t="n">
        <v>0</v>
      </c>
      <c r="N5742" t="n">
        <v>0</v>
      </c>
      <c r="O5742" t="n">
        <v>0</v>
      </c>
      <c r="P5742" t="n">
        <v>0</v>
      </c>
      <c r="Q5742" t="n">
        <v>0</v>
      </c>
      <c r="R5742" s="2" t="inlineStr"/>
    </row>
    <row r="5743" ht="15" customHeight="1">
      <c r="A5743" t="inlineStr">
        <is>
          <t>A 53673-2022</t>
        </is>
      </c>
      <c r="B5743" s="1" t="n">
        <v>44879</v>
      </c>
      <c r="C5743" s="1" t="n">
        <v>45587</v>
      </c>
      <c r="D5743" t="inlineStr">
        <is>
          <t>GÄVLEBORGS LÄN</t>
        </is>
      </c>
      <c r="E5743" t="inlineStr">
        <is>
          <t>NORDANSTIG</t>
        </is>
      </c>
      <c r="F5743" t="inlineStr">
        <is>
          <t>SCA</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53754-2022</t>
        </is>
      </c>
      <c r="B5744" s="1" t="n">
        <v>44880</v>
      </c>
      <c r="C5744" s="1" t="n">
        <v>45587</v>
      </c>
      <c r="D5744" t="inlineStr">
        <is>
          <t>GÄVLEBORGS LÄN</t>
        </is>
      </c>
      <c r="E5744" t="inlineStr">
        <is>
          <t>OCKELBO</t>
        </is>
      </c>
      <c r="F5744" t="inlineStr">
        <is>
          <t>Bergvik skog väst AB</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53815-2022</t>
        </is>
      </c>
      <c r="B5745" s="1" t="n">
        <v>44880</v>
      </c>
      <c r="C5745" s="1" t="n">
        <v>45587</v>
      </c>
      <c r="D5745" t="inlineStr">
        <is>
          <t>GÄVLEBORGS LÄN</t>
        </is>
      </c>
      <c r="E5745" t="inlineStr">
        <is>
          <t>BOLLNÄS</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53844-2022</t>
        </is>
      </c>
      <c r="B5746" s="1" t="n">
        <v>44880</v>
      </c>
      <c r="C5746" s="1" t="n">
        <v>45587</v>
      </c>
      <c r="D5746" t="inlineStr">
        <is>
          <t>GÄVLEBORGS LÄN</t>
        </is>
      </c>
      <c r="E5746" t="inlineStr">
        <is>
          <t>LJUSDAL</t>
        </is>
      </c>
      <c r="F5746" t="inlineStr">
        <is>
          <t>Bergvik skog väst AB</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53694-2022</t>
        </is>
      </c>
      <c r="B5747" s="1" t="n">
        <v>44880</v>
      </c>
      <c r="C5747" s="1" t="n">
        <v>45587</v>
      </c>
      <c r="D5747" t="inlineStr">
        <is>
          <t>GÄVLEBORGS LÄN</t>
        </is>
      </c>
      <c r="E5747" t="inlineStr">
        <is>
          <t>OVANÅKER</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53780-2022</t>
        </is>
      </c>
      <c r="B5748" s="1" t="n">
        <v>44880</v>
      </c>
      <c r="C5748" s="1" t="n">
        <v>45587</v>
      </c>
      <c r="D5748" t="inlineStr">
        <is>
          <t>GÄVLEBORGS LÄN</t>
        </is>
      </c>
      <c r="E5748" t="inlineStr">
        <is>
          <t>OCKELBO</t>
        </is>
      </c>
      <c r="F5748" t="inlineStr">
        <is>
          <t>Bergvik skog väst AB</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53691-2022</t>
        </is>
      </c>
      <c r="B5749" s="1" t="n">
        <v>44880</v>
      </c>
      <c r="C5749" s="1" t="n">
        <v>45587</v>
      </c>
      <c r="D5749" t="inlineStr">
        <is>
          <t>GÄVLEBORGS LÄN</t>
        </is>
      </c>
      <c r="E5749" t="inlineStr">
        <is>
          <t>OVANÅKER</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53744-2022</t>
        </is>
      </c>
      <c r="B5750" s="1" t="n">
        <v>44880</v>
      </c>
      <c r="C5750" s="1" t="n">
        <v>45587</v>
      </c>
      <c r="D5750" t="inlineStr">
        <is>
          <t>GÄVLEBORGS LÄN</t>
        </is>
      </c>
      <c r="E5750" t="inlineStr">
        <is>
          <t>SÖDERHAMN</t>
        </is>
      </c>
      <c r="F5750" t="inlineStr">
        <is>
          <t>Kyrkan</t>
        </is>
      </c>
      <c r="G5750" t="n">
        <v>5.2</v>
      </c>
      <c r="H5750" t="n">
        <v>0</v>
      </c>
      <c r="I5750" t="n">
        <v>0</v>
      </c>
      <c r="J5750" t="n">
        <v>0</v>
      </c>
      <c r="K5750" t="n">
        <v>0</v>
      </c>
      <c r="L5750" t="n">
        <v>0</v>
      </c>
      <c r="M5750" t="n">
        <v>0</v>
      </c>
      <c r="N5750" t="n">
        <v>0</v>
      </c>
      <c r="O5750" t="n">
        <v>0</v>
      </c>
      <c r="P5750" t="n">
        <v>0</v>
      </c>
      <c r="Q5750" t="n">
        <v>0</v>
      </c>
      <c r="R5750" s="2" t="inlineStr"/>
    </row>
    <row r="5751" ht="15" customHeight="1">
      <c r="A5751" t="inlineStr">
        <is>
          <t>A 53927-2022</t>
        </is>
      </c>
      <c r="B5751" s="1" t="n">
        <v>44880</v>
      </c>
      <c r="C5751" s="1" t="n">
        <v>45587</v>
      </c>
      <c r="D5751" t="inlineStr">
        <is>
          <t>GÄVLEBORGS LÄN</t>
        </is>
      </c>
      <c r="E5751" t="inlineStr">
        <is>
          <t>LJUSDAL</t>
        </is>
      </c>
      <c r="F5751" t="inlineStr">
        <is>
          <t>Naturvårdsverket</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54088-2022</t>
        </is>
      </c>
      <c r="B5752" s="1" t="n">
        <v>44881</v>
      </c>
      <c r="C5752" s="1" t="n">
        <v>45587</v>
      </c>
      <c r="D5752" t="inlineStr">
        <is>
          <t>GÄVLEBORGS LÄN</t>
        </is>
      </c>
      <c r="E5752" t="inlineStr">
        <is>
          <t>BOLLNÄS</t>
        </is>
      </c>
      <c r="F5752" t="inlineStr">
        <is>
          <t>Sveaskog</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54130-2022</t>
        </is>
      </c>
      <c r="B5753" s="1" t="n">
        <v>44881</v>
      </c>
      <c r="C5753" s="1" t="n">
        <v>45587</v>
      </c>
      <c r="D5753" t="inlineStr">
        <is>
          <t>GÄVLEBORGS LÄN</t>
        </is>
      </c>
      <c r="E5753" t="inlineStr">
        <is>
          <t>NORDANSTIG</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54014-2022</t>
        </is>
      </c>
      <c r="B5754" s="1" t="n">
        <v>44881</v>
      </c>
      <c r="C5754" s="1" t="n">
        <v>45587</v>
      </c>
      <c r="D5754" t="inlineStr">
        <is>
          <t>GÄVLEBORGS LÄN</t>
        </is>
      </c>
      <c r="E5754" t="inlineStr">
        <is>
          <t>HUDIKSVALL</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54007-2022</t>
        </is>
      </c>
      <c r="B5755" s="1" t="n">
        <v>44881</v>
      </c>
      <c r="C5755" s="1" t="n">
        <v>45587</v>
      </c>
      <c r="D5755" t="inlineStr">
        <is>
          <t>GÄVLEBORGS LÄN</t>
        </is>
      </c>
      <c r="E5755" t="inlineStr">
        <is>
          <t>BOLLNÄS</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54048-2022</t>
        </is>
      </c>
      <c r="B5756" s="1" t="n">
        <v>44881</v>
      </c>
      <c r="C5756" s="1" t="n">
        <v>45587</v>
      </c>
      <c r="D5756" t="inlineStr">
        <is>
          <t>GÄVLEBORGS LÄN</t>
        </is>
      </c>
      <c r="E5756" t="inlineStr">
        <is>
          <t>OCKELBO</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54085-2022</t>
        </is>
      </c>
      <c r="B5757" s="1" t="n">
        <v>44881</v>
      </c>
      <c r="C5757" s="1" t="n">
        <v>45587</v>
      </c>
      <c r="D5757" t="inlineStr">
        <is>
          <t>GÄVLEBORGS LÄN</t>
        </is>
      </c>
      <c r="E5757" t="inlineStr">
        <is>
          <t>HUDIKSVALL</t>
        </is>
      </c>
      <c r="F5757" t="inlineStr">
        <is>
          <t>Holmen skog AB</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54097-2022</t>
        </is>
      </c>
      <c r="B5758" s="1" t="n">
        <v>44881</v>
      </c>
      <c r="C5758" s="1" t="n">
        <v>45587</v>
      </c>
      <c r="D5758" t="inlineStr">
        <is>
          <t>GÄVLEBORGS LÄN</t>
        </is>
      </c>
      <c r="E5758" t="inlineStr">
        <is>
          <t>NORDANSTIG</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54128-2022</t>
        </is>
      </c>
      <c r="B5759" s="1" t="n">
        <v>44881</v>
      </c>
      <c r="C5759" s="1" t="n">
        <v>45587</v>
      </c>
      <c r="D5759" t="inlineStr">
        <is>
          <t>GÄVLEBORGS LÄN</t>
        </is>
      </c>
      <c r="E5759" t="inlineStr">
        <is>
          <t>OVANÅKER</t>
        </is>
      </c>
      <c r="G5759" t="n">
        <v>8.199999999999999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54152-2022</t>
        </is>
      </c>
      <c r="B5760" s="1" t="n">
        <v>44881</v>
      </c>
      <c r="C5760" s="1" t="n">
        <v>45587</v>
      </c>
      <c r="D5760" t="inlineStr">
        <is>
          <t>GÄVLEBORGS LÄN</t>
        </is>
      </c>
      <c r="E5760" t="inlineStr">
        <is>
          <t>OCKELBO</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54156-2022</t>
        </is>
      </c>
      <c r="B5761" s="1" t="n">
        <v>44881</v>
      </c>
      <c r="C5761" s="1" t="n">
        <v>45587</v>
      </c>
      <c r="D5761" t="inlineStr">
        <is>
          <t>GÄVLEBORGS LÄN</t>
        </is>
      </c>
      <c r="E5761" t="inlineStr">
        <is>
          <t>SÖDERHAMN</t>
        </is>
      </c>
      <c r="G5761" t="n">
        <v>5.8</v>
      </c>
      <c r="H5761" t="n">
        <v>0</v>
      </c>
      <c r="I5761" t="n">
        <v>0</v>
      </c>
      <c r="J5761" t="n">
        <v>0</v>
      </c>
      <c r="K5761" t="n">
        <v>0</v>
      </c>
      <c r="L5761" t="n">
        <v>0</v>
      </c>
      <c r="M5761" t="n">
        <v>0</v>
      </c>
      <c r="N5761" t="n">
        <v>0</v>
      </c>
      <c r="O5761" t="n">
        <v>0</v>
      </c>
      <c r="P5761" t="n">
        <v>0</v>
      </c>
      <c r="Q5761" t="n">
        <v>0</v>
      </c>
      <c r="R5761" s="2" t="inlineStr"/>
    </row>
    <row r="5762" ht="15" customHeight="1">
      <c r="A5762" t="inlineStr">
        <is>
          <t>A 54192-2022</t>
        </is>
      </c>
      <c r="B5762" s="1" t="n">
        <v>44881</v>
      </c>
      <c r="C5762" s="1" t="n">
        <v>45587</v>
      </c>
      <c r="D5762" t="inlineStr">
        <is>
          <t>GÄVLEBORGS LÄN</t>
        </is>
      </c>
      <c r="E5762" t="inlineStr">
        <is>
          <t>HOFORS</t>
        </is>
      </c>
      <c r="F5762" t="inlineStr">
        <is>
          <t>Sveaskog</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54092-2022</t>
        </is>
      </c>
      <c r="B5763" s="1" t="n">
        <v>44881</v>
      </c>
      <c r="C5763" s="1" t="n">
        <v>45587</v>
      </c>
      <c r="D5763" t="inlineStr">
        <is>
          <t>GÄVLEBORGS LÄN</t>
        </is>
      </c>
      <c r="E5763" t="inlineStr">
        <is>
          <t>GÄVLE</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54131-2022</t>
        </is>
      </c>
      <c r="B5764" s="1" t="n">
        <v>44881</v>
      </c>
      <c r="C5764" s="1" t="n">
        <v>45587</v>
      </c>
      <c r="D5764" t="inlineStr">
        <is>
          <t>GÄVLEBORGS LÄN</t>
        </is>
      </c>
      <c r="E5764" t="inlineStr">
        <is>
          <t>NORDANSTIG</t>
        </is>
      </c>
      <c r="F5764" t="inlineStr">
        <is>
          <t>Holmen skog AB</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54191-2022</t>
        </is>
      </c>
      <c r="B5765" s="1" t="n">
        <v>44881</v>
      </c>
      <c r="C5765" s="1" t="n">
        <v>45587</v>
      </c>
      <c r="D5765" t="inlineStr">
        <is>
          <t>GÄVLEBORGS LÄN</t>
        </is>
      </c>
      <c r="E5765" t="inlineStr">
        <is>
          <t>HOFORS</t>
        </is>
      </c>
      <c r="F5765" t="inlineStr">
        <is>
          <t>Sveaskog</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54390-2022</t>
        </is>
      </c>
      <c r="B5766" s="1" t="n">
        <v>44882</v>
      </c>
      <c r="C5766" s="1" t="n">
        <v>45587</v>
      </c>
      <c r="D5766" t="inlineStr">
        <is>
          <t>GÄVLEBORGS LÄN</t>
        </is>
      </c>
      <c r="E5766" t="inlineStr">
        <is>
          <t>GÄVLE</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54546-2022</t>
        </is>
      </c>
      <c r="B5767" s="1" t="n">
        <v>44882</v>
      </c>
      <c r="C5767" s="1" t="n">
        <v>45587</v>
      </c>
      <c r="D5767" t="inlineStr">
        <is>
          <t>GÄVLEBORGS LÄN</t>
        </is>
      </c>
      <c r="E5767" t="inlineStr">
        <is>
          <t>BOLLNÄS</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54272-2022</t>
        </is>
      </c>
      <c r="B5768" s="1" t="n">
        <v>44882</v>
      </c>
      <c r="C5768" s="1" t="n">
        <v>45587</v>
      </c>
      <c r="D5768" t="inlineStr">
        <is>
          <t>GÄVLEBORGS LÄN</t>
        </is>
      </c>
      <c r="E5768" t="inlineStr">
        <is>
          <t>HUDIKSVALL</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54393-2022</t>
        </is>
      </c>
      <c r="B5769" s="1" t="n">
        <v>44882</v>
      </c>
      <c r="C5769" s="1" t="n">
        <v>45587</v>
      </c>
      <c r="D5769" t="inlineStr">
        <is>
          <t>GÄVLEBORGS LÄN</t>
        </is>
      </c>
      <c r="E5769" t="inlineStr">
        <is>
          <t>GÄVLE</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54382-2022</t>
        </is>
      </c>
      <c r="B5770" s="1" t="n">
        <v>44882</v>
      </c>
      <c r="C5770" s="1" t="n">
        <v>45587</v>
      </c>
      <c r="D5770" t="inlineStr">
        <is>
          <t>GÄVLEBORGS LÄN</t>
        </is>
      </c>
      <c r="E5770" t="inlineStr">
        <is>
          <t>GÄVLE</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54388-2022</t>
        </is>
      </c>
      <c r="B5771" s="1" t="n">
        <v>44882</v>
      </c>
      <c r="C5771" s="1" t="n">
        <v>45587</v>
      </c>
      <c r="D5771" t="inlineStr">
        <is>
          <t>GÄVLEBORGS LÄN</t>
        </is>
      </c>
      <c r="E5771" t="inlineStr">
        <is>
          <t>GÄVLE</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54398-2022</t>
        </is>
      </c>
      <c r="B5772" s="1" t="n">
        <v>44882</v>
      </c>
      <c r="C5772" s="1" t="n">
        <v>45587</v>
      </c>
      <c r="D5772" t="inlineStr">
        <is>
          <t>GÄVLEBORGS LÄN</t>
        </is>
      </c>
      <c r="E5772" t="inlineStr">
        <is>
          <t>BOLLNÄS</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54545-2022</t>
        </is>
      </c>
      <c r="B5773" s="1" t="n">
        <v>44882</v>
      </c>
      <c r="C5773" s="1" t="n">
        <v>45587</v>
      </c>
      <c r="D5773" t="inlineStr">
        <is>
          <t>GÄVLEBORGS LÄN</t>
        </is>
      </c>
      <c r="E5773" t="inlineStr">
        <is>
          <t>SANDVIKEN</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54349-2022</t>
        </is>
      </c>
      <c r="B5774" s="1" t="n">
        <v>44882</v>
      </c>
      <c r="C5774" s="1" t="n">
        <v>45587</v>
      </c>
      <c r="D5774" t="inlineStr">
        <is>
          <t>GÄVLEBORGS LÄN</t>
        </is>
      </c>
      <c r="E5774" t="inlineStr">
        <is>
          <t>LJUSDAL</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54387-2022</t>
        </is>
      </c>
      <c r="B5775" s="1" t="n">
        <v>44882</v>
      </c>
      <c r="C5775" s="1" t="n">
        <v>45587</v>
      </c>
      <c r="D5775" t="inlineStr">
        <is>
          <t>GÄVLEBORGS LÄN</t>
        </is>
      </c>
      <c r="E5775" t="inlineStr">
        <is>
          <t>GÄVLE</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54543-2022</t>
        </is>
      </c>
      <c r="B5776" s="1" t="n">
        <v>44882</v>
      </c>
      <c r="C5776" s="1" t="n">
        <v>45587</v>
      </c>
      <c r="D5776" t="inlineStr">
        <is>
          <t>GÄVLEBORGS LÄN</t>
        </is>
      </c>
      <c r="E5776" t="inlineStr">
        <is>
          <t>BOLLNÄS</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54683-2022</t>
        </is>
      </c>
      <c r="B5777" s="1" t="n">
        <v>44883</v>
      </c>
      <c r="C5777" s="1" t="n">
        <v>45587</v>
      </c>
      <c r="D5777" t="inlineStr">
        <is>
          <t>GÄVLEBORGS LÄN</t>
        </is>
      </c>
      <c r="E5777" t="inlineStr">
        <is>
          <t>OVANÅKER</t>
        </is>
      </c>
      <c r="G5777" t="n">
        <v>7.4</v>
      </c>
      <c r="H5777" t="n">
        <v>0</v>
      </c>
      <c r="I5777" t="n">
        <v>0</v>
      </c>
      <c r="J5777" t="n">
        <v>0</v>
      </c>
      <c r="K5777" t="n">
        <v>0</v>
      </c>
      <c r="L5777" t="n">
        <v>0</v>
      </c>
      <c r="M5777" t="n">
        <v>0</v>
      </c>
      <c r="N5777" t="n">
        <v>0</v>
      </c>
      <c r="O5777" t="n">
        <v>0</v>
      </c>
      <c r="P5777" t="n">
        <v>0</v>
      </c>
      <c r="Q5777" t="n">
        <v>0</v>
      </c>
      <c r="R5777" s="2" t="inlineStr"/>
    </row>
    <row r="5778" ht="15" customHeight="1">
      <c r="A5778" t="inlineStr">
        <is>
          <t>A 54704-2022</t>
        </is>
      </c>
      <c r="B5778" s="1" t="n">
        <v>44883</v>
      </c>
      <c r="C5778" s="1" t="n">
        <v>45587</v>
      </c>
      <c r="D5778" t="inlineStr">
        <is>
          <t>GÄVLEBORGS LÄN</t>
        </is>
      </c>
      <c r="E5778" t="inlineStr">
        <is>
          <t>BOLLNÄS</t>
        </is>
      </c>
      <c r="F5778" t="inlineStr">
        <is>
          <t>Bergvik skog väst AB</t>
        </is>
      </c>
      <c r="G5778" t="n">
        <v>10.4</v>
      </c>
      <c r="H5778" t="n">
        <v>0</v>
      </c>
      <c r="I5778" t="n">
        <v>0</v>
      </c>
      <c r="J5778" t="n">
        <v>0</v>
      </c>
      <c r="K5778" t="n">
        <v>0</v>
      </c>
      <c r="L5778" t="n">
        <v>0</v>
      </c>
      <c r="M5778" t="n">
        <v>0</v>
      </c>
      <c r="N5778" t="n">
        <v>0</v>
      </c>
      <c r="O5778" t="n">
        <v>0</v>
      </c>
      <c r="P5778" t="n">
        <v>0</v>
      </c>
      <c r="Q5778" t="n">
        <v>0</v>
      </c>
      <c r="R5778" s="2" t="inlineStr"/>
    </row>
    <row r="5779" ht="15" customHeight="1">
      <c r="A5779" t="inlineStr">
        <is>
          <t>A 54708-2022</t>
        </is>
      </c>
      <c r="B5779" s="1" t="n">
        <v>44883</v>
      </c>
      <c r="C5779" s="1" t="n">
        <v>45587</v>
      </c>
      <c r="D5779" t="inlineStr">
        <is>
          <t>GÄVLEBORGS LÄN</t>
        </is>
      </c>
      <c r="E5779" t="inlineStr">
        <is>
          <t>BOLLNÄS</t>
        </is>
      </c>
      <c r="F5779" t="inlineStr">
        <is>
          <t>Bergvik skog väst AB</t>
        </is>
      </c>
      <c r="G5779" t="n">
        <v>4.6</v>
      </c>
      <c r="H5779" t="n">
        <v>0</v>
      </c>
      <c r="I5779" t="n">
        <v>0</v>
      </c>
      <c r="J5779" t="n">
        <v>0</v>
      </c>
      <c r="K5779" t="n">
        <v>0</v>
      </c>
      <c r="L5779" t="n">
        <v>0</v>
      </c>
      <c r="M5779" t="n">
        <v>0</v>
      </c>
      <c r="N5779" t="n">
        <v>0</v>
      </c>
      <c r="O5779" t="n">
        <v>0</v>
      </c>
      <c r="P5779" t="n">
        <v>0</v>
      </c>
      <c r="Q5779" t="n">
        <v>0</v>
      </c>
      <c r="R5779" s="2" t="inlineStr"/>
    </row>
    <row r="5780" ht="15" customHeight="1">
      <c r="A5780" t="inlineStr">
        <is>
          <t>A 54713-2022</t>
        </is>
      </c>
      <c r="B5780" s="1" t="n">
        <v>44883</v>
      </c>
      <c r="C5780" s="1" t="n">
        <v>45587</v>
      </c>
      <c r="D5780" t="inlineStr">
        <is>
          <t>GÄVLEBORGS LÄN</t>
        </is>
      </c>
      <c r="E5780" t="inlineStr">
        <is>
          <t>BOLLNÄS</t>
        </is>
      </c>
      <c r="F5780" t="inlineStr">
        <is>
          <t>Bergvik skog väst AB</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54731-2022</t>
        </is>
      </c>
      <c r="B5781" s="1" t="n">
        <v>44883</v>
      </c>
      <c r="C5781" s="1" t="n">
        <v>45587</v>
      </c>
      <c r="D5781" t="inlineStr">
        <is>
          <t>GÄVLEBORGS LÄN</t>
        </is>
      </c>
      <c r="E5781" t="inlineStr">
        <is>
          <t>OVANÅKER</t>
        </is>
      </c>
      <c r="G5781" t="n">
        <v>21.8</v>
      </c>
      <c r="H5781" t="n">
        <v>0</v>
      </c>
      <c r="I5781" t="n">
        <v>0</v>
      </c>
      <c r="J5781" t="n">
        <v>0</v>
      </c>
      <c r="K5781" t="n">
        <v>0</v>
      </c>
      <c r="L5781" t="n">
        <v>0</v>
      </c>
      <c r="M5781" t="n">
        <v>0</v>
      </c>
      <c r="N5781" t="n">
        <v>0</v>
      </c>
      <c r="O5781" t="n">
        <v>0</v>
      </c>
      <c r="P5781" t="n">
        <v>0</v>
      </c>
      <c r="Q5781" t="n">
        <v>0</v>
      </c>
      <c r="R5781" s="2" t="inlineStr"/>
    </row>
    <row r="5782" ht="15" customHeight="1">
      <c r="A5782" t="inlineStr">
        <is>
          <t>A 54772-2022</t>
        </is>
      </c>
      <c r="B5782" s="1" t="n">
        <v>44883</v>
      </c>
      <c r="C5782" s="1" t="n">
        <v>45587</v>
      </c>
      <c r="D5782" t="inlineStr">
        <is>
          <t>GÄVLEBORGS LÄN</t>
        </is>
      </c>
      <c r="E5782" t="inlineStr">
        <is>
          <t>BOLLNÄS</t>
        </is>
      </c>
      <c r="G5782" t="n">
        <v>12.6</v>
      </c>
      <c r="H5782" t="n">
        <v>0</v>
      </c>
      <c r="I5782" t="n">
        <v>0</v>
      </c>
      <c r="J5782" t="n">
        <v>0</v>
      </c>
      <c r="K5782" t="n">
        <v>0</v>
      </c>
      <c r="L5782" t="n">
        <v>0</v>
      </c>
      <c r="M5782" t="n">
        <v>0</v>
      </c>
      <c r="N5782" t="n">
        <v>0</v>
      </c>
      <c r="O5782" t="n">
        <v>0</v>
      </c>
      <c r="P5782" t="n">
        <v>0</v>
      </c>
      <c r="Q5782" t="n">
        <v>0</v>
      </c>
      <c r="R5782" s="2" t="inlineStr"/>
    </row>
    <row r="5783" ht="15" customHeight="1">
      <c r="A5783" t="inlineStr">
        <is>
          <t>A 54817-2022</t>
        </is>
      </c>
      <c r="B5783" s="1" t="n">
        <v>44883</v>
      </c>
      <c r="C5783" s="1" t="n">
        <v>45587</v>
      </c>
      <c r="D5783" t="inlineStr">
        <is>
          <t>GÄVLEBORGS LÄN</t>
        </is>
      </c>
      <c r="E5783" t="inlineStr">
        <is>
          <t>OCKELBO</t>
        </is>
      </c>
      <c r="F5783" t="inlineStr">
        <is>
          <t>Bergvik skog väst AB</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54616-2022</t>
        </is>
      </c>
      <c r="B5784" s="1" t="n">
        <v>44883</v>
      </c>
      <c r="C5784" s="1" t="n">
        <v>45587</v>
      </c>
      <c r="D5784" t="inlineStr">
        <is>
          <t>GÄVLEBORGS LÄN</t>
        </is>
      </c>
      <c r="E5784" t="inlineStr">
        <is>
          <t>HOFORS</t>
        </is>
      </c>
      <c r="F5784" t="inlineStr">
        <is>
          <t>Kyrkan</t>
        </is>
      </c>
      <c r="G5784" t="n">
        <v>4.8</v>
      </c>
      <c r="H5784" t="n">
        <v>0</v>
      </c>
      <c r="I5784" t="n">
        <v>0</v>
      </c>
      <c r="J5784" t="n">
        <v>0</v>
      </c>
      <c r="K5784" t="n">
        <v>0</v>
      </c>
      <c r="L5784" t="n">
        <v>0</v>
      </c>
      <c r="M5784" t="n">
        <v>0</v>
      </c>
      <c r="N5784" t="n">
        <v>0</v>
      </c>
      <c r="O5784" t="n">
        <v>0</v>
      </c>
      <c r="P5784" t="n">
        <v>0</v>
      </c>
      <c r="Q5784" t="n">
        <v>0</v>
      </c>
      <c r="R5784" s="2" t="inlineStr"/>
    </row>
    <row r="5785" ht="15" customHeight="1">
      <c r="A5785" t="inlineStr">
        <is>
          <t>A 54850-2022</t>
        </is>
      </c>
      <c r="B5785" s="1" t="n">
        <v>44883</v>
      </c>
      <c r="C5785" s="1" t="n">
        <v>45587</v>
      </c>
      <c r="D5785" t="inlineStr">
        <is>
          <t>GÄVLEBORGS LÄN</t>
        </is>
      </c>
      <c r="E5785" t="inlineStr">
        <is>
          <t>BOLLNÄS</t>
        </is>
      </c>
      <c r="F5785" t="inlineStr">
        <is>
          <t>Bergvik skog väst AB</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54654-2022</t>
        </is>
      </c>
      <c r="B5786" s="1" t="n">
        <v>44883</v>
      </c>
      <c r="C5786" s="1" t="n">
        <v>45587</v>
      </c>
      <c r="D5786" t="inlineStr">
        <is>
          <t>GÄVLEBORGS LÄN</t>
        </is>
      </c>
      <c r="E5786" t="inlineStr">
        <is>
          <t>OVANÅKER</t>
        </is>
      </c>
      <c r="G5786" t="n">
        <v>7.4</v>
      </c>
      <c r="H5786" t="n">
        <v>0</v>
      </c>
      <c r="I5786" t="n">
        <v>0</v>
      </c>
      <c r="J5786" t="n">
        <v>0</v>
      </c>
      <c r="K5786" t="n">
        <v>0</v>
      </c>
      <c r="L5786" t="n">
        <v>0</v>
      </c>
      <c r="M5786" t="n">
        <v>0</v>
      </c>
      <c r="N5786" t="n">
        <v>0</v>
      </c>
      <c r="O5786" t="n">
        <v>0</v>
      </c>
      <c r="P5786" t="n">
        <v>0</v>
      </c>
      <c r="Q5786" t="n">
        <v>0</v>
      </c>
      <c r="R5786" s="2" t="inlineStr"/>
    </row>
    <row r="5787" ht="15" customHeight="1">
      <c r="A5787" t="inlineStr">
        <is>
          <t>A 54660-2022</t>
        </is>
      </c>
      <c r="B5787" s="1" t="n">
        <v>44883</v>
      </c>
      <c r="C5787" s="1" t="n">
        <v>45587</v>
      </c>
      <c r="D5787" t="inlineStr">
        <is>
          <t>GÄVLEBORGS LÄN</t>
        </is>
      </c>
      <c r="E5787" t="inlineStr">
        <is>
          <t>OVANÅKER</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54706-2022</t>
        </is>
      </c>
      <c r="B5788" s="1" t="n">
        <v>44883</v>
      </c>
      <c r="C5788" s="1" t="n">
        <v>45587</v>
      </c>
      <c r="D5788" t="inlineStr">
        <is>
          <t>GÄVLEBORGS LÄN</t>
        </is>
      </c>
      <c r="E5788" t="inlineStr">
        <is>
          <t>HUDIKSVALL</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54716-2022</t>
        </is>
      </c>
      <c r="B5789" s="1" t="n">
        <v>44883</v>
      </c>
      <c r="C5789" s="1" t="n">
        <v>45587</v>
      </c>
      <c r="D5789" t="inlineStr">
        <is>
          <t>GÄVLEBORGS LÄN</t>
        </is>
      </c>
      <c r="E5789" t="inlineStr">
        <is>
          <t>BOLLNÄS</t>
        </is>
      </c>
      <c r="F5789" t="inlineStr">
        <is>
          <t>Bergvik skog väst AB</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54799-2022</t>
        </is>
      </c>
      <c r="B5790" s="1" t="n">
        <v>44883</v>
      </c>
      <c r="C5790" s="1" t="n">
        <v>45587</v>
      </c>
      <c r="D5790" t="inlineStr">
        <is>
          <t>GÄVLEBORGS LÄN</t>
        </is>
      </c>
      <c r="E5790" t="inlineStr">
        <is>
          <t>SÖDERHAMN</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54852-2022</t>
        </is>
      </c>
      <c r="B5791" s="1" t="n">
        <v>44884</v>
      </c>
      <c r="C5791" s="1" t="n">
        <v>45587</v>
      </c>
      <c r="D5791" t="inlineStr">
        <is>
          <t>GÄVLEBORGS LÄN</t>
        </is>
      </c>
      <c r="E5791" t="inlineStr">
        <is>
          <t>BOLLNÄS</t>
        </is>
      </c>
      <c r="F5791" t="inlineStr">
        <is>
          <t>Bergvik skog väst AB</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54853-2022</t>
        </is>
      </c>
      <c r="B5792" s="1" t="n">
        <v>44884</v>
      </c>
      <c r="C5792" s="1" t="n">
        <v>45587</v>
      </c>
      <c r="D5792" t="inlineStr">
        <is>
          <t>GÄVLEBORGS LÄN</t>
        </is>
      </c>
      <c r="E5792" t="inlineStr">
        <is>
          <t>BOLLNÄS</t>
        </is>
      </c>
      <c r="F5792" t="inlineStr">
        <is>
          <t>Bergvik skog väst AB</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62766-2022</t>
        </is>
      </c>
      <c r="B5793" s="1" t="n">
        <v>44885</v>
      </c>
      <c r="C5793" s="1" t="n">
        <v>45587</v>
      </c>
      <c r="D5793" t="inlineStr">
        <is>
          <t>GÄVLEBORGS LÄN</t>
        </is>
      </c>
      <c r="E5793" t="inlineStr">
        <is>
          <t>GÄVLE</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54897-2022</t>
        </is>
      </c>
      <c r="B5794" s="1" t="n">
        <v>44886</v>
      </c>
      <c r="C5794" s="1" t="n">
        <v>45587</v>
      </c>
      <c r="D5794" t="inlineStr">
        <is>
          <t>GÄVLEBORGS LÄN</t>
        </is>
      </c>
      <c r="E5794" t="inlineStr">
        <is>
          <t>BOLLNÄS</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54907-2022</t>
        </is>
      </c>
      <c r="B5795" s="1" t="n">
        <v>44886</v>
      </c>
      <c r="C5795" s="1" t="n">
        <v>45587</v>
      </c>
      <c r="D5795" t="inlineStr">
        <is>
          <t>GÄVLEBORGS LÄN</t>
        </is>
      </c>
      <c r="E5795" t="inlineStr">
        <is>
          <t>OVANÅKER</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54887-2022</t>
        </is>
      </c>
      <c r="B5796" s="1" t="n">
        <v>44886</v>
      </c>
      <c r="C5796" s="1" t="n">
        <v>45587</v>
      </c>
      <c r="D5796" t="inlineStr">
        <is>
          <t>GÄVLEBORGS LÄN</t>
        </is>
      </c>
      <c r="E5796" t="inlineStr">
        <is>
          <t>NORDANSTIG</t>
        </is>
      </c>
      <c r="F5796" t="inlineStr">
        <is>
          <t>Holmen skog AB</t>
        </is>
      </c>
      <c r="G5796" t="n">
        <v>5.5</v>
      </c>
      <c r="H5796" t="n">
        <v>0</v>
      </c>
      <c r="I5796" t="n">
        <v>0</v>
      </c>
      <c r="J5796" t="n">
        <v>0</v>
      </c>
      <c r="K5796" t="n">
        <v>0</v>
      </c>
      <c r="L5796" t="n">
        <v>0</v>
      </c>
      <c r="M5796" t="n">
        <v>0</v>
      </c>
      <c r="N5796" t="n">
        <v>0</v>
      </c>
      <c r="O5796" t="n">
        <v>0</v>
      </c>
      <c r="P5796" t="n">
        <v>0</v>
      </c>
      <c r="Q5796" t="n">
        <v>0</v>
      </c>
      <c r="R5796" s="2" t="inlineStr"/>
    </row>
    <row r="5797" ht="15" customHeight="1">
      <c r="A5797" t="inlineStr">
        <is>
          <t>A 54949-2022</t>
        </is>
      </c>
      <c r="B5797" s="1" t="n">
        <v>44886</v>
      </c>
      <c r="C5797" s="1" t="n">
        <v>45587</v>
      </c>
      <c r="D5797" t="inlineStr">
        <is>
          <t>GÄVLEBORGS LÄN</t>
        </is>
      </c>
      <c r="E5797" t="inlineStr">
        <is>
          <t>BOLLNÄS</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54974-2022</t>
        </is>
      </c>
      <c r="B5798" s="1" t="n">
        <v>44886</v>
      </c>
      <c r="C5798" s="1" t="n">
        <v>45587</v>
      </c>
      <c r="D5798" t="inlineStr">
        <is>
          <t>GÄVLEBORGS LÄN</t>
        </is>
      </c>
      <c r="E5798" t="inlineStr">
        <is>
          <t>BOLLNÄS</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54970-2022</t>
        </is>
      </c>
      <c r="B5799" s="1" t="n">
        <v>44886</v>
      </c>
      <c r="C5799" s="1" t="n">
        <v>45587</v>
      </c>
      <c r="D5799" t="inlineStr">
        <is>
          <t>GÄVLEBORGS LÄN</t>
        </is>
      </c>
      <c r="E5799" t="inlineStr">
        <is>
          <t>NORDANSTIG</t>
        </is>
      </c>
      <c r="F5799" t="inlineStr">
        <is>
          <t>Holmen skog AB</t>
        </is>
      </c>
      <c r="G5799" t="n">
        <v>6.5</v>
      </c>
      <c r="H5799" t="n">
        <v>0</v>
      </c>
      <c r="I5799" t="n">
        <v>0</v>
      </c>
      <c r="J5799" t="n">
        <v>0</v>
      </c>
      <c r="K5799" t="n">
        <v>0</v>
      </c>
      <c r="L5799" t="n">
        <v>0</v>
      </c>
      <c r="M5799" t="n">
        <v>0</v>
      </c>
      <c r="N5799" t="n">
        <v>0</v>
      </c>
      <c r="O5799" t="n">
        <v>0</v>
      </c>
      <c r="P5799" t="n">
        <v>0</v>
      </c>
      <c r="Q5799" t="n">
        <v>0</v>
      </c>
      <c r="R5799" s="2" t="inlineStr"/>
    </row>
    <row r="5800" ht="15" customHeight="1">
      <c r="A5800" t="inlineStr">
        <is>
          <t>A 54985-2022</t>
        </is>
      </c>
      <c r="B5800" s="1" t="n">
        <v>44886</v>
      </c>
      <c r="C5800" s="1" t="n">
        <v>45587</v>
      </c>
      <c r="D5800" t="inlineStr">
        <is>
          <t>GÄVLEBORGS LÄN</t>
        </is>
      </c>
      <c r="E5800" t="inlineStr">
        <is>
          <t>BOLLNÄS</t>
        </is>
      </c>
      <c r="F5800" t="inlineStr">
        <is>
          <t>Sveaskog</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55027-2022</t>
        </is>
      </c>
      <c r="B5801" s="1" t="n">
        <v>44886</v>
      </c>
      <c r="C5801" s="1" t="n">
        <v>45587</v>
      </c>
      <c r="D5801" t="inlineStr">
        <is>
          <t>GÄVLEBORGS LÄN</t>
        </is>
      </c>
      <c r="E5801" t="inlineStr">
        <is>
          <t>SANDVIKEN</t>
        </is>
      </c>
      <c r="F5801" t="inlineStr">
        <is>
          <t>Kommuner</t>
        </is>
      </c>
      <c r="G5801" t="n">
        <v>5.4</v>
      </c>
      <c r="H5801" t="n">
        <v>0</v>
      </c>
      <c r="I5801" t="n">
        <v>0</v>
      </c>
      <c r="J5801" t="n">
        <v>0</v>
      </c>
      <c r="K5801" t="n">
        <v>0</v>
      </c>
      <c r="L5801" t="n">
        <v>0</v>
      </c>
      <c r="M5801" t="n">
        <v>0</v>
      </c>
      <c r="N5801" t="n">
        <v>0</v>
      </c>
      <c r="O5801" t="n">
        <v>0</v>
      </c>
      <c r="P5801" t="n">
        <v>0</v>
      </c>
      <c r="Q5801" t="n">
        <v>0</v>
      </c>
      <c r="R5801" s="2" t="inlineStr"/>
    </row>
    <row r="5802" ht="15" customHeight="1">
      <c r="A5802" t="inlineStr">
        <is>
          <t>A 55044-2022</t>
        </is>
      </c>
      <c r="B5802" s="1" t="n">
        <v>44886</v>
      </c>
      <c r="C5802" s="1" t="n">
        <v>45587</v>
      </c>
      <c r="D5802" t="inlineStr">
        <is>
          <t>GÄVLEBORGS LÄN</t>
        </is>
      </c>
      <c r="E5802" t="inlineStr">
        <is>
          <t>SANDVIKEN</t>
        </is>
      </c>
      <c r="F5802" t="inlineStr">
        <is>
          <t>Kommuner</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55048-2022</t>
        </is>
      </c>
      <c r="B5803" s="1" t="n">
        <v>44886</v>
      </c>
      <c r="C5803" s="1" t="n">
        <v>45587</v>
      </c>
      <c r="D5803" t="inlineStr">
        <is>
          <t>GÄVLEBORGS LÄN</t>
        </is>
      </c>
      <c r="E5803" t="inlineStr">
        <is>
          <t>BOLLNÄS</t>
        </is>
      </c>
      <c r="F5803" t="inlineStr">
        <is>
          <t>Sveaskog</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54908-2022</t>
        </is>
      </c>
      <c r="B5804" s="1" t="n">
        <v>44886</v>
      </c>
      <c r="C5804" s="1" t="n">
        <v>45587</v>
      </c>
      <c r="D5804" t="inlineStr">
        <is>
          <t>GÄVLEBORGS LÄN</t>
        </is>
      </c>
      <c r="E5804" t="inlineStr">
        <is>
          <t>LJUSDAL</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54886-2022</t>
        </is>
      </c>
      <c r="B5805" s="1" t="n">
        <v>44886</v>
      </c>
      <c r="C5805" s="1" t="n">
        <v>45587</v>
      </c>
      <c r="D5805" t="inlineStr">
        <is>
          <t>GÄVLEBORGS LÄN</t>
        </is>
      </c>
      <c r="E5805" t="inlineStr">
        <is>
          <t>BOLLNÄS</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54946-2022</t>
        </is>
      </c>
      <c r="B5806" s="1" t="n">
        <v>44886</v>
      </c>
      <c r="C5806" s="1" t="n">
        <v>45587</v>
      </c>
      <c r="D5806" t="inlineStr">
        <is>
          <t>GÄVLEBORGS LÄN</t>
        </is>
      </c>
      <c r="E5806" t="inlineStr">
        <is>
          <t>BOLLNÄS</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54995-2022</t>
        </is>
      </c>
      <c r="B5807" s="1" t="n">
        <v>44886</v>
      </c>
      <c r="C5807" s="1" t="n">
        <v>45587</v>
      </c>
      <c r="D5807" t="inlineStr">
        <is>
          <t>GÄVLEBORGS LÄN</t>
        </is>
      </c>
      <c r="E5807" t="inlineStr">
        <is>
          <t>SÖDERHAMN</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55026-2022</t>
        </is>
      </c>
      <c r="B5808" s="1" t="n">
        <v>44886</v>
      </c>
      <c r="C5808" s="1" t="n">
        <v>45587</v>
      </c>
      <c r="D5808" t="inlineStr">
        <is>
          <t>GÄVLEBORGS LÄN</t>
        </is>
      </c>
      <c r="E5808" t="inlineStr">
        <is>
          <t>NORDANSTIG</t>
        </is>
      </c>
      <c r="F5808" t="inlineStr">
        <is>
          <t>Holmen skog AB</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55118-2022</t>
        </is>
      </c>
      <c r="B5809" s="1" t="n">
        <v>44886</v>
      </c>
      <c r="C5809" s="1" t="n">
        <v>45587</v>
      </c>
      <c r="D5809" t="inlineStr">
        <is>
          <t>GÄVLEBORGS LÄN</t>
        </is>
      </c>
      <c r="E5809" t="inlineStr">
        <is>
          <t>OVANÅKER</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55148-2022</t>
        </is>
      </c>
      <c r="B5810" s="1" t="n">
        <v>44886</v>
      </c>
      <c r="C5810" s="1" t="n">
        <v>45587</v>
      </c>
      <c r="D5810" t="inlineStr">
        <is>
          <t>GÄVLEBORGS LÄN</t>
        </is>
      </c>
      <c r="E5810" t="inlineStr">
        <is>
          <t>SANDVIKEN</t>
        </is>
      </c>
      <c r="F5810" t="inlineStr">
        <is>
          <t>Sveaskog</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55189-2022</t>
        </is>
      </c>
      <c r="B5811" s="1" t="n">
        <v>44886</v>
      </c>
      <c r="C5811" s="1" t="n">
        <v>45587</v>
      </c>
      <c r="D5811" t="inlineStr">
        <is>
          <t>GÄVLEBORGS LÄN</t>
        </is>
      </c>
      <c r="E5811" t="inlineStr">
        <is>
          <t>GÄVLE</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55205-2022</t>
        </is>
      </c>
      <c r="B5812" s="1" t="n">
        <v>44886</v>
      </c>
      <c r="C5812" s="1" t="n">
        <v>45587</v>
      </c>
      <c r="D5812" t="inlineStr">
        <is>
          <t>GÄVLEBORGS LÄN</t>
        </is>
      </c>
      <c r="E5812" t="inlineStr">
        <is>
          <t>GÄVLE</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55055-2022</t>
        </is>
      </c>
      <c r="B5813" s="1" t="n">
        <v>44886</v>
      </c>
      <c r="C5813" s="1" t="n">
        <v>45587</v>
      </c>
      <c r="D5813" t="inlineStr">
        <is>
          <t>GÄVLEBORGS LÄN</t>
        </is>
      </c>
      <c r="E5813" t="inlineStr">
        <is>
          <t>LJUSDAL</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55065-2022</t>
        </is>
      </c>
      <c r="B5814" s="1" t="n">
        <v>44886</v>
      </c>
      <c r="C5814" s="1" t="n">
        <v>45587</v>
      </c>
      <c r="D5814" t="inlineStr">
        <is>
          <t>GÄVLEBORGS LÄN</t>
        </is>
      </c>
      <c r="E5814" t="inlineStr">
        <is>
          <t>OVANÅKER</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55215-2022</t>
        </is>
      </c>
      <c r="B5815" s="1" t="n">
        <v>44886</v>
      </c>
      <c r="C5815" s="1" t="n">
        <v>45587</v>
      </c>
      <c r="D5815" t="inlineStr">
        <is>
          <t>GÄVLEBORGS LÄN</t>
        </is>
      </c>
      <c r="E5815" t="inlineStr">
        <is>
          <t>LJUSDAL</t>
        </is>
      </c>
      <c r="F5815" t="inlineStr">
        <is>
          <t>SCA</t>
        </is>
      </c>
      <c r="G5815" t="n">
        <v>14.5</v>
      </c>
      <c r="H5815" t="n">
        <v>0</v>
      </c>
      <c r="I5815" t="n">
        <v>0</v>
      </c>
      <c r="J5815" t="n">
        <v>0</v>
      </c>
      <c r="K5815" t="n">
        <v>0</v>
      </c>
      <c r="L5815" t="n">
        <v>0</v>
      </c>
      <c r="M5815" t="n">
        <v>0</v>
      </c>
      <c r="N5815" t="n">
        <v>0</v>
      </c>
      <c r="O5815" t="n">
        <v>0</v>
      </c>
      <c r="P5815" t="n">
        <v>0</v>
      </c>
      <c r="Q5815" t="n">
        <v>0</v>
      </c>
      <c r="R5815" s="2" t="inlineStr"/>
    </row>
    <row r="5816" ht="15" customHeight="1">
      <c r="A5816" t="inlineStr">
        <is>
          <t>A 54945-2022</t>
        </is>
      </c>
      <c r="B5816" s="1" t="n">
        <v>44886</v>
      </c>
      <c r="C5816" s="1" t="n">
        <v>45587</v>
      </c>
      <c r="D5816" t="inlineStr">
        <is>
          <t>GÄVLEBORGS LÄN</t>
        </is>
      </c>
      <c r="E5816" t="inlineStr">
        <is>
          <t>BOLLNÄS</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54994-2022</t>
        </is>
      </c>
      <c r="B5817" s="1" t="n">
        <v>44886</v>
      </c>
      <c r="C5817" s="1" t="n">
        <v>45587</v>
      </c>
      <c r="D5817" t="inlineStr">
        <is>
          <t>GÄVLEBORGS LÄN</t>
        </is>
      </c>
      <c r="E5817" t="inlineStr">
        <is>
          <t>BOLLNÄS</t>
        </is>
      </c>
      <c r="F5817" t="inlineStr">
        <is>
          <t>Sveaskog</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55025-2022</t>
        </is>
      </c>
      <c r="B5818" s="1" t="n">
        <v>44886</v>
      </c>
      <c r="C5818" s="1" t="n">
        <v>45587</v>
      </c>
      <c r="D5818" t="inlineStr">
        <is>
          <t>GÄVLEBORGS LÄN</t>
        </is>
      </c>
      <c r="E5818" t="inlineStr">
        <is>
          <t>LJUSDAL</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55046-2022</t>
        </is>
      </c>
      <c r="B5819" s="1" t="n">
        <v>44886</v>
      </c>
      <c r="C5819" s="1" t="n">
        <v>45587</v>
      </c>
      <c r="D5819" t="inlineStr">
        <is>
          <t>GÄVLEBORGS LÄN</t>
        </is>
      </c>
      <c r="E5819" t="inlineStr">
        <is>
          <t>LJUSDAL</t>
        </is>
      </c>
      <c r="F5819" t="inlineStr">
        <is>
          <t>Bergvik skog väst AB</t>
        </is>
      </c>
      <c r="G5819" t="n">
        <v>43.8</v>
      </c>
      <c r="H5819" t="n">
        <v>0</v>
      </c>
      <c r="I5819" t="n">
        <v>0</v>
      </c>
      <c r="J5819" t="n">
        <v>0</v>
      </c>
      <c r="K5819" t="n">
        <v>0</v>
      </c>
      <c r="L5819" t="n">
        <v>0</v>
      </c>
      <c r="M5819" t="n">
        <v>0</v>
      </c>
      <c r="N5819" t="n">
        <v>0</v>
      </c>
      <c r="O5819" t="n">
        <v>0</v>
      </c>
      <c r="P5819" t="n">
        <v>0</v>
      </c>
      <c r="Q5819" t="n">
        <v>0</v>
      </c>
      <c r="R5819" s="2" t="inlineStr"/>
    </row>
    <row r="5820" ht="15" customHeight="1">
      <c r="A5820" t="inlineStr">
        <is>
          <t>A 55150-2022</t>
        </is>
      </c>
      <c r="B5820" s="1" t="n">
        <v>44886</v>
      </c>
      <c r="C5820" s="1" t="n">
        <v>45587</v>
      </c>
      <c r="D5820" t="inlineStr">
        <is>
          <t>GÄVLEBORGS LÄN</t>
        </is>
      </c>
      <c r="E5820" t="inlineStr">
        <is>
          <t>SANDVIKEN</t>
        </is>
      </c>
      <c r="F5820" t="inlineStr">
        <is>
          <t>Sveaskog</t>
        </is>
      </c>
      <c r="G5820" t="n">
        <v>5</v>
      </c>
      <c r="H5820" t="n">
        <v>0</v>
      </c>
      <c r="I5820" t="n">
        <v>0</v>
      </c>
      <c r="J5820" t="n">
        <v>0</v>
      </c>
      <c r="K5820" t="n">
        <v>0</v>
      </c>
      <c r="L5820" t="n">
        <v>0</v>
      </c>
      <c r="M5820" t="n">
        <v>0</v>
      </c>
      <c r="N5820" t="n">
        <v>0</v>
      </c>
      <c r="O5820" t="n">
        <v>0</v>
      </c>
      <c r="P5820" t="n">
        <v>0</v>
      </c>
      <c r="Q5820" t="n">
        <v>0</v>
      </c>
      <c r="R5820" s="2" t="inlineStr"/>
    </row>
    <row r="5821" ht="15" customHeight="1">
      <c r="A5821" t="inlineStr">
        <is>
          <t>A 55165-2022</t>
        </is>
      </c>
      <c r="B5821" s="1" t="n">
        <v>44886</v>
      </c>
      <c r="C5821" s="1" t="n">
        <v>45587</v>
      </c>
      <c r="D5821" t="inlineStr">
        <is>
          <t>GÄVLEBORGS LÄN</t>
        </is>
      </c>
      <c r="E5821" t="inlineStr">
        <is>
          <t>NORDANSTIG</t>
        </is>
      </c>
      <c r="F5821" t="inlineStr">
        <is>
          <t>Holmen skog AB</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55120-2022</t>
        </is>
      </c>
      <c r="B5822" s="1" t="n">
        <v>44886</v>
      </c>
      <c r="C5822" s="1" t="n">
        <v>45587</v>
      </c>
      <c r="D5822" t="inlineStr">
        <is>
          <t>GÄVLEBORGS LÄN</t>
        </is>
      </c>
      <c r="E5822" t="inlineStr">
        <is>
          <t>NORDANSTIG</t>
        </is>
      </c>
      <c r="F5822" t="inlineStr">
        <is>
          <t>Holmen skog AB</t>
        </is>
      </c>
      <c r="G5822" t="n">
        <v>8.4</v>
      </c>
      <c r="H5822" t="n">
        <v>0</v>
      </c>
      <c r="I5822" t="n">
        <v>0</v>
      </c>
      <c r="J5822" t="n">
        <v>0</v>
      </c>
      <c r="K5822" t="n">
        <v>0</v>
      </c>
      <c r="L5822" t="n">
        <v>0</v>
      </c>
      <c r="M5822" t="n">
        <v>0</v>
      </c>
      <c r="N5822" t="n">
        <v>0</v>
      </c>
      <c r="O5822" t="n">
        <v>0</v>
      </c>
      <c r="P5822" t="n">
        <v>0</v>
      </c>
      <c r="Q5822" t="n">
        <v>0</v>
      </c>
      <c r="R5822" s="2" t="inlineStr"/>
    </row>
    <row r="5823" ht="15" customHeight="1">
      <c r="A5823" t="inlineStr">
        <is>
          <t>A 55149-2022</t>
        </is>
      </c>
      <c r="B5823" s="1" t="n">
        <v>44886</v>
      </c>
      <c r="C5823" s="1" t="n">
        <v>45587</v>
      </c>
      <c r="D5823" t="inlineStr">
        <is>
          <t>GÄVLEBORGS LÄN</t>
        </is>
      </c>
      <c r="E5823" t="inlineStr">
        <is>
          <t>NORDANSTIG</t>
        </is>
      </c>
      <c r="F5823" t="inlineStr">
        <is>
          <t>Holmen skog AB</t>
        </is>
      </c>
      <c r="G5823" t="n">
        <v>4</v>
      </c>
      <c r="H5823" t="n">
        <v>0</v>
      </c>
      <c r="I5823" t="n">
        <v>0</v>
      </c>
      <c r="J5823" t="n">
        <v>0</v>
      </c>
      <c r="K5823" t="n">
        <v>0</v>
      </c>
      <c r="L5823" t="n">
        <v>0</v>
      </c>
      <c r="M5823" t="n">
        <v>0</v>
      </c>
      <c r="N5823" t="n">
        <v>0</v>
      </c>
      <c r="O5823" t="n">
        <v>0</v>
      </c>
      <c r="P5823" t="n">
        <v>0</v>
      </c>
      <c r="Q5823" t="n">
        <v>0</v>
      </c>
      <c r="R5823" s="2" t="inlineStr"/>
    </row>
    <row r="5824" ht="15" customHeight="1">
      <c r="A5824" t="inlineStr">
        <is>
          <t>A 55206-2022</t>
        </is>
      </c>
      <c r="B5824" s="1" t="n">
        <v>44886</v>
      </c>
      <c r="C5824" s="1" t="n">
        <v>45587</v>
      </c>
      <c r="D5824" t="inlineStr">
        <is>
          <t>GÄVLEBORGS LÄN</t>
        </is>
      </c>
      <c r="E5824" t="inlineStr">
        <is>
          <t>NORDANSTIG</t>
        </is>
      </c>
      <c r="F5824" t="inlineStr">
        <is>
          <t>SCA</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56137-2022</t>
        </is>
      </c>
      <c r="B5825" s="1" t="n">
        <v>44886</v>
      </c>
      <c r="C5825" s="1" t="n">
        <v>45587</v>
      </c>
      <c r="D5825" t="inlineStr">
        <is>
          <t>GÄVLEBORGS LÄN</t>
        </is>
      </c>
      <c r="E5825" t="inlineStr">
        <is>
          <t>SANDVIKEN</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55386-2022</t>
        </is>
      </c>
      <c r="B5826" s="1" t="n">
        <v>44887</v>
      </c>
      <c r="C5826" s="1" t="n">
        <v>45587</v>
      </c>
      <c r="D5826" t="inlineStr">
        <is>
          <t>GÄVLEBORGS LÄN</t>
        </is>
      </c>
      <c r="E5826" t="inlineStr">
        <is>
          <t>HUDIKSVALL</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55407-2022</t>
        </is>
      </c>
      <c r="B5827" s="1" t="n">
        <v>44887</v>
      </c>
      <c r="C5827" s="1" t="n">
        <v>45587</v>
      </c>
      <c r="D5827" t="inlineStr">
        <is>
          <t>GÄVLEBORGS LÄN</t>
        </is>
      </c>
      <c r="E5827" t="inlineStr">
        <is>
          <t>SANDVIKEN</t>
        </is>
      </c>
      <c r="G5827" t="n">
        <v>8.9</v>
      </c>
      <c r="H5827" t="n">
        <v>0</v>
      </c>
      <c r="I5827" t="n">
        <v>0</v>
      </c>
      <c r="J5827" t="n">
        <v>0</v>
      </c>
      <c r="K5827" t="n">
        <v>0</v>
      </c>
      <c r="L5827" t="n">
        <v>0</v>
      </c>
      <c r="M5827" t="n">
        <v>0</v>
      </c>
      <c r="N5827" t="n">
        <v>0</v>
      </c>
      <c r="O5827" t="n">
        <v>0</v>
      </c>
      <c r="P5827" t="n">
        <v>0</v>
      </c>
      <c r="Q5827" t="n">
        <v>0</v>
      </c>
      <c r="R5827" s="2" t="inlineStr"/>
    </row>
    <row r="5828" ht="15" customHeight="1">
      <c r="A5828" t="inlineStr">
        <is>
          <t>A 55422-2022</t>
        </is>
      </c>
      <c r="B5828" s="1" t="n">
        <v>44887</v>
      </c>
      <c r="C5828" s="1" t="n">
        <v>45587</v>
      </c>
      <c r="D5828" t="inlineStr">
        <is>
          <t>GÄVLEBORGS LÄN</t>
        </is>
      </c>
      <c r="E5828" t="inlineStr">
        <is>
          <t>OCKELBO</t>
        </is>
      </c>
      <c r="G5828" t="n">
        <v>0.1</v>
      </c>
      <c r="H5828" t="n">
        <v>0</v>
      </c>
      <c r="I5828" t="n">
        <v>0</v>
      </c>
      <c r="J5828" t="n">
        <v>0</v>
      </c>
      <c r="K5828" t="n">
        <v>0</v>
      </c>
      <c r="L5828" t="n">
        <v>0</v>
      </c>
      <c r="M5828" t="n">
        <v>0</v>
      </c>
      <c r="N5828" t="n">
        <v>0</v>
      </c>
      <c r="O5828" t="n">
        <v>0</v>
      </c>
      <c r="P5828" t="n">
        <v>0</v>
      </c>
      <c r="Q5828" t="n">
        <v>0</v>
      </c>
      <c r="R5828" s="2" t="inlineStr"/>
    </row>
    <row r="5829" ht="15" customHeight="1">
      <c r="A5829" t="inlineStr">
        <is>
          <t>A 55434-2022</t>
        </is>
      </c>
      <c r="B5829" s="1" t="n">
        <v>44887</v>
      </c>
      <c r="C5829" s="1" t="n">
        <v>45587</v>
      </c>
      <c r="D5829" t="inlineStr">
        <is>
          <t>GÄVLEBORGS LÄN</t>
        </is>
      </c>
      <c r="E5829" t="inlineStr">
        <is>
          <t>HUDIKSVALL</t>
        </is>
      </c>
      <c r="F5829" t="inlineStr">
        <is>
          <t>Holmen skog AB</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55487-2022</t>
        </is>
      </c>
      <c r="B5830" s="1" t="n">
        <v>44887</v>
      </c>
      <c r="C5830" s="1" t="n">
        <v>45587</v>
      </c>
      <c r="D5830" t="inlineStr">
        <is>
          <t>GÄVLEBORGS LÄN</t>
        </is>
      </c>
      <c r="E5830" t="inlineStr">
        <is>
          <t>NORDANSTIG</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55411-2022</t>
        </is>
      </c>
      <c r="B5831" s="1" t="n">
        <v>44887</v>
      </c>
      <c r="C5831" s="1" t="n">
        <v>45587</v>
      </c>
      <c r="D5831" t="inlineStr">
        <is>
          <t>GÄVLEBORGS LÄN</t>
        </is>
      </c>
      <c r="E5831" t="inlineStr">
        <is>
          <t>SANDVIKEN</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56538-2022</t>
        </is>
      </c>
      <c r="B5832" s="1" t="n">
        <v>44887</v>
      </c>
      <c r="C5832" s="1" t="n">
        <v>45587</v>
      </c>
      <c r="D5832" t="inlineStr">
        <is>
          <t>GÄVLEBORGS LÄN</t>
        </is>
      </c>
      <c r="E5832" t="inlineStr">
        <is>
          <t>GÄVLE</t>
        </is>
      </c>
      <c r="F5832" t="inlineStr">
        <is>
          <t>Bergvik skog väst AB</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55477-2022</t>
        </is>
      </c>
      <c r="B5833" s="1" t="n">
        <v>44887</v>
      </c>
      <c r="C5833" s="1" t="n">
        <v>45587</v>
      </c>
      <c r="D5833" t="inlineStr">
        <is>
          <t>GÄVLEBORGS LÄN</t>
        </is>
      </c>
      <c r="E5833" t="inlineStr">
        <is>
          <t>OVANÅKER</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55705-2022</t>
        </is>
      </c>
      <c r="B5834" s="1" t="n">
        <v>44888</v>
      </c>
      <c r="C5834" s="1" t="n">
        <v>45587</v>
      </c>
      <c r="D5834" t="inlineStr">
        <is>
          <t>GÄVLEBORGS LÄN</t>
        </is>
      </c>
      <c r="E5834" t="inlineStr">
        <is>
          <t>NORDANSTIG</t>
        </is>
      </c>
      <c r="F5834" t="inlineStr">
        <is>
          <t>Holmen skog AB</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55709-2022</t>
        </is>
      </c>
      <c r="B5835" s="1" t="n">
        <v>44888</v>
      </c>
      <c r="C5835" s="1" t="n">
        <v>45587</v>
      </c>
      <c r="D5835" t="inlineStr">
        <is>
          <t>GÄVLEBORGS LÄN</t>
        </is>
      </c>
      <c r="E5835" t="inlineStr">
        <is>
          <t>NORDANSTIG</t>
        </is>
      </c>
      <c r="F5835" t="inlineStr">
        <is>
          <t>Holmen skog AB</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55766-2022</t>
        </is>
      </c>
      <c r="B5836" s="1" t="n">
        <v>44888</v>
      </c>
      <c r="C5836" s="1" t="n">
        <v>45587</v>
      </c>
      <c r="D5836" t="inlineStr">
        <is>
          <t>GÄVLEBORGS LÄN</t>
        </is>
      </c>
      <c r="E5836" t="inlineStr">
        <is>
          <t>NORDANSTIG</t>
        </is>
      </c>
      <c r="F5836" t="inlineStr">
        <is>
          <t>Holmen skog AB</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55711-2022</t>
        </is>
      </c>
      <c r="B5837" s="1" t="n">
        <v>44888</v>
      </c>
      <c r="C5837" s="1" t="n">
        <v>45587</v>
      </c>
      <c r="D5837" t="inlineStr">
        <is>
          <t>GÄVLEBORGS LÄN</t>
        </is>
      </c>
      <c r="E5837" t="inlineStr">
        <is>
          <t>NORDANSTIG</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55740-2022</t>
        </is>
      </c>
      <c r="B5838" s="1" t="n">
        <v>44888</v>
      </c>
      <c r="C5838" s="1" t="n">
        <v>45587</v>
      </c>
      <c r="D5838" t="inlineStr">
        <is>
          <t>GÄVLEBORGS LÄN</t>
        </is>
      </c>
      <c r="E5838" t="inlineStr">
        <is>
          <t>NORDANSTIG</t>
        </is>
      </c>
      <c r="F5838" t="inlineStr">
        <is>
          <t>Holmen skog AB</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55781-2022</t>
        </is>
      </c>
      <c r="B5839" s="1" t="n">
        <v>44888</v>
      </c>
      <c r="C5839" s="1" t="n">
        <v>45587</v>
      </c>
      <c r="D5839" t="inlineStr">
        <is>
          <t>GÄVLEBORGS LÄN</t>
        </is>
      </c>
      <c r="E5839" t="inlineStr">
        <is>
          <t>LJUSDAL</t>
        </is>
      </c>
      <c r="F5839" t="inlineStr">
        <is>
          <t>Kommuner</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56874-2022</t>
        </is>
      </c>
      <c r="B5840" s="1" t="n">
        <v>44888</v>
      </c>
      <c r="C5840" s="1" t="n">
        <v>45587</v>
      </c>
      <c r="D5840" t="inlineStr">
        <is>
          <t>GÄVLEBORGS LÄN</t>
        </is>
      </c>
      <c r="E5840" t="inlineStr">
        <is>
          <t>GÄVLE</t>
        </is>
      </c>
      <c r="F5840" t="inlineStr">
        <is>
          <t>Bergvik skog väst AB</t>
        </is>
      </c>
      <c r="G5840" t="n">
        <v>7.5</v>
      </c>
      <c r="H5840" t="n">
        <v>0</v>
      </c>
      <c r="I5840" t="n">
        <v>0</v>
      </c>
      <c r="J5840" t="n">
        <v>0</v>
      </c>
      <c r="K5840" t="n">
        <v>0</v>
      </c>
      <c r="L5840" t="n">
        <v>0</v>
      </c>
      <c r="M5840" t="n">
        <v>0</v>
      </c>
      <c r="N5840" t="n">
        <v>0</v>
      </c>
      <c r="O5840" t="n">
        <v>0</v>
      </c>
      <c r="P5840" t="n">
        <v>0</v>
      </c>
      <c r="Q5840" t="n">
        <v>0</v>
      </c>
      <c r="R5840" s="2" t="inlineStr"/>
    </row>
    <row r="5841" ht="15" customHeight="1">
      <c r="A5841" t="inlineStr">
        <is>
          <t>A 55997-2022</t>
        </is>
      </c>
      <c r="B5841" s="1" t="n">
        <v>44889</v>
      </c>
      <c r="C5841" s="1" t="n">
        <v>45587</v>
      </c>
      <c r="D5841" t="inlineStr">
        <is>
          <t>GÄVLEBORGS LÄN</t>
        </is>
      </c>
      <c r="E5841" t="inlineStr">
        <is>
          <t>LJUSDAL</t>
        </is>
      </c>
      <c r="F5841" t="inlineStr">
        <is>
          <t>Holmen skog AB</t>
        </is>
      </c>
      <c r="G5841" t="n">
        <v>5.6</v>
      </c>
      <c r="H5841" t="n">
        <v>0</v>
      </c>
      <c r="I5841" t="n">
        <v>0</v>
      </c>
      <c r="J5841" t="n">
        <v>0</v>
      </c>
      <c r="K5841" t="n">
        <v>0</v>
      </c>
      <c r="L5841" t="n">
        <v>0</v>
      </c>
      <c r="M5841" t="n">
        <v>0</v>
      </c>
      <c r="N5841" t="n">
        <v>0</v>
      </c>
      <c r="O5841" t="n">
        <v>0</v>
      </c>
      <c r="P5841" t="n">
        <v>0</v>
      </c>
      <c r="Q5841" t="n">
        <v>0</v>
      </c>
      <c r="R5841" s="2" t="inlineStr"/>
    </row>
    <row r="5842" ht="15" customHeight="1">
      <c r="A5842" t="inlineStr">
        <is>
          <t>A 56066-2022</t>
        </is>
      </c>
      <c r="B5842" s="1" t="n">
        <v>44889</v>
      </c>
      <c r="C5842" s="1" t="n">
        <v>45587</v>
      </c>
      <c r="D5842" t="inlineStr">
        <is>
          <t>GÄVLEBORGS LÄN</t>
        </is>
      </c>
      <c r="E5842" t="inlineStr">
        <is>
          <t>SANDVIKEN</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56070-2022</t>
        </is>
      </c>
      <c r="B5843" s="1" t="n">
        <v>44889</v>
      </c>
      <c r="C5843" s="1" t="n">
        <v>45587</v>
      </c>
      <c r="D5843" t="inlineStr">
        <is>
          <t>GÄVLEBORGS LÄN</t>
        </is>
      </c>
      <c r="E5843" t="inlineStr">
        <is>
          <t>OVANÅKER</t>
        </is>
      </c>
      <c r="G5843" t="n">
        <v>7.2</v>
      </c>
      <c r="H5843" t="n">
        <v>0</v>
      </c>
      <c r="I5843" t="n">
        <v>0</v>
      </c>
      <c r="J5843" t="n">
        <v>0</v>
      </c>
      <c r="K5843" t="n">
        <v>0</v>
      </c>
      <c r="L5843" t="n">
        <v>0</v>
      </c>
      <c r="M5843" t="n">
        <v>0</v>
      </c>
      <c r="N5843" t="n">
        <v>0</v>
      </c>
      <c r="O5843" t="n">
        <v>0</v>
      </c>
      <c r="P5843" t="n">
        <v>0</v>
      </c>
      <c r="Q5843" t="n">
        <v>0</v>
      </c>
      <c r="R5843" s="2" t="inlineStr"/>
    </row>
    <row r="5844" ht="15" customHeight="1">
      <c r="A5844" t="inlineStr">
        <is>
          <t>A 56075-2022</t>
        </is>
      </c>
      <c r="B5844" s="1" t="n">
        <v>44889</v>
      </c>
      <c r="C5844" s="1" t="n">
        <v>45587</v>
      </c>
      <c r="D5844" t="inlineStr">
        <is>
          <t>GÄVLEBORGS LÄN</t>
        </is>
      </c>
      <c r="E5844" t="inlineStr">
        <is>
          <t>OVANÅKER</t>
        </is>
      </c>
      <c r="G5844" t="n">
        <v>19.5</v>
      </c>
      <c r="H5844" t="n">
        <v>0</v>
      </c>
      <c r="I5844" t="n">
        <v>0</v>
      </c>
      <c r="J5844" t="n">
        <v>0</v>
      </c>
      <c r="K5844" t="n">
        <v>0</v>
      </c>
      <c r="L5844" t="n">
        <v>0</v>
      </c>
      <c r="M5844" t="n">
        <v>0</v>
      </c>
      <c r="N5844" t="n">
        <v>0</v>
      </c>
      <c r="O5844" t="n">
        <v>0</v>
      </c>
      <c r="P5844" t="n">
        <v>0</v>
      </c>
      <c r="Q5844" t="n">
        <v>0</v>
      </c>
      <c r="R5844" s="2" t="inlineStr"/>
    </row>
    <row r="5845" ht="15" customHeight="1">
      <c r="A5845" t="inlineStr">
        <is>
          <t>A 55989-2022</t>
        </is>
      </c>
      <c r="B5845" s="1" t="n">
        <v>44889</v>
      </c>
      <c r="C5845" s="1" t="n">
        <v>45587</v>
      </c>
      <c r="D5845" t="inlineStr">
        <is>
          <t>GÄVLEBORGS LÄN</t>
        </is>
      </c>
      <c r="E5845" t="inlineStr">
        <is>
          <t>GÄVLE</t>
        </is>
      </c>
      <c r="F5845" t="inlineStr">
        <is>
          <t>Kyrkan</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55976-2022</t>
        </is>
      </c>
      <c r="B5846" s="1" t="n">
        <v>44889</v>
      </c>
      <c r="C5846" s="1" t="n">
        <v>45587</v>
      </c>
      <c r="D5846" t="inlineStr">
        <is>
          <t>GÄVLEBORGS LÄN</t>
        </is>
      </c>
      <c r="E5846" t="inlineStr">
        <is>
          <t>GÄVLE</t>
        </is>
      </c>
      <c r="F5846" t="inlineStr">
        <is>
          <t>Kyrkan</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55992-2022</t>
        </is>
      </c>
      <c r="B5847" s="1" t="n">
        <v>44889</v>
      </c>
      <c r="C5847" s="1" t="n">
        <v>45587</v>
      </c>
      <c r="D5847" t="inlineStr">
        <is>
          <t>GÄVLEBORGS LÄN</t>
        </is>
      </c>
      <c r="E5847" t="inlineStr">
        <is>
          <t>OVANÅKER</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56162-2022</t>
        </is>
      </c>
      <c r="B5848" s="1" t="n">
        <v>44889</v>
      </c>
      <c r="C5848" s="1" t="n">
        <v>45587</v>
      </c>
      <c r="D5848" t="inlineStr">
        <is>
          <t>GÄVLEBORGS LÄN</t>
        </is>
      </c>
      <c r="E5848" t="inlineStr">
        <is>
          <t>SÖDERHAMN</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55996-2022</t>
        </is>
      </c>
      <c r="B5849" s="1" t="n">
        <v>44889</v>
      </c>
      <c r="C5849" s="1" t="n">
        <v>45587</v>
      </c>
      <c r="D5849" t="inlineStr">
        <is>
          <t>GÄVLEBORGS LÄN</t>
        </is>
      </c>
      <c r="E5849" t="inlineStr">
        <is>
          <t>GÄVLE</t>
        </is>
      </c>
      <c r="F5849" t="inlineStr">
        <is>
          <t>Kyrkan</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56160-2022</t>
        </is>
      </c>
      <c r="B5850" s="1" t="n">
        <v>44889</v>
      </c>
      <c r="C5850" s="1" t="n">
        <v>45587</v>
      </c>
      <c r="D5850" t="inlineStr">
        <is>
          <t>GÄVLEBORGS LÄN</t>
        </is>
      </c>
      <c r="E5850" t="inlineStr">
        <is>
          <t>SÖDERHAMN</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56188-2022</t>
        </is>
      </c>
      <c r="B5851" s="1" t="n">
        <v>44889</v>
      </c>
      <c r="C5851" s="1" t="n">
        <v>45587</v>
      </c>
      <c r="D5851" t="inlineStr">
        <is>
          <t>GÄVLEBORGS LÄN</t>
        </is>
      </c>
      <c r="E5851" t="inlineStr">
        <is>
          <t>SÖDERHAMN</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56161-2022</t>
        </is>
      </c>
      <c r="B5852" s="1" t="n">
        <v>44889</v>
      </c>
      <c r="C5852" s="1" t="n">
        <v>45587</v>
      </c>
      <c r="D5852" t="inlineStr">
        <is>
          <t>GÄVLEBORGS LÄN</t>
        </is>
      </c>
      <c r="E5852" t="inlineStr">
        <is>
          <t>SÖDERHAMN</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55952-2022</t>
        </is>
      </c>
      <c r="B5853" s="1" t="n">
        <v>44889</v>
      </c>
      <c r="C5853" s="1" t="n">
        <v>45587</v>
      </c>
      <c r="D5853" t="inlineStr">
        <is>
          <t>GÄVLEBORGS LÄN</t>
        </is>
      </c>
      <c r="E5853" t="inlineStr">
        <is>
          <t>OCKELBO</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55962-2022</t>
        </is>
      </c>
      <c r="B5854" s="1" t="n">
        <v>44889</v>
      </c>
      <c r="C5854" s="1" t="n">
        <v>45587</v>
      </c>
      <c r="D5854" t="inlineStr">
        <is>
          <t>GÄVLEBORGS LÄN</t>
        </is>
      </c>
      <c r="E5854" t="inlineStr">
        <is>
          <t>LJUSDAL</t>
        </is>
      </c>
      <c r="G5854" t="n">
        <v>0.1</v>
      </c>
      <c r="H5854" t="n">
        <v>0</v>
      </c>
      <c r="I5854" t="n">
        <v>0</v>
      </c>
      <c r="J5854" t="n">
        <v>0</v>
      </c>
      <c r="K5854" t="n">
        <v>0</v>
      </c>
      <c r="L5854" t="n">
        <v>0</v>
      </c>
      <c r="M5854" t="n">
        <v>0</v>
      </c>
      <c r="N5854" t="n">
        <v>0</v>
      </c>
      <c r="O5854" t="n">
        <v>0</v>
      </c>
      <c r="P5854" t="n">
        <v>0</v>
      </c>
      <c r="Q5854" t="n">
        <v>0</v>
      </c>
      <c r="R5854" s="2" t="inlineStr"/>
    </row>
    <row r="5855" ht="15" customHeight="1">
      <c r="A5855" t="inlineStr">
        <is>
          <t>A 56232-2022</t>
        </is>
      </c>
      <c r="B5855" s="1" t="n">
        <v>44890</v>
      </c>
      <c r="C5855" s="1" t="n">
        <v>45587</v>
      </c>
      <c r="D5855" t="inlineStr">
        <is>
          <t>GÄVLEBORGS LÄN</t>
        </is>
      </c>
      <c r="E5855" t="inlineStr">
        <is>
          <t>OCKELBO</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56358-2022</t>
        </is>
      </c>
      <c r="B5856" s="1" t="n">
        <v>44890</v>
      </c>
      <c r="C5856" s="1" t="n">
        <v>45587</v>
      </c>
      <c r="D5856" t="inlineStr">
        <is>
          <t>GÄVLEBORGS LÄN</t>
        </is>
      </c>
      <c r="E5856" t="inlineStr">
        <is>
          <t>SÖDERHAMN</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56455-2022</t>
        </is>
      </c>
      <c r="B5857" s="1" t="n">
        <v>44893</v>
      </c>
      <c r="C5857" s="1" t="n">
        <v>45587</v>
      </c>
      <c r="D5857" t="inlineStr">
        <is>
          <t>GÄVLEBORGS LÄN</t>
        </is>
      </c>
      <c r="E5857" t="inlineStr">
        <is>
          <t>OVANÅKER</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56637-2022</t>
        </is>
      </c>
      <c r="B5858" s="1" t="n">
        <v>44893</v>
      </c>
      <c r="C5858" s="1" t="n">
        <v>45587</v>
      </c>
      <c r="D5858" t="inlineStr">
        <is>
          <t>GÄVLEBORGS LÄN</t>
        </is>
      </c>
      <c r="E5858" t="inlineStr">
        <is>
          <t>HUDIKSVALL</t>
        </is>
      </c>
      <c r="F5858" t="inlineStr">
        <is>
          <t>Holmen skog AB</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56682-2022</t>
        </is>
      </c>
      <c r="B5859" s="1" t="n">
        <v>44893</v>
      </c>
      <c r="C5859" s="1" t="n">
        <v>45587</v>
      </c>
      <c r="D5859" t="inlineStr">
        <is>
          <t>GÄVLEBORGS LÄN</t>
        </is>
      </c>
      <c r="E5859" t="inlineStr">
        <is>
          <t>NORDANSTIG</t>
        </is>
      </c>
      <c r="F5859" t="inlineStr">
        <is>
          <t>Holmen skog AB</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56478-2022</t>
        </is>
      </c>
      <c r="B5860" s="1" t="n">
        <v>44893</v>
      </c>
      <c r="C5860" s="1" t="n">
        <v>45587</v>
      </c>
      <c r="D5860" t="inlineStr">
        <is>
          <t>GÄVLEBORGS LÄN</t>
        </is>
      </c>
      <c r="E5860" t="inlineStr">
        <is>
          <t>LJUSDAL</t>
        </is>
      </c>
      <c r="G5860" t="n">
        <v>5.9</v>
      </c>
      <c r="H5860" t="n">
        <v>0</v>
      </c>
      <c r="I5860" t="n">
        <v>0</v>
      </c>
      <c r="J5860" t="n">
        <v>0</v>
      </c>
      <c r="K5860" t="n">
        <v>0</v>
      </c>
      <c r="L5860" t="n">
        <v>0</v>
      </c>
      <c r="M5860" t="n">
        <v>0</v>
      </c>
      <c r="N5860" t="n">
        <v>0</v>
      </c>
      <c r="O5860" t="n">
        <v>0</v>
      </c>
      <c r="P5860" t="n">
        <v>0</v>
      </c>
      <c r="Q5860" t="n">
        <v>0</v>
      </c>
      <c r="R5860" s="2" t="inlineStr"/>
    </row>
    <row r="5861" ht="15" customHeight="1">
      <c r="A5861" t="inlineStr">
        <is>
          <t>A 56477-2022</t>
        </is>
      </c>
      <c r="B5861" s="1" t="n">
        <v>44893</v>
      </c>
      <c r="C5861" s="1" t="n">
        <v>45587</v>
      </c>
      <c r="D5861" t="inlineStr">
        <is>
          <t>GÄVLEBORGS LÄN</t>
        </is>
      </c>
      <c r="E5861" t="inlineStr">
        <is>
          <t>HUDIKSVALL</t>
        </is>
      </c>
      <c r="F5861" t="inlineStr">
        <is>
          <t>Holmen skog AB</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56516-2022</t>
        </is>
      </c>
      <c r="B5862" s="1" t="n">
        <v>44893</v>
      </c>
      <c r="C5862" s="1" t="n">
        <v>45587</v>
      </c>
      <c r="D5862" t="inlineStr">
        <is>
          <t>GÄVLEBORGS LÄN</t>
        </is>
      </c>
      <c r="E5862" t="inlineStr">
        <is>
          <t>HUDIKSVALL</t>
        </is>
      </c>
      <c r="F5862" t="inlineStr">
        <is>
          <t>Holmen skog AB</t>
        </is>
      </c>
      <c r="G5862" t="n">
        <v>11.2</v>
      </c>
      <c r="H5862" t="n">
        <v>0</v>
      </c>
      <c r="I5862" t="n">
        <v>0</v>
      </c>
      <c r="J5862" t="n">
        <v>0</v>
      </c>
      <c r="K5862" t="n">
        <v>0</v>
      </c>
      <c r="L5862" t="n">
        <v>0</v>
      </c>
      <c r="M5862" t="n">
        <v>0</v>
      </c>
      <c r="N5862" t="n">
        <v>0</v>
      </c>
      <c r="O5862" t="n">
        <v>0</v>
      </c>
      <c r="P5862" t="n">
        <v>0</v>
      </c>
      <c r="Q5862" t="n">
        <v>0</v>
      </c>
      <c r="R5862" s="2" t="inlineStr"/>
    </row>
    <row r="5863" ht="15" customHeight="1">
      <c r="A5863" t="inlineStr">
        <is>
          <t>A 56631-2022</t>
        </is>
      </c>
      <c r="B5863" s="1" t="n">
        <v>44893</v>
      </c>
      <c r="C5863" s="1" t="n">
        <v>45587</v>
      </c>
      <c r="D5863" t="inlineStr">
        <is>
          <t>GÄVLEBORGS LÄN</t>
        </is>
      </c>
      <c r="E5863" t="inlineStr">
        <is>
          <t>OCKELBO</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56677-2022</t>
        </is>
      </c>
      <c r="B5864" s="1" t="n">
        <v>44893</v>
      </c>
      <c r="C5864" s="1" t="n">
        <v>45587</v>
      </c>
      <c r="D5864" t="inlineStr">
        <is>
          <t>GÄVLEBORGS LÄN</t>
        </is>
      </c>
      <c r="E5864" t="inlineStr">
        <is>
          <t>NORDANSTIG</t>
        </is>
      </c>
      <c r="F5864" t="inlineStr">
        <is>
          <t>Holmen skog AB</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56639-2022</t>
        </is>
      </c>
      <c r="B5865" s="1" t="n">
        <v>44893</v>
      </c>
      <c r="C5865" s="1" t="n">
        <v>45587</v>
      </c>
      <c r="D5865" t="inlineStr">
        <is>
          <t>GÄVLEBORGS LÄN</t>
        </is>
      </c>
      <c r="E5865" t="inlineStr">
        <is>
          <t>BOLLNÄS</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56755-2022</t>
        </is>
      </c>
      <c r="B5866" s="1" t="n">
        <v>44894</v>
      </c>
      <c r="C5866" s="1" t="n">
        <v>45587</v>
      </c>
      <c r="D5866" t="inlineStr">
        <is>
          <t>GÄVLEBORGS LÄN</t>
        </is>
      </c>
      <c r="E5866" t="inlineStr">
        <is>
          <t>BOLLNÄS</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56752-2022</t>
        </is>
      </c>
      <c r="B5867" s="1" t="n">
        <v>44894</v>
      </c>
      <c r="C5867" s="1" t="n">
        <v>45587</v>
      </c>
      <c r="D5867" t="inlineStr">
        <is>
          <t>GÄVLEBORGS LÄN</t>
        </is>
      </c>
      <c r="E5867" t="inlineStr">
        <is>
          <t>OVANÅKER</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56808-2022</t>
        </is>
      </c>
      <c r="B5868" s="1" t="n">
        <v>44894</v>
      </c>
      <c r="C5868" s="1" t="n">
        <v>45587</v>
      </c>
      <c r="D5868" t="inlineStr">
        <is>
          <t>GÄVLEBORGS LÄN</t>
        </is>
      </c>
      <c r="E5868" t="inlineStr">
        <is>
          <t>HUDIKSVALL</t>
        </is>
      </c>
      <c r="F5868" t="inlineStr">
        <is>
          <t>Kommuner</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56813-2022</t>
        </is>
      </c>
      <c r="B5869" s="1" t="n">
        <v>44894</v>
      </c>
      <c r="C5869" s="1" t="n">
        <v>45587</v>
      </c>
      <c r="D5869" t="inlineStr">
        <is>
          <t>GÄVLEBORGS LÄN</t>
        </is>
      </c>
      <c r="E5869" t="inlineStr">
        <is>
          <t>HUDIKSVALL</t>
        </is>
      </c>
      <c r="F5869" t="inlineStr">
        <is>
          <t>Kommuner</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56958-2022</t>
        </is>
      </c>
      <c r="B5870" s="1" t="n">
        <v>44894</v>
      </c>
      <c r="C5870" s="1" t="n">
        <v>45587</v>
      </c>
      <c r="D5870" t="inlineStr">
        <is>
          <t>GÄVLEBORGS LÄN</t>
        </is>
      </c>
      <c r="E5870" t="inlineStr">
        <is>
          <t>SANDVIKEN</t>
        </is>
      </c>
      <c r="G5870" t="n">
        <v>5.7</v>
      </c>
      <c r="H5870" t="n">
        <v>0</v>
      </c>
      <c r="I5870" t="n">
        <v>0</v>
      </c>
      <c r="J5870" t="n">
        <v>0</v>
      </c>
      <c r="K5870" t="n">
        <v>0</v>
      </c>
      <c r="L5870" t="n">
        <v>0</v>
      </c>
      <c r="M5870" t="n">
        <v>0</v>
      </c>
      <c r="N5870" t="n">
        <v>0</v>
      </c>
      <c r="O5870" t="n">
        <v>0</v>
      </c>
      <c r="P5870" t="n">
        <v>0</v>
      </c>
      <c r="Q5870" t="n">
        <v>0</v>
      </c>
      <c r="R5870" s="2" t="inlineStr"/>
    </row>
    <row r="5871" ht="15" customHeight="1">
      <c r="A5871" t="inlineStr">
        <is>
          <t>A 56766-2022</t>
        </is>
      </c>
      <c r="B5871" s="1" t="n">
        <v>44894</v>
      </c>
      <c r="C5871" s="1" t="n">
        <v>45587</v>
      </c>
      <c r="D5871" t="inlineStr">
        <is>
          <t>GÄVLEBORGS LÄN</t>
        </is>
      </c>
      <c r="E5871" t="inlineStr">
        <is>
          <t>LJUSDAL</t>
        </is>
      </c>
      <c r="F5871" t="inlineStr">
        <is>
          <t>Holmen skog AB</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56820-2022</t>
        </is>
      </c>
      <c r="B5872" s="1" t="n">
        <v>44894</v>
      </c>
      <c r="C5872" s="1" t="n">
        <v>45587</v>
      </c>
      <c r="D5872" t="inlineStr">
        <is>
          <t>GÄVLEBORGS LÄN</t>
        </is>
      </c>
      <c r="E5872" t="inlineStr">
        <is>
          <t>HUDIKSVALL</t>
        </is>
      </c>
      <c r="F5872" t="inlineStr">
        <is>
          <t>Kommuner</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56754-2022</t>
        </is>
      </c>
      <c r="B5873" s="1" t="n">
        <v>44894</v>
      </c>
      <c r="C5873" s="1" t="n">
        <v>45587</v>
      </c>
      <c r="D5873" t="inlineStr">
        <is>
          <t>GÄVLEBORGS LÄN</t>
        </is>
      </c>
      <c r="E5873" t="inlineStr">
        <is>
          <t>HUDIKSVALL</t>
        </is>
      </c>
      <c r="F5873" t="inlineStr">
        <is>
          <t>Holmen skog AB</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56805-2022</t>
        </is>
      </c>
      <c r="B5874" s="1" t="n">
        <v>44894</v>
      </c>
      <c r="C5874" s="1" t="n">
        <v>45587</v>
      </c>
      <c r="D5874" t="inlineStr">
        <is>
          <t>GÄVLEBORGS LÄN</t>
        </is>
      </c>
      <c r="E5874" t="inlineStr">
        <is>
          <t>HUDIKSVALL</t>
        </is>
      </c>
      <c r="F5874" t="inlineStr">
        <is>
          <t>Holmen skog AB</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56953-2022</t>
        </is>
      </c>
      <c r="B5875" s="1" t="n">
        <v>44894</v>
      </c>
      <c r="C5875" s="1" t="n">
        <v>45587</v>
      </c>
      <c r="D5875" t="inlineStr">
        <is>
          <t>GÄVLEBORGS LÄN</t>
        </is>
      </c>
      <c r="E5875" t="inlineStr">
        <is>
          <t>HUDIKSVALL</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56891-2022</t>
        </is>
      </c>
      <c r="B5876" s="1" t="n">
        <v>44894</v>
      </c>
      <c r="C5876" s="1" t="n">
        <v>45587</v>
      </c>
      <c r="D5876" t="inlineStr">
        <is>
          <t>GÄVLEBORGS LÄN</t>
        </is>
      </c>
      <c r="E5876" t="inlineStr">
        <is>
          <t>HUDIKSVALL</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57013-2022</t>
        </is>
      </c>
      <c r="B5877" s="1" t="n">
        <v>44894</v>
      </c>
      <c r="C5877" s="1" t="n">
        <v>45587</v>
      </c>
      <c r="D5877" t="inlineStr">
        <is>
          <t>GÄVLEBORGS LÄN</t>
        </is>
      </c>
      <c r="E5877" t="inlineStr">
        <is>
          <t>NORDANSTIG</t>
        </is>
      </c>
      <c r="F5877" t="inlineStr">
        <is>
          <t>SCA</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56870-2022</t>
        </is>
      </c>
      <c r="B5878" s="1" t="n">
        <v>44894</v>
      </c>
      <c r="C5878" s="1" t="n">
        <v>45587</v>
      </c>
      <c r="D5878" t="inlineStr">
        <is>
          <t>GÄVLEBORGS LÄN</t>
        </is>
      </c>
      <c r="E5878" t="inlineStr">
        <is>
          <t>NORDANSTIG</t>
        </is>
      </c>
      <c r="F5878" t="inlineStr">
        <is>
          <t>Holmen skog AB</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56924-2022</t>
        </is>
      </c>
      <c r="B5879" s="1" t="n">
        <v>44894</v>
      </c>
      <c r="C5879" s="1" t="n">
        <v>45587</v>
      </c>
      <c r="D5879" t="inlineStr">
        <is>
          <t>GÄVLEBORGS LÄN</t>
        </is>
      </c>
      <c r="E5879" t="inlineStr">
        <is>
          <t>BOLLNÄS</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57041-2022</t>
        </is>
      </c>
      <c r="B5880" s="1" t="n">
        <v>44895</v>
      </c>
      <c r="C5880" s="1" t="n">
        <v>45587</v>
      </c>
      <c r="D5880" t="inlineStr">
        <is>
          <t>GÄVLEBORGS LÄN</t>
        </is>
      </c>
      <c r="E5880" t="inlineStr">
        <is>
          <t>BOLLNÄS</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57044-2022</t>
        </is>
      </c>
      <c r="B5881" s="1" t="n">
        <v>44895</v>
      </c>
      <c r="C5881" s="1" t="n">
        <v>45587</v>
      </c>
      <c r="D5881" t="inlineStr">
        <is>
          <t>GÄVLEBORGS LÄN</t>
        </is>
      </c>
      <c r="E5881" t="inlineStr">
        <is>
          <t>SÖDERHAMN</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57040-2022</t>
        </is>
      </c>
      <c r="B5882" s="1" t="n">
        <v>44895</v>
      </c>
      <c r="C5882" s="1" t="n">
        <v>45587</v>
      </c>
      <c r="D5882" t="inlineStr">
        <is>
          <t>GÄVLEBORGS LÄN</t>
        </is>
      </c>
      <c r="E5882" t="inlineStr">
        <is>
          <t>GÄVLE</t>
        </is>
      </c>
      <c r="F5882" t="inlineStr">
        <is>
          <t>Kyrkan</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57050-2022</t>
        </is>
      </c>
      <c r="B5883" s="1" t="n">
        <v>44895</v>
      </c>
      <c r="C5883" s="1" t="n">
        <v>45587</v>
      </c>
      <c r="D5883" t="inlineStr">
        <is>
          <t>GÄVLEBORGS LÄN</t>
        </is>
      </c>
      <c r="E5883" t="inlineStr">
        <is>
          <t>SÖDERHAMN</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57110-2022</t>
        </is>
      </c>
      <c r="B5884" s="1" t="n">
        <v>44895</v>
      </c>
      <c r="C5884" s="1" t="n">
        <v>45587</v>
      </c>
      <c r="D5884" t="inlineStr">
        <is>
          <t>GÄVLEBORGS LÄN</t>
        </is>
      </c>
      <c r="E5884" t="inlineStr">
        <is>
          <t>LJUSDAL</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57104-2022</t>
        </is>
      </c>
      <c r="B5885" s="1" t="n">
        <v>44895</v>
      </c>
      <c r="C5885" s="1" t="n">
        <v>45587</v>
      </c>
      <c r="D5885" t="inlineStr">
        <is>
          <t>GÄVLEBORGS LÄN</t>
        </is>
      </c>
      <c r="E5885" t="inlineStr">
        <is>
          <t>SANDVIKEN</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57179-2022</t>
        </is>
      </c>
      <c r="B5886" s="1" t="n">
        <v>44895</v>
      </c>
      <c r="C5886" s="1" t="n">
        <v>45587</v>
      </c>
      <c r="D5886" t="inlineStr">
        <is>
          <t>GÄVLEBORGS LÄN</t>
        </is>
      </c>
      <c r="E5886" t="inlineStr">
        <is>
          <t>GÄVLE</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57196-2022</t>
        </is>
      </c>
      <c r="B5887" s="1" t="n">
        <v>44895</v>
      </c>
      <c r="C5887" s="1" t="n">
        <v>45587</v>
      </c>
      <c r="D5887" t="inlineStr">
        <is>
          <t>GÄVLEBORGS LÄN</t>
        </is>
      </c>
      <c r="E5887" t="inlineStr">
        <is>
          <t>NORDANSTIG</t>
        </is>
      </c>
      <c r="F5887" t="inlineStr">
        <is>
          <t>Holmen skog AB</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57199-2022</t>
        </is>
      </c>
      <c r="B5888" s="1" t="n">
        <v>44895</v>
      </c>
      <c r="C5888" s="1" t="n">
        <v>45587</v>
      </c>
      <c r="D5888" t="inlineStr">
        <is>
          <t>GÄVLEBORGS LÄN</t>
        </is>
      </c>
      <c r="E5888" t="inlineStr">
        <is>
          <t>HUDIKSVALL</t>
        </is>
      </c>
      <c r="G5888" t="n">
        <v>7.2</v>
      </c>
      <c r="H5888" t="n">
        <v>0</v>
      </c>
      <c r="I5888" t="n">
        <v>0</v>
      </c>
      <c r="J5888" t="n">
        <v>0</v>
      </c>
      <c r="K5888" t="n">
        <v>0</v>
      </c>
      <c r="L5888" t="n">
        <v>0</v>
      </c>
      <c r="M5888" t="n">
        <v>0</v>
      </c>
      <c r="N5888" t="n">
        <v>0</v>
      </c>
      <c r="O5888" t="n">
        <v>0</v>
      </c>
      <c r="P5888" t="n">
        <v>0</v>
      </c>
      <c r="Q5888" t="n">
        <v>0</v>
      </c>
      <c r="R5888" s="2" t="inlineStr"/>
    </row>
    <row r="5889" ht="15" customHeight="1">
      <c r="A5889" t="inlineStr">
        <is>
          <t>A 57269-2022</t>
        </is>
      </c>
      <c r="B5889" s="1" t="n">
        <v>44895</v>
      </c>
      <c r="C5889" s="1" t="n">
        <v>45587</v>
      </c>
      <c r="D5889" t="inlineStr">
        <is>
          <t>GÄVLEBORGS LÄN</t>
        </is>
      </c>
      <c r="E5889" t="inlineStr">
        <is>
          <t>LJUSDAL</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57338-2022</t>
        </is>
      </c>
      <c r="B5890" s="1" t="n">
        <v>44896</v>
      </c>
      <c r="C5890" s="1" t="n">
        <v>45587</v>
      </c>
      <c r="D5890" t="inlineStr">
        <is>
          <t>GÄVLEBORGS LÄN</t>
        </is>
      </c>
      <c r="E5890" t="inlineStr">
        <is>
          <t>OCKELBO</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57343-2022</t>
        </is>
      </c>
      <c r="B5891" s="1" t="n">
        <v>44896</v>
      </c>
      <c r="C5891" s="1" t="n">
        <v>45587</v>
      </c>
      <c r="D5891" t="inlineStr">
        <is>
          <t>GÄVLEBORGS LÄN</t>
        </is>
      </c>
      <c r="E5891" t="inlineStr">
        <is>
          <t>GÄVLE</t>
        </is>
      </c>
      <c r="F5891" t="inlineStr">
        <is>
          <t>Bergvik skog öst AB</t>
        </is>
      </c>
      <c r="G5891" t="n">
        <v>8.699999999999999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57345-2022</t>
        </is>
      </c>
      <c r="B5892" s="1" t="n">
        <v>44896</v>
      </c>
      <c r="C5892" s="1" t="n">
        <v>45587</v>
      </c>
      <c r="D5892" t="inlineStr">
        <is>
          <t>GÄVLEBORGS LÄN</t>
        </is>
      </c>
      <c r="E5892" t="inlineStr">
        <is>
          <t>GÄVLE</t>
        </is>
      </c>
      <c r="F5892" t="inlineStr">
        <is>
          <t>Bergvik skog öst AB</t>
        </is>
      </c>
      <c r="G5892" t="n">
        <v>19.1</v>
      </c>
      <c r="H5892" t="n">
        <v>0</v>
      </c>
      <c r="I5892" t="n">
        <v>0</v>
      </c>
      <c r="J5892" t="n">
        <v>0</v>
      </c>
      <c r="K5892" t="n">
        <v>0</v>
      </c>
      <c r="L5892" t="n">
        <v>0</v>
      </c>
      <c r="M5892" t="n">
        <v>0</v>
      </c>
      <c r="N5892" t="n">
        <v>0</v>
      </c>
      <c r="O5892" t="n">
        <v>0</v>
      </c>
      <c r="P5892" t="n">
        <v>0</v>
      </c>
      <c r="Q5892" t="n">
        <v>0</v>
      </c>
      <c r="R5892" s="2" t="inlineStr"/>
    </row>
    <row r="5893" ht="15" customHeight="1">
      <c r="A5893" t="inlineStr">
        <is>
          <t>A 57508-2022</t>
        </is>
      </c>
      <c r="B5893" s="1" t="n">
        <v>44896</v>
      </c>
      <c r="C5893" s="1" t="n">
        <v>45587</v>
      </c>
      <c r="D5893" t="inlineStr">
        <is>
          <t>GÄVLEBORGS LÄN</t>
        </is>
      </c>
      <c r="E5893" t="inlineStr">
        <is>
          <t>NORDANSTIG</t>
        </is>
      </c>
      <c r="F5893" t="inlineStr">
        <is>
          <t>Holmen skog AB</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57516-2022</t>
        </is>
      </c>
      <c r="B5894" s="1" t="n">
        <v>44896</v>
      </c>
      <c r="C5894" s="1" t="n">
        <v>45587</v>
      </c>
      <c r="D5894" t="inlineStr">
        <is>
          <t>GÄVLEBORGS LÄN</t>
        </is>
      </c>
      <c r="E5894" t="inlineStr">
        <is>
          <t>NORDANSTIG</t>
        </is>
      </c>
      <c r="F5894" t="inlineStr">
        <is>
          <t>Holmen skog AB</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57573-2022</t>
        </is>
      </c>
      <c r="B5895" s="1" t="n">
        <v>44896</v>
      </c>
      <c r="C5895" s="1" t="n">
        <v>45587</v>
      </c>
      <c r="D5895" t="inlineStr">
        <is>
          <t>GÄVLEBORGS LÄN</t>
        </is>
      </c>
      <c r="E5895" t="inlineStr">
        <is>
          <t>NORDANSTIG</t>
        </is>
      </c>
      <c r="G5895" t="n">
        <v>7.6</v>
      </c>
      <c r="H5895" t="n">
        <v>0</v>
      </c>
      <c r="I5895" t="n">
        <v>0</v>
      </c>
      <c r="J5895" t="n">
        <v>0</v>
      </c>
      <c r="K5895" t="n">
        <v>0</v>
      </c>
      <c r="L5895" t="n">
        <v>0</v>
      </c>
      <c r="M5895" t="n">
        <v>0</v>
      </c>
      <c r="N5895" t="n">
        <v>0</v>
      </c>
      <c r="O5895" t="n">
        <v>0</v>
      </c>
      <c r="P5895" t="n">
        <v>0</v>
      </c>
      <c r="Q5895" t="n">
        <v>0</v>
      </c>
      <c r="R5895" s="2" t="inlineStr"/>
    </row>
    <row r="5896" ht="15" customHeight="1">
      <c r="A5896" t="inlineStr">
        <is>
          <t>A 57650-2022</t>
        </is>
      </c>
      <c r="B5896" s="1" t="n">
        <v>44897</v>
      </c>
      <c r="C5896" s="1" t="n">
        <v>45587</v>
      </c>
      <c r="D5896" t="inlineStr">
        <is>
          <t>GÄVLEBORGS LÄN</t>
        </is>
      </c>
      <c r="E5896" t="inlineStr">
        <is>
          <t>HUDIKSVALL</t>
        </is>
      </c>
      <c r="F5896" t="inlineStr">
        <is>
          <t>Naturvårdsverket</t>
        </is>
      </c>
      <c r="G5896" t="n">
        <v>5.9</v>
      </c>
      <c r="H5896" t="n">
        <v>0</v>
      </c>
      <c r="I5896" t="n">
        <v>0</v>
      </c>
      <c r="J5896" t="n">
        <v>0</v>
      </c>
      <c r="K5896" t="n">
        <v>0</v>
      </c>
      <c r="L5896" t="n">
        <v>0</v>
      </c>
      <c r="M5896" t="n">
        <v>0</v>
      </c>
      <c r="N5896" t="n">
        <v>0</v>
      </c>
      <c r="O5896" t="n">
        <v>0</v>
      </c>
      <c r="P5896" t="n">
        <v>0</v>
      </c>
      <c r="Q5896" t="n">
        <v>0</v>
      </c>
      <c r="R5896" s="2" t="inlineStr"/>
    </row>
    <row r="5897" ht="15" customHeight="1">
      <c r="A5897" t="inlineStr">
        <is>
          <t>A 57681-2022</t>
        </is>
      </c>
      <c r="B5897" s="1" t="n">
        <v>44897</v>
      </c>
      <c r="C5897" s="1" t="n">
        <v>45587</v>
      </c>
      <c r="D5897" t="inlineStr">
        <is>
          <t>GÄVLEBORGS LÄN</t>
        </is>
      </c>
      <c r="E5897" t="inlineStr">
        <is>
          <t>GÄVLE</t>
        </is>
      </c>
      <c r="F5897" t="inlineStr">
        <is>
          <t>Kyrkan</t>
        </is>
      </c>
      <c r="G5897" t="n">
        <v>21.5</v>
      </c>
      <c r="H5897" t="n">
        <v>0</v>
      </c>
      <c r="I5897" t="n">
        <v>0</v>
      </c>
      <c r="J5897" t="n">
        <v>0</v>
      </c>
      <c r="K5897" t="n">
        <v>0</v>
      </c>
      <c r="L5897" t="n">
        <v>0</v>
      </c>
      <c r="M5897" t="n">
        <v>0</v>
      </c>
      <c r="N5897" t="n">
        <v>0</v>
      </c>
      <c r="O5897" t="n">
        <v>0</v>
      </c>
      <c r="P5897" t="n">
        <v>0</v>
      </c>
      <c r="Q5897" t="n">
        <v>0</v>
      </c>
      <c r="R5897" s="2" t="inlineStr"/>
    </row>
    <row r="5898" ht="15" customHeight="1">
      <c r="A5898" t="inlineStr">
        <is>
          <t>A 57689-2022</t>
        </is>
      </c>
      <c r="B5898" s="1" t="n">
        <v>44897</v>
      </c>
      <c r="C5898" s="1" t="n">
        <v>45587</v>
      </c>
      <c r="D5898" t="inlineStr">
        <is>
          <t>GÄVLEBORGS LÄN</t>
        </is>
      </c>
      <c r="E5898" t="inlineStr">
        <is>
          <t>BOLLNÄS</t>
        </is>
      </c>
      <c r="G5898" t="n">
        <v>6.7</v>
      </c>
      <c r="H5898" t="n">
        <v>0</v>
      </c>
      <c r="I5898" t="n">
        <v>0</v>
      </c>
      <c r="J5898" t="n">
        <v>0</v>
      </c>
      <c r="K5898" t="n">
        <v>0</v>
      </c>
      <c r="L5898" t="n">
        <v>0</v>
      </c>
      <c r="M5898" t="n">
        <v>0</v>
      </c>
      <c r="N5898" t="n">
        <v>0</v>
      </c>
      <c r="O5898" t="n">
        <v>0</v>
      </c>
      <c r="P5898" t="n">
        <v>0</v>
      </c>
      <c r="Q5898" t="n">
        <v>0</v>
      </c>
      <c r="R5898" s="2" t="inlineStr"/>
    </row>
    <row r="5899" ht="15" customHeight="1">
      <c r="A5899" t="inlineStr">
        <is>
          <t>A 57695-2022</t>
        </is>
      </c>
      <c r="B5899" s="1" t="n">
        <v>44897</v>
      </c>
      <c r="C5899" s="1" t="n">
        <v>45587</v>
      </c>
      <c r="D5899" t="inlineStr">
        <is>
          <t>GÄVLEBORGS LÄN</t>
        </is>
      </c>
      <c r="E5899" t="inlineStr">
        <is>
          <t>NORDANSTIG</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57716-2022</t>
        </is>
      </c>
      <c r="B5900" s="1" t="n">
        <v>44897</v>
      </c>
      <c r="C5900" s="1" t="n">
        <v>45587</v>
      </c>
      <c r="D5900" t="inlineStr">
        <is>
          <t>GÄVLEBORGS LÄN</t>
        </is>
      </c>
      <c r="E5900" t="inlineStr">
        <is>
          <t>HUDIKSVALL</t>
        </is>
      </c>
      <c r="F5900" t="inlineStr">
        <is>
          <t>Holmen skog AB</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57679-2022</t>
        </is>
      </c>
      <c r="B5901" s="1" t="n">
        <v>44897</v>
      </c>
      <c r="C5901" s="1" t="n">
        <v>45587</v>
      </c>
      <c r="D5901" t="inlineStr">
        <is>
          <t>GÄVLEBORGS LÄN</t>
        </is>
      </c>
      <c r="E5901" t="inlineStr">
        <is>
          <t>HUDIKSVALL</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57694-2022</t>
        </is>
      </c>
      <c r="B5902" s="1" t="n">
        <v>44897</v>
      </c>
      <c r="C5902" s="1" t="n">
        <v>45587</v>
      </c>
      <c r="D5902" t="inlineStr">
        <is>
          <t>GÄVLEBORGS LÄN</t>
        </is>
      </c>
      <c r="E5902" t="inlineStr">
        <is>
          <t>SÖDERHAMN</t>
        </is>
      </c>
      <c r="G5902" t="n">
        <v>8.1</v>
      </c>
      <c r="H5902" t="n">
        <v>0</v>
      </c>
      <c r="I5902" t="n">
        <v>0</v>
      </c>
      <c r="J5902" t="n">
        <v>0</v>
      </c>
      <c r="K5902" t="n">
        <v>0</v>
      </c>
      <c r="L5902" t="n">
        <v>0</v>
      </c>
      <c r="M5902" t="n">
        <v>0</v>
      </c>
      <c r="N5902" t="n">
        <v>0</v>
      </c>
      <c r="O5902" t="n">
        <v>0</v>
      </c>
      <c r="P5902" t="n">
        <v>0</v>
      </c>
      <c r="Q5902" t="n">
        <v>0</v>
      </c>
      <c r="R5902" s="2" t="inlineStr"/>
    </row>
    <row r="5903" ht="15" customHeight="1">
      <c r="A5903" t="inlineStr">
        <is>
          <t>A 57776-2022</t>
        </is>
      </c>
      <c r="B5903" s="1" t="n">
        <v>44897</v>
      </c>
      <c r="C5903" s="1" t="n">
        <v>45587</v>
      </c>
      <c r="D5903" t="inlineStr">
        <is>
          <t>GÄVLEBORGS LÄN</t>
        </is>
      </c>
      <c r="E5903" t="inlineStr">
        <is>
          <t>OVANÅKER</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57814-2022</t>
        </is>
      </c>
      <c r="B5904" s="1" t="n">
        <v>44897</v>
      </c>
      <c r="C5904" s="1" t="n">
        <v>45587</v>
      </c>
      <c r="D5904" t="inlineStr">
        <is>
          <t>GÄVLEBORGS LÄN</t>
        </is>
      </c>
      <c r="E5904" t="inlineStr">
        <is>
          <t>SÖDERHAMN</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57905-2022</t>
        </is>
      </c>
      <c r="B5905" s="1" t="n">
        <v>44900</v>
      </c>
      <c r="C5905" s="1" t="n">
        <v>45587</v>
      </c>
      <c r="D5905" t="inlineStr">
        <is>
          <t>GÄVLEBORGS LÄN</t>
        </is>
      </c>
      <c r="E5905" t="inlineStr">
        <is>
          <t>LJUSDAL</t>
        </is>
      </c>
      <c r="F5905" t="inlineStr">
        <is>
          <t>Allmännings- och besparingsskogar</t>
        </is>
      </c>
      <c r="G5905" t="n">
        <v>11.5</v>
      </c>
      <c r="H5905" t="n">
        <v>0</v>
      </c>
      <c r="I5905" t="n">
        <v>0</v>
      </c>
      <c r="J5905" t="n">
        <v>0</v>
      </c>
      <c r="K5905" t="n">
        <v>0</v>
      </c>
      <c r="L5905" t="n">
        <v>0</v>
      </c>
      <c r="M5905" t="n">
        <v>0</v>
      </c>
      <c r="N5905" t="n">
        <v>0</v>
      </c>
      <c r="O5905" t="n">
        <v>0</v>
      </c>
      <c r="P5905" t="n">
        <v>0</v>
      </c>
      <c r="Q5905" t="n">
        <v>0</v>
      </c>
      <c r="R5905" s="2" t="inlineStr"/>
    </row>
    <row r="5906" ht="15" customHeight="1">
      <c r="A5906" t="inlineStr">
        <is>
          <t>A 57924-2022</t>
        </is>
      </c>
      <c r="B5906" s="1" t="n">
        <v>44900</v>
      </c>
      <c r="C5906" s="1" t="n">
        <v>45587</v>
      </c>
      <c r="D5906" t="inlineStr">
        <is>
          <t>GÄVLEBORGS LÄN</t>
        </is>
      </c>
      <c r="E5906" t="inlineStr">
        <is>
          <t>SÖDERHAMN</t>
        </is>
      </c>
      <c r="F5906" t="inlineStr">
        <is>
          <t>Kyrkan</t>
        </is>
      </c>
      <c r="G5906" t="n">
        <v>36.7</v>
      </c>
      <c r="H5906" t="n">
        <v>0</v>
      </c>
      <c r="I5906" t="n">
        <v>0</v>
      </c>
      <c r="J5906" t="n">
        <v>0</v>
      </c>
      <c r="K5906" t="n">
        <v>0</v>
      </c>
      <c r="L5906" t="n">
        <v>0</v>
      </c>
      <c r="M5906" t="n">
        <v>0</v>
      </c>
      <c r="N5906" t="n">
        <v>0</v>
      </c>
      <c r="O5906" t="n">
        <v>0</v>
      </c>
      <c r="P5906" t="n">
        <v>0</v>
      </c>
      <c r="Q5906" t="n">
        <v>0</v>
      </c>
      <c r="R5906" s="2" t="inlineStr"/>
    </row>
    <row r="5907" ht="15" customHeight="1">
      <c r="A5907" t="inlineStr">
        <is>
          <t>A 57970-2022</t>
        </is>
      </c>
      <c r="B5907" s="1" t="n">
        <v>44900</v>
      </c>
      <c r="C5907" s="1" t="n">
        <v>45587</v>
      </c>
      <c r="D5907" t="inlineStr">
        <is>
          <t>GÄVLEBORGS LÄN</t>
        </is>
      </c>
      <c r="E5907" t="inlineStr">
        <is>
          <t>NORDANSTIG</t>
        </is>
      </c>
      <c r="G5907" t="n">
        <v>5</v>
      </c>
      <c r="H5907" t="n">
        <v>0</v>
      </c>
      <c r="I5907" t="n">
        <v>0</v>
      </c>
      <c r="J5907" t="n">
        <v>0</v>
      </c>
      <c r="K5907" t="n">
        <v>0</v>
      </c>
      <c r="L5907" t="n">
        <v>0</v>
      </c>
      <c r="M5907" t="n">
        <v>0</v>
      </c>
      <c r="N5907" t="n">
        <v>0</v>
      </c>
      <c r="O5907" t="n">
        <v>0</v>
      </c>
      <c r="P5907" t="n">
        <v>0</v>
      </c>
      <c r="Q5907" t="n">
        <v>0</v>
      </c>
      <c r="R5907" s="2" t="inlineStr"/>
    </row>
    <row r="5908" ht="15" customHeight="1">
      <c r="A5908" t="inlineStr">
        <is>
          <t>A 57976-2022</t>
        </is>
      </c>
      <c r="B5908" s="1" t="n">
        <v>44900</v>
      </c>
      <c r="C5908" s="1" t="n">
        <v>45587</v>
      </c>
      <c r="D5908" t="inlineStr">
        <is>
          <t>GÄVLEBORGS LÄN</t>
        </is>
      </c>
      <c r="E5908" t="inlineStr">
        <is>
          <t>NORDANSTIG</t>
        </is>
      </c>
      <c r="F5908" t="inlineStr">
        <is>
          <t>Holmen skog AB</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58083-2022</t>
        </is>
      </c>
      <c r="B5909" s="1" t="n">
        <v>44900</v>
      </c>
      <c r="C5909" s="1" t="n">
        <v>45587</v>
      </c>
      <c r="D5909" t="inlineStr">
        <is>
          <t>GÄVLEBORGS LÄN</t>
        </is>
      </c>
      <c r="E5909" t="inlineStr">
        <is>
          <t>OCKELBO</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58113-2022</t>
        </is>
      </c>
      <c r="B5910" s="1" t="n">
        <v>44900</v>
      </c>
      <c r="C5910" s="1" t="n">
        <v>45587</v>
      </c>
      <c r="D5910" t="inlineStr">
        <is>
          <t>GÄVLEBORGS LÄN</t>
        </is>
      </c>
      <c r="E5910" t="inlineStr">
        <is>
          <t>LJUSDAL</t>
        </is>
      </c>
      <c r="F5910" t="inlineStr">
        <is>
          <t>Sveaskog</t>
        </is>
      </c>
      <c r="G5910" t="n">
        <v>3.1</v>
      </c>
      <c r="H5910" t="n">
        <v>0</v>
      </c>
      <c r="I5910" t="n">
        <v>0</v>
      </c>
      <c r="J5910" t="n">
        <v>0</v>
      </c>
      <c r="K5910" t="n">
        <v>0</v>
      </c>
      <c r="L5910" t="n">
        <v>0</v>
      </c>
      <c r="M5910" t="n">
        <v>0</v>
      </c>
      <c r="N5910" t="n">
        <v>0</v>
      </c>
      <c r="O5910" t="n">
        <v>0</v>
      </c>
      <c r="P5910" t="n">
        <v>0</v>
      </c>
      <c r="Q5910" t="n">
        <v>0</v>
      </c>
      <c r="R5910" s="2" t="inlineStr"/>
    </row>
    <row r="5911" ht="15" customHeight="1">
      <c r="A5911" t="inlineStr">
        <is>
          <t>A 57983-2022</t>
        </is>
      </c>
      <c r="B5911" s="1" t="n">
        <v>44900</v>
      </c>
      <c r="C5911" s="1" t="n">
        <v>45587</v>
      </c>
      <c r="D5911" t="inlineStr">
        <is>
          <t>GÄVLEBORGS LÄN</t>
        </is>
      </c>
      <c r="E5911" t="inlineStr">
        <is>
          <t>NORDANSTIG</t>
        </is>
      </c>
      <c r="F5911" t="inlineStr">
        <is>
          <t>Holmen skog AB</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57949-2022</t>
        </is>
      </c>
      <c r="B5912" s="1" t="n">
        <v>44900</v>
      </c>
      <c r="C5912" s="1" t="n">
        <v>45587</v>
      </c>
      <c r="D5912" t="inlineStr">
        <is>
          <t>GÄVLEBORGS LÄN</t>
        </is>
      </c>
      <c r="E5912" t="inlineStr">
        <is>
          <t>LJUSDAL</t>
        </is>
      </c>
      <c r="F5912" t="inlineStr">
        <is>
          <t>Holmen skog AB</t>
        </is>
      </c>
      <c r="G5912" t="n">
        <v>6.4</v>
      </c>
      <c r="H5912" t="n">
        <v>0</v>
      </c>
      <c r="I5912" t="n">
        <v>0</v>
      </c>
      <c r="J5912" t="n">
        <v>0</v>
      </c>
      <c r="K5912" t="n">
        <v>0</v>
      </c>
      <c r="L5912" t="n">
        <v>0</v>
      </c>
      <c r="M5912" t="n">
        <v>0</v>
      </c>
      <c r="N5912" t="n">
        <v>0</v>
      </c>
      <c r="O5912" t="n">
        <v>0</v>
      </c>
      <c r="P5912" t="n">
        <v>0</v>
      </c>
      <c r="Q5912" t="n">
        <v>0</v>
      </c>
      <c r="R5912" s="2" t="inlineStr"/>
    </row>
    <row r="5913" ht="15" customHeight="1">
      <c r="A5913" t="inlineStr">
        <is>
          <t>A 57967-2022</t>
        </is>
      </c>
      <c r="B5913" s="1" t="n">
        <v>44900</v>
      </c>
      <c r="C5913" s="1" t="n">
        <v>45587</v>
      </c>
      <c r="D5913" t="inlineStr">
        <is>
          <t>GÄVLEBORGS LÄN</t>
        </is>
      </c>
      <c r="E5913" t="inlineStr">
        <is>
          <t>HUDIKSVALL</t>
        </is>
      </c>
      <c r="F5913" t="inlineStr">
        <is>
          <t>Holmen skog AB</t>
        </is>
      </c>
      <c r="G5913" t="n">
        <v>7</v>
      </c>
      <c r="H5913" t="n">
        <v>0</v>
      </c>
      <c r="I5913" t="n">
        <v>0</v>
      </c>
      <c r="J5913" t="n">
        <v>0</v>
      </c>
      <c r="K5913" t="n">
        <v>0</v>
      </c>
      <c r="L5913" t="n">
        <v>0</v>
      </c>
      <c r="M5913" t="n">
        <v>0</v>
      </c>
      <c r="N5913" t="n">
        <v>0</v>
      </c>
      <c r="O5913" t="n">
        <v>0</v>
      </c>
      <c r="P5913" t="n">
        <v>0</v>
      </c>
      <c r="Q5913" t="n">
        <v>0</v>
      </c>
      <c r="R5913" s="2" t="inlineStr"/>
    </row>
    <row r="5914" ht="15" customHeight="1">
      <c r="A5914" t="inlineStr">
        <is>
          <t>A 57971-2022</t>
        </is>
      </c>
      <c r="B5914" s="1" t="n">
        <v>44900</v>
      </c>
      <c r="C5914" s="1" t="n">
        <v>45587</v>
      </c>
      <c r="D5914" t="inlineStr">
        <is>
          <t>GÄVLEBORGS LÄN</t>
        </is>
      </c>
      <c r="E5914" t="inlineStr">
        <is>
          <t>HOFORS</t>
        </is>
      </c>
      <c r="F5914" t="inlineStr">
        <is>
          <t>Sveaskog</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57977-2022</t>
        </is>
      </c>
      <c r="B5915" s="1" t="n">
        <v>44900</v>
      </c>
      <c r="C5915" s="1" t="n">
        <v>45587</v>
      </c>
      <c r="D5915" t="inlineStr">
        <is>
          <t>GÄVLEBORGS LÄN</t>
        </is>
      </c>
      <c r="E5915" t="inlineStr">
        <is>
          <t>LJUSDAL</t>
        </is>
      </c>
      <c r="F5915" t="inlineStr">
        <is>
          <t>Holmen skog AB</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58088-2022</t>
        </is>
      </c>
      <c r="B5916" s="1" t="n">
        <v>44900</v>
      </c>
      <c r="C5916" s="1" t="n">
        <v>45587</v>
      </c>
      <c r="D5916" t="inlineStr">
        <is>
          <t>GÄVLEBORGS LÄN</t>
        </is>
      </c>
      <c r="E5916" t="inlineStr">
        <is>
          <t>HUDIKSVALL</t>
        </is>
      </c>
      <c r="G5916" t="n">
        <v>7.5</v>
      </c>
      <c r="H5916" t="n">
        <v>0</v>
      </c>
      <c r="I5916" t="n">
        <v>0</v>
      </c>
      <c r="J5916" t="n">
        <v>0</v>
      </c>
      <c r="K5916" t="n">
        <v>0</v>
      </c>
      <c r="L5916" t="n">
        <v>0</v>
      </c>
      <c r="M5916" t="n">
        <v>0</v>
      </c>
      <c r="N5916" t="n">
        <v>0</v>
      </c>
      <c r="O5916" t="n">
        <v>0</v>
      </c>
      <c r="P5916" t="n">
        <v>0</v>
      </c>
      <c r="Q5916" t="n">
        <v>0</v>
      </c>
      <c r="R5916" s="2" t="inlineStr"/>
    </row>
    <row r="5917" ht="15" customHeight="1">
      <c r="A5917" t="inlineStr">
        <is>
          <t>A 58184-2022</t>
        </is>
      </c>
      <c r="B5917" s="1" t="n">
        <v>44900</v>
      </c>
      <c r="C5917" s="1" t="n">
        <v>45587</v>
      </c>
      <c r="D5917" t="inlineStr">
        <is>
          <t>GÄVLEBORGS LÄN</t>
        </is>
      </c>
      <c r="E5917" t="inlineStr">
        <is>
          <t>NORDANSTIG</t>
        </is>
      </c>
      <c r="F5917" t="inlineStr">
        <is>
          <t>SCA</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58075-2022</t>
        </is>
      </c>
      <c r="B5918" s="1" t="n">
        <v>44900</v>
      </c>
      <c r="C5918" s="1" t="n">
        <v>45587</v>
      </c>
      <c r="D5918" t="inlineStr">
        <is>
          <t>GÄVLEBORGS LÄN</t>
        </is>
      </c>
      <c r="E5918" t="inlineStr">
        <is>
          <t>OVANÅKER</t>
        </is>
      </c>
      <c r="F5918" t="inlineStr">
        <is>
          <t>Bergvik skog väst AB</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58079-2022</t>
        </is>
      </c>
      <c r="B5919" s="1" t="n">
        <v>44900</v>
      </c>
      <c r="C5919" s="1" t="n">
        <v>45587</v>
      </c>
      <c r="D5919" t="inlineStr">
        <is>
          <t>GÄVLEBORGS LÄN</t>
        </is>
      </c>
      <c r="E5919" t="inlineStr">
        <is>
          <t>OCKELBO</t>
        </is>
      </c>
      <c r="G5919" t="n">
        <v>5.2</v>
      </c>
      <c r="H5919" t="n">
        <v>0</v>
      </c>
      <c r="I5919" t="n">
        <v>0</v>
      </c>
      <c r="J5919" t="n">
        <v>0</v>
      </c>
      <c r="K5919" t="n">
        <v>0</v>
      </c>
      <c r="L5919" t="n">
        <v>0</v>
      </c>
      <c r="M5919" t="n">
        <v>0</v>
      </c>
      <c r="N5919" t="n">
        <v>0</v>
      </c>
      <c r="O5919" t="n">
        <v>0</v>
      </c>
      <c r="P5919" t="n">
        <v>0</v>
      </c>
      <c r="Q5919" t="n">
        <v>0</v>
      </c>
      <c r="R5919" s="2" t="inlineStr"/>
    </row>
    <row r="5920" ht="15" customHeight="1">
      <c r="A5920" t="inlineStr">
        <is>
          <t>A 58307-2022</t>
        </is>
      </c>
      <c r="B5920" s="1" t="n">
        <v>44901</v>
      </c>
      <c r="C5920" s="1" t="n">
        <v>45587</v>
      </c>
      <c r="D5920" t="inlineStr">
        <is>
          <t>GÄVLEBORGS LÄN</t>
        </is>
      </c>
      <c r="E5920" t="inlineStr">
        <is>
          <t>OVANÅKER</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58350-2022</t>
        </is>
      </c>
      <c r="B5921" s="1" t="n">
        <v>44901</v>
      </c>
      <c r="C5921" s="1" t="n">
        <v>45587</v>
      </c>
      <c r="D5921" t="inlineStr">
        <is>
          <t>GÄVLEBORGS LÄN</t>
        </is>
      </c>
      <c r="E5921" t="inlineStr">
        <is>
          <t>SANDVIKEN</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58363-2022</t>
        </is>
      </c>
      <c r="B5922" s="1" t="n">
        <v>44901</v>
      </c>
      <c r="C5922" s="1" t="n">
        <v>45587</v>
      </c>
      <c r="D5922" t="inlineStr">
        <is>
          <t>GÄVLEBORGS LÄN</t>
        </is>
      </c>
      <c r="E5922" t="inlineStr">
        <is>
          <t>SANDVIKEN</t>
        </is>
      </c>
      <c r="G5922" t="n">
        <v>7.3</v>
      </c>
      <c r="H5922" t="n">
        <v>0</v>
      </c>
      <c r="I5922" t="n">
        <v>0</v>
      </c>
      <c r="J5922" t="n">
        <v>0</v>
      </c>
      <c r="K5922" t="n">
        <v>0</v>
      </c>
      <c r="L5922" t="n">
        <v>0</v>
      </c>
      <c r="M5922" t="n">
        <v>0</v>
      </c>
      <c r="N5922" t="n">
        <v>0</v>
      </c>
      <c r="O5922" t="n">
        <v>0</v>
      </c>
      <c r="P5922" t="n">
        <v>0</v>
      </c>
      <c r="Q5922" t="n">
        <v>0</v>
      </c>
      <c r="R5922" s="2" t="inlineStr"/>
    </row>
    <row r="5923" ht="15" customHeight="1">
      <c r="A5923" t="inlineStr">
        <is>
          <t>A 58239-2022</t>
        </is>
      </c>
      <c r="B5923" s="1" t="n">
        <v>44901</v>
      </c>
      <c r="C5923" s="1" t="n">
        <v>45587</v>
      </c>
      <c r="D5923" t="inlineStr">
        <is>
          <t>GÄVLEBORGS LÄN</t>
        </is>
      </c>
      <c r="E5923" t="inlineStr">
        <is>
          <t>LJUSDAL</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58280-2022</t>
        </is>
      </c>
      <c r="B5924" s="1" t="n">
        <v>44901</v>
      </c>
      <c r="C5924" s="1" t="n">
        <v>45587</v>
      </c>
      <c r="D5924" t="inlineStr">
        <is>
          <t>GÄVLEBORGS LÄN</t>
        </is>
      </c>
      <c r="E5924" t="inlineStr">
        <is>
          <t>LJUSDAL</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58354-2022</t>
        </is>
      </c>
      <c r="B5925" s="1" t="n">
        <v>44901</v>
      </c>
      <c r="C5925" s="1" t="n">
        <v>45587</v>
      </c>
      <c r="D5925" t="inlineStr">
        <is>
          <t>GÄVLEBORGS LÄN</t>
        </is>
      </c>
      <c r="E5925" t="inlineStr">
        <is>
          <t>SANDVIKEN</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58366-2022</t>
        </is>
      </c>
      <c r="B5926" s="1" t="n">
        <v>44901</v>
      </c>
      <c r="C5926" s="1" t="n">
        <v>45587</v>
      </c>
      <c r="D5926" t="inlineStr">
        <is>
          <t>GÄVLEBORGS LÄN</t>
        </is>
      </c>
      <c r="E5926" t="inlineStr">
        <is>
          <t>BOLLNÄS</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58435-2022</t>
        </is>
      </c>
      <c r="B5927" s="1" t="n">
        <v>44901</v>
      </c>
      <c r="C5927" s="1" t="n">
        <v>45587</v>
      </c>
      <c r="D5927" t="inlineStr">
        <is>
          <t>GÄVLEBORGS LÄN</t>
        </is>
      </c>
      <c r="E5927" t="inlineStr">
        <is>
          <t>SÖDERHAMN</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58371-2022</t>
        </is>
      </c>
      <c r="B5928" s="1" t="n">
        <v>44901</v>
      </c>
      <c r="C5928" s="1" t="n">
        <v>45587</v>
      </c>
      <c r="D5928" t="inlineStr">
        <is>
          <t>GÄVLEBORGS LÄN</t>
        </is>
      </c>
      <c r="E5928" t="inlineStr">
        <is>
          <t>SANDVIKEN</t>
        </is>
      </c>
      <c r="G5928" t="n">
        <v>7.8</v>
      </c>
      <c r="H5928" t="n">
        <v>0</v>
      </c>
      <c r="I5928" t="n">
        <v>0</v>
      </c>
      <c r="J5928" t="n">
        <v>0</v>
      </c>
      <c r="K5928" t="n">
        <v>0</v>
      </c>
      <c r="L5928" t="n">
        <v>0</v>
      </c>
      <c r="M5928" t="n">
        <v>0</v>
      </c>
      <c r="N5928" t="n">
        <v>0</v>
      </c>
      <c r="O5928" t="n">
        <v>0</v>
      </c>
      <c r="P5928" t="n">
        <v>0</v>
      </c>
      <c r="Q5928" t="n">
        <v>0</v>
      </c>
      <c r="R5928" s="2" t="inlineStr"/>
    </row>
    <row r="5929" ht="15" customHeight="1">
      <c r="A5929" t="inlineStr">
        <is>
          <t>A 58423-2022</t>
        </is>
      </c>
      <c r="B5929" s="1" t="n">
        <v>44901</v>
      </c>
      <c r="C5929" s="1" t="n">
        <v>45587</v>
      </c>
      <c r="D5929" t="inlineStr">
        <is>
          <t>GÄVLEBORGS LÄN</t>
        </is>
      </c>
      <c r="E5929" t="inlineStr">
        <is>
          <t>HUDIKSVALL</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58450-2022</t>
        </is>
      </c>
      <c r="B5930" s="1" t="n">
        <v>44901</v>
      </c>
      <c r="C5930" s="1" t="n">
        <v>45587</v>
      </c>
      <c r="D5930" t="inlineStr">
        <is>
          <t>GÄVLEBORGS LÄN</t>
        </is>
      </c>
      <c r="E5930" t="inlineStr">
        <is>
          <t>NORDANSTIG</t>
        </is>
      </c>
      <c r="F5930" t="inlineStr">
        <is>
          <t>SCA</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58550-2022</t>
        </is>
      </c>
      <c r="B5931" s="1" t="n">
        <v>44902</v>
      </c>
      <c r="C5931" s="1" t="n">
        <v>45587</v>
      </c>
      <c r="D5931" t="inlineStr">
        <is>
          <t>GÄVLEBORGS LÄN</t>
        </is>
      </c>
      <c r="E5931" t="inlineStr">
        <is>
          <t>SANDVIKEN</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58530-2022</t>
        </is>
      </c>
      <c r="B5932" s="1" t="n">
        <v>44902</v>
      </c>
      <c r="C5932" s="1" t="n">
        <v>45587</v>
      </c>
      <c r="D5932" t="inlineStr">
        <is>
          <t>GÄVLEBORGS LÄN</t>
        </is>
      </c>
      <c r="E5932" t="inlineStr">
        <is>
          <t>LJUSDAL</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58467-2022</t>
        </is>
      </c>
      <c r="B5933" s="1" t="n">
        <v>44902</v>
      </c>
      <c r="C5933" s="1" t="n">
        <v>45587</v>
      </c>
      <c r="D5933" t="inlineStr">
        <is>
          <t>GÄVLEBORGS LÄN</t>
        </is>
      </c>
      <c r="E5933" t="inlineStr">
        <is>
          <t>OVANÅKER</t>
        </is>
      </c>
      <c r="F5933" t="inlineStr">
        <is>
          <t>Bergvik skog väst AB</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58602-2022</t>
        </is>
      </c>
      <c r="B5934" s="1" t="n">
        <v>44902</v>
      </c>
      <c r="C5934" s="1" t="n">
        <v>45587</v>
      </c>
      <c r="D5934" t="inlineStr">
        <is>
          <t>GÄVLEBORGS LÄN</t>
        </is>
      </c>
      <c r="E5934" t="inlineStr">
        <is>
          <t>OVANÅKER</t>
        </is>
      </c>
      <c r="F5934" t="inlineStr">
        <is>
          <t>Bergvik skog väst AB</t>
        </is>
      </c>
      <c r="G5934" t="n">
        <v>6.1</v>
      </c>
      <c r="H5934" t="n">
        <v>0</v>
      </c>
      <c r="I5934" t="n">
        <v>0</v>
      </c>
      <c r="J5934" t="n">
        <v>0</v>
      </c>
      <c r="K5934" t="n">
        <v>0</v>
      </c>
      <c r="L5934" t="n">
        <v>0</v>
      </c>
      <c r="M5934" t="n">
        <v>0</v>
      </c>
      <c r="N5934" t="n">
        <v>0</v>
      </c>
      <c r="O5934" t="n">
        <v>0</v>
      </c>
      <c r="P5934" t="n">
        <v>0</v>
      </c>
      <c r="Q5934" t="n">
        <v>0</v>
      </c>
      <c r="R5934" s="2" t="inlineStr"/>
    </row>
    <row r="5935" ht="15" customHeight="1">
      <c r="A5935" t="inlineStr">
        <is>
          <t>A 58600-2022</t>
        </is>
      </c>
      <c r="B5935" s="1" t="n">
        <v>44902</v>
      </c>
      <c r="C5935" s="1" t="n">
        <v>45587</v>
      </c>
      <c r="D5935" t="inlineStr">
        <is>
          <t>GÄVLEBORGS LÄN</t>
        </is>
      </c>
      <c r="E5935" t="inlineStr">
        <is>
          <t>LJUSDAL</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58611-2022</t>
        </is>
      </c>
      <c r="B5936" s="1" t="n">
        <v>44902</v>
      </c>
      <c r="C5936" s="1" t="n">
        <v>45587</v>
      </c>
      <c r="D5936" t="inlineStr">
        <is>
          <t>GÄVLEBORGS LÄN</t>
        </is>
      </c>
      <c r="E5936" t="inlineStr">
        <is>
          <t>LJUSDAL</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58723-2022</t>
        </is>
      </c>
      <c r="B5937" s="1" t="n">
        <v>44902</v>
      </c>
      <c r="C5937" s="1" t="n">
        <v>45587</v>
      </c>
      <c r="D5937" t="inlineStr">
        <is>
          <t>GÄVLEBORGS LÄN</t>
        </is>
      </c>
      <c r="E5937" t="inlineStr">
        <is>
          <t>HUDIKSVALL</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58785-2022</t>
        </is>
      </c>
      <c r="B5938" s="1" t="n">
        <v>44903</v>
      </c>
      <c r="C5938" s="1" t="n">
        <v>45587</v>
      </c>
      <c r="D5938" t="inlineStr">
        <is>
          <t>GÄVLEBORGS LÄN</t>
        </is>
      </c>
      <c r="E5938" t="inlineStr">
        <is>
          <t>SANDVIKEN</t>
        </is>
      </c>
      <c r="F5938" t="inlineStr">
        <is>
          <t>Bergvik skog öst AB</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58918-2022</t>
        </is>
      </c>
      <c r="B5939" s="1" t="n">
        <v>44903</v>
      </c>
      <c r="C5939" s="1" t="n">
        <v>45587</v>
      </c>
      <c r="D5939" t="inlineStr">
        <is>
          <t>GÄVLEBORGS LÄN</t>
        </is>
      </c>
      <c r="E5939" t="inlineStr">
        <is>
          <t>OVANÅKER</t>
        </is>
      </c>
      <c r="F5939" t="inlineStr">
        <is>
          <t>Bergvik skog väst AB</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58783-2022</t>
        </is>
      </c>
      <c r="B5940" s="1" t="n">
        <v>44903</v>
      </c>
      <c r="C5940" s="1" t="n">
        <v>45587</v>
      </c>
      <c r="D5940" t="inlineStr">
        <is>
          <t>GÄVLEBORGS LÄN</t>
        </is>
      </c>
      <c r="E5940" t="inlineStr">
        <is>
          <t>LJUSDAL</t>
        </is>
      </c>
      <c r="F5940" t="inlineStr">
        <is>
          <t>Kyrkan</t>
        </is>
      </c>
      <c r="G5940" t="n">
        <v>5.1</v>
      </c>
      <c r="H5940" t="n">
        <v>0</v>
      </c>
      <c r="I5940" t="n">
        <v>0</v>
      </c>
      <c r="J5940" t="n">
        <v>0</v>
      </c>
      <c r="K5940" t="n">
        <v>0</v>
      </c>
      <c r="L5940" t="n">
        <v>0</v>
      </c>
      <c r="M5940" t="n">
        <v>0</v>
      </c>
      <c r="N5940" t="n">
        <v>0</v>
      </c>
      <c r="O5940" t="n">
        <v>0</v>
      </c>
      <c r="P5940" t="n">
        <v>0</v>
      </c>
      <c r="Q5940" t="n">
        <v>0</v>
      </c>
      <c r="R5940" s="2" t="inlineStr"/>
    </row>
    <row r="5941" ht="15" customHeight="1">
      <c r="A5941" t="inlineStr">
        <is>
          <t>A 58796-2022</t>
        </is>
      </c>
      <c r="B5941" s="1" t="n">
        <v>44903</v>
      </c>
      <c r="C5941" s="1" t="n">
        <v>45587</v>
      </c>
      <c r="D5941" t="inlineStr">
        <is>
          <t>GÄVLEBORGS LÄN</t>
        </is>
      </c>
      <c r="E5941" t="inlineStr">
        <is>
          <t>LJUSDAL</t>
        </is>
      </c>
      <c r="F5941" t="inlineStr">
        <is>
          <t>Kyrkan</t>
        </is>
      </c>
      <c r="G5941" t="n">
        <v>6.8</v>
      </c>
      <c r="H5941" t="n">
        <v>0</v>
      </c>
      <c r="I5941" t="n">
        <v>0</v>
      </c>
      <c r="J5941" t="n">
        <v>0</v>
      </c>
      <c r="K5941" t="n">
        <v>0</v>
      </c>
      <c r="L5941" t="n">
        <v>0</v>
      </c>
      <c r="M5941" t="n">
        <v>0</v>
      </c>
      <c r="N5941" t="n">
        <v>0</v>
      </c>
      <c r="O5941" t="n">
        <v>0</v>
      </c>
      <c r="P5941" t="n">
        <v>0</v>
      </c>
      <c r="Q5941" t="n">
        <v>0</v>
      </c>
      <c r="R5941" s="2" t="inlineStr"/>
      <c r="U5941">
        <f>HYPERLINK("https://klasma.github.io/Logging_2161/knärot/A 58796-2022 karta knärot.png", "A 58796-2022")</f>
        <v/>
      </c>
      <c r="V5941">
        <f>HYPERLINK("https://klasma.github.io/Logging_2161/klagomål/A 58796-2022 FSC-klagomål.docx", "A 58796-2022")</f>
        <v/>
      </c>
      <c r="W5941">
        <f>HYPERLINK("https://klasma.github.io/Logging_2161/klagomålsmail/A 58796-2022 FSC-klagomål mail.docx", "A 58796-2022")</f>
        <v/>
      </c>
      <c r="X5941">
        <f>HYPERLINK("https://klasma.github.io/Logging_2161/tillsyn/A 58796-2022 tillsynsbegäran.docx", "A 58796-2022")</f>
        <v/>
      </c>
      <c r="Y5941">
        <f>HYPERLINK("https://klasma.github.io/Logging_2161/tillsynsmail/A 58796-2022 tillsynsbegäran mail.docx", "A 58796-2022")</f>
        <v/>
      </c>
    </row>
    <row r="5942" ht="15" customHeight="1">
      <c r="A5942" t="inlineStr">
        <is>
          <t>A 58942-2022</t>
        </is>
      </c>
      <c r="B5942" s="1" t="n">
        <v>44903</v>
      </c>
      <c r="C5942" s="1" t="n">
        <v>45587</v>
      </c>
      <c r="D5942" t="inlineStr">
        <is>
          <t>GÄVLEBORGS LÄN</t>
        </is>
      </c>
      <c r="E5942" t="inlineStr">
        <is>
          <t>HUDIKSVALL</t>
        </is>
      </c>
      <c r="F5942" t="inlineStr">
        <is>
          <t>Holmen skog AB</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58820-2022</t>
        </is>
      </c>
      <c r="B5943" s="1" t="n">
        <v>44903</v>
      </c>
      <c r="C5943" s="1" t="n">
        <v>45587</v>
      </c>
      <c r="D5943" t="inlineStr">
        <is>
          <t>GÄVLEBORGS LÄN</t>
        </is>
      </c>
      <c r="E5943" t="inlineStr">
        <is>
          <t>LJUSDAL</t>
        </is>
      </c>
      <c r="F5943" t="inlineStr">
        <is>
          <t>Kyrkan</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58875-2022</t>
        </is>
      </c>
      <c r="B5944" s="1" t="n">
        <v>44903</v>
      </c>
      <c r="C5944" s="1" t="n">
        <v>45587</v>
      </c>
      <c r="D5944" t="inlineStr">
        <is>
          <t>GÄVLEBORGS LÄN</t>
        </is>
      </c>
      <c r="E5944" t="inlineStr">
        <is>
          <t>OVANÅKER</t>
        </is>
      </c>
      <c r="F5944" t="inlineStr">
        <is>
          <t>Bergvik skog väst AB</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58900-2022</t>
        </is>
      </c>
      <c r="B5945" s="1" t="n">
        <v>44903</v>
      </c>
      <c r="C5945" s="1" t="n">
        <v>45587</v>
      </c>
      <c r="D5945" t="inlineStr">
        <is>
          <t>GÄVLEBORGS LÄN</t>
        </is>
      </c>
      <c r="E5945" t="inlineStr">
        <is>
          <t>OVANÅKER</t>
        </is>
      </c>
      <c r="F5945" t="inlineStr">
        <is>
          <t>Bergvik skog väst AB</t>
        </is>
      </c>
      <c r="G5945" t="n">
        <v>6.7</v>
      </c>
      <c r="H5945" t="n">
        <v>0</v>
      </c>
      <c r="I5945" t="n">
        <v>0</v>
      </c>
      <c r="J5945" t="n">
        <v>0</v>
      </c>
      <c r="K5945" t="n">
        <v>0</v>
      </c>
      <c r="L5945" t="n">
        <v>0</v>
      </c>
      <c r="M5945" t="n">
        <v>0</v>
      </c>
      <c r="N5945" t="n">
        <v>0</v>
      </c>
      <c r="O5945" t="n">
        <v>0</v>
      </c>
      <c r="P5945" t="n">
        <v>0</v>
      </c>
      <c r="Q5945" t="n">
        <v>0</v>
      </c>
      <c r="R5945" s="2" t="inlineStr"/>
    </row>
    <row r="5946" ht="15" customHeight="1">
      <c r="A5946" t="inlineStr">
        <is>
          <t>A 59077-2022</t>
        </is>
      </c>
      <c r="B5946" s="1" t="n">
        <v>44904</v>
      </c>
      <c r="C5946" s="1" t="n">
        <v>45587</v>
      </c>
      <c r="D5946" t="inlineStr">
        <is>
          <t>GÄVLEBORGS LÄN</t>
        </is>
      </c>
      <c r="E5946" t="inlineStr">
        <is>
          <t>LJUSDAL</t>
        </is>
      </c>
      <c r="F5946" t="inlineStr">
        <is>
          <t>Holmen skog AB</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59118-2022</t>
        </is>
      </c>
      <c r="B5947" s="1" t="n">
        <v>44904</v>
      </c>
      <c r="C5947" s="1" t="n">
        <v>45587</v>
      </c>
      <c r="D5947" t="inlineStr">
        <is>
          <t>GÄVLEBORGS LÄN</t>
        </is>
      </c>
      <c r="E5947" t="inlineStr">
        <is>
          <t>HUDIKSVALL</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59064-2022</t>
        </is>
      </c>
      <c r="B5948" s="1" t="n">
        <v>44904</v>
      </c>
      <c r="C5948" s="1" t="n">
        <v>45587</v>
      </c>
      <c r="D5948" t="inlineStr">
        <is>
          <t>GÄVLEBORGS LÄN</t>
        </is>
      </c>
      <c r="E5948" t="inlineStr">
        <is>
          <t>HUDIKSVALL</t>
        </is>
      </c>
      <c r="F5948" t="inlineStr">
        <is>
          <t>Kyrkan</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59261-2022</t>
        </is>
      </c>
      <c r="B5949" s="1" t="n">
        <v>44904</v>
      </c>
      <c r="C5949" s="1" t="n">
        <v>45587</v>
      </c>
      <c r="D5949" t="inlineStr">
        <is>
          <t>GÄVLEBORGS LÄN</t>
        </is>
      </c>
      <c r="E5949" t="inlineStr">
        <is>
          <t>GÄVLE</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59211-2022</t>
        </is>
      </c>
      <c r="B5950" s="1" t="n">
        <v>44904</v>
      </c>
      <c r="C5950" s="1" t="n">
        <v>45587</v>
      </c>
      <c r="D5950" t="inlineStr">
        <is>
          <t>GÄVLEBORGS LÄN</t>
        </is>
      </c>
      <c r="E5950" t="inlineStr">
        <is>
          <t>NORDANSTIG</t>
        </is>
      </c>
      <c r="F5950" t="inlineStr">
        <is>
          <t>Holmen skog AB</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59331-2022</t>
        </is>
      </c>
      <c r="B5951" s="1" t="n">
        <v>44904</v>
      </c>
      <c r="C5951" s="1" t="n">
        <v>45587</v>
      </c>
      <c r="D5951" t="inlineStr">
        <is>
          <t>GÄVLEBORGS LÄN</t>
        </is>
      </c>
      <c r="E5951" t="inlineStr">
        <is>
          <t>BOLLNÄS</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59109-2022</t>
        </is>
      </c>
      <c r="B5952" s="1" t="n">
        <v>44904</v>
      </c>
      <c r="C5952" s="1" t="n">
        <v>45587</v>
      </c>
      <c r="D5952" t="inlineStr">
        <is>
          <t>GÄVLEBORGS LÄN</t>
        </is>
      </c>
      <c r="E5952" t="inlineStr">
        <is>
          <t>NORDANSTIG</t>
        </is>
      </c>
      <c r="F5952" t="inlineStr">
        <is>
          <t>Holmen skog AB</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59120-2022</t>
        </is>
      </c>
      <c r="B5953" s="1" t="n">
        <v>44904</v>
      </c>
      <c r="C5953" s="1" t="n">
        <v>45587</v>
      </c>
      <c r="D5953" t="inlineStr">
        <is>
          <t>GÄVLEBORGS LÄN</t>
        </is>
      </c>
      <c r="E5953" t="inlineStr">
        <is>
          <t>LJUSDAL</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59186-2022</t>
        </is>
      </c>
      <c r="B5954" s="1" t="n">
        <v>44904</v>
      </c>
      <c r="C5954" s="1" t="n">
        <v>45587</v>
      </c>
      <c r="D5954" t="inlineStr">
        <is>
          <t>GÄVLEBORGS LÄN</t>
        </is>
      </c>
      <c r="E5954" t="inlineStr">
        <is>
          <t>OVANÅKER</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59213-2022</t>
        </is>
      </c>
      <c r="B5955" s="1" t="n">
        <v>44904</v>
      </c>
      <c r="C5955" s="1" t="n">
        <v>45587</v>
      </c>
      <c r="D5955" t="inlineStr">
        <is>
          <t>GÄVLEBORGS LÄN</t>
        </is>
      </c>
      <c r="E5955" t="inlineStr">
        <is>
          <t>NORDANSTIG</t>
        </is>
      </c>
      <c r="F5955" t="inlineStr">
        <is>
          <t>Holmen skog AB</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59259-2022</t>
        </is>
      </c>
      <c r="B5956" s="1" t="n">
        <v>44904</v>
      </c>
      <c r="C5956" s="1" t="n">
        <v>45587</v>
      </c>
      <c r="D5956" t="inlineStr">
        <is>
          <t>GÄVLEBORGS LÄN</t>
        </is>
      </c>
      <c r="E5956" t="inlineStr">
        <is>
          <t>GÄVLE</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59313-2022</t>
        </is>
      </c>
      <c r="B5957" s="1" t="n">
        <v>44904</v>
      </c>
      <c r="C5957" s="1" t="n">
        <v>45587</v>
      </c>
      <c r="D5957" t="inlineStr">
        <is>
          <t>GÄVLEBORGS LÄN</t>
        </is>
      </c>
      <c r="E5957" t="inlineStr">
        <is>
          <t>GÄVLE</t>
        </is>
      </c>
      <c r="F5957" t="inlineStr">
        <is>
          <t>Bergvik skog öst AB</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59322-2022</t>
        </is>
      </c>
      <c r="B5958" s="1" t="n">
        <v>44904</v>
      </c>
      <c r="C5958" s="1" t="n">
        <v>45587</v>
      </c>
      <c r="D5958" t="inlineStr">
        <is>
          <t>GÄVLEBORGS LÄN</t>
        </is>
      </c>
      <c r="E5958" t="inlineStr">
        <is>
          <t>GÄVLE</t>
        </is>
      </c>
      <c r="F5958" t="inlineStr">
        <is>
          <t>Bergvik skog öst AB</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60822-2022</t>
        </is>
      </c>
      <c r="B5959" s="1" t="n">
        <v>44904</v>
      </c>
      <c r="C5959" s="1" t="n">
        <v>45587</v>
      </c>
      <c r="D5959" t="inlineStr">
        <is>
          <t>GÄVLEBORGS LÄN</t>
        </is>
      </c>
      <c r="E5959" t="inlineStr">
        <is>
          <t>LJUSDAL</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59451-2022</t>
        </is>
      </c>
      <c r="B5960" s="1" t="n">
        <v>44907</v>
      </c>
      <c r="C5960" s="1" t="n">
        <v>45587</v>
      </c>
      <c r="D5960" t="inlineStr">
        <is>
          <t>GÄVLEBORGS LÄN</t>
        </is>
      </c>
      <c r="E5960" t="inlineStr">
        <is>
          <t>SANDVIKEN</t>
        </is>
      </c>
      <c r="F5960" t="inlineStr">
        <is>
          <t>Bergvik skog öst AB</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59425-2022</t>
        </is>
      </c>
      <c r="B5961" s="1" t="n">
        <v>44907</v>
      </c>
      <c r="C5961" s="1" t="n">
        <v>45587</v>
      </c>
      <c r="D5961" t="inlineStr">
        <is>
          <t>GÄVLEBORGS LÄN</t>
        </is>
      </c>
      <c r="E5961" t="inlineStr">
        <is>
          <t>NORDANSTIG</t>
        </is>
      </c>
      <c r="F5961" t="inlineStr">
        <is>
          <t>Holmen skog AB</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59459-2022</t>
        </is>
      </c>
      <c r="B5962" s="1" t="n">
        <v>44907</v>
      </c>
      <c r="C5962" s="1" t="n">
        <v>45587</v>
      </c>
      <c r="D5962" t="inlineStr">
        <is>
          <t>GÄVLEBORGS LÄN</t>
        </is>
      </c>
      <c r="E5962" t="inlineStr">
        <is>
          <t>SANDVIKEN</t>
        </is>
      </c>
      <c r="F5962" t="inlineStr">
        <is>
          <t>Bergvik skog öst AB</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59476-2022</t>
        </is>
      </c>
      <c r="B5963" s="1" t="n">
        <v>44907</v>
      </c>
      <c r="C5963" s="1" t="n">
        <v>45587</v>
      </c>
      <c r="D5963" t="inlineStr">
        <is>
          <t>GÄVLEBORGS LÄN</t>
        </is>
      </c>
      <c r="E5963" t="inlineStr">
        <is>
          <t>SÖDERHAMN</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59522-2022</t>
        </is>
      </c>
      <c r="B5964" s="1" t="n">
        <v>44907</v>
      </c>
      <c r="C5964" s="1" t="n">
        <v>45587</v>
      </c>
      <c r="D5964" t="inlineStr">
        <is>
          <t>GÄVLEBORGS LÄN</t>
        </is>
      </c>
      <c r="E5964" t="inlineStr">
        <is>
          <t>HUDIKSVALL</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59422-2022</t>
        </is>
      </c>
      <c r="B5965" s="1" t="n">
        <v>44907</v>
      </c>
      <c r="C5965" s="1" t="n">
        <v>45587</v>
      </c>
      <c r="D5965" t="inlineStr">
        <is>
          <t>GÄVLEBORGS LÄN</t>
        </is>
      </c>
      <c r="E5965" t="inlineStr">
        <is>
          <t>NORDANSTIG</t>
        </is>
      </c>
      <c r="F5965" t="inlineStr">
        <is>
          <t>Holmen skog AB</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59478-2022</t>
        </is>
      </c>
      <c r="B5966" s="1" t="n">
        <v>44907</v>
      </c>
      <c r="C5966" s="1" t="n">
        <v>45587</v>
      </c>
      <c r="D5966" t="inlineStr">
        <is>
          <t>GÄVLEBORGS LÄN</t>
        </is>
      </c>
      <c r="E5966" t="inlineStr">
        <is>
          <t>SANDVIKEN</t>
        </is>
      </c>
      <c r="F5966" t="inlineStr">
        <is>
          <t>Bergvik skog öst AB</t>
        </is>
      </c>
      <c r="G5966" t="n">
        <v>4.7</v>
      </c>
      <c r="H5966" t="n">
        <v>0</v>
      </c>
      <c r="I5966" t="n">
        <v>0</v>
      </c>
      <c r="J5966" t="n">
        <v>0</v>
      </c>
      <c r="K5966" t="n">
        <v>0</v>
      </c>
      <c r="L5966" t="n">
        <v>0</v>
      </c>
      <c r="M5966" t="n">
        <v>0</v>
      </c>
      <c r="N5966" t="n">
        <v>0</v>
      </c>
      <c r="O5966" t="n">
        <v>0</v>
      </c>
      <c r="P5966" t="n">
        <v>0</v>
      </c>
      <c r="Q5966" t="n">
        <v>0</v>
      </c>
      <c r="R5966" s="2" t="inlineStr"/>
    </row>
    <row r="5967" ht="15" customHeight="1">
      <c r="A5967" t="inlineStr">
        <is>
          <t>A 59567-2022</t>
        </is>
      </c>
      <c r="B5967" s="1" t="n">
        <v>44907</v>
      </c>
      <c r="C5967" s="1" t="n">
        <v>45587</v>
      </c>
      <c r="D5967" t="inlineStr">
        <is>
          <t>GÄVLEBORGS LÄN</t>
        </is>
      </c>
      <c r="E5967" t="inlineStr">
        <is>
          <t>HOFORS</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59511-2022</t>
        </is>
      </c>
      <c r="B5968" s="1" t="n">
        <v>44907</v>
      </c>
      <c r="C5968" s="1" t="n">
        <v>45587</v>
      </c>
      <c r="D5968" t="inlineStr">
        <is>
          <t>GÄVLEBORGS LÄN</t>
        </is>
      </c>
      <c r="E5968" t="inlineStr">
        <is>
          <t>OVANÅKER</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59546-2022</t>
        </is>
      </c>
      <c r="B5969" s="1" t="n">
        <v>44907</v>
      </c>
      <c r="C5969" s="1" t="n">
        <v>45587</v>
      </c>
      <c r="D5969" t="inlineStr">
        <is>
          <t>GÄVLEBORGS LÄN</t>
        </is>
      </c>
      <c r="E5969" t="inlineStr">
        <is>
          <t>GÄVLE</t>
        </is>
      </c>
      <c r="F5969" t="inlineStr">
        <is>
          <t>Bergvik skog väst AB</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59571-2022</t>
        </is>
      </c>
      <c r="B5970" s="1" t="n">
        <v>44907</v>
      </c>
      <c r="C5970" s="1" t="n">
        <v>45587</v>
      </c>
      <c r="D5970" t="inlineStr">
        <is>
          <t>GÄVLEBORGS LÄN</t>
        </is>
      </c>
      <c r="E5970" t="inlineStr">
        <is>
          <t>HUDIKSVALL</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60898-2022</t>
        </is>
      </c>
      <c r="B5971" s="1" t="n">
        <v>44907</v>
      </c>
      <c r="C5971" s="1" t="n">
        <v>45587</v>
      </c>
      <c r="D5971" t="inlineStr">
        <is>
          <t>GÄVLEBORGS LÄN</t>
        </is>
      </c>
      <c r="E5971" t="inlineStr">
        <is>
          <t>OCKELBO</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59729-2022</t>
        </is>
      </c>
      <c r="B5972" s="1" t="n">
        <v>44908</v>
      </c>
      <c r="C5972" s="1" t="n">
        <v>45587</v>
      </c>
      <c r="D5972" t="inlineStr">
        <is>
          <t>GÄVLEBORGS LÄN</t>
        </is>
      </c>
      <c r="E5972" t="inlineStr">
        <is>
          <t>BOLLNÄS</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59738-2022</t>
        </is>
      </c>
      <c r="B5973" s="1" t="n">
        <v>44908</v>
      </c>
      <c r="C5973" s="1" t="n">
        <v>45587</v>
      </c>
      <c r="D5973" t="inlineStr">
        <is>
          <t>GÄVLEBORGS LÄN</t>
        </is>
      </c>
      <c r="E5973" t="inlineStr">
        <is>
          <t>SANDVIKEN</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59743-2022</t>
        </is>
      </c>
      <c r="B5974" s="1" t="n">
        <v>44908</v>
      </c>
      <c r="C5974" s="1" t="n">
        <v>45587</v>
      </c>
      <c r="D5974" t="inlineStr">
        <is>
          <t>GÄVLEBORGS LÄN</t>
        </is>
      </c>
      <c r="E5974" t="inlineStr">
        <is>
          <t>SANDVIKEN</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59672-2022</t>
        </is>
      </c>
      <c r="B5975" s="1" t="n">
        <v>44908</v>
      </c>
      <c r="C5975" s="1" t="n">
        <v>45587</v>
      </c>
      <c r="D5975" t="inlineStr">
        <is>
          <t>GÄVLEBORGS LÄN</t>
        </is>
      </c>
      <c r="E5975" t="inlineStr">
        <is>
          <t>HUDIKSVALL</t>
        </is>
      </c>
      <c r="F5975" t="inlineStr">
        <is>
          <t>Holmen skog AB</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59742-2022</t>
        </is>
      </c>
      <c r="B5976" s="1" t="n">
        <v>44908</v>
      </c>
      <c r="C5976" s="1" t="n">
        <v>45587</v>
      </c>
      <c r="D5976" t="inlineStr">
        <is>
          <t>GÄVLEBORGS LÄN</t>
        </is>
      </c>
      <c r="E5976" t="inlineStr">
        <is>
          <t>HUDIKSVALL</t>
        </is>
      </c>
      <c r="F5976" t="inlineStr">
        <is>
          <t>Holmen skog AB</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59710-2022</t>
        </is>
      </c>
      <c r="B5977" s="1" t="n">
        <v>44908</v>
      </c>
      <c r="C5977" s="1" t="n">
        <v>45587</v>
      </c>
      <c r="D5977" t="inlineStr">
        <is>
          <t>GÄVLEBORGS LÄN</t>
        </is>
      </c>
      <c r="E5977" t="inlineStr">
        <is>
          <t>LJUSDAL</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59741-2022</t>
        </is>
      </c>
      <c r="B5978" s="1" t="n">
        <v>44908</v>
      </c>
      <c r="C5978" s="1" t="n">
        <v>45587</v>
      </c>
      <c r="D5978" t="inlineStr">
        <is>
          <t>GÄVLEBORGS LÄN</t>
        </is>
      </c>
      <c r="E5978" t="inlineStr">
        <is>
          <t>HUDIKSVALL</t>
        </is>
      </c>
      <c r="G5978" t="n">
        <v>7.3</v>
      </c>
      <c r="H5978" t="n">
        <v>0</v>
      </c>
      <c r="I5978" t="n">
        <v>0</v>
      </c>
      <c r="J5978" t="n">
        <v>0</v>
      </c>
      <c r="K5978" t="n">
        <v>0</v>
      </c>
      <c r="L5978" t="n">
        <v>0</v>
      </c>
      <c r="M5978" t="n">
        <v>0</v>
      </c>
      <c r="N5978" t="n">
        <v>0</v>
      </c>
      <c r="O5978" t="n">
        <v>0</v>
      </c>
      <c r="P5978" t="n">
        <v>0</v>
      </c>
      <c r="Q5978" t="n">
        <v>0</v>
      </c>
      <c r="R5978" s="2" t="inlineStr"/>
    </row>
    <row r="5979" ht="15" customHeight="1">
      <c r="A5979" t="inlineStr">
        <is>
          <t>A 59759-2022</t>
        </is>
      </c>
      <c r="B5979" s="1" t="n">
        <v>44908</v>
      </c>
      <c r="C5979" s="1" t="n">
        <v>45587</v>
      </c>
      <c r="D5979" t="inlineStr">
        <is>
          <t>GÄVLEBORGS LÄN</t>
        </is>
      </c>
      <c r="E5979" t="inlineStr">
        <is>
          <t>HUDIKSVALL</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59772-2022</t>
        </is>
      </c>
      <c r="B5980" s="1" t="n">
        <v>44908</v>
      </c>
      <c r="C5980" s="1" t="n">
        <v>45587</v>
      </c>
      <c r="D5980" t="inlineStr">
        <is>
          <t>GÄVLEBORGS LÄN</t>
        </is>
      </c>
      <c r="E5980" t="inlineStr">
        <is>
          <t>SANDVIKEN</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59790-2022</t>
        </is>
      </c>
      <c r="B5981" s="1" t="n">
        <v>44908</v>
      </c>
      <c r="C5981" s="1" t="n">
        <v>45587</v>
      </c>
      <c r="D5981" t="inlineStr">
        <is>
          <t>GÄVLEBORGS LÄN</t>
        </is>
      </c>
      <c r="E5981" t="inlineStr">
        <is>
          <t>HUDIKSVALL</t>
        </is>
      </c>
      <c r="F5981" t="inlineStr">
        <is>
          <t>Holmen skog AB</t>
        </is>
      </c>
      <c r="G5981" t="n">
        <v>5.2</v>
      </c>
      <c r="H5981" t="n">
        <v>0</v>
      </c>
      <c r="I5981" t="n">
        <v>0</v>
      </c>
      <c r="J5981" t="n">
        <v>0</v>
      </c>
      <c r="K5981" t="n">
        <v>0</v>
      </c>
      <c r="L5981" t="n">
        <v>0</v>
      </c>
      <c r="M5981" t="n">
        <v>0</v>
      </c>
      <c r="N5981" t="n">
        <v>0</v>
      </c>
      <c r="O5981" t="n">
        <v>0</v>
      </c>
      <c r="P5981" t="n">
        <v>0</v>
      </c>
      <c r="Q5981" t="n">
        <v>0</v>
      </c>
      <c r="R5981" s="2" t="inlineStr"/>
    </row>
    <row r="5982" ht="15" customHeight="1">
      <c r="A5982" t="inlineStr">
        <is>
          <t>A 59799-2022</t>
        </is>
      </c>
      <c r="B5982" s="1" t="n">
        <v>44908</v>
      </c>
      <c r="C5982" s="1" t="n">
        <v>45587</v>
      </c>
      <c r="D5982" t="inlineStr">
        <is>
          <t>GÄVLEBORGS LÄN</t>
        </is>
      </c>
      <c r="E5982" t="inlineStr">
        <is>
          <t>NORDANSTIG</t>
        </is>
      </c>
      <c r="F5982" t="inlineStr">
        <is>
          <t>Holmen skog AB</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59856-2022</t>
        </is>
      </c>
      <c r="B5983" s="1" t="n">
        <v>44908</v>
      </c>
      <c r="C5983" s="1" t="n">
        <v>45587</v>
      </c>
      <c r="D5983" t="inlineStr">
        <is>
          <t>GÄVLEBORGS LÄN</t>
        </is>
      </c>
      <c r="E5983" t="inlineStr">
        <is>
          <t>HUDIKSVALL</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59677-2022</t>
        </is>
      </c>
      <c r="B5984" s="1" t="n">
        <v>44908</v>
      </c>
      <c r="C5984" s="1" t="n">
        <v>45587</v>
      </c>
      <c r="D5984" t="inlineStr">
        <is>
          <t>GÄVLEBORGS LÄN</t>
        </is>
      </c>
      <c r="E5984" t="inlineStr">
        <is>
          <t>SANDVIKEN</t>
        </is>
      </c>
      <c r="F5984" t="inlineStr">
        <is>
          <t>Bergvik skog öst AB</t>
        </is>
      </c>
      <c r="G5984" t="n">
        <v>10.8</v>
      </c>
      <c r="H5984" t="n">
        <v>0</v>
      </c>
      <c r="I5984" t="n">
        <v>0</v>
      </c>
      <c r="J5984" t="n">
        <v>0</v>
      </c>
      <c r="K5984" t="n">
        <v>0</v>
      </c>
      <c r="L5984" t="n">
        <v>0</v>
      </c>
      <c r="M5984" t="n">
        <v>0</v>
      </c>
      <c r="N5984" t="n">
        <v>0</v>
      </c>
      <c r="O5984" t="n">
        <v>0</v>
      </c>
      <c r="P5984" t="n">
        <v>0</v>
      </c>
      <c r="Q5984" t="n">
        <v>0</v>
      </c>
      <c r="R5984" s="2" t="inlineStr"/>
    </row>
    <row r="5985" ht="15" customHeight="1">
      <c r="A5985" t="inlineStr">
        <is>
          <t>A 59901-2022</t>
        </is>
      </c>
      <c r="B5985" s="1" t="n">
        <v>44908</v>
      </c>
      <c r="C5985" s="1" t="n">
        <v>45587</v>
      </c>
      <c r="D5985" t="inlineStr">
        <is>
          <t>GÄVLEBORGS LÄN</t>
        </is>
      </c>
      <c r="E5985" t="inlineStr">
        <is>
          <t>LJUSDAL</t>
        </is>
      </c>
      <c r="G5985" t="n">
        <v>10.3</v>
      </c>
      <c r="H5985" t="n">
        <v>0</v>
      </c>
      <c r="I5985" t="n">
        <v>0</v>
      </c>
      <c r="J5985" t="n">
        <v>0</v>
      </c>
      <c r="K5985" t="n">
        <v>0</v>
      </c>
      <c r="L5985" t="n">
        <v>0</v>
      </c>
      <c r="M5985" t="n">
        <v>0</v>
      </c>
      <c r="N5985" t="n">
        <v>0</v>
      </c>
      <c r="O5985" t="n">
        <v>0</v>
      </c>
      <c r="P5985" t="n">
        <v>0</v>
      </c>
      <c r="Q5985" t="n">
        <v>0</v>
      </c>
      <c r="R5985" s="2" t="inlineStr"/>
    </row>
    <row r="5986" ht="15" customHeight="1">
      <c r="A5986" t="inlineStr">
        <is>
          <t>A 59798-2022</t>
        </is>
      </c>
      <c r="B5986" s="1" t="n">
        <v>44908</v>
      </c>
      <c r="C5986" s="1" t="n">
        <v>45587</v>
      </c>
      <c r="D5986" t="inlineStr">
        <is>
          <t>GÄVLEBORGS LÄN</t>
        </is>
      </c>
      <c r="E5986" t="inlineStr">
        <is>
          <t>HUDIKSVALL</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59808-2022</t>
        </is>
      </c>
      <c r="B5987" s="1" t="n">
        <v>44908</v>
      </c>
      <c r="C5987" s="1" t="n">
        <v>45587</v>
      </c>
      <c r="D5987" t="inlineStr">
        <is>
          <t>GÄVLEBORGS LÄN</t>
        </is>
      </c>
      <c r="E5987" t="inlineStr">
        <is>
          <t>HUDIKSVALL</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59826-2022</t>
        </is>
      </c>
      <c r="B5988" s="1" t="n">
        <v>44908</v>
      </c>
      <c r="C5988" s="1" t="n">
        <v>45587</v>
      </c>
      <c r="D5988" t="inlineStr">
        <is>
          <t>GÄVLEBORGS LÄN</t>
        </is>
      </c>
      <c r="E5988" t="inlineStr">
        <is>
          <t>LJUSDAL</t>
        </is>
      </c>
      <c r="F5988" t="inlineStr">
        <is>
          <t>Kommuner</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59906-2022</t>
        </is>
      </c>
      <c r="B5989" s="1" t="n">
        <v>44908</v>
      </c>
      <c r="C5989" s="1" t="n">
        <v>45587</v>
      </c>
      <c r="D5989" t="inlineStr">
        <is>
          <t>GÄVLEBORGS LÄN</t>
        </is>
      </c>
      <c r="E5989" t="inlineStr">
        <is>
          <t>SÖDERHAMN</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60099-2022</t>
        </is>
      </c>
      <c r="B5990" s="1" t="n">
        <v>44909</v>
      </c>
      <c r="C5990" s="1" t="n">
        <v>45587</v>
      </c>
      <c r="D5990" t="inlineStr">
        <is>
          <t>GÄVLEBORGS LÄN</t>
        </is>
      </c>
      <c r="E5990" t="inlineStr">
        <is>
          <t>LJUSDAL</t>
        </is>
      </c>
      <c r="F5990" t="inlineStr">
        <is>
          <t>Bergvik skog väst AB</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60118-2022</t>
        </is>
      </c>
      <c r="B5991" s="1" t="n">
        <v>44909</v>
      </c>
      <c r="C5991" s="1" t="n">
        <v>45587</v>
      </c>
      <c r="D5991" t="inlineStr">
        <is>
          <t>GÄVLEBORGS LÄN</t>
        </is>
      </c>
      <c r="E5991" t="inlineStr">
        <is>
          <t>LJUSDAL</t>
        </is>
      </c>
      <c r="F5991" t="inlineStr">
        <is>
          <t>Bergvik skog väst AB</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60111-2022</t>
        </is>
      </c>
      <c r="B5992" s="1" t="n">
        <v>44909</v>
      </c>
      <c r="C5992" s="1" t="n">
        <v>45587</v>
      </c>
      <c r="D5992" t="inlineStr">
        <is>
          <t>GÄVLEBORGS LÄN</t>
        </is>
      </c>
      <c r="E5992" t="inlineStr">
        <is>
          <t>HUDIKSVALL</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60125-2022</t>
        </is>
      </c>
      <c r="B5993" s="1" t="n">
        <v>44909</v>
      </c>
      <c r="C5993" s="1" t="n">
        <v>45587</v>
      </c>
      <c r="D5993" t="inlineStr">
        <is>
          <t>GÄVLEBORGS LÄN</t>
        </is>
      </c>
      <c r="E5993" t="inlineStr">
        <is>
          <t>LJUSDAL</t>
        </is>
      </c>
      <c r="F5993" t="inlineStr">
        <is>
          <t>Bergvik skog väst AB</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60032-2022</t>
        </is>
      </c>
      <c r="B5994" s="1" t="n">
        <v>44909</v>
      </c>
      <c r="C5994" s="1" t="n">
        <v>45587</v>
      </c>
      <c r="D5994" t="inlineStr">
        <is>
          <t>GÄVLEBORGS LÄN</t>
        </is>
      </c>
      <c r="E5994" t="inlineStr">
        <is>
          <t>BOLLNÄS</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60142-2022</t>
        </is>
      </c>
      <c r="B5995" s="1" t="n">
        <v>44909</v>
      </c>
      <c r="C5995" s="1" t="n">
        <v>45587</v>
      </c>
      <c r="D5995" t="inlineStr">
        <is>
          <t>GÄVLEBORGS LÄN</t>
        </is>
      </c>
      <c r="E5995" t="inlineStr">
        <is>
          <t>SANDVIKEN</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60121-2022</t>
        </is>
      </c>
      <c r="B5996" s="1" t="n">
        <v>44909</v>
      </c>
      <c r="C5996" s="1" t="n">
        <v>45587</v>
      </c>
      <c r="D5996" t="inlineStr">
        <is>
          <t>GÄVLEBORGS LÄN</t>
        </is>
      </c>
      <c r="E5996" t="inlineStr">
        <is>
          <t>LJUSDAL</t>
        </is>
      </c>
      <c r="F5996" t="inlineStr">
        <is>
          <t>Bergvik skog väst AB</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60130-2022</t>
        </is>
      </c>
      <c r="B5997" s="1" t="n">
        <v>44909</v>
      </c>
      <c r="C5997" s="1" t="n">
        <v>45587</v>
      </c>
      <c r="D5997" t="inlineStr">
        <is>
          <t>GÄVLEBORGS LÄN</t>
        </is>
      </c>
      <c r="E5997" t="inlineStr">
        <is>
          <t>BOLLNÄS</t>
        </is>
      </c>
      <c r="G5997" t="n">
        <v>7.4</v>
      </c>
      <c r="H5997" t="n">
        <v>0</v>
      </c>
      <c r="I5997" t="n">
        <v>0</v>
      </c>
      <c r="J5997" t="n">
        <v>0</v>
      </c>
      <c r="K5997" t="n">
        <v>0</v>
      </c>
      <c r="L5997" t="n">
        <v>0</v>
      </c>
      <c r="M5997" t="n">
        <v>0</v>
      </c>
      <c r="N5997" t="n">
        <v>0</v>
      </c>
      <c r="O5997" t="n">
        <v>0</v>
      </c>
      <c r="P5997" t="n">
        <v>0</v>
      </c>
      <c r="Q5997" t="n">
        <v>0</v>
      </c>
      <c r="R5997" s="2" t="inlineStr"/>
    </row>
    <row r="5998" ht="15" customHeight="1">
      <c r="A5998" t="inlineStr">
        <is>
          <t>A 59973-2022</t>
        </is>
      </c>
      <c r="B5998" s="1" t="n">
        <v>44909</v>
      </c>
      <c r="C5998" s="1" t="n">
        <v>45587</v>
      </c>
      <c r="D5998" t="inlineStr">
        <is>
          <t>GÄVLEBORGS LÄN</t>
        </is>
      </c>
      <c r="E5998" t="inlineStr">
        <is>
          <t>HUDIKSVALL</t>
        </is>
      </c>
      <c r="F5998" t="inlineStr">
        <is>
          <t>Kyrkan</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59998-2022</t>
        </is>
      </c>
      <c r="B5999" s="1" t="n">
        <v>44909</v>
      </c>
      <c r="C5999" s="1" t="n">
        <v>45587</v>
      </c>
      <c r="D5999" t="inlineStr">
        <is>
          <t>GÄVLEBORGS LÄN</t>
        </is>
      </c>
      <c r="E5999" t="inlineStr">
        <is>
          <t>OVANÅKER</t>
        </is>
      </c>
      <c r="F5999" t="inlineStr">
        <is>
          <t>Bergvik skog väst AB</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60197-2022</t>
        </is>
      </c>
      <c r="B6000" s="1" t="n">
        <v>44910</v>
      </c>
      <c r="C6000" s="1" t="n">
        <v>45587</v>
      </c>
      <c r="D6000" t="inlineStr">
        <is>
          <t>GÄVLEBORGS LÄN</t>
        </is>
      </c>
      <c r="E6000" t="inlineStr">
        <is>
          <t>HUDIKSVALL</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60229-2022</t>
        </is>
      </c>
      <c r="B6001" s="1" t="n">
        <v>44910</v>
      </c>
      <c r="C6001" s="1" t="n">
        <v>45587</v>
      </c>
      <c r="D6001" t="inlineStr">
        <is>
          <t>GÄVLEBORGS LÄN</t>
        </is>
      </c>
      <c r="E6001" t="inlineStr">
        <is>
          <t>HUDIKSVALL</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60183-2022</t>
        </is>
      </c>
      <c r="B6002" s="1" t="n">
        <v>44910</v>
      </c>
      <c r="C6002" s="1" t="n">
        <v>45587</v>
      </c>
      <c r="D6002" t="inlineStr">
        <is>
          <t>GÄVLEBORGS LÄN</t>
        </is>
      </c>
      <c r="E6002" t="inlineStr">
        <is>
          <t>LJUSDAL</t>
        </is>
      </c>
      <c r="F6002" t="inlineStr">
        <is>
          <t>Holmen skog AB</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60209-2022</t>
        </is>
      </c>
      <c r="B6003" s="1" t="n">
        <v>44910</v>
      </c>
      <c r="C6003" s="1" t="n">
        <v>45587</v>
      </c>
      <c r="D6003" t="inlineStr">
        <is>
          <t>GÄVLEBORGS LÄN</t>
        </is>
      </c>
      <c r="E6003" t="inlineStr">
        <is>
          <t>HUDIKSVALL</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60208-2022</t>
        </is>
      </c>
      <c r="B6004" s="1" t="n">
        <v>44910</v>
      </c>
      <c r="C6004" s="1" t="n">
        <v>45587</v>
      </c>
      <c r="D6004" t="inlineStr">
        <is>
          <t>GÄVLEBORGS LÄN</t>
        </is>
      </c>
      <c r="E6004" t="inlineStr">
        <is>
          <t>HUDIKSVALL</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60275-2022</t>
        </is>
      </c>
      <c r="B6005" s="1" t="n">
        <v>44910</v>
      </c>
      <c r="C6005" s="1" t="n">
        <v>45587</v>
      </c>
      <c r="D6005" t="inlineStr">
        <is>
          <t>GÄVLEBORGS LÄN</t>
        </is>
      </c>
      <c r="E6005" t="inlineStr">
        <is>
          <t>OVANÅKER</t>
        </is>
      </c>
      <c r="F6005" t="inlineStr">
        <is>
          <t>Sveaskog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60273-2022</t>
        </is>
      </c>
      <c r="B6006" s="1" t="n">
        <v>44910</v>
      </c>
      <c r="C6006" s="1" t="n">
        <v>45587</v>
      </c>
      <c r="D6006" t="inlineStr">
        <is>
          <t>GÄVLEBORGS LÄN</t>
        </is>
      </c>
      <c r="E6006" t="inlineStr">
        <is>
          <t>LJUSDAL</t>
        </is>
      </c>
      <c r="F6006" t="inlineStr">
        <is>
          <t>Bergvik skog väst AB</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60283-2022</t>
        </is>
      </c>
      <c r="B6007" s="1" t="n">
        <v>44910</v>
      </c>
      <c r="C6007" s="1" t="n">
        <v>45587</v>
      </c>
      <c r="D6007" t="inlineStr">
        <is>
          <t>GÄVLEBORGS LÄN</t>
        </is>
      </c>
      <c r="E6007" t="inlineStr">
        <is>
          <t>HUDIKSVALL</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60335-2022</t>
        </is>
      </c>
      <c r="B6008" s="1" t="n">
        <v>44910</v>
      </c>
      <c r="C6008" s="1" t="n">
        <v>45587</v>
      </c>
      <c r="D6008" t="inlineStr">
        <is>
          <t>GÄVLEBORGS LÄN</t>
        </is>
      </c>
      <c r="E6008" t="inlineStr">
        <is>
          <t>BOLLNÄS</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60371-2022</t>
        </is>
      </c>
      <c r="B6009" s="1" t="n">
        <v>44910</v>
      </c>
      <c r="C6009" s="1" t="n">
        <v>45587</v>
      </c>
      <c r="D6009" t="inlineStr">
        <is>
          <t>GÄVLEBORGS LÄN</t>
        </is>
      </c>
      <c r="E6009" t="inlineStr">
        <is>
          <t>GÄVLE</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60375-2022</t>
        </is>
      </c>
      <c r="B6010" s="1" t="n">
        <v>44910</v>
      </c>
      <c r="C6010" s="1" t="n">
        <v>45587</v>
      </c>
      <c r="D6010" t="inlineStr">
        <is>
          <t>GÄVLEBORGS LÄN</t>
        </is>
      </c>
      <c r="E6010" t="inlineStr">
        <is>
          <t>HUDIKSVALL</t>
        </is>
      </c>
      <c r="G6010" t="n">
        <v>15.2</v>
      </c>
      <c r="H6010" t="n">
        <v>0</v>
      </c>
      <c r="I6010" t="n">
        <v>0</v>
      </c>
      <c r="J6010" t="n">
        <v>0</v>
      </c>
      <c r="K6010" t="n">
        <v>0</v>
      </c>
      <c r="L6010" t="n">
        <v>0</v>
      </c>
      <c r="M6010" t="n">
        <v>0</v>
      </c>
      <c r="N6010" t="n">
        <v>0</v>
      </c>
      <c r="O6010" t="n">
        <v>0</v>
      </c>
      <c r="P6010" t="n">
        <v>0</v>
      </c>
      <c r="Q6010" t="n">
        <v>0</v>
      </c>
      <c r="R6010" s="2" t="inlineStr"/>
    </row>
    <row r="6011" ht="15" customHeight="1">
      <c r="A6011" t="inlineStr">
        <is>
          <t>A 60396-2022</t>
        </is>
      </c>
      <c r="B6011" s="1" t="n">
        <v>44910</v>
      </c>
      <c r="C6011" s="1" t="n">
        <v>45587</v>
      </c>
      <c r="D6011" t="inlineStr">
        <is>
          <t>GÄVLEBORGS LÄN</t>
        </is>
      </c>
      <c r="E6011" t="inlineStr">
        <is>
          <t>GÄVLE</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60291-2022</t>
        </is>
      </c>
      <c r="B6012" s="1" t="n">
        <v>44910</v>
      </c>
      <c r="C6012" s="1" t="n">
        <v>45587</v>
      </c>
      <c r="D6012" t="inlineStr">
        <is>
          <t>GÄVLEBORGS LÄN</t>
        </is>
      </c>
      <c r="E6012" t="inlineStr">
        <is>
          <t>OVANÅKER</t>
        </is>
      </c>
      <c r="F6012" t="inlineStr">
        <is>
          <t>Sveaskog</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60349-2022</t>
        </is>
      </c>
      <c r="B6013" s="1" t="n">
        <v>44910</v>
      </c>
      <c r="C6013" s="1" t="n">
        <v>45587</v>
      </c>
      <c r="D6013" t="inlineStr">
        <is>
          <t>GÄVLEBORGS LÄN</t>
        </is>
      </c>
      <c r="E6013" t="inlineStr">
        <is>
          <t>GÄVLE</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60376-2022</t>
        </is>
      </c>
      <c r="B6014" s="1" t="n">
        <v>44910</v>
      </c>
      <c r="C6014" s="1" t="n">
        <v>45587</v>
      </c>
      <c r="D6014" t="inlineStr">
        <is>
          <t>GÄVLEBORGS LÄN</t>
        </is>
      </c>
      <c r="E6014" t="inlineStr">
        <is>
          <t>GÄVLE</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60370-2022</t>
        </is>
      </c>
      <c r="B6015" s="1" t="n">
        <v>44910</v>
      </c>
      <c r="C6015" s="1" t="n">
        <v>45587</v>
      </c>
      <c r="D6015" t="inlineStr">
        <is>
          <t>GÄVLEBORGS LÄN</t>
        </is>
      </c>
      <c r="E6015" t="inlineStr">
        <is>
          <t>HUDIKSVALL</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60442-2022</t>
        </is>
      </c>
      <c r="B6016" s="1" t="n">
        <v>44911</v>
      </c>
      <c r="C6016" s="1" t="n">
        <v>45587</v>
      </c>
      <c r="D6016" t="inlineStr">
        <is>
          <t>GÄVLEBORGS LÄN</t>
        </is>
      </c>
      <c r="E6016" t="inlineStr">
        <is>
          <t>GÄVLE</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60588-2022</t>
        </is>
      </c>
      <c r="B6017" s="1" t="n">
        <v>44911</v>
      </c>
      <c r="C6017" s="1" t="n">
        <v>45587</v>
      </c>
      <c r="D6017" t="inlineStr">
        <is>
          <t>GÄVLEBORGS LÄN</t>
        </is>
      </c>
      <c r="E6017" t="inlineStr">
        <is>
          <t>HUDIKSVALL</t>
        </is>
      </c>
      <c r="F6017" t="inlineStr">
        <is>
          <t>Holmen skog AB</t>
        </is>
      </c>
      <c r="G6017" t="n">
        <v>6.4</v>
      </c>
      <c r="H6017" t="n">
        <v>0</v>
      </c>
      <c r="I6017" t="n">
        <v>0</v>
      </c>
      <c r="J6017" t="n">
        <v>0</v>
      </c>
      <c r="K6017" t="n">
        <v>0</v>
      </c>
      <c r="L6017" t="n">
        <v>0</v>
      </c>
      <c r="M6017" t="n">
        <v>0</v>
      </c>
      <c r="N6017" t="n">
        <v>0</v>
      </c>
      <c r="O6017" t="n">
        <v>0</v>
      </c>
      <c r="P6017" t="n">
        <v>0</v>
      </c>
      <c r="Q6017" t="n">
        <v>0</v>
      </c>
      <c r="R6017" s="2" t="inlineStr"/>
    </row>
    <row r="6018" ht="15" customHeight="1">
      <c r="A6018" t="inlineStr">
        <is>
          <t>A 60517-2022</t>
        </is>
      </c>
      <c r="B6018" s="1" t="n">
        <v>44911</v>
      </c>
      <c r="C6018" s="1" t="n">
        <v>45587</v>
      </c>
      <c r="D6018" t="inlineStr">
        <is>
          <t>GÄVLEBORGS LÄN</t>
        </is>
      </c>
      <c r="E6018" t="inlineStr">
        <is>
          <t>HUDIKSVALL</t>
        </is>
      </c>
      <c r="F6018" t="inlineStr">
        <is>
          <t>Holmen skog AB</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60541-2022</t>
        </is>
      </c>
      <c r="B6019" s="1" t="n">
        <v>44911</v>
      </c>
      <c r="C6019" s="1" t="n">
        <v>45587</v>
      </c>
      <c r="D6019" t="inlineStr">
        <is>
          <t>GÄVLEBORGS LÄN</t>
        </is>
      </c>
      <c r="E6019" t="inlineStr">
        <is>
          <t>LJUSDAL</t>
        </is>
      </c>
      <c r="F6019" t="inlineStr">
        <is>
          <t>Bergvik skog väst AB</t>
        </is>
      </c>
      <c r="G6019" t="n">
        <v>5.4</v>
      </c>
      <c r="H6019" t="n">
        <v>0</v>
      </c>
      <c r="I6019" t="n">
        <v>0</v>
      </c>
      <c r="J6019" t="n">
        <v>0</v>
      </c>
      <c r="K6019" t="n">
        <v>0</v>
      </c>
      <c r="L6019" t="n">
        <v>0</v>
      </c>
      <c r="M6019" t="n">
        <v>0</v>
      </c>
      <c r="N6019" t="n">
        <v>0</v>
      </c>
      <c r="O6019" t="n">
        <v>0</v>
      </c>
      <c r="P6019" t="n">
        <v>0</v>
      </c>
      <c r="Q6019" t="n">
        <v>0</v>
      </c>
      <c r="R6019" s="2" t="inlineStr"/>
    </row>
    <row r="6020" ht="15" customHeight="1">
      <c r="A6020" t="inlineStr">
        <is>
          <t>A 60500-2022</t>
        </is>
      </c>
      <c r="B6020" s="1" t="n">
        <v>44911</v>
      </c>
      <c r="C6020" s="1" t="n">
        <v>45587</v>
      </c>
      <c r="D6020" t="inlineStr">
        <is>
          <t>GÄVLEBORGS LÄN</t>
        </is>
      </c>
      <c r="E6020" t="inlineStr">
        <is>
          <t>HUDIKSVALL</t>
        </is>
      </c>
      <c r="F6020" t="inlineStr">
        <is>
          <t>Holmen skog AB</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60449-2022</t>
        </is>
      </c>
      <c r="B6021" s="1" t="n">
        <v>44911</v>
      </c>
      <c r="C6021" s="1" t="n">
        <v>45587</v>
      </c>
      <c r="D6021" t="inlineStr">
        <is>
          <t>GÄVLEBORGS LÄN</t>
        </is>
      </c>
      <c r="E6021" t="inlineStr">
        <is>
          <t>OVANÅKER</t>
        </is>
      </c>
      <c r="F6021" t="inlineStr">
        <is>
          <t>Sveaskog</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60553-2022</t>
        </is>
      </c>
      <c r="B6022" s="1" t="n">
        <v>44911</v>
      </c>
      <c r="C6022" s="1" t="n">
        <v>45587</v>
      </c>
      <c r="D6022" t="inlineStr">
        <is>
          <t>GÄVLEBORGS LÄN</t>
        </is>
      </c>
      <c r="E6022" t="inlineStr">
        <is>
          <t>LJUSDAL</t>
        </is>
      </c>
      <c r="F6022" t="inlineStr">
        <is>
          <t>Bergvik skog väst AB</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60778-2022</t>
        </is>
      </c>
      <c r="B6023" s="1" t="n">
        <v>44914</v>
      </c>
      <c r="C6023" s="1" t="n">
        <v>45587</v>
      </c>
      <c r="D6023" t="inlineStr">
        <is>
          <t>GÄVLEBORGS LÄN</t>
        </is>
      </c>
      <c r="E6023" t="inlineStr">
        <is>
          <t>OVANÅKER</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60839-2022</t>
        </is>
      </c>
      <c r="B6024" s="1" t="n">
        <v>44914</v>
      </c>
      <c r="C6024" s="1" t="n">
        <v>45587</v>
      </c>
      <c r="D6024" t="inlineStr">
        <is>
          <t>GÄVLEBORGS LÄN</t>
        </is>
      </c>
      <c r="E6024" t="inlineStr">
        <is>
          <t>HUDIKSVALL</t>
        </is>
      </c>
      <c r="F6024" t="inlineStr">
        <is>
          <t>Holmen skog AB</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60779-2022</t>
        </is>
      </c>
      <c r="B6025" s="1" t="n">
        <v>44914</v>
      </c>
      <c r="C6025" s="1" t="n">
        <v>45587</v>
      </c>
      <c r="D6025" t="inlineStr">
        <is>
          <t>GÄVLEBORGS LÄN</t>
        </is>
      </c>
      <c r="E6025" t="inlineStr">
        <is>
          <t>OVANÅKER</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60847-2022</t>
        </is>
      </c>
      <c r="B6026" s="1" t="n">
        <v>44914</v>
      </c>
      <c r="C6026" s="1" t="n">
        <v>45587</v>
      </c>
      <c r="D6026" t="inlineStr">
        <is>
          <t>GÄVLEBORGS LÄN</t>
        </is>
      </c>
      <c r="E6026" t="inlineStr">
        <is>
          <t>HUDIKSVALL</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60872-2022</t>
        </is>
      </c>
      <c r="B6027" s="1" t="n">
        <v>44914</v>
      </c>
      <c r="C6027" s="1" t="n">
        <v>45587</v>
      </c>
      <c r="D6027" t="inlineStr">
        <is>
          <t>GÄVLEBORGS LÄN</t>
        </is>
      </c>
      <c r="E6027" t="inlineStr">
        <is>
          <t>BOLLNÄS</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60884-2022</t>
        </is>
      </c>
      <c r="B6028" s="1" t="n">
        <v>44914</v>
      </c>
      <c r="C6028" s="1" t="n">
        <v>45587</v>
      </c>
      <c r="D6028" t="inlineStr">
        <is>
          <t>GÄVLEBORGS LÄN</t>
        </is>
      </c>
      <c r="E6028" t="inlineStr">
        <is>
          <t>BOLLNÄS</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60908-2022</t>
        </is>
      </c>
      <c r="B6029" s="1" t="n">
        <v>44914</v>
      </c>
      <c r="C6029" s="1" t="n">
        <v>45587</v>
      </c>
      <c r="D6029" t="inlineStr">
        <is>
          <t>GÄVLEBORGS LÄN</t>
        </is>
      </c>
      <c r="E6029" t="inlineStr">
        <is>
          <t>SANDVIKEN</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60945-2022</t>
        </is>
      </c>
      <c r="B6030" s="1" t="n">
        <v>44914</v>
      </c>
      <c r="C6030" s="1" t="n">
        <v>45587</v>
      </c>
      <c r="D6030" t="inlineStr">
        <is>
          <t>GÄVLEBORGS LÄN</t>
        </is>
      </c>
      <c r="E6030" t="inlineStr">
        <is>
          <t>HUDIKSVALL</t>
        </is>
      </c>
      <c r="F6030" t="inlineStr">
        <is>
          <t>Holmen skog AB</t>
        </is>
      </c>
      <c r="G6030" t="n">
        <v>9</v>
      </c>
      <c r="H6030" t="n">
        <v>0</v>
      </c>
      <c r="I6030" t="n">
        <v>0</v>
      </c>
      <c r="J6030" t="n">
        <v>0</v>
      </c>
      <c r="K6030" t="n">
        <v>0</v>
      </c>
      <c r="L6030" t="n">
        <v>0</v>
      </c>
      <c r="M6030" t="n">
        <v>0</v>
      </c>
      <c r="N6030" t="n">
        <v>0</v>
      </c>
      <c r="O6030" t="n">
        <v>0</v>
      </c>
      <c r="P6030" t="n">
        <v>0</v>
      </c>
      <c r="Q6030" t="n">
        <v>0</v>
      </c>
      <c r="R6030" s="2" t="inlineStr"/>
    </row>
    <row r="6031" ht="15" customHeight="1">
      <c r="A6031" t="inlineStr">
        <is>
          <t>A 60956-2022</t>
        </is>
      </c>
      <c r="B6031" s="1" t="n">
        <v>44914</v>
      </c>
      <c r="C6031" s="1" t="n">
        <v>45587</v>
      </c>
      <c r="D6031" t="inlineStr">
        <is>
          <t>GÄVLEBORGS LÄN</t>
        </is>
      </c>
      <c r="E6031" t="inlineStr">
        <is>
          <t>BOLLNÄS</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60886-2022</t>
        </is>
      </c>
      <c r="B6032" s="1" t="n">
        <v>44914</v>
      </c>
      <c r="C6032" s="1" t="n">
        <v>45587</v>
      </c>
      <c r="D6032" t="inlineStr">
        <is>
          <t>GÄVLEBORGS LÄN</t>
        </is>
      </c>
      <c r="E6032" t="inlineStr">
        <is>
          <t>HUDIKSVALL</t>
        </is>
      </c>
      <c r="F6032" t="inlineStr">
        <is>
          <t>Holmen skog AB</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60893-2022</t>
        </is>
      </c>
      <c r="B6033" s="1" t="n">
        <v>44914</v>
      </c>
      <c r="C6033" s="1" t="n">
        <v>45587</v>
      </c>
      <c r="D6033" t="inlineStr">
        <is>
          <t>GÄVLEBORGS LÄN</t>
        </is>
      </c>
      <c r="E6033" t="inlineStr">
        <is>
          <t>BOLLNÄS</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60936-2022</t>
        </is>
      </c>
      <c r="B6034" s="1" t="n">
        <v>44914</v>
      </c>
      <c r="C6034" s="1" t="n">
        <v>45587</v>
      </c>
      <c r="D6034" t="inlineStr">
        <is>
          <t>GÄVLEBORGS LÄN</t>
        </is>
      </c>
      <c r="E6034" t="inlineStr">
        <is>
          <t>SANDVIKEN</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60903-2022</t>
        </is>
      </c>
      <c r="B6035" s="1" t="n">
        <v>44914</v>
      </c>
      <c r="C6035" s="1" t="n">
        <v>45587</v>
      </c>
      <c r="D6035" t="inlineStr">
        <is>
          <t>GÄVLEBORGS LÄN</t>
        </is>
      </c>
      <c r="E6035" t="inlineStr">
        <is>
          <t>HUDIKSVALL</t>
        </is>
      </c>
      <c r="F6035" t="inlineStr">
        <is>
          <t>Holmen skog AB</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60912-2022</t>
        </is>
      </c>
      <c r="B6036" s="1" t="n">
        <v>44914</v>
      </c>
      <c r="C6036" s="1" t="n">
        <v>45587</v>
      </c>
      <c r="D6036" t="inlineStr">
        <is>
          <t>GÄVLEBORGS LÄN</t>
        </is>
      </c>
      <c r="E6036" t="inlineStr">
        <is>
          <t>BOLLNÄS</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61065-2022</t>
        </is>
      </c>
      <c r="B6037" s="1" t="n">
        <v>44915</v>
      </c>
      <c r="C6037" s="1" t="n">
        <v>45587</v>
      </c>
      <c r="D6037" t="inlineStr">
        <is>
          <t>GÄVLEBORGS LÄN</t>
        </is>
      </c>
      <c r="E6037" t="inlineStr">
        <is>
          <t>OVANÅKER</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61157-2022</t>
        </is>
      </c>
      <c r="B6038" s="1" t="n">
        <v>44915</v>
      </c>
      <c r="C6038" s="1" t="n">
        <v>45587</v>
      </c>
      <c r="D6038" t="inlineStr">
        <is>
          <t>GÄVLEBORGS LÄN</t>
        </is>
      </c>
      <c r="E6038" t="inlineStr">
        <is>
          <t>LJUSDAL</t>
        </is>
      </c>
      <c r="F6038" t="inlineStr">
        <is>
          <t>Kommuner</t>
        </is>
      </c>
      <c r="G6038" t="n">
        <v>4.6</v>
      </c>
      <c r="H6038" t="n">
        <v>0</v>
      </c>
      <c r="I6038" t="n">
        <v>0</v>
      </c>
      <c r="J6038" t="n">
        <v>0</v>
      </c>
      <c r="K6038" t="n">
        <v>0</v>
      </c>
      <c r="L6038" t="n">
        <v>0</v>
      </c>
      <c r="M6038" t="n">
        <v>0</v>
      </c>
      <c r="N6038" t="n">
        <v>0</v>
      </c>
      <c r="O6038" t="n">
        <v>0</v>
      </c>
      <c r="P6038" t="n">
        <v>0</v>
      </c>
      <c r="Q6038" t="n">
        <v>0</v>
      </c>
      <c r="R6038" s="2" t="inlineStr"/>
    </row>
    <row r="6039" ht="15" customHeight="1">
      <c r="A6039" t="inlineStr">
        <is>
          <t>A 61207-2022</t>
        </is>
      </c>
      <c r="B6039" s="1" t="n">
        <v>44915</v>
      </c>
      <c r="C6039" s="1" t="n">
        <v>45587</v>
      </c>
      <c r="D6039" t="inlineStr">
        <is>
          <t>GÄVLEBORGS LÄN</t>
        </is>
      </c>
      <c r="E6039" t="inlineStr">
        <is>
          <t>HUDIKSVALL</t>
        </is>
      </c>
      <c r="F6039" t="inlineStr">
        <is>
          <t>Holmen skog AB</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61224-2022</t>
        </is>
      </c>
      <c r="B6040" s="1" t="n">
        <v>44915</v>
      </c>
      <c r="C6040" s="1" t="n">
        <v>45587</v>
      </c>
      <c r="D6040" t="inlineStr">
        <is>
          <t>GÄVLEBORGS LÄN</t>
        </is>
      </c>
      <c r="E6040" t="inlineStr">
        <is>
          <t>NORDANSTIG</t>
        </is>
      </c>
      <c r="F6040" t="inlineStr">
        <is>
          <t>Holmen skog AB</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61166-2022</t>
        </is>
      </c>
      <c r="B6041" s="1" t="n">
        <v>44915</v>
      </c>
      <c r="C6041" s="1" t="n">
        <v>45587</v>
      </c>
      <c r="D6041" t="inlineStr">
        <is>
          <t>GÄVLEBORGS LÄN</t>
        </is>
      </c>
      <c r="E6041" t="inlineStr">
        <is>
          <t>SANDVIKEN</t>
        </is>
      </c>
      <c r="G6041" t="n">
        <v>5.4</v>
      </c>
      <c r="H6041" t="n">
        <v>0</v>
      </c>
      <c r="I6041" t="n">
        <v>0</v>
      </c>
      <c r="J6041" t="n">
        <v>0</v>
      </c>
      <c r="K6041" t="n">
        <v>0</v>
      </c>
      <c r="L6041" t="n">
        <v>0</v>
      </c>
      <c r="M6041" t="n">
        <v>0</v>
      </c>
      <c r="N6041" t="n">
        <v>0</v>
      </c>
      <c r="O6041" t="n">
        <v>0</v>
      </c>
      <c r="P6041" t="n">
        <v>0</v>
      </c>
      <c r="Q6041" t="n">
        <v>0</v>
      </c>
      <c r="R6041" s="2" t="inlineStr"/>
    </row>
    <row r="6042" ht="15" customHeight="1">
      <c r="A6042" t="inlineStr">
        <is>
          <t>A 61227-2022</t>
        </is>
      </c>
      <c r="B6042" s="1" t="n">
        <v>44915</v>
      </c>
      <c r="C6042" s="1" t="n">
        <v>45587</v>
      </c>
      <c r="D6042" t="inlineStr">
        <is>
          <t>GÄVLEBORGS LÄN</t>
        </is>
      </c>
      <c r="E6042" t="inlineStr">
        <is>
          <t>BOLLNÄS</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61258-2022</t>
        </is>
      </c>
      <c r="B6043" s="1" t="n">
        <v>44915</v>
      </c>
      <c r="C6043" s="1" t="n">
        <v>45587</v>
      </c>
      <c r="D6043" t="inlineStr">
        <is>
          <t>GÄVLEBORGS LÄN</t>
        </is>
      </c>
      <c r="E6043" t="inlineStr">
        <is>
          <t>HUDIKSVALL</t>
        </is>
      </c>
      <c r="G6043" t="n">
        <v>10.3</v>
      </c>
      <c r="H6043" t="n">
        <v>0</v>
      </c>
      <c r="I6043" t="n">
        <v>0</v>
      </c>
      <c r="J6043" t="n">
        <v>0</v>
      </c>
      <c r="K6043" t="n">
        <v>0</v>
      </c>
      <c r="L6043" t="n">
        <v>0</v>
      </c>
      <c r="M6043" t="n">
        <v>0</v>
      </c>
      <c r="N6043" t="n">
        <v>0</v>
      </c>
      <c r="O6043" t="n">
        <v>0</v>
      </c>
      <c r="P6043" t="n">
        <v>0</v>
      </c>
      <c r="Q6043" t="n">
        <v>0</v>
      </c>
      <c r="R6043" s="2" t="inlineStr"/>
    </row>
    <row r="6044" ht="15" customHeight="1">
      <c r="A6044" t="inlineStr">
        <is>
          <t>A 61276-2022</t>
        </is>
      </c>
      <c r="B6044" s="1" t="n">
        <v>44915</v>
      </c>
      <c r="C6044" s="1" t="n">
        <v>45587</v>
      </c>
      <c r="D6044" t="inlineStr">
        <is>
          <t>GÄVLEBORGS LÄN</t>
        </is>
      </c>
      <c r="E6044" t="inlineStr">
        <is>
          <t>NORDANSTIG</t>
        </is>
      </c>
      <c r="F6044" t="inlineStr">
        <is>
          <t>Holmen skog AB</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61124-2022</t>
        </is>
      </c>
      <c r="B6045" s="1" t="n">
        <v>44915</v>
      </c>
      <c r="C6045" s="1" t="n">
        <v>45587</v>
      </c>
      <c r="D6045" t="inlineStr">
        <is>
          <t>GÄVLEBORGS LÄN</t>
        </is>
      </c>
      <c r="E6045" t="inlineStr">
        <is>
          <t>LJUSDAL</t>
        </is>
      </c>
      <c r="F6045" t="inlineStr">
        <is>
          <t>Holmen skog AB</t>
        </is>
      </c>
      <c r="G6045" t="n">
        <v>12.1</v>
      </c>
      <c r="H6045" t="n">
        <v>0</v>
      </c>
      <c r="I6045" t="n">
        <v>0</v>
      </c>
      <c r="J6045" t="n">
        <v>0</v>
      </c>
      <c r="K6045" t="n">
        <v>0</v>
      </c>
      <c r="L6045" t="n">
        <v>0</v>
      </c>
      <c r="M6045" t="n">
        <v>0</v>
      </c>
      <c r="N6045" t="n">
        <v>0</v>
      </c>
      <c r="O6045" t="n">
        <v>0</v>
      </c>
      <c r="P6045" t="n">
        <v>0</v>
      </c>
      <c r="Q6045" t="n">
        <v>0</v>
      </c>
      <c r="R6045" s="2" t="inlineStr"/>
    </row>
    <row r="6046" ht="15" customHeight="1">
      <c r="A6046" t="inlineStr">
        <is>
          <t>A 61120-2022</t>
        </is>
      </c>
      <c r="B6046" s="1" t="n">
        <v>44915</v>
      </c>
      <c r="C6046" s="1" t="n">
        <v>45587</v>
      </c>
      <c r="D6046" t="inlineStr">
        <is>
          <t>GÄVLEBORGS LÄN</t>
        </is>
      </c>
      <c r="E6046" t="inlineStr">
        <is>
          <t>NORDANSTIG</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61214-2022</t>
        </is>
      </c>
      <c r="B6047" s="1" t="n">
        <v>44915</v>
      </c>
      <c r="C6047" s="1" t="n">
        <v>45587</v>
      </c>
      <c r="D6047" t="inlineStr">
        <is>
          <t>GÄVLEBORGS LÄN</t>
        </is>
      </c>
      <c r="E6047" t="inlineStr">
        <is>
          <t>BOLLNÄS</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61280-2022</t>
        </is>
      </c>
      <c r="B6048" s="1" t="n">
        <v>44915</v>
      </c>
      <c r="C6048" s="1" t="n">
        <v>45587</v>
      </c>
      <c r="D6048" t="inlineStr">
        <is>
          <t>GÄVLEBORGS LÄN</t>
        </is>
      </c>
      <c r="E6048" t="inlineStr">
        <is>
          <t>NORDANSTIG</t>
        </is>
      </c>
      <c r="G6048" t="n">
        <v>7.9</v>
      </c>
      <c r="H6048" t="n">
        <v>0</v>
      </c>
      <c r="I6048" t="n">
        <v>0</v>
      </c>
      <c r="J6048" t="n">
        <v>0</v>
      </c>
      <c r="K6048" t="n">
        <v>0</v>
      </c>
      <c r="L6048" t="n">
        <v>0</v>
      </c>
      <c r="M6048" t="n">
        <v>0</v>
      </c>
      <c r="N6048" t="n">
        <v>0</v>
      </c>
      <c r="O6048" t="n">
        <v>0</v>
      </c>
      <c r="P6048" t="n">
        <v>0</v>
      </c>
      <c r="Q6048" t="n">
        <v>0</v>
      </c>
      <c r="R6048" s="2" t="inlineStr"/>
    </row>
    <row r="6049" ht="15" customHeight="1">
      <c r="A6049" t="inlineStr">
        <is>
          <t>A 61366-2022</t>
        </is>
      </c>
      <c r="B6049" s="1" t="n">
        <v>44915</v>
      </c>
      <c r="C6049" s="1" t="n">
        <v>45587</v>
      </c>
      <c r="D6049" t="inlineStr">
        <is>
          <t>GÄVLEBORGS LÄN</t>
        </is>
      </c>
      <c r="E6049" t="inlineStr">
        <is>
          <t>NORDANSTIG</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61130-2022</t>
        </is>
      </c>
      <c r="B6050" s="1" t="n">
        <v>44915</v>
      </c>
      <c r="C6050" s="1" t="n">
        <v>45587</v>
      </c>
      <c r="D6050" t="inlineStr">
        <is>
          <t>GÄVLEBORGS LÄN</t>
        </is>
      </c>
      <c r="E6050" t="inlineStr">
        <is>
          <t>OCKELBO</t>
        </is>
      </c>
      <c r="G6050" t="n">
        <v>5.5</v>
      </c>
      <c r="H6050" t="n">
        <v>0</v>
      </c>
      <c r="I6050" t="n">
        <v>0</v>
      </c>
      <c r="J6050" t="n">
        <v>0</v>
      </c>
      <c r="K6050" t="n">
        <v>0</v>
      </c>
      <c r="L6050" t="n">
        <v>0</v>
      </c>
      <c r="M6050" t="n">
        <v>0</v>
      </c>
      <c r="N6050" t="n">
        <v>0</v>
      </c>
      <c r="O6050" t="n">
        <v>0</v>
      </c>
      <c r="P6050" t="n">
        <v>0</v>
      </c>
      <c r="Q6050" t="n">
        <v>0</v>
      </c>
      <c r="R6050" s="2" t="inlineStr"/>
    </row>
    <row r="6051" ht="15" customHeight="1">
      <c r="A6051" t="inlineStr">
        <is>
          <t>A 61141-2022</t>
        </is>
      </c>
      <c r="B6051" s="1" t="n">
        <v>44915</v>
      </c>
      <c r="C6051" s="1" t="n">
        <v>45587</v>
      </c>
      <c r="D6051" t="inlineStr">
        <is>
          <t>GÄVLEBORGS LÄN</t>
        </is>
      </c>
      <c r="E6051" t="inlineStr">
        <is>
          <t>NORDANSTIG</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61167-2022</t>
        </is>
      </c>
      <c r="B6052" s="1" t="n">
        <v>44915</v>
      </c>
      <c r="C6052" s="1" t="n">
        <v>45587</v>
      </c>
      <c r="D6052" t="inlineStr">
        <is>
          <t>GÄVLEBORGS LÄN</t>
        </is>
      </c>
      <c r="E6052" t="inlineStr">
        <is>
          <t>SANDVIKEN</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61220-2022</t>
        </is>
      </c>
      <c r="B6053" s="1" t="n">
        <v>44915</v>
      </c>
      <c r="C6053" s="1" t="n">
        <v>45587</v>
      </c>
      <c r="D6053" t="inlineStr">
        <is>
          <t>GÄVLEBORGS LÄN</t>
        </is>
      </c>
      <c r="E6053" t="inlineStr">
        <is>
          <t>BOLLNÄS</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61335-2022</t>
        </is>
      </c>
      <c r="B6054" s="1" t="n">
        <v>44915</v>
      </c>
      <c r="C6054" s="1" t="n">
        <v>45587</v>
      </c>
      <c r="D6054" t="inlineStr">
        <is>
          <t>GÄVLEBORGS LÄN</t>
        </is>
      </c>
      <c r="E6054" t="inlineStr">
        <is>
          <t>OCKELBO</t>
        </is>
      </c>
      <c r="G6054" t="n">
        <v>8.5</v>
      </c>
      <c r="H6054" t="n">
        <v>0</v>
      </c>
      <c r="I6054" t="n">
        <v>0</v>
      </c>
      <c r="J6054" t="n">
        <v>0</v>
      </c>
      <c r="K6054" t="n">
        <v>0</v>
      </c>
      <c r="L6054" t="n">
        <v>0</v>
      </c>
      <c r="M6054" t="n">
        <v>0</v>
      </c>
      <c r="N6054" t="n">
        <v>0</v>
      </c>
      <c r="O6054" t="n">
        <v>0</v>
      </c>
      <c r="P6054" t="n">
        <v>0</v>
      </c>
      <c r="Q6054" t="n">
        <v>0</v>
      </c>
      <c r="R6054" s="2" t="inlineStr"/>
    </row>
    <row r="6055" ht="15" customHeight="1">
      <c r="A6055" t="inlineStr">
        <is>
          <t>A 61561-2022</t>
        </is>
      </c>
      <c r="B6055" s="1" t="n">
        <v>44916</v>
      </c>
      <c r="C6055" s="1" t="n">
        <v>45587</v>
      </c>
      <c r="D6055" t="inlineStr">
        <is>
          <t>GÄVLEBORGS LÄN</t>
        </is>
      </c>
      <c r="E6055" t="inlineStr">
        <is>
          <t>NORDANSTIG</t>
        </is>
      </c>
      <c r="G6055" t="n">
        <v>5.7</v>
      </c>
      <c r="H6055" t="n">
        <v>0</v>
      </c>
      <c r="I6055" t="n">
        <v>0</v>
      </c>
      <c r="J6055" t="n">
        <v>0</v>
      </c>
      <c r="K6055" t="n">
        <v>0</v>
      </c>
      <c r="L6055" t="n">
        <v>0</v>
      </c>
      <c r="M6055" t="n">
        <v>0</v>
      </c>
      <c r="N6055" t="n">
        <v>0</v>
      </c>
      <c r="O6055" t="n">
        <v>0</v>
      </c>
      <c r="P6055" t="n">
        <v>0</v>
      </c>
      <c r="Q6055" t="n">
        <v>0</v>
      </c>
      <c r="R6055" s="2" t="inlineStr"/>
    </row>
    <row r="6056" ht="15" customHeight="1">
      <c r="A6056" t="inlineStr">
        <is>
          <t>A 61512-2022</t>
        </is>
      </c>
      <c r="B6056" s="1" t="n">
        <v>44916</v>
      </c>
      <c r="C6056" s="1" t="n">
        <v>45587</v>
      </c>
      <c r="D6056" t="inlineStr">
        <is>
          <t>GÄVLEBORGS LÄN</t>
        </is>
      </c>
      <c r="E6056" t="inlineStr">
        <is>
          <t>GÄVLE</t>
        </is>
      </c>
      <c r="G6056" t="n">
        <v>6.1</v>
      </c>
      <c r="H6056" t="n">
        <v>0</v>
      </c>
      <c r="I6056" t="n">
        <v>0</v>
      </c>
      <c r="J6056" t="n">
        <v>0</v>
      </c>
      <c r="K6056" t="n">
        <v>0</v>
      </c>
      <c r="L6056" t="n">
        <v>0</v>
      </c>
      <c r="M6056" t="n">
        <v>0</v>
      </c>
      <c r="N6056" t="n">
        <v>0</v>
      </c>
      <c r="O6056" t="n">
        <v>0</v>
      </c>
      <c r="P6056" t="n">
        <v>0</v>
      </c>
      <c r="Q6056" t="n">
        <v>0</v>
      </c>
      <c r="R6056" s="2" t="inlineStr"/>
    </row>
    <row r="6057" ht="15" customHeight="1">
      <c r="A6057" t="inlineStr">
        <is>
          <t>A 61592-2022</t>
        </is>
      </c>
      <c r="B6057" s="1" t="n">
        <v>44916</v>
      </c>
      <c r="C6057" s="1" t="n">
        <v>45587</v>
      </c>
      <c r="D6057" t="inlineStr">
        <is>
          <t>GÄVLEBORGS LÄN</t>
        </is>
      </c>
      <c r="E6057" t="inlineStr">
        <is>
          <t>BOLLNÄS</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61536-2022</t>
        </is>
      </c>
      <c r="B6058" s="1" t="n">
        <v>44916</v>
      </c>
      <c r="C6058" s="1" t="n">
        <v>45587</v>
      </c>
      <c r="D6058" t="inlineStr">
        <is>
          <t>GÄVLEBORGS LÄN</t>
        </is>
      </c>
      <c r="E6058" t="inlineStr">
        <is>
          <t>HUDIKSVALL</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61603-2022</t>
        </is>
      </c>
      <c r="B6059" s="1" t="n">
        <v>44916</v>
      </c>
      <c r="C6059" s="1" t="n">
        <v>45587</v>
      </c>
      <c r="D6059" t="inlineStr">
        <is>
          <t>GÄVLEBORGS LÄN</t>
        </is>
      </c>
      <c r="E6059" t="inlineStr">
        <is>
          <t>LJUSDAL</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61639-2022</t>
        </is>
      </c>
      <c r="B6060" s="1" t="n">
        <v>44916</v>
      </c>
      <c r="C6060" s="1" t="n">
        <v>45587</v>
      </c>
      <c r="D6060" t="inlineStr">
        <is>
          <t>GÄVLEBORGS LÄN</t>
        </is>
      </c>
      <c r="E6060" t="inlineStr">
        <is>
          <t>NORDANSTIG</t>
        </is>
      </c>
      <c r="F6060" t="inlineStr">
        <is>
          <t>Holmen skog AB</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61827-2022</t>
        </is>
      </c>
      <c r="B6061" s="1" t="n">
        <v>44917</v>
      </c>
      <c r="C6061" s="1" t="n">
        <v>45587</v>
      </c>
      <c r="D6061" t="inlineStr">
        <is>
          <t>GÄVLEBORGS LÄN</t>
        </is>
      </c>
      <c r="E6061" t="inlineStr">
        <is>
          <t>OVANÅKER</t>
        </is>
      </c>
      <c r="G6061" t="n">
        <v>15.9</v>
      </c>
      <c r="H6061" t="n">
        <v>0</v>
      </c>
      <c r="I6061" t="n">
        <v>0</v>
      </c>
      <c r="J6061" t="n">
        <v>0</v>
      </c>
      <c r="K6061" t="n">
        <v>0</v>
      </c>
      <c r="L6061" t="n">
        <v>0</v>
      </c>
      <c r="M6061" t="n">
        <v>0</v>
      </c>
      <c r="N6061" t="n">
        <v>0</v>
      </c>
      <c r="O6061" t="n">
        <v>0</v>
      </c>
      <c r="P6061" t="n">
        <v>0</v>
      </c>
      <c r="Q6061" t="n">
        <v>0</v>
      </c>
      <c r="R6061" s="2" t="inlineStr"/>
    </row>
    <row r="6062" ht="15" customHeight="1">
      <c r="A6062" t="inlineStr">
        <is>
          <t>A 61754-2022</t>
        </is>
      </c>
      <c r="B6062" s="1" t="n">
        <v>44917</v>
      </c>
      <c r="C6062" s="1" t="n">
        <v>45587</v>
      </c>
      <c r="D6062" t="inlineStr">
        <is>
          <t>GÄVLEBORGS LÄN</t>
        </is>
      </c>
      <c r="E6062" t="inlineStr">
        <is>
          <t>OCKELBO</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61928-2022</t>
        </is>
      </c>
      <c r="B6063" s="1" t="n">
        <v>44917</v>
      </c>
      <c r="C6063" s="1" t="n">
        <v>45587</v>
      </c>
      <c r="D6063" t="inlineStr">
        <is>
          <t>GÄVLEBORGS LÄN</t>
        </is>
      </c>
      <c r="E6063" t="inlineStr">
        <is>
          <t>SÖDERHAMN</t>
        </is>
      </c>
      <c r="G6063" t="n">
        <v>5.1</v>
      </c>
      <c r="H6063" t="n">
        <v>0</v>
      </c>
      <c r="I6063" t="n">
        <v>0</v>
      </c>
      <c r="J6063" t="n">
        <v>0</v>
      </c>
      <c r="K6063" t="n">
        <v>0</v>
      </c>
      <c r="L6063" t="n">
        <v>0</v>
      </c>
      <c r="M6063" t="n">
        <v>0</v>
      </c>
      <c r="N6063" t="n">
        <v>0</v>
      </c>
      <c r="O6063" t="n">
        <v>0</v>
      </c>
      <c r="P6063" t="n">
        <v>0</v>
      </c>
      <c r="Q6063" t="n">
        <v>0</v>
      </c>
      <c r="R6063" s="2" t="inlineStr"/>
    </row>
    <row r="6064" ht="15" customHeight="1">
      <c r="A6064" t="inlineStr">
        <is>
          <t>A 61900-2022</t>
        </is>
      </c>
      <c r="B6064" s="1" t="n">
        <v>44917</v>
      </c>
      <c r="C6064" s="1" t="n">
        <v>45587</v>
      </c>
      <c r="D6064" t="inlineStr">
        <is>
          <t>GÄVLEBORGS LÄN</t>
        </is>
      </c>
      <c r="E6064" t="inlineStr">
        <is>
          <t>BOLLNÄS</t>
        </is>
      </c>
      <c r="G6064" t="n">
        <v>5.2</v>
      </c>
      <c r="H6064" t="n">
        <v>0</v>
      </c>
      <c r="I6064" t="n">
        <v>0</v>
      </c>
      <c r="J6064" t="n">
        <v>0</v>
      </c>
      <c r="K6064" t="n">
        <v>0</v>
      </c>
      <c r="L6064" t="n">
        <v>0</v>
      </c>
      <c r="M6064" t="n">
        <v>0</v>
      </c>
      <c r="N6064" t="n">
        <v>0</v>
      </c>
      <c r="O6064" t="n">
        <v>0</v>
      </c>
      <c r="P6064" t="n">
        <v>0</v>
      </c>
      <c r="Q6064" t="n">
        <v>0</v>
      </c>
      <c r="R6064" s="2" t="inlineStr"/>
    </row>
    <row r="6065" ht="15" customHeight="1">
      <c r="A6065" t="inlineStr">
        <is>
          <t>A 61927-2022</t>
        </is>
      </c>
      <c r="B6065" s="1" t="n">
        <v>44917</v>
      </c>
      <c r="C6065" s="1" t="n">
        <v>45587</v>
      </c>
      <c r="D6065" t="inlineStr">
        <is>
          <t>GÄVLEBORGS LÄN</t>
        </is>
      </c>
      <c r="E6065" t="inlineStr">
        <is>
          <t>SÖDERHAMN</t>
        </is>
      </c>
      <c r="G6065" t="n">
        <v>8.1</v>
      </c>
      <c r="H6065" t="n">
        <v>0</v>
      </c>
      <c r="I6065" t="n">
        <v>0</v>
      </c>
      <c r="J6065" t="n">
        <v>0</v>
      </c>
      <c r="K6065" t="n">
        <v>0</v>
      </c>
      <c r="L6065" t="n">
        <v>0</v>
      </c>
      <c r="M6065" t="n">
        <v>0</v>
      </c>
      <c r="N6065" t="n">
        <v>0</v>
      </c>
      <c r="O6065" t="n">
        <v>0</v>
      </c>
      <c r="P6065" t="n">
        <v>0</v>
      </c>
      <c r="Q6065" t="n">
        <v>0</v>
      </c>
      <c r="R6065" s="2" t="inlineStr"/>
    </row>
    <row r="6066" ht="15" customHeight="1">
      <c r="A6066" t="inlineStr">
        <is>
          <t>A 62024-2022</t>
        </is>
      </c>
      <c r="B6066" s="1" t="n">
        <v>44918</v>
      </c>
      <c r="C6066" s="1" t="n">
        <v>45587</v>
      </c>
      <c r="D6066" t="inlineStr">
        <is>
          <t>GÄVLEBORGS LÄN</t>
        </is>
      </c>
      <c r="E6066" t="inlineStr">
        <is>
          <t>LJUSDAL</t>
        </is>
      </c>
      <c r="F6066" t="inlineStr">
        <is>
          <t>Holmen skog AB</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62056-2022</t>
        </is>
      </c>
      <c r="B6067" s="1" t="n">
        <v>44918</v>
      </c>
      <c r="C6067" s="1" t="n">
        <v>45587</v>
      </c>
      <c r="D6067" t="inlineStr">
        <is>
          <t>GÄVLEBORGS LÄN</t>
        </is>
      </c>
      <c r="E6067" t="inlineStr">
        <is>
          <t>SANDVIKEN</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62047-2022</t>
        </is>
      </c>
      <c r="B6068" s="1" t="n">
        <v>44918</v>
      </c>
      <c r="C6068" s="1" t="n">
        <v>45587</v>
      </c>
      <c r="D6068" t="inlineStr">
        <is>
          <t>GÄVLEBORGS LÄN</t>
        </is>
      </c>
      <c r="E6068" t="inlineStr">
        <is>
          <t>SANDVIKEN</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61938-2022</t>
        </is>
      </c>
      <c r="B6069" s="1" t="n">
        <v>44918</v>
      </c>
      <c r="C6069" s="1" t="n">
        <v>45587</v>
      </c>
      <c r="D6069" t="inlineStr">
        <is>
          <t>GÄVLEBORGS LÄN</t>
        </is>
      </c>
      <c r="E6069" t="inlineStr">
        <is>
          <t>HUDIKSVALL</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61977-2022</t>
        </is>
      </c>
      <c r="B6070" s="1" t="n">
        <v>44918</v>
      </c>
      <c r="C6070" s="1" t="n">
        <v>45587</v>
      </c>
      <c r="D6070" t="inlineStr">
        <is>
          <t>GÄVLEBORGS LÄN</t>
        </is>
      </c>
      <c r="E6070" t="inlineStr">
        <is>
          <t>HUDIKSVALL</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62030-2022</t>
        </is>
      </c>
      <c r="B6071" s="1" t="n">
        <v>44918</v>
      </c>
      <c r="C6071" s="1" t="n">
        <v>45587</v>
      </c>
      <c r="D6071" t="inlineStr">
        <is>
          <t>GÄVLEBORGS LÄN</t>
        </is>
      </c>
      <c r="E6071" t="inlineStr">
        <is>
          <t>LJUSDAL</t>
        </is>
      </c>
      <c r="F6071" t="inlineStr">
        <is>
          <t>Holmen skog AB</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62130-2022</t>
        </is>
      </c>
      <c r="B6072" s="1" t="n">
        <v>44922</v>
      </c>
      <c r="C6072" s="1" t="n">
        <v>45587</v>
      </c>
      <c r="D6072" t="inlineStr">
        <is>
          <t>GÄVLEBORGS LÄN</t>
        </is>
      </c>
      <c r="E6072" t="inlineStr">
        <is>
          <t>GÄVLE</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62255-2022</t>
        </is>
      </c>
      <c r="B6073" s="1" t="n">
        <v>44922</v>
      </c>
      <c r="C6073" s="1" t="n">
        <v>45587</v>
      </c>
      <c r="D6073" t="inlineStr">
        <is>
          <t>GÄVLEBORGS LÄN</t>
        </is>
      </c>
      <c r="E6073" t="inlineStr">
        <is>
          <t>GÄVLE</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62128-2022</t>
        </is>
      </c>
      <c r="B6074" s="1" t="n">
        <v>44922</v>
      </c>
      <c r="C6074" s="1" t="n">
        <v>45587</v>
      </c>
      <c r="D6074" t="inlineStr">
        <is>
          <t>GÄVLEBORGS LÄN</t>
        </is>
      </c>
      <c r="E6074" t="inlineStr">
        <is>
          <t>GÄVLE</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62215-2022</t>
        </is>
      </c>
      <c r="B6075" s="1" t="n">
        <v>44922</v>
      </c>
      <c r="C6075" s="1" t="n">
        <v>45587</v>
      </c>
      <c r="D6075" t="inlineStr">
        <is>
          <t>GÄVLEBORGS LÄN</t>
        </is>
      </c>
      <c r="E6075" t="inlineStr">
        <is>
          <t>OVANÅKER</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62200-2022</t>
        </is>
      </c>
      <c r="B6076" s="1" t="n">
        <v>44922</v>
      </c>
      <c r="C6076" s="1" t="n">
        <v>45587</v>
      </c>
      <c r="D6076" t="inlineStr">
        <is>
          <t>GÄVLEBORGS LÄN</t>
        </is>
      </c>
      <c r="E6076" t="inlineStr">
        <is>
          <t>LJUSDAL</t>
        </is>
      </c>
      <c r="F6076" t="inlineStr">
        <is>
          <t>Holmen skog AB</t>
        </is>
      </c>
      <c r="G6076" t="n">
        <v>10.8</v>
      </c>
      <c r="H6076" t="n">
        <v>0</v>
      </c>
      <c r="I6076" t="n">
        <v>0</v>
      </c>
      <c r="J6076" t="n">
        <v>0</v>
      </c>
      <c r="K6076" t="n">
        <v>0</v>
      </c>
      <c r="L6076" t="n">
        <v>0</v>
      </c>
      <c r="M6076" t="n">
        <v>0</v>
      </c>
      <c r="N6076" t="n">
        <v>0</v>
      </c>
      <c r="O6076" t="n">
        <v>0</v>
      </c>
      <c r="P6076" t="n">
        <v>0</v>
      </c>
      <c r="Q6076" t="n">
        <v>0</v>
      </c>
      <c r="R6076" s="2" t="inlineStr"/>
    </row>
    <row r="6077" ht="15" customHeight="1">
      <c r="A6077" t="inlineStr">
        <is>
          <t>A 62213-2022</t>
        </is>
      </c>
      <c r="B6077" s="1" t="n">
        <v>44922</v>
      </c>
      <c r="C6077" s="1" t="n">
        <v>45587</v>
      </c>
      <c r="D6077" t="inlineStr">
        <is>
          <t>GÄVLEBORGS LÄN</t>
        </is>
      </c>
      <c r="E6077" t="inlineStr">
        <is>
          <t>HUDIKSVALL</t>
        </is>
      </c>
      <c r="F6077" t="inlineStr">
        <is>
          <t>Holmen skog AB</t>
        </is>
      </c>
      <c r="G6077" t="n">
        <v>9.1</v>
      </c>
      <c r="H6077" t="n">
        <v>0</v>
      </c>
      <c r="I6077" t="n">
        <v>0</v>
      </c>
      <c r="J6077" t="n">
        <v>0</v>
      </c>
      <c r="K6077" t="n">
        <v>0</v>
      </c>
      <c r="L6077" t="n">
        <v>0</v>
      </c>
      <c r="M6077" t="n">
        <v>0</v>
      </c>
      <c r="N6077" t="n">
        <v>0</v>
      </c>
      <c r="O6077" t="n">
        <v>0</v>
      </c>
      <c r="P6077" t="n">
        <v>0</v>
      </c>
      <c r="Q6077" t="n">
        <v>0</v>
      </c>
      <c r="R6077" s="2" t="inlineStr"/>
    </row>
    <row r="6078" ht="15" customHeight="1">
      <c r="A6078" t="inlineStr">
        <is>
          <t>A 62362-2022</t>
        </is>
      </c>
      <c r="B6078" s="1" t="n">
        <v>44923</v>
      </c>
      <c r="C6078" s="1" t="n">
        <v>45587</v>
      </c>
      <c r="D6078" t="inlineStr">
        <is>
          <t>GÄVLEBORGS LÄN</t>
        </is>
      </c>
      <c r="E6078" t="inlineStr">
        <is>
          <t>OVANÅKER</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62420-2022</t>
        </is>
      </c>
      <c r="B6079" s="1" t="n">
        <v>44924</v>
      </c>
      <c r="C6079" s="1" t="n">
        <v>45587</v>
      </c>
      <c r="D6079" t="inlineStr">
        <is>
          <t>GÄVLEBORGS LÄN</t>
        </is>
      </c>
      <c r="E6079" t="inlineStr">
        <is>
          <t>LJUSDAL</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62489-2022</t>
        </is>
      </c>
      <c r="B6080" s="1" t="n">
        <v>44924</v>
      </c>
      <c r="C6080" s="1" t="n">
        <v>45587</v>
      </c>
      <c r="D6080" t="inlineStr">
        <is>
          <t>GÄVLEBORGS LÄN</t>
        </is>
      </c>
      <c r="E6080" t="inlineStr">
        <is>
          <t>LJUSDAL</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62620-2022</t>
        </is>
      </c>
      <c r="B6081" s="1" t="n">
        <v>44925</v>
      </c>
      <c r="C6081" s="1" t="n">
        <v>45587</v>
      </c>
      <c r="D6081" t="inlineStr">
        <is>
          <t>GÄVLEBORGS LÄN</t>
        </is>
      </c>
      <c r="E6081" t="inlineStr">
        <is>
          <t>LJUSDAL</t>
        </is>
      </c>
      <c r="G6081" t="n">
        <v>11.6</v>
      </c>
      <c r="H6081" t="n">
        <v>0</v>
      </c>
      <c r="I6081" t="n">
        <v>0</v>
      </c>
      <c r="J6081" t="n">
        <v>0</v>
      </c>
      <c r="K6081" t="n">
        <v>0</v>
      </c>
      <c r="L6081" t="n">
        <v>0</v>
      </c>
      <c r="M6081" t="n">
        <v>0</v>
      </c>
      <c r="N6081" t="n">
        <v>0</v>
      </c>
      <c r="O6081" t="n">
        <v>0</v>
      </c>
      <c r="P6081" t="n">
        <v>0</v>
      </c>
      <c r="Q6081" t="n">
        <v>0</v>
      </c>
      <c r="R6081" s="2" t="inlineStr"/>
    </row>
    <row r="6082" ht="15" customHeight="1">
      <c r="A6082" t="inlineStr">
        <is>
          <t>A 62631-2022</t>
        </is>
      </c>
      <c r="B6082" s="1" t="n">
        <v>44925</v>
      </c>
      <c r="C6082" s="1" t="n">
        <v>45587</v>
      </c>
      <c r="D6082" t="inlineStr">
        <is>
          <t>GÄVLEBORGS LÄN</t>
        </is>
      </c>
      <c r="E6082" t="inlineStr">
        <is>
          <t>LJUSDAL</t>
        </is>
      </c>
      <c r="G6082" t="n">
        <v>13.8</v>
      </c>
      <c r="H6082" t="n">
        <v>0</v>
      </c>
      <c r="I6082" t="n">
        <v>0</v>
      </c>
      <c r="J6082" t="n">
        <v>0</v>
      </c>
      <c r="K6082" t="n">
        <v>0</v>
      </c>
      <c r="L6082" t="n">
        <v>0</v>
      </c>
      <c r="M6082" t="n">
        <v>0</v>
      </c>
      <c r="N6082" t="n">
        <v>0</v>
      </c>
      <c r="O6082" t="n">
        <v>0</v>
      </c>
      <c r="P6082" t="n">
        <v>0</v>
      </c>
      <c r="Q6082" t="n">
        <v>0</v>
      </c>
      <c r="R6082" s="2" t="inlineStr"/>
    </row>
    <row r="6083" ht="15" customHeight="1">
      <c r="A6083" t="inlineStr">
        <is>
          <t>A 62602-2022</t>
        </is>
      </c>
      <c r="B6083" s="1" t="n">
        <v>44925</v>
      </c>
      <c r="C6083" s="1" t="n">
        <v>45587</v>
      </c>
      <c r="D6083" t="inlineStr">
        <is>
          <t>GÄVLEBORGS LÄN</t>
        </is>
      </c>
      <c r="E6083" t="inlineStr">
        <is>
          <t>SÖDERHAMN</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11-2023</t>
        </is>
      </c>
      <c r="B6084" s="1" t="n">
        <v>44927</v>
      </c>
      <c r="C6084" s="1" t="n">
        <v>45587</v>
      </c>
      <c r="D6084" t="inlineStr">
        <is>
          <t>GÄVLEBORGS LÄN</t>
        </is>
      </c>
      <c r="E6084" t="inlineStr">
        <is>
          <t>GÄVLE</t>
        </is>
      </c>
      <c r="G6084" t="n">
        <v>4.4</v>
      </c>
      <c r="H6084" t="n">
        <v>0</v>
      </c>
      <c r="I6084" t="n">
        <v>0</v>
      </c>
      <c r="J6084" t="n">
        <v>0</v>
      </c>
      <c r="K6084" t="n">
        <v>0</v>
      </c>
      <c r="L6084" t="n">
        <v>0</v>
      </c>
      <c r="M6084" t="n">
        <v>0</v>
      </c>
      <c r="N6084" t="n">
        <v>0</v>
      </c>
      <c r="O6084" t="n">
        <v>0</v>
      </c>
      <c r="P6084" t="n">
        <v>0</v>
      </c>
      <c r="Q6084" t="n">
        <v>0</v>
      </c>
      <c r="R6084" s="2" t="inlineStr"/>
    </row>
    <row r="6085" ht="15" customHeight="1">
      <c r="A6085" t="inlineStr">
        <is>
          <t>A 104-2023</t>
        </is>
      </c>
      <c r="B6085" s="1" t="n">
        <v>44928</v>
      </c>
      <c r="C6085" s="1" t="n">
        <v>45587</v>
      </c>
      <c r="D6085" t="inlineStr">
        <is>
          <t>GÄVLEBORGS LÄN</t>
        </is>
      </c>
      <c r="E6085" t="inlineStr">
        <is>
          <t>HUDIKSVALL</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138-2023</t>
        </is>
      </c>
      <c r="B6086" s="1" t="n">
        <v>44928</v>
      </c>
      <c r="C6086" s="1" t="n">
        <v>45587</v>
      </c>
      <c r="D6086" t="inlineStr">
        <is>
          <t>GÄVLEBORGS LÄN</t>
        </is>
      </c>
      <c r="E6086" t="inlineStr">
        <is>
          <t>GÄVLE</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300-2023</t>
        </is>
      </c>
      <c r="B6087" s="1" t="n">
        <v>44929</v>
      </c>
      <c r="C6087" s="1" t="n">
        <v>45587</v>
      </c>
      <c r="D6087" t="inlineStr">
        <is>
          <t>GÄVLEBORGS LÄN</t>
        </is>
      </c>
      <c r="E6087" t="inlineStr">
        <is>
          <t>NORDANSTIG</t>
        </is>
      </c>
      <c r="F6087" t="inlineStr">
        <is>
          <t>Holmen skog AB</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313-2023</t>
        </is>
      </c>
      <c r="B6088" s="1" t="n">
        <v>44929</v>
      </c>
      <c r="C6088" s="1" t="n">
        <v>45587</v>
      </c>
      <c r="D6088" t="inlineStr">
        <is>
          <t>GÄVLEBORGS LÄN</t>
        </is>
      </c>
      <c r="E6088" t="inlineStr">
        <is>
          <t>HUDIKSVALL</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317-2023</t>
        </is>
      </c>
      <c r="B6089" s="1" t="n">
        <v>44929</v>
      </c>
      <c r="C6089" s="1" t="n">
        <v>45587</v>
      </c>
      <c r="D6089" t="inlineStr">
        <is>
          <t>GÄVLEBORGS LÄN</t>
        </is>
      </c>
      <c r="E6089" t="inlineStr">
        <is>
          <t>OCKELBO</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314-2023</t>
        </is>
      </c>
      <c r="B6090" s="1" t="n">
        <v>44929</v>
      </c>
      <c r="C6090" s="1" t="n">
        <v>45587</v>
      </c>
      <c r="D6090" t="inlineStr">
        <is>
          <t>GÄVLEBORGS LÄN</t>
        </is>
      </c>
      <c r="E6090" t="inlineStr">
        <is>
          <t>HUDIKSVALL</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298-2023</t>
        </is>
      </c>
      <c r="B6091" s="1" t="n">
        <v>44929</v>
      </c>
      <c r="C6091" s="1" t="n">
        <v>45587</v>
      </c>
      <c r="D6091" t="inlineStr">
        <is>
          <t>GÄVLEBORGS LÄN</t>
        </is>
      </c>
      <c r="E6091" t="inlineStr">
        <is>
          <t>NORDANSTIG</t>
        </is>
      </c>
      <c r="F6091" t="inlineStr">
        <is>
          <t>Holmen skog AB</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310-2023</t>
        </is>
      </c>
      <c r="B6092" s="1" t="n">
        <v>44929</v>
      </c>
      <c r="C6092" s="1" t="n">
        <v>45587</v>
      </c>
      <c r="D6092" t="inlineStr">
        <is>
          <t>GÄVLEBORGS LÄN</t>
        </is>
      </c>
      <c r="E6092" t="inlineStr">
        <is>
          <t>HUDIKSVALL</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327-2023</t>
        </is>
      </c>
      <c r="B6093" s="1" t="n">
        <v>44929</v>
      </c>
      <c r="C6093" s="1" t="n">
        <v>45587</v>
      </c>
      <c r="D6093" t="inlineStr">
        <is>
          <t>GÄVLEBORGS LÄN</t>
        </is>
      </c>
      <c r="E6093" t="inlineStr">
        <is>
          <t>NORDANSTIG</t>
        </is>
      </c>
      <c r="G6093" t="n">
        <v>4.8</v>
      </c>
      <c r="H6093" t="n">
        <v>0</v>
      </c>
      <c r="I6093" t="n">
        <v>0</v>
      </c>
      <c r="J6093" t="n">
        <v>0</v>
      </c>
      <c r="K6093" t="n">
        <v>0</v>
      </c>
      <c r="L6093" t="n">
        <v>0</v>
      </c>
      <c r="M6093" t="n">
        <v>0</v>
      </c>
      <c r="N6093" t="n">
        <v>0</v>
      </c>
      <c r="O6093" t="n">
        <v>0</v>
      </c>
      <c r="P6093" t="n">
        <v>0</v>
      </c>
      <c r="Q6093" t="n">
        <v>0</v>
      </c>
      <c r="R6093" s="2" t="inlineStr"/>
    </row>
    <row r="6094" ht="15" customHeight="1">
      <c r="A6094" t="inlineStr">
        <is>
          <t>A 386-2023</t>
        </is>
      </c>
      <c r="B6094" s="1" t="n">
        <v>44929</v>
      </c>
      <c r="C6094" s="1" t="n">
        <v>45587</v>
      </c>
      <c r="D6094" t="inlineStr">
        <is>
          <t>GÄVLEBORGS LÄN</t>
        </is>
      </c>
      <c r="E6094" t="inlineStr">
        <is>
          <t>HUDIKSVALL</t>
        </is>
      </c>
      <c r="F6094" t="inlineStr">
        <is>
          <t>Holmen skog AB</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468-2023</t>
        </is>
      </c>
      <c r="B6095" s="1" t="n">
        <v>44929</v>
      </c>
      <c r="C6095" s="1" t="n">
        <v>45587</v>
      </c>
      <c r="D6095" t="inlineStr">
        <is>
          <t>GÄVLEBORGS LÄN</t>
        </is>
      </c>
      <c r="E6095" t="inlineStr">
        <is>
          <t>BOLLNÄS</t>
        </is>
      </c>
      <c r="G6095" t="n">
        <v>8.4</v>
      </c>
      <c r="H6095" t="n">
        <v>0</v>
      </c>
      <c r="I6095" t="n">
        <v>0</v>
      </c>
      <c r="J6095" t="n">
        <v>0</v>
      </c>
      <c r="K6095" t="n">
        <v>0</v>
      </c>
      <c r="L6095" t="n">
        <v>0</v>
      </c>
      <c r="M6095" t="n">
        <v>0</v>
      </c>
      <c r="N6095" t="n">
        <v>0</v>
      </c>
      <c r="O6095" t="n">
        <v>0</v>
      </c>
      <c r="P6095" t="n">
        <v>0</v>
      </c>
      <c r="Q6095" t="n">
        <v>0</v>
      </c>
      <c r="R6095" s="2" t="inlineStr"/>
    </row>
    <row r="6096" ht="15" customHeight="1">
      <c r="A6096" t="inlineStr">
        <is>
          <t>A 474-2023</t>
        </is>
      </c>
      <c r="B6096" s="1" t="n">
        <v>44929</v>
      </c>
      <c r="C6096" s="1" t="n">
        <v>45587</v>
      </c>
      <c r="D6096" t="inlineStr">
        <is>
          <t>GÄVLEBORGS LÄN</t>
        </is>
      </c>
      <c r="E6096" t="inlineStr">
        <is>
          <t>LJUSDAL</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533-2023</t>
        </is>
      </c>
      <c r="B6097" s="1" t="n">
        <v>44930</v>
      </c>
      <c r="C6097" s="1" t="n">
        <v>45587</v>
      </c>
      <c r="D6097" t="inlineStr">
        <is>
          <t>GÄVLEBORGS LÄN</t>
        </is>
      </c>
      <c r="E6097" t="inlineStr">
        <is>
          <t>OVANÅKER</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540-2023</t>
        </is>
      </c>
      <c r="B6098" s="1" t="n">
        <v>44930</v>
      </c>
      <c r="C6098" s="1" t="n">
        <v>45587</v>
      </c>
      <c r="D6098" t="inlineStr">
        <is>
          <t>GÄVLEBORGS LÄN</t>
        </is>
      </c>
      <c r="E6098" t="inlineStr">
        <is>
          <t>OVANÅKER</t>
        </is>
      </c>
      <c r="G6098" t="n">
        <v>4.9</v>
      </c>
      <c r="H6098" t="n">
        <v>0</v>
      </c>
      <c r="I6098" t="n">
        <v>0</v>
      </c>
      <c r="J6098" t="n">
        <v>0</v>
      </c>
      <c r="K6098" t="n">
        <v>0</v>
      </c>
      <c r="L6098" t="n">
        <v>0</v>
      </c>
      <c r="M6098" t="n">
        <v>0</v>
      </c>
      <c r="N6098" t="n">
        <v>0</v>
      </c>
      <c r="O6098" t="n">
        <v>0</v>
      </c>
      <c r="P6098" t="n">
        <v>0</v>
      </c>
      <c r="Q6098" t="n">
        <v>0</v>
      </c>
      <c r="R6098" s="2" t="inlineStr"/>
    </row>
    <row r="6099" ht="15" customHeight="1">
      <c r="A6099" t="inlineStr">
        <is>
          <t>A 619-2023</t>
        </is>
      </c>
      <c r="B6099" s="1" t="n">
        <v>44930</v>
      </c>
      <c r="C6099" s="1" t="n">
        <v>45587</v>
      </c>
      <c r="D6099" t="inlineStr">
        <is>
          <t>GÄVLEBORGS LÄN</t>
        </is>
      </c>
      <c r="E6099" t="inlineStr">
        <is>
          <t>LJUSDAL</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673-2023</t>
        </is>
      </c>
      <c r="B6100" s="1" t="n">
        <v>44930</v>
      </c>
      <c r="C6100" s="1" t="n">
        <v>45587</v>
      </c>
      <c r="D6100" t="inlineStr">
        <is>
          <t>GÄVLEBORGS LÄN</t>
        </is>
      </c>
      <c r="E6100" t="inlineStr">
        <is>
          <t>NORDANSTIG</t>
        </is>
      </c>
      <c r="F6100" t="inlineStr">
        <is>
          <t>Holmen skog AB</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599-2023</t>
        </is>
      </c>
      <c r="B6101" s="1" t="n">
        <v>44930</v>
      </c>
      <c r="C6101" s="1" t="n">
        <v>45587</v>
      </c>
      <c r="D6101" t="inlineStr">
        <is>
          <t>GÄVLEBORGS LÄN</t>
        </is>
      </c>
      <c r="E6101" t="inlineStr">
        <is>
          <t>LJUSDAL</t>
        </is>
      </c>
      <c r="F6101" t="inlineStr">
        <is>
          <t>Holmen skog AB</t>
        </is>
      </c>
      <c r="G6101" t="n">
        <v>7.9</v>
      </c>
      <c r="H6101" t="n">
        <v>0</v>
      </c>
      <c r="I6101" t="n">
        <v>0</v>
      </c>
      <c r="J6101" t="n">
        <v>0</v>
      </c>
      <c r="K6101" t="n">
        <v>0</v>
      </c>
      <c r="L6101" t="n">
        <v>0</v>
      </c>
      <c r="M6101" t="n">
        <v>0</v>
      </c>
      <c r="N6101" t="n">
        <v>0</v>
      </c>
      <c r="O6101" t="n">
        <v>0</v>
      </c>
      <c r="P6101" t="n">
        <v>0</v>
      </c>
      <c r="Q6101" t="n">
        <v>0</v>
      </c>
      <c r="R6101" s="2" t="inlineStr"/>
    </row>
    <row r="6102" ht="15" customHeight="1">
      <c r="A6102" t="inlineStr">
        <is>
          <t>A 565-2023</t>
        </is>
      </c>
      <c r="B6102" s="1" t="n">
        <v>44930</v>
      </c>
      <c r="C6102" s="1" t="n">
        <v>45587</v>
      </c>
      <c r="D6102" t="inlineStr">
        <is>
          <t>GÄVLEBORGS LÄN</t>
        </is>
      </c>
      <c r="E6102" t="inlineStr">
        <is>
          <t>OCKELBO</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572-2023</t>
        </is>
      </c>
      <c r="B6103" s="1" t="n">
        <v>44930</v>
      </c>
      <c r="C6103" s="1" t="n">
        <v>45587</v>
      </c>
      <c r="D6103" t="inlineStr">
        <is>
          <t>GÄVLEBORGS LÄN</t>
        </is>
      </c>
      <c r="E6103" t="inlineStr">
        <is>
          <t>HUDIKSVALL</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675-2023</t>
        </is>
      </c>
      <c r="B6104" s="1" t="n">
        <v>44930</v>
      </c>
      <c r="C6104" s="1" t="n">
        <v>45587</v>
      </c>
      <c r="D6104" t="inlineStr">
        <is>
          <t>GÄVLEBORGS LÄN</t>
        </is>
      </c>
      <c r="E6104" t="inlineStr">
        <is>
          <t>NORDANSTIG</t>
        </is>
      </c>
      <c r="F6104" t="inlineStr">
        <is>
          <t>Holmen skog AB</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766-2023</t>
        </is>
      </c>
      <c r="B6105" s="1" t="n">
        <v>44931</v>
      </c>
      <c r="C6105" s="1" t="n">
        <v>45587</v>
      </c>
      <c r="D6105" t="inlineStr">
        <is>
          <t>GÄVLEBORGS LÄN</t>
        </is>
      </c>
      <c r="E6105" t="inlineStr">
        <is>
          <t>LJUSDAL</t>
        </is>
      </c>
      <c r="F6105" t="inlineStr">
        <is>
          <t>Bergvik skog väst AB</t>
        </is>
      </c>
      <c r="G6105" t="n">
        <v>7</v>
      </c>
      <c r="H6105" t="n">
        <v>0</v>
      </c>
      <c r="I6105" t="n">
        <v>0</v>
      </c>
      <c r="J6105" t="n">
        <v>0</v>
      </c>
      <c r="K6105" t="n">
        <v>0</v>
      </c>
      <c r="L6105" t="n">
        <v>0</v>
      </c>
      <c r="M6105" t="n">
        <v>0</v>
      </c>
      <c r="N6105" t="n">
        <v>0</v>
      </c>
      <c r="O6105" t="n">
        <v>0</v>
      </c>
      <c r="P6105" t="n">
        <v>0</v>
      </c>
      <c r="Q6105" t="n">
        <v>0</v>
      </c>
      <c r="R6105" s="2" t="inlineStr"/>
    </row>
    <row r="6106" ht="15" customHeight="1">
      <c r="A6106" t="inlineStr">
        <is>
          <t>A 835-2023</t>
        </is>
      </c>
      <c r="B6106" s="1" t="n">
        <v>44931</v>
      </c>
      <c r="C6106" s="1" t="n">
        <v>45587</v>
      </c>
      <c r="D6106" t="inlineStr">
        <is>
          <t>GÄVLEBORGS LÄN</t>
        </is>
      </c>
      <c r="E6106" t="inlineStr">
        <is>
          <t>LJUSDAL</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846-2023</t>
        </is>
      </c>
      <c r="B6107" s="1" t="n">
        <v>44931</v>
      </c>
      <c r="C6107" s="1" t="n">
        <v>45587</v>
      </c>
      <c r="D6107" t="inlineStr">
        <is>
          <t>GÄVLEBORGS LÄN</t>
        </is>
      </c>
      <c r="E6107" t="inlineStr">
        <is>
          <t>LJUSDAL</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1007-2023</t>
        </is>
      </c>
      <c r="B6108" s="1" t="n">
        <v>44935</v>
      </c>
      <c r="C6108" s="1" t="n">
        <v>45587</v>
      </c>
      <c r="D6108" t="inlineStr">
        <is>
          <t>GÄVLEBORGS LÄN</t>
        </is>
      </c>
      <c r="E6108" t="inlineStr">
        <is>
          <t>GÄVLE</t>
        </is>
      </c>
      <c r="F6108" t="inlineStr">
        <is>
          <t>Bergvik skog väst AB</t>
        </is>
      </c>
      <c r="G6108" t="n">
        <v>19.3</v>
      </c>
      <c r="H6108" t="n">
        <v>0</v>
      </c>
      <c r="I6108" t="n">
        <v>0</v>
      </c>
      <c r="J6108" t="n">
        <v>0</v>
      </c>
      <c r="K6108" t="n">
        <v>0</v>
      </c>
      <c r="L6108" t="n">
        <v>0</v>
      </c>
      <c r="M6108" t="n">
        <v>0</v>
      </c>
      <c r="N6108" t="n">
        <v>0</v>
      </c>
      <c r="O6108" t="n">
        <v>0</v>
      </c>
      <c r="P6108" t="n">
        <v>0</v>
      </c>
      <c r="Q6108" t="n">
        <v>0</v>
      </c>
      <c r="R6108" s="2" t="inlineStr"/>
    </row>
    <row r="6109" ht="15" customHeight="1">
      <c r="A6109" t="inlineStr">
        <is>
          <t>A 989-2023</t>
        </is>
      </c>
      <c r="B6109" s="1" t="n">
        <v>44935</v>
      </c>
      <c r="C6109" s="1" t="n">
        <v>45587</v>
      </c>
      <c r="D6109" t="inlineStr">
        <is>
          <t>GÄVLEBORGS LÄN</t>
        </is>
      </c>
      <c r="E6109" t="inlineStr">
        <is>
          <t>GÄVLE</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1019-2023</t>
        </is>
      </c>
      <c r="B6110" s="1" t="n">
        <v>44935</v>
      </c>
      <c r="C6110" s="1" t="n">
        <v>45587</v>
      </c>
      <c r="D6110" t="inlineStr">
        <is>
          <t>GÄVLEBORGS LÄN</t>
        </is>
      </c>
      <c r="E6110" t="inlineStr">
        <is>
          <t>GÄVLE</t>
        </is>
      </c>
      <c r="F6110" t="inlineStr">
        <is>
          <t>Bergvik skog väst AB</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1078-2023</t>
        </is>
      </c>
      <c r="B6111" s="1" t="n">
        <v>44935</v>
      </c>
      <c r="C6111" s="1" t="n">
        <v>45587</v>
      </c>
      <c r="D6111" t="inlineStr">
        <is>
          <t>GÄVLEBORGS LÄN</t>
        </is>
      </c>
      <c r="E6111" t="inlineStr">
        <is>
          <t>BOLLNÄS</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1067-2023</t>
        </is>
      </c>
      <c r="B6112" s="1" t="n">
        <v>44935</v>
      </c>
      <c r="C6112" s="1" t="n">
        <v>45587</v>
      </c>
      <c r="D6112" t="inlineStr">
        <is>
          <t>GÄVLEBORGS LÄN</t>
        </is>
      </c>
      <c r="E6112" t="inlineStr">
        <is>
          <t>LJUSDAL</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1005-2023</t>
        </is>
      </c>
      <c r="B6113" s="1" t="n">
        <v>44935</v>
      </c>
      <c r="C6113" s="1" t="n">
        <v>45587</v>
      </c>
      <c r="D6113" t="inlineStr">
        <is>
          <t>GÄVLEBORGS LÄN</t>
        </is>
      </c>
      <c r="E6113" t="inlineStr">
        <is>
          <t>LJUSDAL</t>
        </is>
      </c>
      <c r="F6113" t="inlineStr">
        <is>
          <t>Holmen skog AB</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1139-2023</t>
        </is>
      </c>
      <c r="B6114" s="1" t="n">
        <v>44935</v>
      </c>
      <c r="C6114" s="1" t="n">
        <v>45587</v>
      </c>
      <c r="D6114" t="inlineStr">
        <is>
          <t>GÄVLEBORGS LÄN</t>
        </is>
      </c>
      <c r="E6114" t="inlineStr">
        <is>
          <t>BOLLNÄS</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1085-2023</t>
        </is>
      </c>
      <c r="B6115" s="1" t="n">
        <v>44935</v>
      </c>
      <c r="C6115" s="1" t="n">
        <v>45587</v>
      </c>
      <c r="D6115" t="inlineStr">
        <is>
          <t>GÄVLEBORGS LÄN</t>
        </is>
      </c>
      <c r="E6115" t="inlineStr">
        <is>
          <t>BOLLNÄS</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1150-2023</t>
        </is>
      </c>
      <c r="B6116" s="1" t="n">
        <v>44935</v>
      </c>
      <c r="C6116" s="1" t="n">
        <v>45587</v>
      </c>
      <c r="D6116" t="inlineStr">
        <is>
          <t>GÄVLEBORGS LÄN</t>
        </is>
      </c>
      <c r="E6116" t="inlineStr">
        <is>
          <t>OVANÅKER</t>
        </is>
      </c>
      <c r="G6116" t="n">
        <v>6</v>
      </c>
      <c r="H6116" t="n">
        <v>0</v>
      </c>
      <c r="I6116" t="n">
        <v>0</v>
      </c>
      <c r="J6116" t="n">
        <v>0</v>
      </c>
      <c r="K6116" t="n">
        <v>0</v>
      </c>
      <c r="L6116" t="n">
        <v>0</v>
      </c>
      <c r="M6116" t="n">
        <v>0</v>
      </c>
      <c r="N6116" t="n">
        <v>0</v>
      </c>
      <c r="O6116" t="n">
        <v>0</v>
      </c>
      <c r="P6116" t="n">
        <v>0</v>
      </c>
      <c r="Q6116" t="n">
        <v>0</v>
      </c>
      <c r="R6116" s="2" t="inlineStr"/>
    </row>
    <row r="6117" ht="15" customHeight="1">
      <c r="A6117" t="inlineStr">
        <is>
          <t>A 1259-2023</t>
        </is>
      </c>
      <c r="B6117" s="1" t="n">
        <v>44936</v>
      </c>
      <c r="C6117" s="1" t="n">
        <v>45587</v>
      </c>
      <c r="D6117" t="inlineStr">
        <is>
          <t>GÄVLEBORGS LÄN</t>
        </is>
      </c>
      <c r="E6117" t="inlineStr">
        <is>
          <t>LJUSDAL</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1238-2023</t>
        </is>
      </c>
      <c r="B6118" s="1" t="n">
        <v>44936</v>
      </c>
      <c r="C6118" s="1" t="n">
        <v>45587</v>
      </c>
      <c r="D6118" t="inlineStr">
        <is>
          <t>GÄVLEBORGS LÄN</t>
        </is>
      </c>
      <c r="E6118" t="inlineStr">
        <is>
          <t>GÄVLE</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1244-2023</t>
        </is>
      </c>
      <c r="B6119" s="1" t="n">
        <v>44936</v>
      </c>
      <c r="C6119" s="1" t="n">
        <v>45587</v>
      </c>
      <c r="D6119" t="inlineStr">
        <is>
          <t>GÄVLEBORGS LÄN</t>
        </is>
      </c>
      <c r="E6119" t="inlineStr">
        <is>
          <t>GÄVLE</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1253-2023</t>
        </is>
      </c>
      <c r="B6120" s="1" t="n">
        <v>44936</v>
      </c>
      <c r="C6120" s="1" t="n">
        <v>45587</v>
      </c>
      <c r="D6120" t="inlineStr">
        <is>
          <t>GÄVLEBORGS LÄN</t>
        </is>
      </c>
      <c r="E6120" t="inlineStr">
        <is>
          <t>LJUSDAL</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1406-2023</t>
        </is>
      </c>
      <c r="B6121" s="1" t="n">
        <v>44936</v>
      </c>
      <c r="C6121" s="1" t="n">
        <v>45587</v>
      </c>
      <c r="D6121" t="inlineStr">
        <is>
          <t>GÄVLEBORGS LÄN</t>
        </is>
      </c>
      <c r="E6121" t="inlineStr">
        <is>
          <t>HUDIKSVALL</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1404-2023</t>
        </is>
      </c>
      <c r="B6122" s="1" t="n">
        <v>44936</v>
      </c>
      <c r="C6122" s="1" t="n">
        <v>45587</v>
      </c>
      <c r="D6122" t="inlineStr">
        <is>
          <t>GÄVLEBORGS LÄN</t>
        </is>
      </c>
      <c r="E6122" t="inlineStr">
        <is>
          <t>HUDIKSVALL</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1812-2023</t>
        </is>
      </c>
      <c r="B6123" s="1" t="n">
        <v>44936</v>
      </c>
      <c r="C6123" s="1" t="n">
        <v>45587</v>
      </c>
      <c r="D6123" t="inlineStr">
        <is>
          <t>GÄVLEBORGS LÄN</t>
        </is>
      </c>
      <c r="E6123" t="inlineStr">
        <is>
          <t>SANDVIKEN</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1453-2023</t>
        </is>
      </c>
      <c r="B6124" s="1" t="n">
        <v>44937</v>
      </c>
      <c r="C6124" s="1" t="n">
        <v>45587</v>
      </c>
      <c r="D6124" t="inlineStr">
        <is>
          <t>GÄVLEBORGS LÄN</t>
        </is>
      </c>
      <c r="E6124" t="inlineStr">
        <is>
          <t>HUDIKSVALL</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1458-2023</t>
        </is>
      </c>
      <c r="B6125" s="1" t="n">
        <v>44937</v>
      </c>
      <c r="C6125" s="1" t="n">
        <v>45587</v>
      </c>
      <c r="D6125" t="inlineStr">
        <is>
          <t>GÄVLEBORGS LÄN</t>
        </is>
      </c>
      <c r="E6125" t="inlineStr">
        <is>
          <t>SÖDERHAMN</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1441-2023</t>
        </is>
      </c>
      <c r="B6126" s="1" t="n">
        <v>44937</v>
      </c>
      <c r="C6126" s="1" t="n">
        <v>45587</v>
      </c>
      <c r="D6126" t="inlineStr">
        <is>
          <t>GÄVLEBORGS LÄN</t>
        </is>
      </c>
      <c r="E6126" t="inlineStr">
        <is>
          <t>GÄVLE</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1471-2023</t>
        </is>
      </c>
      <c r="B6127" s="1" t="n">
        <v>44937</v>
      </c>
      <c r="C6127" s="1" t="n">
        <v>45587</v>
      </c>
      <c r="D6127" t="inlineStr">
        <is>
          <t>GÄVLEBORGS LÄN</t>
        </is>
      </c>
      <c r="E6127" t="inlineStr">
        <is>
          <t>LJUSDAL</t>
        </is>
      </c>
      <c r="F6127" t="inlineStr">
        <is>
          <t>Bergvik skog väst AB</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1452-2023</t>
        </is>
      </c>
      <c r="B6128" s="1" t="n">
        <v>44937</v>
      </c>
      <c r="C6128" s="1" t="n">
        <v>45587</v>
      </c>
      <c r="D6128" t="inlineStr">
        <is>
          <t>GÄVLEBORGS LÄN</t>
        </is>
      </c>
      <c r="E6128" t="inlineStr">
        <is>
          <t>NORDANSTIG</t>
        </is>
      </c>
      <c r="F6128" t="inlineStr">
        <is>
          <t>Holmen skog AB</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1507-2023</t>
        </is>
      </c>
      <c r="B6129" s="1" t="n">
        <v>44937</v>
      </c>
      <c r="C6129" s="1" t="n">
        <v>45587</v>
      </c>
      <c r="D6129" t="inlineStr">
        <is>
          <t>GÄVLEBORGS LÄN</t>
        </is>
      </c>
      <c r="E6129" t="inlineStr">
        <is>
          <t>BOLLNÄS</t>
        </is>
      </c>
      <c r="F6129" t="inlineStr">
        <is>
          <t>Holmen skog AB</t>
        </is>
      </c>
      <c r="G6129" t="n">
        <v>9.4</v>
      </c>
      <c r="H6129" t="n">
        <v>0</v>
      </c>
      <c r="I6129" t="n">
        <v>0</v>
      </c>
      <c r="J6129" t="n">
        <v>0</v>
      </c>
      <c r="K6129" t="n">
        <v>0</v>
      </c>
      <c r="L6129" t="n">
        <v>0</v>
      </c>
      <c r="M6129" t="n">
        <v>0</v>
      </c>
      <c r="N6129" t="n">
        <v>0</v>
      </c>
      <c r="O6129" t="n">
        <v>0</v>
      </c>
      <c r="P6129" t="n">
        <v>0</v>
      </c>
      <c r="Q6129" t="n">
        <v>0</v>
      </c>
      <c r="R6129" s="2" t="inlineStr"/>
    </row>
    <row r="6130" ht="15" customHeight="1">
      <c r="A6130" t="inlineStr">
        <is>
          <t>A 1485-2023</t>
        </is>
      </c>
      <c r="B6130" s="1" t="n">
        <v>44937</v>
      </c>
      <c r="C6130" s="1" t="n">
        <v>45587</v>
      </c>
      <c r="D6130" t="inlineStr">
        <is>
          <t>GÄVLEBORGS LÄN</t>
        </is>
      </c>
      <c r="E6130" t="inlineStr">
        <is>
          <t>HUDIKSVALL</t>
        </is>
      </c>
      <c r="G6130" t="n">
        <v>9.9</v>
      </c>
      <c r="H6130" t="n">
        <v>0</v>
      </c>
      <c r="I6130" t="n">
        <v>0</v>
      </c>
      <c r="J6130" t="n">
        <v>0</v>
      </c>
      <c r="K6130" t="n">
        <v>0</v>
      </c>
      <c r="L6130" t="n">
        <v>0</v>
      </c>
      <c r="M6130" t="n">
        <v>0</v>
      </c>
      <c r="N6130" t="n">
        <v>0</v>
      </c>
      <c r="O6130" t="n">
        <v>0</v>
      </c>
      <c r="P6130" t="n">
        <v>0</v>
      </c>
      <c r="Q6130" t="n">
        <v>0</v>
      </c>
      <c r="R6130" s="2" t="inlineStr"/>
    </row>
    <row r="6131" ht="15" customHeight="1">
      <c r="A6131" t="inlineStr">
        <is>
          <t>A 1436-2023</t>
        </is>
      </c>
      <c r="B6131" s="1" t="n">
        <v>44937</v>
      </c>
      <c r="C6131" s="1" t="n">
        <v>45587</v>
      </c>
      <c r="D6131" t="inlineStr">
        <is>
          <t>GÄVLEBORGS LÄN</t>
        </is>
      </c>
      <c r="E6131" t="inlineStr">
        <is>
          <t>GÄVLE</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1445-2023</t>
        </is>
      </c>
      <c r="B6132" s="1" t="n">
        <v>44937</v>
      </c>
      <c r="C6132" s="1" t="n">
        <v>45587</v>
      </c>
      <c r="D6132" t="inlineStr">
        <is>
          <t>GÄVLEBORGS LÄN</t>
        </is>
      </c>
      <c r="E6132" t="inlineStr">
        <is>
          <t>LJUSDAL</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1508-2023</t>
        </is>
      </c>
      <c r="B6133" s="1" t="n">
        <v>44937</v>
      </c>
      <c r="C6133" s="1" t="n">
        <v>45587</v>
      </c>
      <c r="D6133" t="inlineStr">
        <is>
          <t>GÄVLEBORGS LÄN</t>
        </is>
      </c>
      <c r="E6133" t="inlineStr">
        <is>
          <t>NORDANSTIG</t>
        </is>
      </c>
      <c r="F6133" t="inlineStr">
        <is>
          <t>Holmen skog AB</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1584-2023</t>
        </is>
      </c>
      <c r="B6134" s="1" t="n">
        <v>44937</v>
      </c>
      <c r="C6134" s="1" t="n">
        <v>45587</v>
      </c>
      <c r="D6134" t="inlineStr">
        <is>
          <t>GÄVLEBORGS LÄN</t>
        </is>
      </c>
      <c r="E6134" t="inlineStr">
        <is>
          <t>LJUSDAL</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1537-2023</t>
        </is>
      </c>
      <c r="B6135" s="1" t="n">
        <v>44937</v>
      </c>
      <c r="C6135" s="1" t="n">
        <v>45587</v>
      </c>
      <c r="D6135" t="inlineStr">
        <is>
          <t>GÄVLEBORGS LÄN</t>
        </is>
      </c>
      <c r="E6135" t="inlineStr">
        <is>
          <t>HUDIKSVALL</t>
        </is>
      </c>
      <c r="F6135" t="inlineStr">
        <is>
          <t>Holmen skog AB</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1654-2023</t>
        </is>
      </c>
      <c r="B6136" s="1" t="n">
        <v>44938</v>
      </c>
      <c r="C6136" s="1" t="n">
        <v>45587</v>
      </c>
      <c r="D6136" t="inlineStr">
        <is>
          <t>GÄVLEBORGS LÄN</t>
        </is>
      </c>
      <c r="E6136" t="inlineStr">
        <is>
          <t>OCKELBO</t>
        </is>
      </c>
      <c r="F6136" t="inlineStr">
        <is>
          <t>Bergvik skog väst AB</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1708-2023</t>
        </is>
      </c>
      <c r="B6137" s="1" t="n">
        <v>44938</v>
      </c>
      <c r="C6137" s="1" t="n">
        <v>45587</v>
      </c>
      <c r="D6137" t="inlineStr">
        <is>
          <t>GÄVLEBORGS LÄN</t>
        </is>
      </c>
      <c r="E6137" t="inlineStr">
        <is>
          <t>NORDANSTIG</t>
        </is>
      </c>
      <c r="F6137" t="inlineStr">
        <is>
          <t>Holmen skog AB</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1782-2023</t>
        </is>
      </c>
      <c r="B6138" s="1" t="n">
        <v>44938</v>
      </c>
      <c r="C6138" s="1" t="n">
        <v>45587</v>
      </c>
      <c r="D6138" t="inlineStr">
        <is>
          <t>GÄVLEBORGS LÄN</t>
        </is>
      </c>
      <c r="E6138" t="inlineStr">
        <is>
          <t>SÖDERHAMN</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1809-2023</t>
        </is>
      </c>
      <c r="B6139" s="1" t="n">
        <v>44938</v>
      </c>
      <c r="C6139" s="1" t="n">
        <v>45587</v>
      </c>
      <c r="D6139" t="inlineStr">
        <is>
          <t>GÄVLEBORGS LÄN</t>
        </is>
      </c>
      <c r="E6139" t="inlineStr">
        <is>
          <t>HUDIKSVALL</t>
        </is>
      </c>
      <c r="F6139" t="inlineStr">
        <is>
          <t>Holmen skog AB</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1802-2023</t>
        </is>
      </c>
      <c r="B6140" s="1" t="n">
        <v>44938</v>
      </c>
      <c r="C6140" s="1" t="n">
        <v>45587</v>
      </c>
      <c r="D6140" t="inlineStr">
        <is>
          <t>GÄVLEBORGS LÄN</t>
        </is>
      </c>
      <c r="E6140" t="inlineStr">
        <is>
          <t>NORDANSTIG</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2010-2023</t>
        </is>
      </c>
      <c r="B6141" s="1" t="n">
        <v>44939</v>
      </c>
      <c r="C6141" s="1" t="n">
        <v>45587</v>
      </c>
      <c r="D6141" t="inlineStr">
        <is>
          <t>GÄVLEBORGS LÄN</t>
        </is>
      </c>
      <c r="E6141" t="inlineStr">
        <is>
          <t>HUDIKSVALL</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1891-2023</t>
        </is>
      </c>
      <c r="B6142" s="1" t="n">
        <v>44939</v>
      </c>
      <c r="C6142" s="1" t="n">
        <v>45587</v>
      </c>
      <c r="D6142" t="inlineStr">
        <is>
          <t>GÄVLEBORGS LÄN</t>
        </is>
      </c>
      <c r="E6142" t="inlineStr">
        <is>
          <t>HUDIKSVALL</t>
        </is>
      </c>
      <c r="F6142" t="inlineStr">
        <is>
          <t>Holmen skog AB</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1902-2023</t>
        </is>
      </c>
      <c r="B6143" s="1" t="n">
        <v>44939</v>
      </c>
      <c r="C6143" s="1" t="n">
        <v>45587</v>
      </c>
      <c r="D6143" t="inlineStr">
        <is>
          <t>GÄVLEBORGS LÄN</t>
        </is>
      </c>
      <c r="E6143" t="inlineStr">
        <is>
          <t>NORDANSTIG</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2013-2023</t>
        </is>
      </c>
      <c r="B6144" s="1" t="n">
        <v>44939</v>
      </c>
      <c r="C6144" s="1" t="n">
        <v>45587</v>
      </c>
      <c r="D6144" t="inlineStr">
        <is>
          <t>GÄVLEBORGS LÄN</t>
        </is>
      </c>
      <c r="E6144" t="inlineStr">
        <is>
          <t>LJUSDAL</t>
        </is>
      </c>
      <c r="F6144" t="inlineStr">
        <is>
          <t>Sveaskog</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2035-2023</t>
        </is>
      </c>
      <c r="B6145" s="1" t="n">
        <v>44939</v>
      </c>
      <c r="C6145" s="1" t="n">
        <v>45587</v>
      </c>
      <c r="D6145" t="inlineStr">
        <is>
          <t>GÄVLEBORGS LÄN</t>
        </is>
      </c>
      <c r="E6145" t="inlineStr">
        <is>
          <t>NORDANSTIG</t>
        </is>
      </c>
      <c r="F6145" t="inlineStr">
        <is>
          <t>Holmen skog AB</t>
        </is>
      </c>
      <c r="G6145" t="n">
        <v>8.199999999999999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2105-2023</t>
        </is>
      </c>
      <c r="B6146" s="1" t="n">
        <v>44939</v>
      </c>
      <c r="C6146" s="1" t="n">
        <v>45587</v>
      </c>
      <c r="D6146" t="inlineStr">
        <is>
          <t>GÄVLEBORGS LÄN</t>
        </is>
      </c>
      <c r="E6146" t="inlineStr">
        <is>
          <t>NORDANSTIG</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2215-2023</t>
        </is>
      </c>
      <c r="B6147" s="1" t="n">
        <v>44942</v>
      </c>
      <c r="C6147" s="1" t="n">
        <v>45587</v>
      </c>
      <c r="D6147" t="inlineStr">
        <is>
          <t>GÄVLEBORGS LÄN</t>
        </is>
      </c>
      <c r="E6147" t="inlineStr">
        <is>
          <t>HUDIKSVALL</t>
        </is>
      </c>
      <c r="F6147" t="inlineStr">
        <is>
          <t>Holmen skog AB</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2226-2023</t>
        </is>
      </c>
      <c r="B6148" s="1" t="n">
        <v>44942</v>
      </c>
      <c r="C6148" s="1" t="n">
        <v>45587</v>
      </c>
      <c r="D6148" t="inlineStr">
        <is>
          <t>GÄVLEBORGS LÄN</t>
        </is>
      </c>
      <c r="E6148" t="inlineStr">
        <is>
          <t>HUDIKSVALL</t>
        </is>
      </c>
      <c r="F6148" t="inlineStr">
        <is>
          <t>Holmen skog AB</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2217-2023</t>
        </is>
      </c>
      <c r="B6149" s="1" t="n">
        <v>44942</v>
      </c>
      <c r="C6149" s="1" t="n">
        <v>45587</v>
      </c>
      <c r="D6149" t="inlineStr">
        <is>
          <t>GÄVLEBORGS LÄN</t>
        </is>
      </c>
      <c r="E6149" t="inlineStr">
        <is>
          <t>NORDANSTIG</t>
        </is>
      </c>
      <c r="G6149" t="n">
        <v>7.2</v>
      </c>
      <c r="H6149" t="n">
        <v>0</v>
      </c>
      <c r="I6149" t="n">
        <v>0</v>
      </c>
      <c r="J6149" t="n">
        <v>0</v>
      </c>
      <c r="K6149" t="n">
        <v>0</v>
      </c>
      <c r="L6149" t="n">
        <v>0</v>
      </c>
      <c r="M6149" t="n">
        <v>0</v>
      </c>
      <c r="N6149" t="n">
        <v>0</v>
      </c>
      <c r="O6149" t="n">
        <v>0</v>
      </c>
      <c r="P6149" t="n">
        <v>0</v>
      </c>
      <c r="Q6149" t="n">
        <v>0</v>
      </c>
      <c r="R6149" s="2" t="inlineStr"/>
    </row>
    <row r="6150" ht="15" customHeight="1">
      <c r="A6150" t="inlineStr">
        <is>
          <t>A 2247-2023</t>
        </is>
      </c>
      <c r="B6150" s="1" t="n">
        <v>44942</v>
      </c>
      <c r="C6150" s="1" t="n">
        <v>45587</v>
      </c>
      <c r="D6150" t="inlineStr">
        <is>
          <t>GÄVLEBORGS LÄN</t>
        </is>
      </c>
      <c r="E6150" t="inlineStr">
        <is>
          <t>GÄVLE</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2248-2023</t>
        </is>
      </c>
      <c r="B6151" s="1" t="n">
        <v>44942</v>
      </c>
      <c r="C6151" s="1" t="n">
        <v>45587</v>
      </c>
      <c r="D6151" t="inlineStr">
        <is>
          <t>GÄVLEBORGS LÄN</t>
        </is>
      </c>
      <c r="E6151" t="inlineStr">
        <is>
          <t>LJUSDAL</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2330-2023</t>
        </is>
      </c>
      <c r="B6152" s="1" t="n">
        <v>44942</v>
      </c>
      <c r="C6152" s="1" t="n">
        <v>45587</v>
      </c>
      <c r="D6152" t="inlineStr">
        <is>
          <t>GÄVLEBORGS LÄN</t>
        </is>
      </c>
      <c r="E6152" t="inlineStr">
        <is>
          <t>LJUSDAL</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2378-2023</t>
        </is>
      </c>
      <c r="B6153" s="1" t="n">
        <v>44942</v>
      </c>
      <c r="C6153" s="1" t="n">
        <v>45587</v>
      </c>
      <c r="D6153" t="inlineStr">
        <is>
          <t>GÄVLEBORGS LÄN</t>
        </is>
      </c>
      <c r="E6153" t="inlineStr">
        <is>
          <t>LJUSDAL</t>
        </is>
      </c>
      <c r="G6153" t="n">
        <v>4.8</v>
      </c>
      <c r="H6153" t="n">
        <v>0</v>
      </c>
      <c r="I6153" t="n">
        <v>0</v>
      </c>
      <c r="J6153" t="n">
        <v>0</v>
      </c>
      <c r="K6153" t="n">
        <v>0</v>
      </c>
      <c r="L6153" t="n">
        <v>0</v>
      </c>
      <c r="M6153" t="n">
        <v>0</v>
      </c>
      <c r="N6153" t="n">
        <v>0</v>
      </c>
      <c r="O6153" t="n">
        <v>0</v>
      </c>
      <c r="P6153" t="n">
        <v>0</v>
      </c>
      <c r="Q6153" t="n">
        <v>0</v>
      </c>
      <c r="R6153" s="2" t="inlineStr"/>
    </row>
    <row r="6154" ht="15" customHeight="1">
      <c r="A6154" t="inlineStr">
        <is>
          <t>A 2249-2023</t>
        </is>
      </c>
      <c r="B6154" s="1" t="n">
        <v>44942</v>
      </c>
      <c r="C6154" s="1" t="n">
        <v>45587</v>
      </c>
      <c r="D6154" t="inlineStr">
        <is>
          <t>GÄVLEBORGS LÄN</t>
        </is>
      </c>
      <c r="E6154" t="inlineStr">
        <is>
          <t>HUDIKSVALL</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2370-2023</t>
        </is>
      </c>
      <c r="B6155" s="1" t="n">
        <v>44942</v>
      </c>
      <c r="C6155" s="1" t="n">
        <v>45587</v>
      </c>
      <c r="D6155" t="inlineStr">
        <is>
          <t>GÄVLEBORGS LÄN</t>
        </is>
      </c>
      <c r="E6155" t="inlineStr">
        <is>
          <t>LJUSDAL</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2400-2023</t>
        </is>
      </c>
      <c r="B6156" s="1" t="n">
        <v>44942</v>
      </c>
      <c r="C6156" s="1" t="n">
        <v>45587</v>
      </c>
      <c r="D6156" t="inlineStr">
        <is>
          <t>GÄVLEBORGS LÄN</t>
        </is>
      </c>
      <c r="E6156" t="inlineStr">
        <is>
          <t>GÄVLE</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2425-2023</t>
        </is>
      </c>
      <c r="B6157" s="1" t="n">
        <v>44943</v>
      </c>
      <c r="C6157" s="1" t="n">
        <v>45587</v>
      </c>
      <c r="D6157" t="inlineStr">
        <is>
          <t>GÄVLEBORGS LÄN</t>
        </is>
      </c>
      <c r="E6157" t="inlineStr">
        <is>
          <t>GÄVLE</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2478-2023</t>
        </is>
      </c>
      <c r="B6158" s="1" t="n">
        <v>44943</v>
      </c>
      <c r="C6158" s="1" t="n">
        <v>45587</v>
      </c>
      <c r="D6158" t="inlineStr">
        <is>
          <t>GÄVLEBORGS LÄN</t>
        </is>
      </c>
      <c r="E6158" t="inlineStr">
        <is>
          <t>OVANÅKER</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2467-2023</t>
        </is>
      </c>
      <c r="B6159" s="1" t="n">
        <v>44943</v>
      </c>
      <c r="C6159" s="1" t="n">
        <v>45587</v>
      </c>
      <c r="D6159" t="inlineStr">
        <is>
          <t>GÄVLEBORGS LÄN</t>
        </is>
      </c>
      <c r="E6159" t="inlineStr">
        <is>
          <t>OVANÅKER</t>
        </is>
      </c>
      <c r="G6159" t="n">
        <v>7.5</v>
      </c>
      <c r="H6159" t="n">
        <v>0</v>
      </c>
      <c r="I6159" t="n">
        <v>0</v>
      </c>
      <c r="J6159" t="n">
        <v>0</v>
      </c>
      <c r="K6159" t="n">
        <v>0</v>
      </c>
      <c r="L6159" t="n">
        <v>0</v>
      </c>
      <c r="M6159" t="n">
        <v>0</v>
      </c>
      <c r="N6159" t="n">
        <v>0</v>
      </c>
      <c r="O6159" t="n">
        <v>0</v>
      </c>
      <c r="P6159" t="n">
        <v>0</v>
      </c>
      <c r="Q6159" t="n">
        <v>0</v>
      </c>
      <c r="R6159" s="2" t="inlineStr"/>
    </row>
    <row r="6160" ht="15" customHeight="1">
      <c r="A6160" t="inlineStr">
        <is>
          <t>A 2465-2023</t>
        </is>
      </c>
      <c r="B6160" s="1" t="n">
        <v>44943</v>
      </c>
      <c r="C6160" s="1" t="n">
        <v>45587</v>
      </c>
      <c r="D6160" t="inlineStr">
        <is>
          <t>GÄVLEBORGS LÄN</t>
        </is>
      </c>
      <c r="E6160" t="inlineStr">
        <is>
          <t>OVANÅKER</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2546-2023</t>
        </is>
      </c>
      <c r="B6161" s="1" t="n">
        <v>44943</v>
      </c>
      <c r="C6161" s="1" t="n">
        <v>45587</v>
      </c>
      <c r="D6161" t="inlineStr">
        <is>
          <t>GÄVLEBORGS LÄN</t>
        </is>
      </c>
      <c r="E6161" t="inlineStr">
        <is>
          <t>OVANÅKER</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2592-2023</t>
        </is>
      </c>
      <c r="B6162" s="1" t="n">
        <v>44943</v>
      </c>
      <c r="C6162" s="1" t="n">
        <v>45587</v>
      </c>
      <c r="D6162" t="inlineStr">
        <is>
          <t>GÄVLEBORGS LÄN</t>
        </is>
      </c>
      <c r="E6162" t="inlineStr">
        <is>
          <t>NORDANSTIG</t>
        </is>
      </c>
      <c r="G6162" t="n">
        <v>4.1</v>
      </c>
      <c r="H6162" t="n">
        <v>0</v>
      </c>
      <c r="I6162" t="n">
        <v>0</v>
      </c>
      <c r="J6162" t="n">
        <v>0</v>
      </c>
      <c r="K6162" t="n">
        <v>0</v>
      </c>
      <c r="L6162" t="n">
        <v>0</v>
      </c>
      <c r="M6162" t="n">
        <v>0</v>
      </c>
      <c r="N6162" t="n">
        <v>0</v>
      </c>
      <c r="O6162" t="n">
        <v>0</v>
      </c>
      <c r="P6162" t="n">
        <v>0</v>
      </c>
      <c r="Q6162" t="n">
        <v>0</v>
      </c>
      <c r="R6162" s="2" t="inlineStr"/>
    </row>
    <row r="6163" ht="15" customHeight="1">
      <c r="A6163" t="inlineStr">
        <is>
          <t>A 2591-2023</t>
        </is>
      </c>
      <c r="B6163" s="1" t="n">
        <v>44943</v>
      </c>
      <c r="C6163" s="1" t="n">
        <v>45587</v>
      </c>
      <c r="D6163" t="inlineStr">
        <is>
          <t>GÄVLEBORGS LÄN</t>
        </is>
      </c>
      <c r="E6163" t="inlineStr">
        <is>
          <t>HUDIKSVALL</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2539-2023</t>
        </is>
      </c>
      <c r="B6164" s="1" t="n">
        <v>44943</v>
      </c>
      <c r="C6164" s="1" t="n">
        <v>45587</v>
      </c>
      <c r="D6164" t="inlineStr">
        <is>
          <t>GÄVLEBORGS LÄN</t>
        </is>
      </c>
      <c r="E6164" t="inlineStr">
        <is>
          <t>BOLLNÄS</t>
        </is>
      </c>
      <c r="G6164" t="n">
        <v>14.6</v>
      </c>
      <c r="H6164" t="n">
        <v>0</v>
      </c>
      <c r="I6164" t="n">
        <v>0</v>
      </c>
      <c r="J6164" t="n">
        <v>0</v>
      </c>
      <c r="K6164" t="n">
        <v>0</v>
      </c>
      <c r="L6164" t="n">
        <v>0</v>
      </c>
      <c r="M6164" t="n">
        <v>0</v>
      </c>
      <c r="N6164" t="n">
        <v>0</v>
      </c>
      <c r="O6164" t="n">
        <v>0</v>
      </c>
      <c r="P6164" t="n">
        <v>0</v>
      </c>
      <c r="Q6164" t="n">
        <v>0</v>
      </c>
      <c r="R6164" s="2" t="inlineStr"/>
    </row>
    <row r="6165" ht="15" customHeight="1">
      <c r="A6165" t="inlineStr">
        <is>
          <t>A 2557-2023</t>
        </is>
      </c>
      <c r="B6165" s="1" t="n">
        <v>44943</v>
      </c>
      <c r="C6165" s="1" t="n">
        <v>45587</v>
      </c>
      <c r="D6165" t="inlineStr">
        <is>
          <t>GÄVLEBORGS LÄN</t>
        </is>
      </c>
      <c r="E6165" t="inlineStr">
        <is>
          <t>NORDANSTIG</t>
        </is>
      </c>
      <c r="F6165" t="inlineStr">
        <is>
          <t>Holmen skog AB</t>
        </is>
      </c>
      <c r="G6165" t="n">
        <v>5.5</v>
      </c>
      <c r="H6165" t="n">
        <v>0</v>
      </c>
      <c r="I6165" t="n">
        <v>0</v>
      </c>
      <c r="J6165" t="n">
        <v>0</v>
      </c>
      <c r="K6165" t="n">
        <v>0</v>
      </c>
      <c r="L6165" t="n">
        <v>0</v>
      </c>
      <c r="M6165" t="n">
        <v>0</v>
      </c>
      <c r="N6165" t="n">
        <v>0</v>
      </c>
      <c r="O6165" t="n">
        <v>0</v>
      </c>
      <c r="P6165" t="n">
        <v>0</v>
      </c>
      <c r="Q6165" t="n">
        <v>0</v>
      </c>
      <c r="R6165" s="2" t="inlineStr"/>
    </row>
    <row r="6166" ht="15" customHeight="1">
      <c r="A6166" t="inlineStr">
        <is>
          <t>A 2760-2023</t>
        </is>
      </c>
      <c r="B6166" s="1" t="n">
        <v>44944</v>
      </c>
      <c r="C6166" s="1" t="n">
        <v>45587</v>
      </c>
      <c r="D6166" t="inlineStr">
        <is>
          <t>GÄVLEBORGS LÄN</t>
        </is>
      </c>
      <c r="E6166" t="inlineStr">
        <is>
          <t>SANDVIKEN</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2696-2023</t>
        </is>
      </c>
      <c r="B6167" s="1" t="n">
        <v>44944</v>
      </c>
      <c r="C6167" s="1" t="n">
        <v>45587</v>
      </c>
      <c r="D6167" t="inlineStr">
        <is>
          <t>GÄVLEBORGS LÄN</t>
        </is>
      </c>
      <c r="E6167" t="inlineStr">
        <is>
          <t>GÄVLE</t>
        </is>
      </c>
      <c r="F6167" t="inlineStr">
        <is>
          <t>Kyrkan</t>
        </is>
      </c>
      <c r="G6167" t="n">
        <v>7.3</v>
      </c>
      <c r="H6167" t="n">
        <v>0</v>
      </c>
      <c r="I6167" t="n">
        <v>0</v>
      </c>
      <c r="J6167" t="n">
        <v>0</v>
      </c>
      <c r="K6167" t="n">
        <v>0</v>
      </c>
      <c r="L6167" t="n">
        <v>0</v>
      </c>
      <c r="M6167" t="n">
        <v>0</v>
      </c>
      <c r="N6167" t="n">
        <v>0</v>
      </c>
      <c r="O6167" t="n">
        <v>0</v>
      </c>
      <c r="P6167" t="n">
        <v>0</v>
      </c>
      <c r="Q6167" t="n">
        <v>0</v>
      </c>
      <c r="R6167" s="2" t="inlineStr"/>
    </row>
    <row r="6168" ht="15" customHeight="1">
      <c r="A6168" t="inlineStr">
        <is>
          <t>A 2811-2023</t>
        </is>
      </c>
      <c r="B6168" s="1" t="n">
        <v>44944</v>
      </c>
      <c r="C6168" s="1" t="n">
        <v>45587</v>
      </c>
      <c r="D6168" t="inlineStr">
        <is>
          <t>GÄVLEBORGS LÄN</t>
        </is>
      </c>
      <c r="E6168" t="inlineStr">
        <is>
          <t>HUDIKSVALL</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2935-2023</t>
        </is>
      </c>
      <c r="B6169" s="1" t="n">
        <v>44944</v>
      </c>
      <c r="C6169" s="1" t="n">
        <v>45587</v>
      </c>
      <c r="D6169" t="inlineStr">
        <is>
          <t>GÄVLEBORGS LÄN</t>
        </is>
      </c>
      <c r="E6169" t="inlineStr">
        <is>
          <t>BOLLNÄS</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2833-2023</t>
        </is>
      </c>
      <c r="B6170" s="1" t="n">
        <v>44945</v>
      </c>
      <c r="C6170" s="1" t="n">
        <v>45587</v>
      </c>
      <c r="D6170" t="inlineStr">
        <is>
          <t>GÄVLEBORGS LÄN</t>
        </is>
      </c>
      <c r="E6170" t="inlineStr">
        <is>
          <t>HUDIKSVALL</t>
        </is>
      </c>
      <c r="F6170" t="inlineStr">
        <is>
          <t>Holmen skog AB</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2861-2023</t>
        </is>
      </c>
      <c r="B6171" s="1" t="n">
        <v>44945</v>
      </c>
      <c r="C6171" s="1" t="n">
        <v>45587</v>
      </c>
      <c r="D6171" t="inlineStr">
        <is>
          <t>GÄVLEBORGS LÄN</t>
        </is>
      </c>
      <c r="E6171" t="inlineStr">
        <is>
          <t>NORDANSTIG</t>
        </is>
      </c>
      <c r="G6171" t="n">
        <v>5.2</v>
      </c>
      <c r="H6171" t="n">
        <v>0</v>
      </c>
      <c r="I6171" t="n">
        <v>0</v>
      </c>
      <c r="J6171" t="n">
        <v>0</v>
      </c>
      <c r="K6171" t="n">
        <v>0</v>
      </c>
      <c r="L6171" t="n">
        <v>0</v>
      </c>
      <c r="M6171" t="n">
        <v>0</v>
      </c>
      <c r="N6171" t="n">
        <v>0</v>
      </c>
      <c r="O6171" t="n">
        <v>0</v>
      </c>
      <c r="P6171" t="n">
        <v>0</v>
      </c>
      <c r="Q6171" t="n">
        <v>0</v>
      </c>
      <c r="R6171" s="2" t="inlineStr"/>
    </row>
    <row r="6172" ht="15" customHeight="1">
      <c r="A6172" t="inlineStr">
        <is>
          <t>A 2885-2023</t>
        </is>
      </c>
      <c r="B6172" s="1" t="n">
        <v>44945</v>
      </c>
      <c r="C6172" s="1" t="n">
        <v>45587</v>
      </c>
      <c r="D6172" t="inlineStr">
        <is>
          <t>GÄVLEBORGS LÄN</t>
        </is>
      </c>
      <c r="E6172" t="inlineStr">
        <is>
          <t>BOLLNÄS</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2986-2023</t>
        </is>
      </c>
      <c r="B6173" s="1" t="n">
        <v>44945</v>
      </c>
      <c r="C6173" s="1" t="n">
        <v>45587</v>
      </c>
      <c r="D6173" t="inlineStr">
        <is>
          <t>GÄVLEBORGS LÄN</t>
        </is>
      </c>
      <c r="E6173" t="inlineStr">
        <is>
          <t>NORDANSTIG</t>
        </is>
      </c>
      <c r="F6173" t="inlineStr">
        <is>
          <t>Holmen skog AB</t>
        </is>
      </c>
      <c r="G6173" t="n">
        <v>5.4</v>
      </c>
      <c r="H6173" t="n">
        <v>0</v>
      </c>
      <c r="I6173" t="n">
        <v>0</v>
      </c>
      <c r="J6173" t="n">
        <v>0</v>
      </c>
      <c r="K6173" t="n">
        <v>0</v>
      </c>
      <c r="L6173" t="n">
        <v>0</v>
      </c>
      <c r="M6173" t="n">
        <v>0</v>
      </c>
      <c r="N6173" t="n">
        <v>0</v>
      </c>
      <c r="O6173" t="n">
        <v>0</v>
      </c>
      <c r="P6173" t="n">
        <v>0</v>
      </c>
      <c r="Q6173" t="n">
        <v>0</v>
      </c>
      <c r="R6173" s="2" t="inlineStr"/>
    </row>
    <row r="6174" ht="15" customHeight="1">
      <c r="A6174" t="inlineStr">
        <is>
          <t>A 3063-2023</t>
        </is>
      </c>
      <c r="B6174" s="1" t="n">
        <v>44946</v>
      </c>
      <c r="C6174" s="1" t="n">
        <v>45587</v>
      </c>
      <c r="D6174" t="inlineStr">
        <is>
          <t>GÄVLEBORGS LÄN</t>
        </is>
      </c>
      <c r="E6174" t="inlineStr">
        <is>
          <t>GÄVLE</t>
        </is>
      </c>
      <c r="F6174" t="inlineStr">
        <is>
          <t>Bergvik skog öst AB</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3044-2023</t>
        </is>
      </c>
      <c r="B6175" s="1" t="n">
        <v>44946</v>
      </c>
      <c r="C6175" s="1" t="n">
        <v>45587</v>
      </c>
      <c r="D6175" t="inlineStr">
        <is>
          <t>GÄVLEBORGS LÄN</t>
        </is>
      </c>
      <c r="E6175" t="inlineStr">
        <is>
          <t>OVANÅKER</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3162-2023</t>
        </is>
      </c>
      <c r="B6176" s="1" t="n">
        <v>44946</v>
      </c>
      <c r="C6176" s="1" t="n">
        <v>45587</v>
      </c>
      <c r="D6176" t="inlineStr">
        <is>
          <t>GÄVLEBORGS LÄN</t>
        </is>
      </c>
      <c r="E6176" t="inlineStr">
        <is>
          <t>HUDIKSVALL</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3193-2023</t>
        </is>
      </c>
      <c r="B6177" s="1" t="n">
        <v>44946</v>
      </c>
      <c r="C6177" s="1" t="n">
        <v>45587</v>
      </c>
      <c r="D6177" t="inlineStr">
        <is>
          <t>GÄVLEBORGS LÄN</t>
        </is>
      </c>
      <c r="E6177" t="inlineStr">
        <is>
          <t>LJUSDAL</t>
        </is>
      </c>
      <c r="F6177" t="inlineStr">
        <is>
          <t>Holmen skog AB</t>
        </is>
      </c>
      <c r="G6177" t="n">
        <v>25.7</v>
      </c>
      <c r="H6177" t="n">
        <v>0</v>
      </c>
      <c r="I6177" t="n">
        <v>0</v>
      </c>
      <c r="J6177" t="n">
        <v>0</v>
      </c>
      <c r="K6177" t="n">
        <v>0</v>
      </c>
      <c r="L6177" t="n">
        <v>0</v>
      </c>
      <c r="M6177" t="n">
        <v>0</v>
      </c>
      <c r="N6177" t="n">
        <v>0</v>
      </c>
      <c r="O6177" t="n">
        <v>0</v>
      </c>
      <c r="P6177" t="n">
        <v>0</v>
      </c>
      <c r="Q6177" t="n">
        <v>0</v>
      </c>
      <c r="R6177" s="2" t="inlineStr"/>
    </row>
    <row r="6178" ht="15" customHeight="1">
      <c r="A6178" t="inlineStr">
        <is>
          <t>A 3188-2023</t>
        </is>
      </c>
      <c r="B6178" s="1" t="n">
        <v>44946</v>
      </c>
      <c r="C6178" s="1" t="n">
        <v>45587</v>
      </c>
      <c r="D6178" t="inlineStr">
        <is>
          <t>GÄVLEBORGS LÄN</t>
        </is>
      </c>
      <c r="E6178" t="inlineStr">
        <is>
          <t>LJUSDAL</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3143-2023</t>
        </is>
      </c>
      <c r="B6179" s="1" t="n">
        <v>44946</v>
      </c>
      <c r="C6179" s="1" t="n">
        <v>45587</v>
      </c>
      <c r="D6179" t="inlineStr">
        <is>
          <t>GÄVLEBORGS LÄN</t>
        </is>
      </c>
      <c r="E6179" t="inlineStr">
        <is>
          <t>HUDIKSVALL</t>
        </is>
      </c>
      <c r="F6179" t="inlineStr">
        <is>
          <t>Holmen skog AB</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3215-2023</t>
        </is>
      </c>
      <c r="B6180" s="1" t="n">
        <v>44946</v>
      </c>
      <c r="C6180" s="1" t="n">
        <v>45587</v>
      </c>
      <c r="D6180" t="inlineStr">
        <is>
          <t>GÄVLEBORGS LÄN</t>
        </is>
      </c>
      <c r="E6180" t="inlineStr">
        <is>
          <t>BOLLNÄS</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3211-2023</t>
        </is>
      </c>
      <c r="B6181" s="1" t="n">
        <v>44946</v>
      </c>
      <c r="C6181" s="1" t="n">
        <v>45587</v>
      </c>
      <c r="D6181" t="inlineStr">
        <is>
          <t>GÄVLEBORGS LÄN</t>
        </is>
      </c>
      <c r="E6181" t="inlineStr">
        <is>
          <t>BOLLNÄS</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3217-2023</t>
        </is>
      </c>
      <c r="B6182" s="1" t="n">
        <v>44946</v>
      </c>
      <c r="C6182" s="1" t="n">
        <v>45587</v>
      </c>
      <c r="D6182" t="inlineStr">
        <is>
          <t>GÄVLEBORGS LÄN</t>
        </is>
      </c>
      <c r="E6182" t="inlineStr">
        <is>
          <t>BOLLNÄS</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3304-2023</t>
        </is>
      </c>
      <c r="B6183" s="1" t="n">
        <v>44949</v>
      </c>
      <c r="C6183" s="1" t="n">
        <v>45587</v>
      </c>
      <c r="D6183" t="inlineStr">
        <is>
          <t>GÄVLEBORGS LÄN</t>
        </is>
      </c>
      <c r="E6183" t="inlineStr">
        <is>
          <t>SANDVIKEN</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3363-2023</t>
        </is>
      </c>
      <c r="B6184" s="1" t="n">
        <v>44949</v>
      </c>
      <c r="C6184" s="1" t="n">
        <v>45587</v>
      </c>
      <c r="D6184" t="inlineStr">
        <is>
          <t>GÄVLEBORGS LÄN</t>
        </is>
      </c>
      <c r="E6184" t="inlineStr">
        <is>
          <t>BOLLNÄS</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3365-2023</t>
        </is>
      </c>
      <c r="B6185" s="1" t="n">
        <v>44949</v>
      </c>
      <c r="C6185" s="1" t="n">
        <v>45587</v>
      </c>
      <c r="D6185" t="inlineStr">
        <is>
          <t>GÄVLEBORGS LÄN</t>
        </is>
      </c>
      <c r="E6185" t="inlineStr">
        <is>
          <t>LJUSDAL</t>
        </is>
      </c>
      <c r="F6185" t="inlineStr">
        <is>
          <t>Holmen skog AB</t>
        </is>
      </c>
      <c r="G6185" t="n">
        <v>21.6</v>
      </c>
      <c r="H6185" t="n">
        <v>0</v>
      </c>
      <c r="I6185" t="n">
        <v>0</v>
      </c>
      <c r="J6185" t="n">
        <v>0</v>
      </c>
      <c r="K6185" t="n">
        <v>0</v>
      </c>
      <c r="L6185" t="n">
        <v>0</v>
      </c>
      <c r="M6185" t="n">
        <v>0</v>
      </c>
      <c r="N6185" t="n">
        <v>0</v>
      </c>
      <c r="O6185" t="n">
        <v>0</v>
      </c>
      <c r="P6185" t="n">
        <v>0</v>
      </c>
      <c r="Q6185" t="n">
        <v>0</v>
      </c>
      <c r="R6185" s="2" t="inlineStr"/>
    </row>
    <row r="6186" ht="15" customHeight="1">
      <c r="A6186" t="inlineStr">
        <is>
          <t>A 3289-2023</t>
        </is>
      </c>
      <c r="B6186" s="1" t="n">
        <v>44949</v>
      </c>
      <c r="C6186" s="1" t="n">
        <v>45587</v>
      </c>
      <c r="D6186" t="inlineStr">
        <is>
          <t>GÄVLEBORGS LÄN</t>
        </is>
      </c>
      <c r="E6186" t="inlineStr">
        <is>
          <t>LJUSDAL</t>
        </is>
      </c>
      <c r="F6186" t="inlineStr">
        <is>
          <t>Holmen skog AB</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3313-2023</t>
        </is>
      </c>
      <c r="B6187" s="1" t="n">
        <v>44949</v>
      </c>
      <c r="C6187" s="1" t="n">
        <v>45587</v>
      </c>
      <c r="D6187" t="inlineStr">
        <is>
          <t>GÄVLEBORGS LÄN</t>
        </is>
      </c>
      <c r="E6187" t="inlineStr">
        <is>
          <t>LJUSDAL</t>
        </is>
      </c>
      <c r="F6187" t="inlineStr">
        <is>
          <t>Holmen skog AB</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3316-2023</t>
        </is>
      </c>
      <c r="B6188" s="1" t="n">
        <v>44949</v>
      </c>
      <c r="C6188" s="1" t="n">
        <v>45587</v>
      </c>
      <c r="D6188" t="inlineStr">
        <is>
          <t>GÄVLEBORGS LÄN</t>
        </is>
      </c>
      <c r="E6188" t="inlineStr">
        <is>
          <t>SANDVIKEN</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3361-2023</t>
        </is>
      </c>
      <c r="B6189" s="1" t="n">
        <v>44949</v>
      </c>
      <c r="C6189" s="1" t="n">
        <v>45587</v>
      </c>
      <c r="D6189" t="inlineStr">
        <is>
          <t>GÄVLEBORGS LÄN</t>
        </is>
      </c>
      <c r="E6189" t="inlineStr">
        <is>
          <t>BOLLNÄS</t>
        </is>
      </c>
      <c r="G6189" t="n">
        <v>7.7</v>
      </c>
      <c r="H6189" t="n">
        <v>0</v>
      </c>
      <c r="I6189" t="n">
        <v>0</v>
      </c>
      <c r="J6189" t="n">
        <v>0</v>
      </c>
      <c r="K6189" t="n">
        <v>0</v>
      </c>
      <c r="L6189" t="n">
        <v>0</v>
      </c>
      <c r="M6189" t="n">
        <v>0</v>
      </c>
      <c r="N6189" t="n">
        <v>0</v>
      </c>
      <c r="O6189" t="n">
        <v>0</v>
      </c>
      <c r="P6189" t="n">
        <v>0</v>
      </c>
      <c r="Q6189" t="n">
        <v>0</v>
      </c>
      <c r="R6189" s="2" t="inlineStr"/>
    </row>
    <row r="6190" ht="15" customHeight="1">
      <c r="A6190" t="inlineStr">
        <is>
          <t>A 3370-2023</t>
        </is>
      </c>
      <c r="B6190" s="1" t="n">
        <v>44949</v>
      </c>
      <c r="C6190" s="1" t="n">
        <v>45587</v>
      </c>
      <c r="D6190" t="inlineStr">
        <is>
          <t>GÄVLEBORGS LÄN</t>
        </is>
      </c>
      <c r="E6190" t="inlineStr">
        <is>
          <t>LJUSDAL</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3384-2023</t>
        </is>
      </c>
      <c r="B6191" s="1" t="n">
        <v>44949</v>
      </c>
      <c r="C6191" s="1" t="n">
        <v>45587</v>
      </c>
      <c r="D6191" t="inlineStr">
        <is>
          <t>GÄVLEBORGS LÄN</t>
        </is>
      </c>
      <c r="E6191" t="inlineStr">
        <is>
          <t>OCKELBO</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3464-2023</t>
        </is>
      </c>
      <c r="B6192" s="1" t="n">
        <v>44949</v>
      </c>
      <c r="C6192" s="1" t="n">
        <v>45587</v>
      </c>
      <c r="D6192" t="inlineStr">
        <is>
          <t>GÄVLEBORGS LÄN</t>
        </is>
      </c>
      <c r="E6192" t="inlineStr">
        <is>
          <t>LJUSDAL</t>
        </is>
      </c>
      <c r="G6192" t="n">
        <v>18.6</v>
      </c>
      <c r="H6192" t="n">
        <v>0</v>
      </c>
      <c r="I6192" t="n">
        <v>0</v>
      </c>
      <c r="J6192" t="n">
        <v>0</v>
      </c>
      <c r="K6192" t="n">
        <v>0</v>
      </c>
      <c r="L6192" t="n">
        <v>0</v>
      </c>
      <c r="M6192" t="n">
        <v>0</v>
      </c>
      <c r="N6192" t="n">
        <v>0</v>
      </c>
      <c r="O6192" t="n">
        <v>0</v>
      </c>
      <c r="P6192" t="n">
        <v>0</v>
      </c>
      <c r="Q6192" t="n">
        <v>0</v>
      </c>
      <c r="R6192" s="2" t="inlineStr"/>
    </row>
    <row r="6193" ht="15" customHeight="1">
      <c r="A6193" t="inlineStr">
        <is>
          <t>A 3386-2023</t>
        </is>
      </c>
      <c r="B6193" s="1" t="n">
        <v>44949</v>
      </c>
      <c r="C6193" s="1" t="n">
        <v>45587</v>
      </c>
      <c r="D6193" t="inlineStr">
        <is>
          <t>GÄVLEBORGS LÄN</t>
        </is>
      </c>
      <c r="E6193" t="inlineStr">
        <is>
          <t>NORDANSTIG</t>
        </is>
      </c>
      <c r="F6193" t="inlineStr">
        <is>
          <t>Holmen skog AB</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3442-2023</t>
        </is>
      </c>
      <c r="B6194" s="1" t="n">
        <v>44949</v>
      </c>
      <c r="C6194" s="1" t="n">
        <v>45587</v>
      </c>
      <c r="D6194" t="inlineStr">
        <is>
          <t>GÄVLEBORGS LÄN</t>
        </is>
      </c>
      <c r="E6194" t="inlineStr">
        <is>
          <t>SANDVIKEN</t>
        </is>
      </c>
      <c r="G6194" t="n">
        <v>4.7</v>
      </c>
      <c r="H6194" t="n">
        <v>0</v>
      </c>
      <c r="I6194" t="n">
        <v>0</v>
      </c>
      <c r="J6194" t="n">
        <v>0</v>
      </c>
      <c r="K6194" t="n">
        <v>0</v>
      </c>
      <c r="L6194" t="n">
        <v>0</v>
      </c>
      <c r="M6194" t="n">
        <v>0</v>
      </c>
      <c r="N6194" t="n">
        <v>0</v>
      </c>
      <c r="O6194" t="n">
        <v>0</v>
      </c>
      <c r="P6194" t="n">
        <v>0</v>
      </c>
      <c r="Q6194" t="n">
        <v>0</v>
      </c>
      <c r="R6194" s="2" t="inlineStr"/>
    </row>
    <row r="6195" ht="15" customHeight="1">
      <c r="A6195" t="inlineStr">
        <is>
          <t>A 3453-2023</t>
        </is>
      </c>
      <c r="B6195" s="1" t="n">
        <v>44949</v>
      </c>
      <c r="C6195" s="1" t="n">
        <v>45587</v>
      </c>
      <c r="D6195" t="inlineStr">
        <is>
          <t>GÄVLEBORGS LÄN</t>
        </is>
      </c>
      <c r="E6195" t="inlineStr">
        <is>
          <t>OVANÅKER</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3532-2023</t>
        </is>
      </c>
      <c r="B6196" s="1" t="n">
        <v>44950</v>
      </c>
      <c r="C6196" s="1" t="n">
        <v>45587</v>
      </c>
      <c r="D6196" t="inlineStr">
        <is>
          <t>GÄVLEBORGS LÄN</t>
        </is>
      </c>
      <c r="E6196" t="inlineStr">
        <is>
          <t>LJUSDAL</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3620-2023</t>
        </is>
      </c>
      <c r="B6197" s="1" t="n">
        <v>44950</v>
      </c>
      <c r="C6197" s="1" t="n">
        <v>45587</v>
      </c>
      <c r="D6197" t="inlineStr">
        <is>
          <t>GÄVLEBORGS LÄN</t>
        </is>
      </c>
      <c r="E6197" t="inlineStr">
        <is>
          <t>OCKELBO</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3593-2023</t>
        </is>
      </c>
      <c r="B6198" s="1" t="n">
        <v>44950</v>
      </c>
      <c r="C6198" s="1" t="n">
        <v>45587</v>
      </c>
      <c r="D6198" t="inlineStr">
        <is>
          <t>GÄVLEBORGS LÄN</t>
        </is>
      </c>
      <c r="E6198" t="inlineStr">
        <is>
          <t>OCKELBO</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3628-2023</t>
        </is>
      </c>
      <c r="B6199" s="1" t="n">
        <v>44950</v>
      </c>
      <c r="C6199" s="1" t="n">
        <v>45587</v>
      </c>
      <c r="D6199" t="inlineStr">
        <is>
          <t>GÄVLEBORGS LÄN</t>
        </is>
      </c>
      <c r="E6199" t="inlineStr">
        <is>
          <t>OCKELBO</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3617-2023</t>
        </is>
      </c>
      <c r="B6200" s="1" t="n">
        <v>44950</v>
      </c>
      <c r="C6200" s="1" t="n">
        <v>45587</v>
      </c>
      <c r="D6200" t="inlineStr">
        <is>
          <t>GÄVLEBORGS LÄN</t>
        </is>
      </c>
      <c r="E6200" t="inlineStr">
        <is>
          <t>OCKELBO</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3626-2023</t>
        </is>
      </c>
      <c r="B6201" s="1" t="n">
        <v>44950</v>
      </c>
      <c r="C6201" s="1" t="n">
        <v>45587</v>
      </c>
      <c r="D6201" t="inlineStr">
        <is>
          <t>GÄVLEBORGS LÄN</t>
        </is>
      </c>
      <c r="E6201" t="inlineStr">
        <is>
          <t>OCKELBO</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3635-2023</t>
        </is>
      </c>
      <c r="B6202" s="1" t="n">
        <v>44950</v>
      </c>
      <c r="C6202" s="1" t="n">
        <v>45587</v>
      </c>
      <c r="D6202" t="inlineStr">
        <is>
          <t>GÄVLEBORGS LÄN</t>
        </is>
      </c>
      <c r="E6202" t="inlineStr">
        <is>
          <t>LJUSDAL</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3715-2023</t>
        </is>
      </c>
      <c r="B6203" s="1" t="n">
        <v>44951</v>
      </c>
      <c r="C6203" s="1" t="n">
        <v>45587</v>
      </c>
      <c r="D6203" t="inlineStr">
        <is>
          <t>GÄVLEBORGS LÄN</t>
        </is>
      </c>
      <c r="E6203" t="inlineStr">
        <is>
          <t>GÄVLE</t>
        </is>
      </c>
      <c r="F6203" t="inlineStr">
        <is>
          <t>Bergvik skog väst AB</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3714-2023</t>
        </is>
      </c>
      <c r="B6204" s="1" t="n">
        <v>44951</v>
      </c>
      <c r="C6204" s="1" t="n">
        <v>45587</v>
      </c>
      <c r="D6204" t="inlineStr">
        <is>
          <t>GÄVLEBORGS LÄN</t>
        </is>
      </c>
      <c r="E6204" t="inlineStr">
        <is>
          <t>GÄVLE</t>
        </is>
      </c>
      <c r="F6204" t="inlineStr">
        <is>
          <t>Bergvik skog väst AB</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3712-2023</t>
        </is>
      </c>
      <c r="B6205" s="1" t="n">
        <v>44951</v>
      </c>
      <c r="C6205" s="1" t="n">
        <v>45587</v>
      </c>
      <c r="D6205" t="inlineStr">
        <is>
          <t>GÄVLEBORGS LÄN</t>
        </is>
      </c>
      <c r="E6205" t="inlineStr">
        <is>
          <t>GÄVLE</t>
        </is>
      </c>
      <c r="F6205" t="inlineStr">
        <is>
          <t>Bergvik skog väst AB</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3891-2023</t>
        </is>
      </c>
      <c r="B6206" s="1" t="n">
        <v>44951</v>
      </c>
      <c r="C6206" s="1" t="n">
        <v>45587</v>
      </c>
      <c r="D6206" t="inlineStr">
        <is>
          <t>GÄVLEBORGS LÄN</t>
        </is>
      </c>
      <c r="E6206" t="inlineStr">
        <is>
          <t>GÄVLE</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3942-2023</t>
        </is>
      </c>
      <c r="B6207" s="1" t="n">
        <v>44952</v>
      </c>
      <c r="C6207" s="1" t="n">
        <v>45587</v>
      </c>
      <c r="D6207" t="inlineStr">
        <is>
          <t>GÄVLEBORGS LÄN</t>
        </is>
      </c>
      <c r="E6207" t="inlineStr">
        <is>
          <t>HUDIKSVALL</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4001-2023</t>
        </is>
      </c>
      <c r="B6208" s="1" t="n">
        <v>44952</v>
      </c>
      <c r="C6208" s="1" t="n">
        <v>45587</v>
      </c>
      <c r="D6208" t="inlineStr">
        <is>
          <t>GÄVLEBORGS LÄN</t>
        </is>
      </c>
      <c r="E6208" t="inlineStr">
        <is>
          <t>NORDANSTIG</t>
        </is>
      </c>
      <c r="F6208" t="inlineStr">
        <is>
          <t>Holmen skog AB</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4024-2023</t>
        </is>
      </c>
      <c r="B6209" s="1" t="n">
        <v>44952</v>
      </c>
      <c r="C6209" s="1" t="n">
        <v>45587</v>
      </c>
      <c r="D6209" t="inlineStr">
        <is>
          <t>GÄVLEBORGS LÄN</t>
        </is>
      </c>
      <c r="E6209" t="inlineStr">
        <is>
          <t>NORDANSTIG</t>
        </is>
      </c>
      <c r="F6209" t="inlineStr">
        <is>
          <t>Holmen skog AB</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4039-2023</t>
        </is>
      </c>
      <c r="B6210" s="1" t="n">
        <v>44952</v>
      </c>
      <c r="C6210" s="1" t="n">
        <v>45587</v>
      </c>
      <c r="D6210" t="inlineStr">
        <is>
          <t>GÄVLEBORGS LÄN</t>
        </is>
      </c>
      <c r="E6210" t="inlineStr">
        <is>
          <t>LJUSDAL</t>
        </is>
      </c>
      <c r="F6210" t="inlineStr">
        <is>
          <t>Bergvik skog väst AB</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4044-2023</t>
        </is>
      </c>
      <c r="B6211" s="1" t="n">
        <v>44952</v>
      </c>
      <c r="C6211" s="1" t="n">
        <v>45587</v>
      </c>
      <c r="D6211" t="inlineStr">
        <is>
          <t>GÄVLEBORGS LÄN</t>
        </is>
      </c>
      <c r="E6211" t="inlineStr">
        <is>
          <t>LJUSDAL</t>
        </is>
      </c>
      <c r="F6211" t="inlineStr">
        <is>
          <t>Bergvik skog väst AB</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4053-2023</t>
        </is>
      </c>
      <c r="B6212" s="1" t="n">
        <v>44952</v>
      </c>
      <c r="C6212" s="1" t="n">
        <v>45587</v>
      </c>
      <c r="D6212" t="inlineStr">
        <is>
          <t>GÄVLEBORGS LÄN</t>
        </is>
      </c>
      <c r="E6212" t="inlineStr">
        <is>
          <t>LJUSDAL</t>
        </is>
      </c>
      <c r="F6212" t="inlineStr">
        <is>
          <t>Bergvik skog väst AB</t>
        </is>
      </c>
      <c r="G6212" t="n">
        <v>5.6</v>
      </c>
      <c r="H6212" t="n">
        <v>0</v>
      </c>
      <c r="I6212" t="n">
        <v>0</v>
      </c>
      <c r="J6212" t="n">
        <v>0</v>
      </c>
      <c r="K6212" t="n">
        <v>0</v>
      </c>
      <c r="L6212" t="n">
        <v>0</v>
      </c>
      <c r="M6212" t="n">
        <v>0</v>
      </c>
      <c r="N6212" t="n">
        <v>0</v>
      </c>
      <c r="O6212" t="n">
        <v>0</v>
      </c>
      <c r="P6212" t="n">
        <v>0</v>
      </c>
      <c r="Q6212" t="n">
        <v>0</v>
      </c>
      <c r="R6212" s="2" t="inlineStr"/>
    </row>
    <row r="6213" ht="15" customHeight="1">
      <c r="A6213" t="inlineStr">
        <is>
          <t>A 3957-2023</t>
        </is>
      </c>
      <c r="B6213" s="1" t="n">
        <v>44952</v>
      </c>
      <c r="C6213" s="1" t="n">
        <v>45587</v>
      </c>
      <c r="D6213" t="inlineStr">
        <is>
          <t>GÄVLEBORGS LÄN</t>
        </is>
      </c>
      <c r="E6213" t="inlineStr">
        <is>
          <t>NORDANSTIG</t>
        </is>
      </c>
      <c r="F6213" t="inlineStr">
        <is>
          <t>Holmen skog AB</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3976-2023</t>
        </is>
      </c>
      <c r="B6214" s="1" t="n">
        <v>44952</v>
      </c>
      <c r="C6214" s="1" t="n">
        <v>45587</v>
      </c>
      <c r="D6214" t="inlineStr">
        <is>
          <t>GÄVLEBORGS LÄN</t>
        </is>
      </c>
      <c r="E6214" t="inlineStr">
        <is>
          <t>BOLLNÄS</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3983-2023</t>
        </is>
      </c>
      <c r="B6215" s="1" t="n">
        <v>44952</v>
      </c>
      <c r="C6215" s="1" t="n">
        <v>45587</v>
      </c>
      <c r="D6215" t="inlineStr">
        <is>
          <t>GÄVLEBORGS LÄN</t>
        </is>
      </c>
      <c r="E6215" t="inlineStr">
        <is>
          <t>NORDANSTIG</t>
        </is>
      </c>
      <c r="F6215" t="inlineStr">
        <is>
          <t>Holmen skog AB</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4019-2023</t>
        </is>
      </c>
      <c r="B6216" s="1" t="n">
        <v>44952</v>
      </c>
      <c r="C6216" s="1" t="n">
        <v>45587</v>
      </c>
      <c r="D6216" t="inlineStr">
        <is>
          <t>GÄVLEBORGS LÄN</t>
        </is>
      </c>
      <c r="E6216" t="inlineStr">
        <is>
          <t>HUDIKSVALL</t>
        </is>
      </c>
      <c r="F6216" t="inlineStr">
        <is>
          <t>Holmen skog AB</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4021-2023</t>
        </is>
      </c>
      <c r="B6217" s="1" t="n">
        <v>44952</v>
      </c>
      <c r="C6217" s="1" t="n">
        <v>45587</v>
      </c>
      <c r="D6217" t="inlineStr">
        <is>
          <t>GÄVLEBORGS LÄN</t>
        </is>
      </c>
      <c r="E6217" t="inlineStr">
        <is>
          <t>NORDANSTIG</t>
        </is>
      </c>
      <c r="F6217" t="inlineStr">
        <is>
          <t>Holmen skog AB</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3969-2023</t>
        </is>
      </c>
      <c r="B6218" s="1" t="n">
        <v>44952</v>
      </c>
      <c r="C6218" s="1" t="n">
        <v>45587</v>
      </c>
      <c r="D6218" t="inlineStr">
        <is>
          <t>GÄVLEBORGS LÄN</t>
        </is>
      </c>
      <c r="E6218" t="inlineStr">
        <is>
          <t>NORDANSTIG</t>
        </is>
      </c>
      <c r="F6218" t="inlineStr">
        <is>
          <t>Holmen skog AB</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4034-2023</t>
        </is>
      </c>
      <c r="B6219" s="1" t="n">
        <v>44952</v>
      </c>
      <c r="C6219" s="1" t="n">
        <v>45587</v>
      </c>
      <c r="D6219" t="inlineStr">
        <is>
          <t>GÄVLEBORGS LÄN</t>
        </is>
      </c>
      <c r="E6219" t="inlineStr">
        <is>
          <t>LJUSDAL</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4074-2023</t>
        </is>
      </c>
      <c r="B6220" s="1" t="n">
        <v>44952</v>
      </c>
      <c r="C6220" s="1" t="n">
        <v>45587</v>
      </c>
      <c r="D6220" t="inlineStr">
        <is>
          <t>GÄVLEBORGS LÄN</t>
        </is>
      </c>
      <c r="E6220" t="inlineStr">
        <is>
          <t>OVANÅKER</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4184-2023</t>
        </is>
      </c>
      <c r="B6221" s="1" t="n">
        <v>44953</v>
      </c>
      <c r="C6221" s="1" t="n">
        <v>45587</v>
      </c>
      <c r="D6221" t="inlineStr">
        <is>
          <t>GÄVLEBORGS LÄN</t>
        </is>
      </c>
      <c r="E6221" t="inlineStr">
        <is>
          <t>BOLLNÄS</t>
        </is>
      </c>
      <c r="F6221" t="inlineStr">
        <is>
          <t>Holmen skog AB</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4235-2023</t>
        </is>
      </c>
      <c r="B6222" s="1" t="n">
        <v>44953</v>
      </c>
      <c r="C6222" s="1" t="n">
        <v>45587</v>
      </c>
      <c r="D6222" t="inlineStr">
        <is>
          <t>GÄVLEBORGS LÄN</t>
        </is>
      </c>
      <c r="E6222" t="inlineStr">
        <is>
          <t>BOLLNÄS</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4142-2023</t>
        </is>
      </c>
      <c r="B6223" s="1" t="n">
        <v>44953</v>
      </c>
      <c r="C6223" s="1" t="n">
        <v>45587</v>
      </c>
      <c r="D6223" t="inlineStr">
        <is>
          <t>GÄVLEBORGS LÄN</t>
        </is>
      </c>
      <c r="E6223" t="inlineStr">
        <is>
          <t>NORDANSTIG</t>
        </is>
      </c>
      <c r="F6223" t="inlineStr">
        <is>
          <t>Holmen skog AB</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4197-2023</t>
        </is>
      </c>
      <c r="B6224" s="1" t="n">
        <v>44953</v>
      </c>
      <c r="C6224" s="1" t="n">
        <v>45587</v>
      </c>
      <c r="D6224" t="inlineStr">
        <is>
          <t>GÄVLEBORGS LÄN</t>
        </is>
      </c>
      <c r="E6224" t="inlineStr">
        <is>
          <t>LJUSDAL</t>
        </is>
      </c>
      <c r="F6224" t="inlineStr">
        <is>
          <t>Holmen skog AB</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4195-2023</t>
        </is>
      </c>
      <c r="B6225" s="1" t="n">
        <v>44953</v>
      </c>
      <c r="C6225" s="1" t="n">
        <v>45587</v>
      </c>
      <c r="D6225" t="inlineStr">
        <is>
          <t>GÄVLEBORGS LÄN</t>
        </is>
      </c>
      <c r="E6225" t="inlineStr">
        <is>
          <t>LJUSDAL</t>
        </is>
      </c>
      <c r="F6225" t="inlineStr">
        <is>
          <t>Holmen skog AB</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4148-2023</t>
        </is>
      </c>
      <c r="B6226" s="1" t="n">
        <v>44953</v>
      </c>
      <c r="C6226" s="1" t="n">
        <v>45587</v>
      </c>
      <c r="D6226" t="inlineStr">
        <is>
          <t>GÄVLEBORGS LÄN</t>
        </is>
      </c>
      <c r="E6226" t="inlineStr">
        <is>
          <t>LJUSDAL</t>
        </is>
      </c>
      <c r="F6226" t="inlineStr">
        <is>
          <t>Holmen skog AB</t>
        </is>
      </c>
      <c r="G6226" t="n">
        <v>5.4</v>
      </c>
      <c r="H6226" t="n">
        <v>0</v>
      </c>
      <c r="I6226" t="n">
        <v>0</v>
      </c>
      <c r="J6226" t="n">
        <v>0</v>
      </c>
      <c r="K6226" t="n">
        <v>0</v>
      </c>
      <c r="L6226" t="n">
        <v>0</v>
      </c>
      <c r="M6226" t="n">
        <v>0</v>
      </c>
      <c r="N6226" t="n">
        <v>0</v>
      </c>
      <c r="O6226" t="n">
        <v>0</v>
      </c>
      <c r="P6226" t="n">
        <v>0</v>
      </c>
      <c r="Q6226" t="n">
        <v>0</v>
      </c>
      <c r="R6226" s="2" t="inlineStr"/>
    </row>
    <row r="6227" ht="15" customHeight="1">
      <c r="A6227" t="inlineStr">
        <is>
          <t>A 4226-2023</t>
        </is>
      </c>
      <c r="B6227" s="1" t="n">
        <v>44953</v>
      </c>
      <c r="C6227" s="1" t="n">
        <v>45587</v>
      </c>
      <c r="D6227" t="inlineStr">
        <is>
          <t>GÄVLEBORGS LÄN</t>
        </is>
      </c>
      <c r="E6227" t="inlineStr">
        <is>
          <t>OCKELBO</t>
        </is>
      </c>
      <c r="F6227" t="inlineStr">
        <is>
          <t>Bergvik skog väst AB</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4301-2023</t>
        </is>
      </c>
      <c r="B6228" s="1" t="n">
        <v>44953</v>
      </c>
      <c r="C6228" s="1" t="n">
        <v>45587</v>
      </c>
      <c r="D6228" t="inlineStr">
        <is>
          <t>GÄVLEBORGS LÄN</t>
        </is>
      </c>
      <c r="E6228" t="inlineStr">
        <is>
          <t>HUDIKSVALL</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4275-2023</t>
        </is>
      </c>
      <c r="B6229" s="1" t="n">
        <v>44953</v>
      </c>
      <c r="C6229" s="1" t="n">
        <v>45587</v>
      </c>
      <c r="D6229" t="inlineStr">
        <is>
          <t>GÄVLEBORGS LÄN</t>
        </is>
      </c>
      <c r="E6229" t="inlineStr">
        <is>
          <t>LJUSDAL</t>
        </is>
      </c>
      <c r="F6229" t="inlineStr">
        <is>
          <t>Holmen skog AB</t>
        </is>
      </c>
      <c r="G6229" t="n">
        <v>16.4</v>
      </c>
      <c r="H6229" t="n">
        <v>0</v>
      </c>
      <c r="I6229" t="n">
        <v>0</v>
      </c>
      <c r="J6229" t="n">
        <v>0</v>
      </c>
      <c r="K6229" t="n">
        <v>0</v>
      </c>
      <c r="L6229" t="n">
        <v>0</v>
      </c>
      <c r="M6229" t="n">
        <v>0</v>
      </c>
      <c r="N6229" t="n">
        <v>0</v>
      </c>
      <c r="O6229" t="n">
        <v>0</v>
      </c>
      <c r="P6229" t="n">
        <v>0</v>
      </c>
      <c r="Q6229" t="n">
        <v>0</v>
      </c>
      <c r="R6229" s="2" t="inlineStr"/>
    </row>
    <row r="6230" ht="15" customHeight="1">
      <c r="A6230" t="inlineStr">
        <is>
          <t>A 4384-2023</t>
        </is>
      </c>
      <c r="B6230" s="1" t="n">
        <v>44955</v>
      </c>
      <c r="C6230" s="1" t="n">
        <v>45587</v>
      </c>
      <c r="D6230" t="inlineStr">
        <is>
          <t>GÄVLEBORGS LÄN</t>
        </is>
      </c>
      <c r="E6230" t="inlineStr">
        <is>
          <t>SANDVIKEN</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4461-2023</t>
        </is>
      </c>
      <c r="B6231" s="1" t="n">
        <v>44956</v>
      </c>
      <c r="C6231" s="1" t="n">
        <v>45587</v>
      </c>
      <c r="D6231" t="inlineStr">
        <is>
          <t>GÄVLEBORGS LÄN</t>
        </is>
      </c>
      <c r="E6231" t="inlineStr">
        <is>
          <t>SANDVIKEN</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4482-2023</t>
        </is>
      </c>
      <c r="B6232" s="1" t="n">
        <v>44956</v>
      </c>
      <c r="C6232" s="1" t="n">
        <v>45587</v>
      </c>
      <c r="D6232" t="inlineStr">
        <is>
          <t>GÄVLEBORGS LÄN</t>
        </is>
      </c>
      <c r="E6232" t="inlineStr">
        <is>
          <t>BOLLNÄS</t>
        </is>
      </c>
      <c r="G6232" t="n">
        <v>5.7</v>
      </c>
      <c r="H6232" t="n">
        <v>0</v>
      </c>
      <c r="I6232" t="n">
        <v>0</v>
      </c>
      <c r="J6232" t="n">
        <v>0</v>
      </c>
      <c r="K6232" t="n">
        <v>0</v>
      </c>
      <c r="L6232" t="n">
        <v>0</v>
      </c>
      <c r="M6232" t="n">
        <v>0</v>
      </c>
      <c r="N6232" t="n">
        <v>0</v>
      </c>
      <c r="O6232" t="n">
        <v>0</v>
      </c>
      <c r="P6232" t="n">
        <v>0</v>
      </c>
      <c r="Q6232" t="n">
        <v>0</v>
      </c>
      <c r="R6232" s="2" t="inlineStr"/>
    </row>
    <row r="6233" ht="15" customHeight="1">
      <c r="A6233" t="inlineStr">
        <is>
          <t>A 4451-2023</t>
        </is>
      </c>
      <c r="B6233" s="1" t="n">
        <v>44956</v>
      </c>
      <c r="C6233" s="1" t="n">
        <v>45587</v>
      </c>
      <c r="D6233" t="inlineStr">
        <is>
          <t>GÄVLEBORGS LÄN</t>
        </is>
      </c>
      <c r="E6233" t="inlineStr">
        <is>
          <t>HOFORS</t>
        </is>
      </c>
      <c r="G6233" t="n">
        <v>5.1</v>
      </c>
      <c r="H6233" t="n">
        <v>0</v>
      </c>
      <c r="I6233" t="n">
        <v>0</v>
      </c>
      <c r="J6233" t="n">
        <v>0</v>
      </c>
      <c r="K6233" t="n">
        <v>0</v>
      </c>
      <c r="L6233" t="n">
        <v>0</v>
      </c>
      <c r="M6233" t="n">
        <v>0</v>
      </c>
      <c r="N6233" t="n">
        <v>0</v>
      </c>
      <c r="O6233" t="n">
        <v>0</v>
      </c>
      <c r="P6233" t="n">
        <v>0</v>
      </c>
      <c r="Q6233" t="n">
        <v>0</v>
      </c>
      <c r="R6233" s="2" t="inlineStr"/>
    </row>
    <row r="6234" ht="15" customHeight="1">
      <c r="A6234" t="inlineStr">
        <is>
          <t>A 4457-2023</t>
        </is>
      </c>
      <c r="B6234" s="1" t="n">
        <v>44956</v>
      </c>
      <c r="C6234" s="1" t="n">
        <v>45587</v>
      </c>
      <c r="D6234" t="inlineStr">
        <is>
          <t>GÄVLEBORGS LÄN</t>
        </is>
      </c>
      <c r="E6234" t="inlineStr">
        <is>
          <t>SANDVIKEN</t>
        </is>
      </c>
      <c r="G6234" t="n">
        <v>3.8</v>
      </c>
      <c r="H6234" t="n">
        <v>0</v>
      </c>
      <c r="I6234" t="n">
        <v>0</v>
      </c>
      <c r="J6234" t="n">
        <v>0</v>
      </c>
      <c r="K6234" t="n">
        <v>0</v>
      </c>
      <c r="L6234" t="n">
        <v>0</v>
      </c>
      <c r="M6234" t="n">
        <v>0</v>
      </c>
      <c r="N6234" t="n">
        <v>0</v>
      </c>
      <c r="O6234" t="n">
        <v>0</v>
      </c>
      <c r="P6234" t="n">
        <v>0</v>
      </c>
      <c r="Q6234" t="n">
        <v>0</v>
      </c>
      <c r="R6234" s="2" t="inlineStr"/>
    </row>
    <row r="6235" ht="15" customHeight="1">
      <c r="A6235" t="inlineStr">
        <is>
          <t>A 4476-2023</t>
        </is>
      </c>
      <c r="B6235" s="1" t="n">
        <v>44956</v>
      </c>
      <c r="C6235" s="1" t="n">
        <v>45587</v>
      </c>
      <c r="D6235" t="inlineStr">
        <is>
          <t>GÄVLEBORGS LÄN</t>
        </is>
      </c>
      <c r="E6235" t="inlineStr">
        <is>
          <t>LJUSDAL</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4534-2023</t>
        </is>
      </c>
      <c r="B6236" s="1" t="n">
        <v>44956</v>
      </c>
      <c r="C6236" s="1" t="n">
        <v>45587</v>
      </c>
      <c r="D6236" t="inlineStr">
        <is>
          <t>GÄVLEBORGS LÄN</t>
        </is>
      </c>
      <c r="E6236" t="inlineStr">
        <is>
          <t>OVANÅKER</t>
        </is>
      </c>
      <c r="F6236" t="inlineStr">
        <is>
          <t>Bergvik skog väst AB</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4563-2023</t>
        </is>
      </c>
      <c r="B6237" s="1" t="n">
        <v>44956</v>
      </c>
      <c r="C6237" s="1" t="n">
        <v>45587</v>
      </c>
      <c r="D6237" t="inlineStr">
        <is>
          <t>GÄVLEBORGS LÄN</t>
        </is>
      </c>
      <c r="E6237" t="inlineStr">
        <is>
          <t>SÖDERHAMN</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4432-2023</t>
        </is>
      </c>
      <c r="B6238" s="1" t="n">
        <v>44956</v>
      </c>
      <c r="C6238" s="1" t="n">
        <v>45587</v>
      </c>
      <c r="D6238" t="inlineStr">
        <is>
          <t>GÄVLEBORGS LÄN</t>
        </is>
      </c>
      <c r="E6238" t="inlineStr">
        <is>
          <t>BOLLNÄS</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4525-2023</t>
        </is>
      </c>
      <c r="B6239" s="1" t="n">
        <v>44956</v>
      </c>
      <c r="C6239" s="1" t="n">
        <v>45587</v>
      </c>
      <c r="D6239" t="inlineStr">
        <is>
          <t>GÄVLEBORGS LÄN</t>
        </is>
      </c>
      <c r="E6239" t="inlineStr">
        <is>
          <t>LJUSDAL</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4540-2023</t>
        </is>
      </c>
      <c r="B6240" s="1" t="n">
        <v>44956</v>
      </c>
      <c r="C6240" s="1" t="n">
        <v>45587</v>
      </c>
      <c r="D6240" t="inlineStr">
        <is>
          <t>GÄVLEBORGS LÄN</t>
        </is>
      </c>
      <c r="E6240" t="inlineStr">
        <is>
          <t>OVANÅKER</t>
        </is>
      </c>
      <c r="F6240" t="inlineStr">
        <is>
          <t>Bergvik skog väst AB</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4605-2023</t>
        </is>
      </c>
      <c r="B6241" s="1" t="n">
        <v>44956</v>
      </c>
      <c r="C6241" s="1" t="n">
        <v>45587</v>
      </c>
      <c r="D6241" t="inlineStr">
        <is>
          <t>GÄVLEBORGS LÄN</t>
        </is>
      </c>
      <c r="E6241" t="inlineStr">
        <is>
          <t>HUDIKSVALL</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4660-2023</t>
        </is>
      </c>
      <c r="B6242" s="1" t="n">
        <v>44957</v>
      </c>
      <c r="C6242" s="1" t="n">
        <v>45587</v>
      </c>
      <c r="D6242" t="inlineStr">
        <is>
          <t>GÄVLEBORGS LÄN</t>
        </is>
      </c>
      <c r="E6242" t="inlineStr">
        <is>
          <t>LJUSDAL</t>
        </is>
      </c>
      <c r="F6242" t="inlineStr">
        <is>
          <t>Holmen skog AB</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4818-2023</t>
        </is>
      </c>
      <c r="B6243" s="1" t="n">
        <v>44957</v>
      </c>
      <c r="C6243" s="1" t="n">
        <v>45587</v>
      </c>
      <c r="D6243" t="inlineStr">
        <is>
          <t>GÄVLEBORGS LÄN</t>
        </is>
      </c>
      <c r="E6243" t="inlineStr">
        <is>
          <t>LJUSDAL</t>
        </is>
      </c>
      <c r="F6243" t="inlineStr">
        <is>
          <t>Holmen skog AB</t>
        </is>
      </c>
      <c r="G6243" t="n">
        <v>5.1</v>
      </c>
      <c r="H6243" t="n">
        <v>0</v>
      </c>
      <c r="I6243" t="n">
        <v>0</v>
      </c>
      <c r="J6243" t="n">
        <v>0</v>
      </c>
      <c r="K6243" t="n">
        <v>0</v>
      </c>
      <c r="L6243" t="n">
        <v>0</v>
      </c>
      <c r="M6243" t="n">
        <v>0</v>
      </c>
      <c r="N6243" t="n">
        <v>0</v>
      </c>
      <c r="O6243" t="n">
        <v>0</v>
      </c>
      <c r="P6243" t="n">
        <v>0</v>
      </c>
      <c r="Q6243" t="n">
        <v>0</v>
      </c>
      <c r="R6243" s="2" t="inlineStr"/>
    </row>
    <row r="6244" ht="15" customHeight="1">
      <c r="A6244" t="inlineStr">
        <is>
          <t>A 4843-2023</t>
        </is>
      </c>
      <c r="B6244" s="1" t="n">
        <v>44957</v>
      </c>
      <c r="C6244" s="1" t="n">
        <v>45587</v>
      </c>
      <c r="D6244" t="inlineStr">
        <is>
          <t>GÄVLEBORGS LÄN</t>
        </is>
      </c>
      <c r="E6244" t="inlineStr">
        <is>
          <t>SÖDERHAMN</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4865-2023</t>
        </is>
      </c>
      <c r="B6245" s="1" t="n">
        <v>44957</v>
      </c>
      <c r="C6245" s="1" t="n">
        <v>45587</v>
      </c>
      <c r="D6245" t="inlineStr">
        <is>
          <t>GÄVLEBORGS LÄN</t>
        </is>
      </c>
      <c r="E6245" t="inlineStr">
        <is>
          <t>LJUSDAL</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4672-2023</t>
        </is>
      </c>
      <c r="B6246" s="1" t="n">
        <v>44957</v>
      </c>
      <c r="C6246" s="1" t="n">
        <v>45587</v>
      </c>
      <c r="D6246" t="inlineStr">
        <is>
          <t>GÄVLEBORGS LÄN</t>
        </is>
      </c>
      <c r="E6246" t="inlineStr">
        <is>
          <t>OVANÅKER</t>
        </is>
      </c>
      <c r="F6246" t="inlineStr">
        <is>
          <t>Bergvik skog väst AB</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4761-2023</t>
        </is>
      </c>
      <c r="B6247" s="1" t="n">
        <v>44957</v>
      </c>
      <c r="C6247" s="1" t="n">
        <v>45587</v>
      </c>
      <c r="D6247" t="inlineStr">
        <is>
          <t>GÄVLEBORGS LÄN</t>
        </is>
      </c>
      <c r="E6247" t="inlineStr">
        <is>
          <t>OVANÅKER</t>
        </is>
      </c>
      <c r="F6247" t="inlineStr">
        <is>
          <t>Bergvik skog väst AB</t>
        </is>
      </c>
      <c r="G6247" t="n">
        <v>22.6</v>
      </c>
      <c r="H6247" t="n">
        <v>0</v>
      </c>
      <c r="I6247" t="n">
        <v>0</v>
      </c>
      <c r="J6247" t="n">
        <v>0</v>
      </c>
      <c r="K6247" t="n">
        <v>0</v>
      </c>
      <c r="L6247" t="n">
        <v>0</v>
      </c>
      <c r="M6247" t="n">
        <v>0</v>
      </c>
      <c r="N6247" t="n">
        <v>0</v>
      </c>
      <c r="O6247" t="n">
        <v>0</v>
      </c>
      <c r="P6247" t="n">
        <v>0</v>
      </c>
      <c r="Q6247" t="n">
        <v>0</v>
      </c>
      <c r="R6247" s="2" t="inlineStr"/>
    </row>
    <row r="6248" ht="15" customHeight="1">
      <c r="A6248" t="inlineStr">
        <is>
          <t>A 4824-2023</t>
        </is>
      </c>
      <c r="B6248" s="1" t="n">
        <v>44957</v>
      </c>
      <c r="C6248" s="1" t="n">
        <v>45587</v>
      </c>
      <c r="D6248" t="inlineStr">
        <is>
          <t>GÄVLEBORGS LÄN</t>
        </is>
      </c>
      <c r="E6248" t="inlineStr">
        <is>
          <t>LJUSDAL</t>
        </is>
      </c>
      <c r="F6248" t="inlineStr">
        <is>
          <t>Holmen skog AB</t>
        </is>
      </c>
      <c r="G6248" t="n">
        <v>4.6</v>
      </c>
      <c r="H6248" t="n">
        <v>0</v>
      </c>
      <c r="I6248" t="n">
        <v>0</v>
      </c>
      <c r="J6248" t="n">
        <v>0</v>
      </c>
      <c r="K6248" t="n">
        <v>0</v>
      </c>
      <c r="L6248" t="n">
        <v>0</v>
      </c>
      <c r="M6248" t="n">
        <v>0</v>
      </c>
      <c r="N6248" t="n">
        <v>0</v>
      </c>
      <c r="O6248" t="n">
        <v>0</v>
      </c>
      <c r="P6248" t="n">
        <v>0</v>
      </c>
      <c r="Q6248" t="n">
        <v>0</v>
      </c>
      <c r="R6248" s="2" t="inlineStr"/>
    </row>
    <row r="6249" ht="15" customHeight="1">
      <c r="A6249" t="inlineStr">
        <is>
          <t>A 4642-2023</t>
        </is>
      </c>
      <c r="B6249" s="1" t="n">
        <v>44957</v>
      </c>
      <c r="C6249" s="1" t="n">
        <v>45587</v>
      </c>
      <c r="D6249" t="inlineStr">
        <is>
          <t>GÄVLEBORGS LÄN</t>
        </is>
      </c>
      <c r="E6249" t="inlineStr">
        <is>
          <t>LJUSDAL</t>
        </is>
      </c>
      <c r="F6249" t="inlineStr">
        <is>
          <t>Holmen skog AB</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4686-2023</t>
        </is>
      </c>
      <c r="B6250" s="1" t="n">
        <v>44957</v>
      </c>
      <c r="C6250" s="1" t="n">
        <v>45587</v>
      </c>
      <c r="D6250" t="inlineStr">
        <is>
          <t>GÄVLEBORGS LÄN</t>
        </is>
      </c>
      <c r="E6250" t="inlineStr">
        <is>
          <t>LJUSDAL</t>
        </is>
      </c>
      <c r="F6250" t="inlineStr">
        <is>
          <t>Holmen skog AB</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4693-2023</t>
        </is>
      </c>
      <c r="B6251" s="1" t="n">
        <v>44957</v>
      </c>
      <c r="C6251" s="1" t="n">
        <v>45587</v>
      </c>
      <c r="D6251" t="inlineStr">
        <is>
          <t>GÄVLEBORGS LÄN</t>
        </is>
      </c>
      <c r="E6251" t="inlineStr">
        <is>
          <t>HUDIKSVALL</t>
        </is>
      </c>
      <c r="F6251" t="inlineStr">
        <is>
          <t>Holmen skog AB</t>
        </is>
      </c>
      <c r="G6251" t="n">
        <v>6.4</v>
      </c>
      <c r="H6251" t="n">
        <v>0</v>
      </c>
      <c r="I6251" t="n">
        <v>0</v>
      </c>
      <c r="J6251" t="n">
        <v>0</v>
      </c>
      <c r="K6251" t="n">
        <v>0</v>
      </c>
      <c r="L6251" t="n">
        <v>0</v>
      </c>
      <c r="M6251" t="n">
        <v>0</v>
      </c>
      <c r="N6251" t="n">
        <v>0</v>
      </c>
      <c r="O6251" t="n">
        <v>0</v>
      </c>
      <c r="P6251" t="n">
        <v>0</v>
      </c>
      <c r="Q6251" t="n">
        <v>0</v>
      </c>
      <c r="R6251" s="2" t="inlineStr"/>
    </row>
    <row r="6252" ht="15" customHeight="1">
      <c r="A6252" t="inlineStr">
        <is>
          <t>A 4805-2023</t>
        </is>
      </c>
      <c r="B6252" s="1" t="n">
        <v>44957</v>
      </c>
      <c r="C6252" s="1" t="n">
        <v>45587</v>
      </c>
      <c r="D6252" t="inlineStr">
        <is>
          <t>GÄVLEBORGS LÄN</t>
        </is>
      </c>
      <c r="E6252" t="inlineStr">
        <is>
          <t>LJUSDAL</t>
        </is>
      </c>
      <c r="F6252" t="inlineStr">
        <is>
          <t>Holmen skog AB</t>
        </is>
      </c>
      <c r="G6252" t="n">
        <v>6.9</v>
      </c>
      <c r="H6252" t="n">
        <v>0</v>
      </c>
      <c r="I6252" t="n">
        <v>0</v>
      </c>
      <c r="J6252" t="n">
        <v>0</v>
      </c>
      <c r="K6252" t="n">
        <v>0</v>
      </c>
      <c r="L6252" t="n">
        <v>0</v>
      </c>
      <c r="M6252" t="n">
        <v>0</v>
      </c>
      <c r="N6252" t="n">
        <v>0</v>
      </c>
      <c r="O6252" t="n">
        <v>0</v>
      </c>
      <c r="P6252" t="n">
        <v>0</v>
      </c>
      <c r="Q6252" t="n">
        <v>0</v>
      </c>
      <c r="R6252" s="2" t="inlineStr"/>
    </row>
    <row r="6253" ht="15" customHeight="1">
      <c r="A6253" t="inlineStr">
        <is>
          <t>A 4646-2023</t>
        </is>
      </c>
      <c r="B6253" s="1" t="n">
        <v>44957</v>
      </c>
      <c r="C6253" s="1" t="n">
        <v>45587</v>
      </c>
      <c r="D6253" t="inlineStr">
        <is>
          <t>GÄVLEBORGS LÄN</t>
        </is>
      </c>
      <c r="E6253" t="inlineStr">
        <is>
          <t>LJUSDAL</t>
        </is>
      </c>
      <c r="F6253" t="inlineStr">
        <is>
          <t>Holmen skog AB</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4667-2023</t>
        </is>
      </c>
      <c r="B6254" s="1" t="n">
        <v>44957</v>
      </c>
      <c r="C6254" s="1" t="n">
        <v>45587</v>
      </c>
      <c r="D6254" t="inlineStr">
        <is>
          <t>GÄVLEBORGS LÄN</t>
        </is>
      </c>
      <c r="E6254" t="inlineStr">
        <is>
          <t>LJUSDAL</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4862-2023</t>
        </is>
      </c>
      <c r="B6255" s="1" t="n">
        <v>44957</v>
      </c>
      <c r="C6255" s="1" t="n">
        <v>45587</v>
      </c>
      <c r="D6255" t="inlineStr">
        <is>
          <t>GÄVLEBORGS LÄN</t>
        </is>
      </c>
      <c r="E6255" t="inlineStr">
        <is>
          <t>LJUSDAL</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4755-2023</t>
        </is>
      </c>
      <c r="B6256" s="1" t="n">
        <v>44957</v>
      </c>
      <c r="C6256" s="1" t="n">
        <v>45587</v>
      </c>
      <c r="D6256" t="inlineStr">
        <is>
          <t>GÄVLEBORGS LÄN</t>
        </is>
      </c>
      <c r="E6256" t="inlineStr">
        <is>
          <t>OVANÅKER</t>
        </is>
      </c>
      <c r="F6256" t="inlineStr">
        <is>
          <t>Bergvik skog väst AB</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4776-2023</t>
        </is>
      </c>
      <c r="B6257" s="1" t="n">
        <v>44957</v>
      </c>
      <c r="C6257" s="1" t="n">
        <v>45587</v>
      </c>
      <c r="D6257" t="inlineStr">
        <is>
          <t>GÄVLEBORGS LÄN</t>
        </is>
      </c>
      <c r="E6257" t="inlineStr">
        <is>
          <t>HUDIKSVALL</t>
        </is>
      </c>
      <c r="F6257" t="inlineStr">
        <is>
          <t>Holmen skog AB</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4823-2023</t>
        </is>
      </c>
      <c r="B6258" s="1" t="n">
        <v>44957</v>
      </c>
      <c r="C6258" s="1" t="n">
        <v>45587</v>
      </c>
      <c r="D6258" t="inlineStr">
        <is>
          <t>GÄVLEBORGS LÄN</t>
        </is>
      </c>
      <c r="E6258" t="inlineStr">
        <is>
          <t>LJUSDAL</t>
        </is>
      </c>
      <c r="F6258" t="inlineStr">
        <is>
          <t>Holmen skog AB</t>
        </is>
      </c>
      <c r="G6258" t="n">
        <v>4.7</v>
      </c>
      <c r="H6258" t="n">
        <v>0</v>
      </c>
      <c r="I6258" t="n">
        <v>0</v>
      </c>
      <c r="J6258" t="n">
        <v>0</v>
      </c>
      <c r="K6258" t="n">
        <v>0</v>
      </c>
      <c r="L6258" t="n">
        <v>0</v>
      </c>
      <c r="M6258" t="n">
        <v>0</v>
      </c>
      <c r="N6258" t="n">
        <v>0</v>
      </c>
      <c r="O6258" t="n">
        <v>0</v>
      </c>
      <c r="P6258" t="n">
        <v>0</v>
      </c>
      <c r="Q6258" t="n">
        <v>0</v>
      </c>
      <c r="R6258" s="2" t="inlineStr"/>
    </row>
    <row r="6259" ht="15" customHeight="1">
      <c r="A6259" t="inlineStr">
        <is>
          <t>A 4864-2023</t>
        </is>
      </c>
      <c r="B6259" s="1" t="n">
        <v>44957</v>
      </c>
      <c r="C6259" s="1" t="n">
        <v>45587</v>
      </c>
      <c r="D6259" t="inlineStr">
        <is>
          <t>GÄVLEBORGS LÄN</t>
        </is>
      </c>
      <c r="E6259" t="inlineStr">
        <is>
          <t>LJUSDAL</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4962-2023</t>
        </is>
      </c>
      <c r="B6260" s="1" t="n">
        <v>44958</v>
      </c>
      <c r="C6260" s="1" t="n">
        <v>45587</v>
      </c>
      <c r="D6260" t="inlineStr">
        <is>
          <t>GÄVLEBORGS LÄN</t>
        </is>
      </c>
      <c r="E6260" t="inlineStr">
        <is>
          <t>NORDANSTIG</t>
        </is>
      </c>
      <c r="F6260" t="inlineStr">
        <is>
          <t>Holmen skog AB</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4984-2023</t>
        </is>
      </c>
      <c r="B6261" s="1" t="n">
        <v>44958</v>
      </c>
      <c r="C6261" s="1" t="n">
        <v>45587</v>
      </c>
      <c r="D6261" t="inlineStr">
        <is>
          <t>GÄVLEBORGS LÄN</t>
        </is>
      </c>
      <c r="E6261" t="inlineStr">
        <is>
          <t>NORDANSTIG</t>
        </is>
      </c>
      <c r="F6261" t="inlineStr">
        <is>
          <t>Holmen skog AB</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5059-2023</t>
        </is>
      </c>
      <c r="B6262" s="1" t="n">
        <v>44958</v>
      </c>
      <c r="C6262" s="1" t="n">
        <v>45587</v>
      </c>
      <c r="D6262" t="inlineStr">
        <is>
          <t>GÄVLEBORGS LÄN</t>
        </is>
      </c>
      <c r="E6262" t="inlineStr">
        <is>
          <t>OVANÅKER</t>
        </is>
      </c>
      <c r="G6262" t="n">
        <v>0.2</v>
      </c>
      <c r="H6262" t="n">
        <v>0</v>
      </c>
      <c r="I6262" t="n">
        <v>0</v>
      </c>
      <c r="J6262" t="n">
        <v>0</v>
      </c>
      <c r="K6262" t="n">
        <v>0</v>
      </c>
      <c r="L6262" t="n">
        <v>0</v>
      </c>
      <c r="M6262" t="n">
        <v>0</v>
      </c>
      <c r="N6262" t="n">
        <v>0</v>
      </c>
      <c r="O6262" t="n">
        <v>0</v>
      </c>
      <c r="P6262" t="n">
        <v>0</v>
      </c>
      <c r="Q6262" t="n">
        <v>0</v>
      </c>
      <c r="R6262" s="2" t="inlineStr"/>
    </row>
    <row r="6263" ht="15" customHeight="1">
      <c r="A6263" t="inlineStr">
        <is>
          <t>A 5076-2023</t>
        </is>
      </c>
      <c r="B6263" s="1" t="n">
        <v>44958</v>
      </c>
      <c r="C6263" s="1" t="n">
        <v>45587</v>
      </c>
      <c r="D6263" t="inlineStr">
        <is>
          <t>GÄVLEBORGS LÄN</t>
        </is>
      </c>
      <c r="E6263" t="inlineStr">
        <is>
          <t>HUDIKSVALL</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5238-2023</t>
        </is>
      </c>
      <c r="B6264" s="1" t="n">
        <v>44959</v>
      </c>
      <c r="C6264" s="1" t="n">
        <v>45587</v>
      </c>
      <c r="D6264" t="inlineStr">
        <is>
          <t>GÄVLEBORGS LÄN</t>
        </is>
      </c>
      <c r="E6264" t="inlineStr">
        <is>
          <t>NORDANSTIG</t>
        </is>
      </c>
      <c r="F6264" t="inlineStr">
        <is>
          <t>Holmen skog AB</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5407-2023</t>
        </is>
      </c>
      <c r="B6265" s="1" t="n">
        <v>44959</v>
      </c>
      <c r="C6265" s="1" t="n">
        <v>45587</v>
      </c>
      <c r="D6265" t="inlineStr">
        <is>
          <t>GÄVLEBORGS LÄN</t>
        </is>
      </c>
      <c r="E6265" t="inlineStr">
        <is>
          <t>GÄVLE</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5219-2023</t>
        </is>
      </c>
      <c r="B6266" s="1" t="n">
        <v>44959</v>
      </c>
      <c r="C6266" s="1" t="n">
        <v>45587</v>
      </c>
      <c r="D6266" t="inlineStr">
        <is>
          <t>GÄVLEBORGS LÄN</t>
        </is>
      </c>
      <c r="E6266" t="inlineStr">
        <is>
          <t>GÄVLE</t>
        </is>
      </c>
      <c r="F6266" t="inlineStr">
        <is>
          <t>Bergvik skog öst AB</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5233-2023</t>
        </is>
      </c>
      <c r="B6267" s="1" t="n">
        <v>44959</v>
      </c>
      <c r="C6267" s="1" t="n">
        <v>45587</v>
      </c>
      <c r="D6267" t="inlineStr">
        <is>
          <t>GÄVLEBORGS LÄN</t>
        </is>
      </c>
      <c r="E6267" t="inlineStr">
        <is>
          <t>GÄVLE</t>
        </is>
      </c>
      <c r="G6267" t="n">
        <v>5.3</v>
      </c>
      <c r="H6267" t="n">
        <v>0</v>
      </c>
      <c r="I6267" t="n">
        <v>0</v>
      </c>
      <c r="J6267" t="n">
        <v>0</v>
      </c>
      <c r="K6267" t="n">
        <v>0</v>
      </c>
      <c r="L6267" t="n">
        <v>0</v>
      </c>
      <c r="M6267" t="n">
        <v>0</v>
      </c>
      <c r="N6267" t="n">
        <v>0</v>
      </c>
      <c r="O6267" t="n">
        <v>0</v>
      </c>
      <c r="P6267" t="n">
        <v>0</v>
      </c>
      <c r="Q6267" t="n">
        <v>0</v>
      </c>
      <c r="R6267" s="2" t="inlineStr"/>
    </row>
    <row r="6268" ht="15" customHeight="1">
      <c r="A6268" t="inlineStr">
        <is>
          <t>A 5241-2023</t>
        </is>
      </c>
      <c r="B6268" s="1" t="n">
        <v>44959</v>
      </c>
      <c r="C6268" s="1" t="n">
        <v>45587</v>
      </c>
      <c r="D6268" t="inlineStr">
        <is>
          <t>GÄVLEBORGS LÄN</t>
        </is>
      </c>
      <c r="E6268" t="inlineStr">
        <is>
          <t>GÄVLE</t>
        </is>
      </c>
      <c r="F6268" t="inlineStr">
        <is>
          <t>Bergvik skog öst AB</t>
        </is>
      </c>
      <c r="G6268" t="n">
        <v>17.4</v>
      </c>
      <c r="H6268" t="n">
        <v>0</v>
      </c>
      <c r="I6268" t="n">
        <v>0</v>
      </c>
      <c r="J6268" t="n">
        <v>0</v>
      </c>
      <c r="K6268" t="n">
        <v>0</v>
      </c>
      <c r="L6268" t="n">
        <v>0</v>
      </c>
      <c r="M6268" t="n">
        <v>0</v>
      </c>
      <c r="N6268" t="n">
        <v>0</v>
      </c>
      <c r="O6268" t="n">
        <v>0</v>
      </c>
      <c r="P6268" t="n">
        <v>0</v>
      </c>
      <c r="Q6268" t="n">
        <v>0</v>
      </c>
      <c r="R6268" s="2" t="inlineStr"/>
    </row>
    <row r="6269" ht="15" customHeight="1">
      <c r="A6269" t="inlineStr">
        <is>
          <t>A 5266-2023</t>
        </is>
      </c>
      <c r="B6269" s="1" t="n">
        <v>44959</v>
      </c>
      <c r="C6269" s="1" t="n">
        <v>45587</v>
      </c>
      <c r="D6269" t="inlineStr">
        <is>
          <t>GÄVLEBORGS LÄN</t>
        </is>
      </c>
      <c r="E6269" t="inlineStr">
        <is>
          <t>NORDANSTIG</t>
        </is>
      </c>
      <c r="F6269" t="inlineStr">
        <is>
          <t>Holmen skog AB</t>
        </is>
      </c>
      <c r="G6269" t="n">
        <v>17.6</v>
      </c>
      <c r="H6269" t="n">
        <v>0</v>
      </c>
      <c r="I6269" t="n">
        <v>0</v>
      </c>
      <c r="J6269" t="n">
        <v>0</v>
      </c>
      <c r="K6269" t="n">
        <v>0</v>
      </c>
      <c r="L6269" t="n">
        <v>0</v>
      </c>
      <c r="M6269" t="n">
        <v>0</v>
      </c>
      <c r="N6269" t="n">
        <v>0</v>
      </c>
      <c r="O6269" t="n">
        <v>0</v>
      </c>
      <c r="P6269" t="n">
        <v>0</v>
      </c>
      <c r="Q6269" t="n">
        <v>0</v>
      </c>
      <c r="R6269" s="2" t="inlineStr"/>
    </row>
    <row r="6270" ht="15" customHeight="1">
      <c r="A6270" t="inlineStr">
        <is>
          <t>A 5271-2023</t>
        </is>
      </c>
      <c r="B6270" s="1" t="n">
        <v>44959</v>
      </c>
      <c r="C6270" s="1" t="n">
        <v>45587</v>
      </c>
      <c r="D6270" t="inlineStr">
        <is>
          <t>GÄVLEBORGS LÄN</t>
        </is>
      </c>
      <c r="E6270" t="inlineStr">
        <is>
          <t>OVANÅKER</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5287-2023</t>
        </is>
      </c>
      <c r="B6271" s="1" t="n">
        <v>44959</v>
      </c>
      <c r="C6271" s="1" t="n">
        <v>45587</v>
      </c>
      <c r="D6271" t="inlineStr">
        <is>
          <t>GÄVLEBORGS LÄN</t>
        </is>
      </c>
      <c r="E6271" t="inlineStr">
        <is>
          <t>GÄVLE</t>
        </is>
      </c>
      <c r="F6271" t="inlineStr">
        <is>
          <t>Kyrkan</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5300-2023</t>
        </is>
      </c>
      <c r="B6272" s="1" t="n">
        <v>44959</v>
      </c>
      <c r="C6272" s="1" t="n">
        <v>45587</v>
      </c>
      <c r="D6272" t="inlineStr">
        <is>
          <t>GÄVLEBORGS LÄN</t>
        </is>
      </c>
      <c r="E6272" t="inlineStr">
        <is>
          <t>OVANÅKER</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5353-2023</t>
        </is>
      </c>
      <c r="B6273" s="1" t="n">
        <v>44959</v>
      </c>
      <c r="C6273" s="1" t="n">
        <v>45587</v>
      </c>
      <c r="D6273" t="inlineStr">
        <is>
          <t>GÄVLEBORGS LÄN</t>
        </is>
      </c>
      <c r="E6273" t="inlineStr">
        <is>
          <t>NORDANSTIG</t>
        </is>
      </c>
      <c r="F6273" t="inlineStr">
        <is>
          <t>Holmen skog AB</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5399-2023</t>
        </is>
      </c>
      <c r="B6274" s="1" t="n">
        <v>44959</v>
      </c>
      <c r="C6274" s="1" t="n">
        <v>45587</v>
      </c>
      <c r="D6274" t="inlineStr">
        <is>
          <t>GÄVLEBORGS LÄN</t>
        </is>
      </c>
      <c r="E6274" t="inlineStr">
        <is>
          <t>GÄVLE</t>
        </is>
      </c>
      <c r="G6274" t="n">
        <v>0.2</v>
      </c>
      <c r="H6274" t="n">
        <v>0</v>
      </c>
      <c r="I6274" t="n">
        <v>0</v>
      </c>
      <c r="J6274" t="n">
        <v>0</v>
      </c>
      <c r="K6274" t="n">
        <v>0</v>
      </c>
      <c r="L6274" t="n">
        <v>0</v>
      </c>
      <c r="M6274" t="n">
        <v>0</v>
      </c>
      <c r="N6274" t="n">
        <v>0</v>
      </c>
      <c r="O6274" t="n">
        <v>0</v>
      </c>
      <c r="P6274" t="n">
        <v>0</v>
      </c>
      <c r="Q6274" t="n">
        <v>0</v>
      </c>
      <c r="R6274" s="2" t="inlineStr"/>
    </row>
    <row r="6275" ht="15" customHeight="1">
      <c r="A6275" t="inlineStr">
        <is>
          <t>A 5409-2023</t>
        </is>
      </c>
      <c r="B6275" s="1" t="n">
        <v>44959</v>
      </c>
      <c r="C6275" s="1" t="n">
        <v>45587</v>
      </c>
      <c r="D6275" t="inlineStr">
        <is>
          <t>GÄVLEBORGS LÄN</t>
        </is>
      </c>
      <c r="E6275" t="inlineStr">
        <is>
          <t>GÄVLE</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5414-2023</t>
        </is>
      </c>
      <c r="B6276" s="1" t="n">
        <v>44959</v>
      </c>
      <c r="C6276" s="1" t="n">
        <v>45587</v>
      </c>
      <c r="D6276" t="inlineStr">
        <is>
          <t>GÄVLEBORGS LÄN</t>
        </is>
      </c>
      <c r="E6276" t="inlineStr">
        <is>
          <t>GÄVLE</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5440-2023</t>
        </is>
      </c>
      <c r="B6277" s="1" t="n">
        <v>44959</v>
      </c>
      <c r="C6277" s="1" t="n">
        <v>45587</v>
      </c>
      <c r="D6277" t="inlineStr">
        <is>
          <t>GÄVLEBORGS LÄN</t>
        </is>
      </c>
      <c r="E6277" t="inlineStr">
        <is>
          <t>LJUSDAL</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5187-2023</t>
        </is>
      </c>
      <c r="B6278" s="1" t="n">
        <v>44959</v>
      </c>
      <c r="C6278" s="1" t="n">
        <v>45587</v>
      </c>
      <c r="D6278" t="inlineStr">
        <is>
          <t>GÄVLEBORGS LÄN</t>
        </is>
      </c>
      <c r="E6278" t="inlineStr">
        <is>
          <t>HUDIKSVALL</t>
        </is>
      </c>
      <c r="G6278" t="n">
        <v>4.1</v>
      </c>
      <c r="H6278" t="n">
        <v>0</v>
      </c>
      <c r="I6278" t="n">
        <v>0</v>
      </c>
      <c r="J6278" t="n">
        <v>0</v>
      </c>
      <c r="K6278" t="n">
        <v>0</v>
      </c>
      <c r="L6278" t="n">
        <v>0</v>
      </c>
      <c r="M6278" t="n">
        <v>0</v>
      </c>
      <c r="N6278" t="n">
        <v>0</v>
      </c>
      <c r="O6278" t="n">
        <v>0</v>
      </c>
      <c r="P6278" t="n">
        <v>0</v>
      </c>
      <c r="Q6278" t="n">
        <v>0</v>
      </c>
      <c r="R6278" s="2" t="inlineStr"/>
    </row>
    <row r="6279" ht="15" customHeight="1">
      <c r="A6279" t="inlineStr">
        <is>
          <t>A 5211-2023</t>
        </is>
      </c>
      <c r="B6279" s="1" t="n">
        <v>44959</v>
      </c>
      <c r="C6279" s="1" t="n">
        <v>45587</v>
      </c>
      <c r="D6279" t="inlineStr">
        <is>
          <t>GÄVLEBORGS LÄN</t>
        </is>
      </c>
      <c r="E6279" t="inlineStr">
        <is>
          <t>GÄVLE</t>
        </is>
      </c>
      <c r="F6279" t="inlineStr">
        <is>
          <t>Bergvik skog öst AB</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5234-2023</t>
        </is>
      </c>
      <c r="B6280" s="1" t="n">
        <v>44959</v>
      </c>
      <c r="C6280" s="1" t="n">
        <v>45587</v>
      </c>
      <c r="D6280" t="inlineStr">
        <is>
          <t>GÄVLEBORGS LÄN</t>
        </is>
      </c>
      <c r="E6280" t="inlineStr">
        <is>
          <t>GÄVLE</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5400-2023</t>
        </is>
      </c>
      <c r="B6281" s="1" t="n">
        <v>44959</v>
      </c>
      <c r="C6281" s="1" t="n">
        <v>45587</v>
      </c>
      <c r="D6281" t="inlineStr">
        <is>
          <t>GÄVLEBORGS LÄN</t>
        </is>
      </c>
      <c r="E6281" t="inlineStr">
        <is>
          <t>GÄVLE</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5415-2023</t>
        </is>
      </c>
      <c r="B6282" s="1" t="n">
        <v>44959</v>
      </c>
      <c r="C6282" s="1" t="n">
        <v>45587</v>
      </c>
      <c r="D6282" t="inlineStr">
        <is>
          <t>GÄVLEBORGS LÄN</t>
        </is>
      </c>
      <c r="E6282" t="inlineStr">
        <is>
          <t>GÄVLE</t>
        </is>
      </c>
      <c r="G6282" t="n">
        <v>0.1</v>
      </c>
      <c r="H6282" t="n">
        <v>0</v>
      </c>
      <c r="I6282" t="n">
        <v>0</v>
      </c>
      <c r="J6282" t="n">
        <v>0</v>
      </c>
      <c r="K6282" t="n">
        <v>0</v>
      </c>
      <c r="L6282" t="n">
        <v>0</v>
      </c>
      <c r="M6282" t="n">
        <v>0</v>
      </c>
      <c r="N6282" t="n">
        <v>0</v>
      </c>
      <c r="O6282" t="n">
        <v>0</v>
      </c>
      <c r="P6282" t="n">
        <v>0</v>
      </c>
      <c r="Q6282" t="n">
        <v>0</v>
      </c>
      <c r="R6282" s="2" t="inlineStr"/>
    </row>
    <row r="6283" ht="15" customHeight="1">
      <c r="A6283" t="inlineStr">
        <is>
          <t>A 5442-2023</t>
        </is>
      </c>
      <c r="B6283" s="1" t="n">
        <v>44959</v>
      </c>
      <c r="C6283" s="1" t="n">
        <v>45587</v>
      </c>
      <c r="D6283" t="inlineStr">
        <is>
          <t>GÄVLEBORGS LÄN</t>
        </is>
      </c>
      <c r="E6283" t="inlineStr">
        <is>
          <t>HUDIKSVALL</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5203-2023</t>
        </is>
      </c>
      <c r="B6284" s="1" t="n">
        <v>44959</v>
      </c>
      <c r="C6284" s="1" t="n">
        <v>45587</v>
      </c>
      <c r="D6284" t="inlineStr">
        <is>
          <t>GÄVLEBORGS LÄN</t>
        </is>
      </c>
      <c r="E6284" t="inlineStr">
        <is>
          <t>LJUSDAL</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5208-2023</t>
        </is>
      </c>
      <c r="B6285" s="1" t="n">
        <v>44959</v>
      </c>
      <c r="C6285" s="1" t="n">
        <v>45587</v>
      </c>
      <c r="D6285" t="inlineStr">
        <is>
          <t>GÄVLEBORGS LÄN</t>
        </is>
      </c>
      <c r="E6285" t="inlineStr">
        <is>
          <t>HUDIKSVALL</t>
        </is>
      </c>
      <c r="F6285" t="inlineStr">
        <is>
          <t>Holmen skog AB</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5280-2023</t>
        </is>
      </c>
      <c r="B6286" s="1" t="n">
        <v>44959</v>
      </c>
      <c r="C6286" s="1" t="n">
        <v>45587</v>
      </c>
      <c r="D6286" t="inlineStr">
        <is>
          <t>GÄVLEBORGS LÄN</t>
        </is>
      </c>
      <c r="E6286" t="inlineStr">
        <is>
          <t>OVANÅKER</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5412-2023</t>
        </is>
      </c>
      <c r="B6287" s="1" t="n">
        <v>44959</v>
      </c>
      <c r="C6287" s="1" t="n">
        <v>45587</v>
      </c>
      <c r="D6287" t="inlineStr">
        <is>
          <t>GÄVLEBORGS LÄN</t>
        </is>
      </c>
      <c r="E6287" t="inlineStr">
        <is>
          <t>GÄVLE</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5408-2023</t>
        </is>
      </c>
      <c r="B6288" s="1" t="n">
        <v>44959</v>
      </c>
      <c r="C6288" s="1" t="n">
        <v>45587</v>
      </c>
      <c r="D6288" t="inlineStr">
        <is>
          <t>GÄVLEBORGS LÄN</t>
        </is>
      </c>
      <c r="E6288" t="inlineStr">
        <is>
          <t>GÄVLE</t>
        </is>
      </c>
      <c r="G6288" t="n">
        <v>0.3</v>
      </c>
      <c r="H6288" t="n">
        <v>0</v>
      </c>
      <c r="I6288" t="n">
        <v>0</v>
      </c>
      <c r="J6288" t="n">
        <v>0</v>
      </c>
      <c r="K6288" t="n">
        <v>0</v>
      </c>
      <c r="L6288" t="n">
        <v>0</v>
      </c>
      <c r="M6288" t="n">
        <v>0</v>
      </c>
      <c r="N6288" t="n">
        <v>0</v>
      </c>
      <c r="O6288" t="n">
        <v>0</v>
      </c>
      <c r="P6288" t="n">
        <v>0</v>
      </c>
      <c r="Q6288" t="n">
        <v>0</v>
      </c>
      <c r="R6288" s="2" t="inlineStr"/>
    </row>
    <row r="6289" ht="15" customHeight="1">
      <c r="A6289" t="inlineStr">
        <is>
          <t>A 5413-2023</t>
        </is>
      </c>
      <c r="B6289" s="1" t="n">
        <v>44959</v>
      </c>
      <c r="C6289" s="1" t="n">
        <v>45587</v>
      </c>
      <c r="D6289" t="inlineStr">
        <is>
          <t>GÄVLEBORGS LÄN</t>
        </is>
      </c>
      <c r="E6289" t="inlineStr">
        <is>
          <t>GÄVLE</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5639-2023</t>
        </is>
      </c>
      <c r="B6290" s="1" t="n">
        <v>44960</v>
      </c>
      <c r="C6290" s="1" t="n">
        <v>45587</v>
      </c>
      <c r="D6290" t="inlineStr">
        <is>
          <t>GÄVLEBORGS LÄN</t>
        </is>
      </c>
      <c r="E6290" t="inlineStr">
        <is>
          <t>LJUSDAL</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5660-2023</t>
        </is>
      </c>
      <c r="B6291" s="1" t="n">
        <v>44960</v>
      </c>
      <c r="C6291" s="1" t="n">
        <v>45587</v>
      </c>
      <c r="D6291" t="inlineStr">
        <is>
          <t>GÄVLEBORGS LÄN</t>
        </is>
      </c>
      <c r="E6291" t="inlineStr">
        <is>
          <t>NORDANSTIG</t>
        </is>
      </c>
      <c r="F6291" t="inlineStr">
        <is>
          <t>Holmen skog AB</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5544-2023</t>
        </is>
      </c>
      <c r="B6292" s="1" t="n">
        <v>44960</v>
      </c>
      <c r="C6292" s="1" t="n">
        <v>45587</v>
      </c>
      <c r="D6292" t="inlineStr">
        <is>
          <t>GÄVLEBORGS LÄN</t>
        </is>
      </c>
      <c r="E6292" t="inlineStr">
        <is>
          <t>NORDANSTIG</t>
        </is>
      </c>
      <c r="F6292" t="inlineStr">
        <is>
          <t>Holmen skog AB</t>
        </is>
      </c>
      <c r="G6292" t="n">
        <v>4.9</v>
      </c>
      <c r="H6292" t="n">
        <v>0</v>
      </c>
      <c r="I6292" t="n">
        <v>0</v>
      </c>
      <c r="J6292" t="n">
        <v>0</v>
      </c>
      <c r="K6292" t="n">
        <v>0</v>
      </c>
      <c r="L6292" t="n">
        <v>0</v>
      </c>
      <c r="M6292" t="n">
        <v>0</v>
      </c>
      <c r="N6292" t="n">
        <v>0</v>
      </c>
      <c r="O6292" t="n">
        <v>0</v>
      </c>
      <c r="P6292" t="n">
        <v>0</v>
      </c>
      <c r="Q6292" t="n">
        <v>0</v>
      </c>
      <c r="R6292" s="2" t="inlineStr"/>
    </row>
    <row r="6293" ht="15" customHeight="1">
      <c r="A6293" t="inlineStr">
        <is>
          <t>A 5462-2023</t>
        </is>
      </c>
      <c r="B6293" s="1" t="n">
        <v>44960</v>
      </c>
      <c r="C6293" s="1" t="n">
        <v>45587</v>
      </c>
      <c r="D6293" t="inlineStr">
        <is>
          <t>GÄVLEBORGS LÄN</t>
        </is>
      </c>
      <c r="E6293" t="inlineStr">
        <is>
          <t>GÄVLE</t>
        </is>
      </c>
      <c r="F6293" t="inlineStr">
        <is>
          <t>Bergvik skog öst AB</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5475-2023</t>
        </is>
      </c>
      <c r="B6294" s="1" t="n">
        <v>44960</v>
      </c>
      <c r="C6294" s="1" t="n">
        <v>45587</v>
      </c>
      <c r="D6294" t="inlineStr">
        <is>
          <t>GÄVLEBORGS LÄN</t>
        </is>
      </c>
      <c r="E6294" t="inlineStr">
        <is>
          <t>NORDANSTIG</t>
        </is>
      </c>
      <c r="G6294" t="n">
        <v>7</v>
      </c>
      <c r="H6294" t="n">
        <v>0</v>
      </c>
      <c r="I6294" t="n">
        <v>0</v>
      </c>
      <c r="J6294" t="n">
        <v>0</v>
      </c>
      <c r="K6294" t="n">
        <v>0</v>
      </c>
      <c r="L6294" t="n">
        <v>0</v>
      </c>
      <c r="M6294" t="n">
        <v>0</v>
      </c>
      <c r="N6294" t="n">
        <v>0</v>
      </c>
      <c r="O6294" t="n">
        <v>0</v>
      </c>
      <c r="P6294" t="n">
        <v>0</v>
      </c>
      <c r="Q6294" t="n">
        <v>0</v>
      </c>
      <c r="R6294" s="2" t="inlineStr"/>
    </row>
    <row r="6295" ht="15" customHeight="1">
      <c r="A6295" t="inlineStr">
        <is>
          <t>A 5479-2023</t>
        </is>
      </c>
      <c r="B6295" s="1" t="n">
        <v>44960</v>
      </c>
      <c r="C6295" s="1" t="n">
        <v>45587</v>
      </c>
      <c r="D6295" t="inlineStr">
        <is>
          <t>GÄVLEBORGS LÄN</t>
        </is>
      </c>
      <c r="E6295" t="inlineStr">
        <is>
          <t>NORDANSTIG</t>
        </is>
      </c>
      <c r="G6295" t="n">
        <v>17.6</v>
      </c>
      <c r="H6295" t="n">
        <v>0</v>
      </c>
      <c r="I6295" t="n">
        <v>0</v>
      </c>
      <c r="J6295" t="n">
        <v>0</v>
      </c>
      <c r="K6295" t="n">
        <v>0</v>
      </c>
      <c r="L6295" t="n">
        <v>0</v>
      </c>
      <c r="M6295" t="n">
        <v>0</v>
      </c>
      <c r="N6295" t="n">
        <v>0</v>
      </c>
      <c r="O6295" t="n">
        <v>0</v>
      </c>
      <c r="P6295" t="n">
        <v>0</v>
      </c>
      <c r="Q6295" t="n">
        <v>0</v>
      </c>
      <c r="R6295" s="2" t="inlineStr"/>
    </row>
    <row r="6296" ht="15" customHeight="1">
      <c r="A6296" t="inlineStr">
        <is>
          <t>A 5719-2023</t>
        </is>
      </c>
      <c r="B6296" s="1" t="n">
        <v>44961</v>
      </c>
      <c r="C6296" s="1" t="n">
        <v>45587</v>
      </c>
      <c r="D6296" t="inlineStr">
        <is>
          <t>GÄVLEBORGS LÄN</t>
        </is>
      </c>
      <c r="E6296" t="inlineStr">
        <is>
          <t>OVANÅKER</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5717-2023</t>
        </is>
      </c>
      <c r="B6297" s="1" t="n">
        <v>44961</v>
      </c>
      <c r="C6297" s="1" t="n">
        <v>45587</v>
      </c>
      <c r="D6297" t="inlineStr">
        <is>
          <t>GÄVLEBORGS LÄN</t>
        </is>
      </c>
      <c r="E6297" t="inlineStr">
        <is>
          <t>OVANÅKER</t>
        </is>
      </c>
      <c r="G6297" t="n">
        <v>12.5</v>
      </c>
      <c r="H6297" t="n">
        <v>0</v>
      </c>
      <c r="I6297" t="n">
        <v>0</v>
      </c>
      <c r="J6297" t="n">
        <v>0</v>
      </c>
      <c r="K6297" t="n">
        <v>0</v>
      </c>
      <c r="L6297" t="n">
        <v>0</v>
      </c>
      <c r="M6297" t="n">
        <v>0</v>
      </c>
      <c r="N6297" t="n">
        <v>0</v>
      </c>
      <c r="O6297" t="n">
        <v>0</v>
      </c>
      <c r="P6297" t="n">
        <v>0</v>
      </c>
      <c r="Q6297" t="n">
        <v>0</v>
      </c>
      <c r="R6297" s="2" t="inlineStr"/>
    </row>
    <row r="6298" ht="15" customHeight="1">
      <c r="A6298" t="inlineStr">
        <is>
          <t>A 5727-2023</t>
        </is>
      </c>
      <c r="B6298" s="1" t="n">
        <v>44962</v>
      </c>
      <c r="C6298" s="1" t="n">
        <v>45587</v>
      </c>
      <c r="D6298" t="inlineStr">
        <is>
          <t>GÄVLEBORGS LÄN</t>
        </is>
      </c>
      <c r="E6298" t="inlineStr">
        <is>
          <t>GÄVLE</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5728-2023</t>
        </is>
      </c>
      <c r="B6299" s="1" t="n">
        <v>44962</v>
      </c>
      <c r="C6299" s="1" t="n">
        <v>45587</v>
      </c>
      <c r="D6299" t="inlineStr">
        <is>
          <t>GÄVLEBORGS LÄN</t>
        </is>
      </c>
      <c r="E6299" t="inlineStr">
        <is>
          <t>GÄVLE</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5779-2023</t>
        </is>
      </c>
      <c r="B6300" s="1" t="n">
        <v>44963</v>
      </c>
      <c r="C6300" s="1" t="n">
        <v>45587</v>
      </c>
      <c r="D6300" t="inlineStr">
        <is>
          <t>GÄVLEBORGS LÄN</t>
        </is>
      </c>
      <c r="E6300" t="inlineStr">
        <is>
          <t>LJUSDAL</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5853-2023</t>
        </is>
      </c>
      <c r="B6301" s="1" t="n">
        <v>44963</v>
      </c>
      <c r="C6301" s="1" t="n">
        <v>45587</v>
      </c>
      <c r="D6301" t="inlineStr">
        <is>
          <t>GÄVLEBORGS LÄN</t>
        </is>
      </c>
      <c r="E6301" t="inlineStr">
        <is>
          <t>LJUSDAL</t>
        </is>
      </c>
      <c r="F6301" t="inlineStr">
        <is>
          <t>Allmännings- och besparingsskogar</t>
        </is>
      </c>
      <c r="G6301" t="n">
        <v>4.9</v>
      </c>
      <c r="H6301" t="n">
        <v>0</v>
      </c>
      <c r="I6301" t="n">
        <v>0</v>
      </c>
      <c r="J6301" t="n">
        <v>0</v>
      </c>
      <c r="K6301" t="n">
        <v>0</v>
      </c>
      <c r="L6301" t="n">
        <v>0</v>
      </c>
      <c r="M6301" t="n">
        <v>0</v>
      </c>
      <c r="N6301" t="n">
        <v>0</v>
      </c>
      <c r="O6301" t="n">
        <v>0</v>
      </c>
      <c r="P6301" t="n">
        <v>0</v>
      </c>
      <c r="Q6301" t="n">
        <v>0</v>
      </c>
      <c r="R6301" s="2" t="inlineStr"/>
    </row>
    <row r="6302" ht="15" customHeight="1">
      <c r="A6302" t="inlineStr">
        <is>
          <t>A 5787-2023</t>
        </is>
      </c>
      <c r="B6302" s="1" t="n">
        <v>44963</v>
      </c>
      <c r="C6302" s="1" t="n">
        <v>45587</v>
      </c>
      <c r="D6302" t="inlineStr">
        <is>
          <t>GÄVLEBORGS LÄN</t>
        </is>
      </c>
      <c r="E6302" t="inlineStr">
        <is>
          <t>BOLLNÄS</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5833-2023</t>
        </is>
      </c>
      <c r="B6303" s="1" t="n">
        <v>44963</v>
      </c>
      <c r="C6303" s="1" t="n">
        <v>45587</v>
      </c>
      <c r="D6303" t="inlineStr">
        <is>
          <t>GÄVLEBORGS LÄN</t>
        </is>
      </c>
      <c r="E6303" t="inlineStr">
        <is>
          <t>LJUSDAL</t>
        </is>
      </c>
      <c r="G6303" t="n">
        <v>8.9</v>
      </c>
      <c r="H6303" t="n">
        <v>0</v>
      </c>
      <c r="I6303" t="n">
        <v>0</v>
      </c>
      <c r="J6303" t="n">
        <v>0</v>
      </c>
      <c r="K6303" t="n">
        <v>0</v>
      </c>
      <c r="L6303" t="n">
        <v>0</v>
      </c>
      <c r="M6303" t="n">
        <v>0</v>
      </c>
      <c r="N6303" t="n">
        <v>0</v>
      </c>
      <c r="O6303" t="n">
        <v>0</v>
      </c>
      <c r="P6303" t="n">
        <v>0</v>
      </c>
      <c r="Q6303" t="n">
        <v>0</v>
      </c>
      <c r="R6303" s="2" t="inlineStr"/>
    </row>
    <row r="6304" ht="15" customHeight="1">
      <c r="A6304" t="inlineStr">
        <is>
          <t>A 5850-2023</t>
        </is>
      </c>
      <c r="B6304" s="1" t="n">
        <v>44963</v>
      </c>
      <c r="C6304" s="1" t="n">
        <v>45587</v>
      </c>
      <c r="D6304" t="inlineStr">
        <is>
          <t>GÄVLEBORGS LÄN</t>
        </is>
      </c>
      <c r="E6304" t="inlineStr">
        <is>
          <t>LJUSDAL</t>
        </is>
      </c>
      <c r="F6304" t="inlineStr">
        <is>
          <t>Allmännings- och besparingsskogar</t>
        </is>
      </c>
      <c r="G6304" t="n">
        <v>20.5</v>
      </c>
      <c r="H6304" t="n">
        <v>0</v>
      </c>
      <c r="I6304" t="n">
        <v>0</v>
      </c>
      <c r="J6304" t="n">
        <v>0</v>
      </c>
      <c r="K6304" t="n">
        <v>0</v>
      </c>
      <c r="L6304" t="n">
        <v>0</v>
      </c>
      <c r="M6304" t="n">
        <v>0</v>
      </c>
      <c r="N6304" t="n">
        <v>0</v>
      </c>
      <c r="O6304" t="n">
        <v>0</v>
      </c>
      <c r="P6304" t="n">
        <v>0</v>
      </c>
      <c r="Q6304" t="n">
        <v>0</v>
      </c>
      <c r="R6304" s="2" t="inlineStr"/>
    </row>
    <row r="6305" ht="15" customHeight="1">
      <c r="A6305" t="inlineStr">
        <is>
          <t>A 5856-2023</t>
        </is>
      </c>
      <c r="B6305" s="1" t="n">
        <v>44963</v>
      </c>
      <c r="C6305" s="1" t="n">
        <v>45587</v>
      </c>
      <c r="D6305" t="inlineStr">
        <is>
          <t>GÄVLEBORGS LÄN</t>
        </is>
      </c>
      <c r="E6305" t="inlineStr">
        <is>
          <t>LJUSDAL</t>
        </is>
      </c>
      <c r="F6305" t="inlineStr">
        <is>
          <t>Allmännings- och besparingsskogar</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5886-2023</t>
        </is>
      </c>
      <c r="B6306" s="1" t="n">
        <v>44963</v>
      </c>
      <c r="C6306" s="1" t="n">
        <v>45587</v>
      </c>
      <c r="D6306" t="inlineStr">
        <is>
          <t>GÄVLEBORGS LÄN</t>
        </is>
      </c>
      <c r="E6306" t="inlineStr">
        <is>
          <t>SÖDERHAMN</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5888-2023</t>
        </is>
      </c>
      <c r="B6307" s="1" t="n">
        <v>44963</v>
      </c>
      <c r="C6307" s="1" t="n">
        <v>45587</v>
      </c>
      <c r="D6307" t="inlineStr">
        <is>
          <t>GÄVLEBORGS LÄN</t>
        </is>
      </c>
      <c r="E6307" t="inlineStr">
        <is>
          <t>NORDANSTIG</t>
        </is>
      </c>
      <c r="F6307" t="inlineStr">
        <is>
          <t>Holmen skog AB</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5904-2023</t>
        </is>
      </c>
      <c r="B6308" s="1" t="n">
        <v>44963</v>
      </c>
      <c r="C6308" s="1" t="n">
        <v>45587</v>
      </c>
      <c r="D6308" t="inlineStr">
        <is>
          <t>GÄVLEBORGS LÄN</t>
        </is>
      </c>
      <c r="E6308" t="inlineStr">
        <is>
          <t>NORDANSTIG</t>
        </is>
      </c>
      <c r="F6308" t="inlineStr">
        <is>
          <t>Holmen skog AB</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5912-2023</t>
        </is>
      </c>
      <c r="B6309" s="1" t="n">
        <v>44963</v>
      </c>
      <c r="C6309" s="1" t="n">
        <v>45587</v>
      </c>
      <c r="D6309" t="inlineStr">
        <is>
          <t>GÄVLEBORGS LÄN</t>
        </is>
      </c>
      <c r="E6309" t="inlineStr">
        <is>
          <t>LJUSDAL</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5925-2023</t>
        </is>
      </c>
      <c r="B6310" s="1" t="n">
        <v>44963</v>
      </c>
      <c r="C6310" s="1" t="n">
        <v>45587</v>
      </c>
      <c r="D6310" t="inlineStr">
        <is>
          <t>GÄVLEBORGS LÄN</t>
        </is>
      </c>
      <c r="E6310" t="inlineStr">
        <is>
          <t>LJUSDAL</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5915-2023</t>
        </is>
      </c>
      <c r="B6311" s="1" t="n">
        <v>44963</v>
      </c>
      <c r="C6311" s="1" t="n">
        <v>45587</v>
      </c>
      <c r="D6311" t="inlineStr">
        <is>
          <t>GÄVLEBORGS LÄN</t>
        </is>
      </c>
      <c r="E6311" t="inlineStr">
        <is>
          <t>LJUSDAL</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6058-2023</t>
        </is>
      </c>
      <c r="B6312" s="1" t="n">
        <v>44964</v>
      </c>
      <c r="C6312" s="1" t="n">
        <v>45587</v>
      </c>
      <c r="D6312" t="inlineStr">
        <is>
          <t>GÄVLEBORGS LÄN</t>
        </is>
      </c>
      <c r="E6312" t="inlineStr">
        <is>
          <t>OCKELBO</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6101-2023</t>
        </is>
      </c>
      <c r="B6313" s="1" t="n">
        <v>44964</v>
      </c>
      <c r="C6313" s="1" t="n">
        <v>45587</v>
      </c>
      <c r="D6313" t="inlineStr">
        <is>
          <t>GÄVLEBORGS LÄN</t>
        </is>
      </c>
      <c r="E6313" t="inlineStr">
        <is>
          <t>SANDVIKEN</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6153-2023</t>
        </is>
      </c>
      <c r="B6314" s="1" t="n">
        <v>44964</v>
      </c>
      <c r="C6314" s="1" t="n">
        <v>45587</v>
      </c>
      <c r="D6314" t="inlineStr">
        <is>
          <t>GÄVLEBORGS LÄN</t>
        </is>
      </c>
      <c r="E6314" t="inlineStr">
        <is>
          <t>LJUSDAL</t>
        </is>
      </c>
      <c r="F6314" t="inlineStr">
        <is>
          <t>Holmen skog AB</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6093-2023</t>
        </is>
      </c>
      <c r="B6315" s="1" t="n">
        <v>44964</v>
      </c>
      <c r="C6315" s="1" t="n">
        <v>45587</v>
      </c>
      <c r="D6315" t="inlineStr">
        <is>
          <t>GÄVLEBORGS LÄN</t>
        </is>
      </c>
      <c r="E6315" t="inlineStr">
        <is>
          <t>NORDANSTIG</t>
        </is>
      </c>
      <c r="F6315" t="inlineStr">
        <is>
          <t>Holmen skog AB</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6217-2023</t>
        </is>
      </c>
      <c r="B6316" s="1" t="n">
        <v>44964</v>
      </c>
      <c r="C6316" s="1" t="n">
        <v>45587</v>
      </c>
      <c r="D6316" t="inlineStr">
        <is>
          <t>GÄVLEBORGS LÄN</t>
        </is>
      </c>
      <c r="E6316" t="inlineStr">
        <is>
          <t>OCKELBO</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6109-2023</t>
        </is>
      </c>
      <c r="B6317" s="1" t="n">
        <v>44964</v>
      </c>
      <c r="C6317" s="1" t="n">
        <v>45587</v>
      </c>
      <c r="D6317" t="inlineStr">
        <is>
          <t>GÄVLEBORGS LÄN</t>
        </is>
      </c>
      <c r="E6317" t="inlineStr">
        <is>
          <t>NORDANSTIG</t>
        </is>
      </c>
      <c r="G6317" t="n">
        <v>0.1</v>
      </c>
      <c r="H6317" t="n">
        <v>0</v>
      </c>
      <c r="I6317" t="n">
        <v>0</v>
      </c>
      <c r="J6317" t="n">
        <v>0</v>
      </c>
      <c r="K6317" t="n">
        <v>0</v>
      </c>
      <c r="L6317" t="n">
        <v>0</v>
      </c>
      <c r="M6317" t="n">
        <v>0</v>
      </c>
      <c r="N6317" t="n">
        <v>0</v>
      </c>
      <c r="O6317" t="n">
        <v>0</v>
      </c>
      <c r="P6317" t="n">
        <v>0</v>
      </c>
      <c r="Q6317" t="n">
        <v>0</v>
      </c>
      <c r="R6317" s="2" t="inlineStr"/>
    </row>
    <row r="6318" ht="15" customHeight="1">
      <c r="A6318" t="inlineStr">
        <is>
          <t>A 6095-2023</t>
        </is>
      </c>
      <c r="B6318" s="1" t="n">
        <v>44964</v>
      </c>
      <c r="C6318" s="1" t="n">
        <v>45587</v>
      </c>
      <c r="D6318" t="inlineStr">
        <is>
          <t>GÄVLEBORGS LÄN</t>
        </is>
      </c>
      <c r="E6318" t="inlineStr">
        <is>
          <t>SANDVIKEN</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6099-2023</t>
        </is>
      </c>
      <c r="B6319" s="1" t="n">
        <v>44964</v>
      </c>
      <c r="C6319" s="1" t="n">
        <v>45587</v>
      </c>
      <c r="D6319" t="inlineStr">
        <is>
          <t>GÄVLEBORGS LÄN</t>
        </is>
      </c>
      <c r="E6319" t="inlineStr">
        <is>
          <t>NORDANSTIG</t>
        </is>
      </c>
      <c r="F6319" t="inlineStr">
        <is>
          <t>Holmen skog AB</t>
        </is>
      </c>
      <c r="G6319" t="n">
        <v>8.199999999999999</v>
      </c>
      <c r="H6319" t="n">
        <v>0</v>
      </c>
      <c r="I6319" t="n">
        <v>0</v>
      </c>
      <c r="J6319" t="n">
        <v>0</v>
      </c>
      <c r="K6319" t="n">
        <v>0</v>
      </c>
      <c r="L6319" t="n">
        <v>0</v>
      </c>
      <c r="M6319" t="n">
        <v>0</v>
      </c>
      <c r="N6319" t="n">
        <v>0</v>
      </c>
      <c r="O6319" t="n">
        <v>0</v>
      </c>
      <c r="P6319" t="n">
        <v>0</v>
      </c>
      <c r="Q6319" t="n">
        <v>0</v>
      </c>
      <c r="R6319" s="2" t="inlineStr"/>
    </row>
    <row r="6320" ht="15" customHeight="1">
      <c r="A6320" t="inlineStr">
        <is>
          <t>A 6227-2023</t>
        </is>
      </c>
      <c r="B6320" s="1" t="n">
        <v>44964</v>
      </c>
      <c r="C6320" s="1" t="n">
        <v>45587</v>
      </c>
      <c r="D6320" t="inlineStr">
        <is>
          <t>GÄVLEBORGS LÄN</t>
        </is>
      </c>
      <c r="E6320" t="inlineStr">
        <is>
          <t>HUDIKSVALL</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6259-2023</t>
        </is>
      </c>
      <c r="B6321" s="1" t="n">
        <v>44965</v>
      </c>
      <c r="C6321" s="1" t="n">
        <v>45587</v>
      </c>
      <c r="D6321" t="inlineStr">
        <is>
          <t>GÄVLEBORGS LÄN</t>
        </is>
      </c>
      <c r="E6321" t="inlineStr">
        <is>
          <t>LJUSDAL</t>
        </is>
      </c>
      <c r="F6321" t="inlineStr">
        <is>
          <t>Holmen skog AB</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6342-2023</t>
        </is>
      </c>
      <c r="B6322" s="1" t="n">
        <v>44965</v>
      </c>
      <c r="C6322" s="1" t="n">
        <v>45587</v>
      </c>
      <c r="D6322" t="inlineStr">
        <is>
          <t>GÄVLEBORGS LÄN</t>
        </is>
      </c>
      <c r="E6322" t="inlineStr">
        <is>
          <t>LJUSDAL</t>
        </is>
      </c>
      <c r="F6322" t="inlineStr">
        <is>
          <t>Bergvik skog väst AB</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6315-2023</t>
        </is>
      </c>
      <c r="B6323" s="1" t="n">
        <v>44965</v>
      </c>
      <c r="C6323" s="1" t="n">
        <v>45587</v>
      </c>
      <c r="D6323" t="inlineStr">
        <is>
          <t>GÄVLEBORGS LÄN</t>
        </is>
      </c>
      <c r="E6323" t="inlineStr">
        <is>
          <t>NORDANSTIG</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6324-2023</t>
        </is>
      </c>
      <c r="B6324" s="1" t="n">
        <v>44965</v>
      </c>
      <c r="C6324" s="1" t="n">
        <v>45587</v>
      </c>
      <c r="D6324" t="inlineStr">
        <is>
          <t>GÄVLEBORGS LÄN</t>
        </is>
      </c>
      <c r="E6324" t="inlineStr">
        <is>
          <t>NORDANSTIG</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6432-2023</t>
        </is>
      </c>
      <c r="B6325" s="1" t="n">
        <v>44965</v>
      </c>
      <c r="C6325" s="1" t="n">
        <v>45587</v>
      </c>
      <c r="D6325" t="inlineStr">
        <is>
          <t>GÄVLEBORGS LÄN</t>
        </is>
      </c>
      <c r="E6325" t="inlineStr">
        <is>
          <t>LJUSDAL</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6640-2023</t>
        </is>
      </c>
      <c r="B6326" s="1" t="n">
        <v>44966</v>
      </c>
      <c r="C6326" s="1" t="n">
        <v>45587</v>
      </c>
      <c r="D6326" t="inlineStr">
        <is>
          <t>GÄVLEBORGS LÄN</t>
        </is>
      </c>
      <c r="E6326" t="inlineStr">
        <is>
          <t>BOLLNÄS</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7369-2023</t>
        </is>
      </c>
      <c r="B6327" s="1" t="n">
        <v>44966</v>
      </c>
      <c r="C6327" s="1" t="n">
        <v>45587</v>
      </c>
      <c r="D6327" t="inlineStr">
        <is>
          <t>GÄVLEBORGS LÄN</t>
        </is>
      </c>
      <c r="E6327" t="inlineStr">
        <is>
          <t>HUDIKSVALL</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6767-2023</t>
        </is>
      </c>
      <c r="B6328" s="1" t="n">
        <v>44966</v>
      </c>
      <c r="C6328" s="1" t="n">
        <v>45587</v>
      </c>
      <c r="D6328" t="inlineStr">
        <is>
          <t>GÄVLEBORGS LÄN</t>
        </is>
      </c>
      <c r="E6328" t="inlineStr">
        <is>
          <t>HUDIKSVALL</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6929-2023</t>
        </is>
      </c>
      <c r="B6329" s="1" t="n">
        <v>44967</v>
      </c>
      <c r="C6329" s="1" t="n">
        <v>45587</v>
      </c>
      <c r="D6329" t="inlineStr">
        <is>
          <t>GÄVLEBORGS LÄN</t>
        </is>
      </c>
      <c r="E6329" t="inlineStr">
        <is>
          <t>HOFORS</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6935-2023</t>
        </is>
      </c>
      <c r="B6330" s="1" t="n">
        <v>44967</v>
      </c>
      <c r="C6330" s="1" t="n">
        <v>45587</v>
      </c>
      <c r="D6330" t="inlineStr">
        <is>
          <t>GÄVLEBORGS LÄN</t>
        </is>
      </c>
      <c r="E6330" t="inlineStr">
        <is>
          <t>GÄVLE</t>
        </is>
      </c>
      <c r="F6330" t="inlineStr">
        <is>
          <t>Bergvik skog öst AB</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6820-2023</t>
        </is>
      </c>
      <c r="B6331" s="1" t="n">
        <v>44967</v>
      </c>
      <c r="C6331" s="1" t="n">
        <v>45587</v>
      </c>
      <c r="D6331" t="inlineStr">
        <is>
          <t>GÄVLEBORGS LÄN</t>
        </is>
      </c>
      <c r="E6331" t="inlineStr">
        <is>
          <t>NORDANSTIG</t>
        </is>
      </c>
      <c r="F6331" t="inlineStr">
        <is>
          <t>Holmen skog AB</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6826-2023</t>
        </is>
      </c>
      <c r="B6332" s="1" t="n">
        <v>44967</v>
      </c>
      <c r="C6332" s="1" t="n">
        <v>45587</v>
      </c>
      <c r="D6332" t="inlineStr">
        <is>
          <t>GÄVLEBORGS LÄN</t>
        </is>
      </c>
      <c r="E6332" t="inlineStr">
        <is>
          <t>HUDIKSVALL</t>
        </is>
      </c>
      <c r="G6332" t="n">
        <v>4.5</v>
      </c>
      <c r="H6332" t="n">
        <v>0</v>
      </c>
      <c r="I6332" t="n">
        <v>0</v>
      </c>
      <c r="J6332" t="n">
        <v>0</v>
      </c>
      <c r="K6332" t="n">
        <v>0</v>
      </c>
      <c r="L6332" t="n">
        <v>0</v>
      </c>
      <c r="M6332" t="n">
        <v>0</v>
      </c>
      <c r="N6332" t="n">
        <v>0</v>
      </c>
      <c r="O6332" t="n">
        <v>0</v>
      </c>
      <c r="P6332" t="n">
        <v>0</v>
      </c>
      <c r="Q6332" t="n">
        <v>0</v>
      </c>
      <c r="R6332" s="2" t="inlineStr"/>
    </row>
    <row r="6333" ht="15" customHeight="1">
      <c r="A6333" t="inlineStr">
        <is>
          <t>A 6833-2023</t>
        </is>
      </c>
      <c r="B6333" s="1" t="n">
        <v>44967</v>
      </c>
      <c r="C6333" s="1" t="n">
        <v>45587</v>
      </c>
      <c r="D6333" t="inlineStr">
        <is>
          <t>GÄVLEBORGS LÄN</t>
        </is>
      </c>
      <c r="E6333" t="inlineStr">
        <is>
          <t>BOLLNÄS</t>
        </is>
      </c>
      <c r="G6333" t="n">
        <v>11.1</v>
      </c>
      <c r="H6333" t="n">
        <v>0</v>
      </c>
      <c r="I6333" t="n">
        <v>0</v>
      </c>
      <c r="J6333" t="n">
        <v>0</v>
      </c>
      <c r="K6333" t="n">
        <v>0</v>
      </c>
      <c r="L6333" t="n">
        <v>0</v>
      </c>
      <c r="M6333" t="n">
        <v>0</v>
      </c>
      <c r="N6333" t="n">
        <v>0</v>
      </c>
      <c r="O6333" t="n">
        <v>0</v>
      </c>
      <c r="P6333" t="n">
        <v>0</v>
      </c>
      <c r="Q6333" t="n">
        <v>0</v>
      </c>
      <c r="R6333" s="2" t="inlineStr"/>
    </row>
    <row r="6334" ht="15" customHeight="1">
      <c r="A6334" t="inlineStr">
        <is>
          <t>A 6861-2023</t>
        </is>
      </c>
      <c r="B6334" s="1" t="n">
        <v>44967</v>
      </c>
      <c r="C6334" s="1" t="n">
        <v>45587</v>
      </c>
      <c r="D6334" t="inlineStr">
        <is>
          <t>GÄVLEBORGS LÄN</t>
        </is>
      </c>
      <c r="E6334" t="inlineStr">
        <is>
          <t>LJUSDAL</t>
        </is>
      </c>
      <c r="F6334" t="inlineStr">
        <is>
          <t>Holmen skog AB</t>
        </is>
      </c>
      <c r="G6334" t="n">
        <v>14.2</v>
      </c>
      <c r="H6334" t="n">
        <v>0</v>
      </c>
      <c r="I6334" t="n">
        <v>0</v>
      </c>
      <c r="J6334" t="n">
        <v>0</v>
      </c>
      <c r="K6334" t="n">
        <v>0</v>
      </c>
      <c r="L6334" t="n">
        <v>0</v>
      </c>
      <c r="M6334" t="n">
        <v>0</v>
      </c>
      <c r="N6334" t="n">
        <v>0</v>
      </c>
      <c r="O6334" t="n">
        <v>0</v>
      </c>
      <c r="P6334" t="n">
        <v>0</v>
      </c>
      <c r="Q6334" t="n">
        <v>0</v>
      </c>
      <c r="R6334" s="2" t="inlineStr"/>
    </row>
    <row r="6335" ht="15" customHeight="1">
      <c r="A6335" t="inlineStr">
        <is>
          <t>A 6809-2023</t>
        </is>
      </c>
      <c r="B6335" s="1" t="n">
        <v>44967</v>
      </c>
      <c r="C6335" s="1" t="n">
        <v>45587</v>
      </c>
      <c r="D6335" t="inlineStr">
        <is>
          <t>GÄVLEBORGS LÄN</t>
        </is>
      </c>
      <c r="E6335" t="inlineStr">
        <is>
          <t>HUDIKSVALL</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6882-2023</t>
        </is>
      </c>
      <c r="B6336" s="1" t="n">
        <v>44967</v>
      </c>
      <c r="C6336" s="1" t="n">
        <v>45587</v>
      </c>
      <c r="D6336" t="inlineStr">
        <is>
          <t>GÄVLEBORGS LÄN</t>
        </is>
      </c>
      <c r="E6336" t="inlineStr">
        <is>
          <t>BOLLNÄS</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6879-2023</t>
        </is>
      </c>
      <c r="B6337" s="1" t="n">
        <v>44967</v>
      </c>
      <c r="C6337" s="1" t="n">
        <v>45587</v>
      </c>
      <c r="D6337" t="inlineStr">
        <is>
          <t>GÄVLEBORGS LÄN</t>
        </is>
      </c>
      <c r="E6337" t="inlineStr">
        <is>
          <t>BOLLNÄS</t>
        </is>
      </c>
      <c r="G6337" t="n">
        <v>6.3</v>
      </c>
      <c r="H6337" t="n">
        <v>0</v>
      </c>
      <c r="I6337" t="n">
        <v>0</v>
      </c>
      <c r="J6337" t="n">
        <v>0</v>
      </c>
      <c r="K6337" t="n">
        <v>0</v>
      </c>
      <c r="L6337" t="n">
        <v>0</v>
      </c>
      <c r="M6337" t="n">
        <v>0</v>
      </c>
      <c r="N6337" t="n">
        <v>0</v>
      </c>
      <c r="O6337" t="n">
        <v>0</v>
      </c>
      <c r="P6337" t="n">
        <v>0</v>
      </c>
      <c r="Q6337" t="n">
        <v>0</v>
      </c>
      <c r="R6337" s="2" t="inlineStr"/>
    </row>
    <row r="6338" ht="15" customHeight="1">
      <c r="A6338" t="inlineStr">
        <is>
          <t>A 6972-2023</t>
        </is>
      </c>
      <c r="B6338" s="1" t="n">
        <v>44967</v>
      </c>
      <c r="C6338" s="1" t="n">
        <v>45587</v>
      </c>
      <c r="D6338" t="inlineStr">
        <is>
          <t>GÄVLEBORGS LÄN</t>
        </is>
      </c>
      <c r="E6338" t="inlineStr">
        <is>
          <t>GÄVLE</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6922-2023</t>
        </is>
      </c>
      <c r="B6339" s="1" t="n">
        <v>44967</v>
      </c>
      <c r="C6339" s="1" t="n">
        <v>45587</v>
      </c>
      <c r="D6339" t="inlineStr">
        <is>
          <t>GÄVLEBORGS LÄN</t>
        </is>
      </c>
      <c r="E6339" t="inlineStr">
        <is>
          <t>BOLLNÄS</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7012-2023</t>
        </is>
      </c>
      <c r="B6340" s="1" t="n">
        <v>44967</v>
      </c>
      <c r="C6340" s="1" t="n">
        <v>45587</v>
      </c>
      <c r="D6340" t="inlineStr">
        <is>
          <t>GÄVLEBORGS LÄN</t>
        </is>
      </c>
      <c r="E6340" t="inlineStr">
        <is>
          <t>LJUSDAL</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7014-2023</t>
        </is>
      </c>
      <c r="B6341" s="1" t="n">
        <v>44968</v>
      </c>
      <c r="C6341" s="1" t="n">
        <v>45587</v>
      </c>
      <c r="D6341" t="inlineStr">
        <is>
          <t>GÄVLEBORGS LÄN</t>
        </is>
      </c>
      <c r="E6341" t="inlineStr">
        <is>
          <t>NORDANSTIG</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7013-2023</t>
        </is>
      </c>
      <c r="B6342" s="1" t="n">
        <v>44968</v>
      </c>
      <c r="C6342" s="1" t="n">
        <v>45587</v>
      </c>
      <c r="D6342" t="inlineStr">
        <is>
          <t>GÄVLEBORGS LÄN</t>
        </is>
      </c>
      <c r="E6342" t="inlineStr">
        <is>
          <t>NORDANSTIG</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7065-2023</t>
        </is>
      </c>
      <c r="B6343" s="1" t="n">
        <v>44969</v>
      </c>
      <c r="C6343" s="1" t="n">
        <v>45587</v>
      </c>
      <c r="D6343" t="inlineStr">
        <is>
          <t>GÄVLEBORGS LÄN</t>
        </is>
      </c>
      <c r="E6343" t="inlineStr">
        <is>
          <t>HUDIKSVALL</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7066-2023</t>
        </is>
      </c>
      <c r="B6344" s="1" t="n">
        <v>44969</v>
      </c>
      <c r="C6344" s="1" t="n">
        <v>45587</v>
      </c>
      <c r="D6344" t="inlineStr">
        <is>
          <t>GÄVLEBORGS LÄN</t>
        </is>
      </c>
      <c r="E6344" t="inlineStr">
        <is>
          <t>HUDIKSVALL</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7182-2023</t>
        </is>
      </c>
      <c r="B6345" s="1" t="n">
        <v>44970</v>
      </c>
      <c r="C6345" s="1" t="n">
        <v>45587</v>
      </c>
      <c r="D6345" t="inlineStr">
        <is>
          <t>GÄVLEBORGS LÄN</t>
        </is>
      </c>
      <c r="E6345" t="inlineStr">
        <is>
          <t>LJUSDAL</t>
        </is>
      </c>
      <c r="G6345" t="n">
        <v>7</v>
      </c>
      <c r="H6345" t="n">
        <v>0</v>
      </c>
      <c r="I6345" t="n">
        <v>0</v>
      </c>
      <c r="J6345" t="n">
        <v>0</v>
      </c>
      <c r="K6345" t="n">
        <v>0</v>
      </c>
      <c r="L6345" t="n">
        <v>0</v>
      </c>
      <c r="M6345" t="n">
        <v>0</v>
      </c>
      <c r="N6345" t="n">
        <v>0</v>
      </c>
      <c r="O6345" t="n">
        <v>0</v>
      </c>
      <c r="P6345" t="n">
        <v>0</v>
      </c>
      <c r="Q6345" t="n">
        <v>0</v>
      </c>
      <c r="R6345" s="2" t="inlineStr"/>
    </row>
    <row r="6346" ht="15" customHeight="1">
      <c r="A6346" t="inlineStr">
        <is>
          <t>A 7155-2023</t>
        </is>
      </c>
      <c r="B6346" s="1" t="n">
        <v>44970</v>
      </c>
      <c r="C6346" s="1" t="n">
        <v>45587</v>
      </c>
      <c r="D6346" t="inlineStr">
        <is>
          <t>GÄVLEBORGS LÄN</t>
        </is>
      </c>
      <c r="E6346" t="inlineStr">
        <is>
          <t>BOLLNÄS</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7161-2023</t>
        </is>
      </c>
      <c r="B6347" s="1" t="n">
        <v>44970</v>
      </c>
      <c r="C6347" s="1" t="n">
        <v>45587</v>
      </c>
      <c r="D6347" t="inlineStr">
        <is>
          <t>GÄVLEBORGS LÄN</t>
        </is>
      </c>
      <c r="E6347" t="inlineStr">
        <is>
          <t>GÄVLE</t>
        </is>
      </c>
      <c r="F6347" t="inlineStr">
        <is>
          <t>Bergvik skog öst AB</t>
        </is>
      </c>
      <c r="G6347" t="n">
        <v>6.9</v>
      </c>
      <c r="H6347" t="n">
        <v>0</v>
      </c>
      <c r="I6347" t="n">
        <v>0</v>
      </c>
      <c r="J6347" t="n">
        <v>0</v>
      </c>
      <c r="K6347" t="n">
        <v>0</v>
      </c>
      <c r="L6347" t="n">
        <v>0</v>
      </c>
      <c r="M6347" t="n">
        <v>0</v>
      </c>
      <c r="N6347" t="n">
        <v>0</v>
      </c>
      <c r="O6347" t="n">
        <v>0</v>
      </c>
      <c r="P6347" t="n">
        <v>0</v>
      </c>
      <c r="Q6347" t="n">
        <v>0</v>
      </c>
      <c r="R6347" s="2" t="inlineStr"/>
    </row>
    <row r="6348" ht="15" customHeight="1">
      <c r="A6348" t="inlineStr">
        <is>
          <t>A 7177-2023</t>
        </is>
      </c>
      <c r="B6348" s="1" t="n">
        <v>44970</v>
      </c>
      <c r="C6348" s="1" t="n">
        <v>45587</v>
      </c>
      <c r="D6348" t="inlineStr">
        <is>
          <t>GÄVLEBORGS LÄN</t>
        </is>
      </c>
      <c r="E6348" t="inlineStr">
        <is>
          <t>LJUSDAL</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7192-2023</t>
        </is>
      </c>
      <c r="B6349" s="1" t="n">
        <v>44970</v>
      </c>
      <c r="C6349" s="1" t="n">
        <v>45587</v>
      </c>
      <c r="D6349" t="inlineStr">
        <is>
          <t>GÄVLEBORGS LÄN</t>
        </is>
      </c>
      <c r="E6349" t="inlineStr">
        <is>
          <t>LJUSDAL</t>
        </is>
      </c>
      <c r="G6349" t="n">
        <v>3.6</v>
      </c>
      <c r="H6349" t="n">
        <v>0</v>
      </c>
      <c r="I6349" t="n">
        <v>0</v>
      </c>
      <c r="J6349" t="n">
        <v>0</v>
      </c>
      <c r="K6349" t="n">
        <v>0</v>
      </c>
      <c r="L6349" t="n">
        <v>0</v>
      </c>
      <c r="M6349" t="n">
        <v>0</v>
      </c>
      <c r="N6349" t="n">
        <v>0</v>
      </c>
      <c r="O6349" t="n">
        <v>0</v>
      </c>
      <c r="P6349" t="n">
        <v>0</v>
      </c>
      <c r="Q6349" t="n">
        <v>0</v>
      </c>
      <c r="R6349" s="2" t="inlineStr"/>
    </row>
    <row r="6350" ht="15" customHeight="1">
      <c r="A6350" t="inlineStr">
        <is>
          <t>A 7227-2023</t>
        </is>
      </c>
      <c r="B6350" s="1" t="n">
        <v>44970</v>
      </c>
      <c r="C6350" s="1" t="n">
        <v>45587</v>
      </c>
      <c r="D6350" t="inlineStr">
        <is>
          <t>GÄVLEBORGS LÄN</t>
        </is>
      </c>
      <c r="E6350" t="inlineStr">
        <is>
          <t>OVANÅKER</t>
        </is>
      </c>
      <c r="G6350" t="n">
        <v>14.6</v>
      </c>
      <c r="H6350" t="n">
        <v>0</v>
      </c>
      <c r="I6350" t="n">
        <v>0</v>
      </c>
      <c r="J6350" t="n">
        <v>0</v>
      </c>
      <c r="K6350" t="n">
        <v>0</v>
      </c>
      <c r="L6350" t="n">
        <v>0</v>
      </c>
      <c r="M6350" t="n">
        <v>0</v>
      </c>
      <c r="N6350" t="n">
        <v>0</v>
      </c>
      <c r="O6350" t="n">
        <v>0</v>
      </c>
      <c r="P6350" t="n">
        <v>0</v>
      </c>
      <c r="Q6350" t="n">
        <v>0</v>
      </c>
      <c r="R6350" s="2" t="inlineStr"/>
    </row>
    <row r="6351" ht="15" customHeight="1">
      <c r="A6351" t="inlineStr">
        <is>
          <t>A 7160-2023</t>
        </is>
      </c>
      <c r="B6351" s="1" t="n">
        <v>44970</v>
      </c>
      <c r="C6351" s="1" t="n">
        <v>45587</v>
      </c>
      <c r="D6351" t="inlineStr">
        <is>
          <t>GÄVLEBORGS LÄN</t>
        </is>
      </c>
      <c r="E6351" t="inlineStr">
        <is>
          <t>NORDANSTIG</t>
        </is>
      </c>
      <c r="F6351" t="inlineStr">
        <is>
          <t>Holmen skog AB</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7276-2023</t>
        </is>
      </c>
      <c r="B6352" s="1" t="n">
        <v>44970</v>
      </c>
      <c r="C6352" s="1" t="n">
        <v>45587</v>
      </c>
      <c r="D6352" t="inlineStr">
        <is>
          <t>GÄVLEBORGS LÄN</t>
        </is>
      </c>
      <c r="E6352" t="inlineStr">
        <is>
          <t>OCKELBO</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7410-2023</t>
        </is>
      </c>
      <c r="B6353" s="1" t="n">
        <v>44971</v>
      </c>
      <c r="C6353" s="1" t="n">
        <v>45587</v>
      </c>
      <c r="D6353" t="inlineStr">
        <is>
          <t>GÄVLEBORGS LÄN</t>
        </is>
      </c>
      <c r="E6353" t="inlineStr">
        <is>
          <t>GÄVLE</t>
        </is>
      </c>
      <c r="F6353" t="inlineStr">
        <is>
          <t>Bergvik skog öst AB</t>
        </is>
      </c>
      <c r="G6353" t="n">
        <v>7.7</v>
      </c>
      <c r="H6353" t="n">
        <v>0</v>
      </c>
      <c r="I6353" t="n">
        <v>0</v>
      </c>
      <c r="J6353" t="n">
        <v>0</v>
      </c>
      <c r="K6353" t="n">
        <v>0</v>
      </c>
      <c r="L6353" t="n">
        <v>0</v>
      </c>
      <c r="M6353" t="n">
        <v>0</v>
      </c>
      <c r="N6353" t="n">
        <v>0</v>
      </c>
      <c r="O6353" t="n">
        <v>0</v>
      </c>
      <c r="P6353" t="n">
        <v>0</v>
      </c>
      <c r="Q6353" t="n">
        <v>0</v>
      </c>
      <c r="R6353" s="2" t="inlineStr"/>
    </row>
    <row r="6354" ht="15" customHeight="1">
      <c r="A6354" t="inlineStr">
        <is>
          <t>A 7446-2023</t>
        </is>
      </c>
      <c r="B6354" s="1" t="n">
        <v>44971</v>
      </c>
      <c r="C6354" s="1" t="n">
        <v>45587</v>
      </c>
      <c r="D6354" t="inlineStr">
        <is>
          <t>GÄVLEBORGS LÄN</t>
        </is>
      </c>
      <c r="E6354" t="inlineStr">
        <is>
          <t>BOLLNÄS</t>
        </is>
      </c>
      <c r="G6354" t="n">
        <v>6.1</v>
      </c>
      <c r="H6354" t="n">
        <v>0</v>
      </c>
      <c r="I6354" t="n">
        <v>0</v>
      </c>
      <c r="J6354" t="n">
        <v>0</v>
      </c>
      <c r="K6354" t="n">
        <v>0</v>
      </c>
      <c r="L6354" t="n">
        <v>0</v>
      </c>
      <c r="M6354" t="n">
        <v>0</v>
      </c>
      <c r="N6354" t="n">
        <v>0</v>
      </c>
      <c r="O6354" t="n">
        <v>0</v>
      </c>
      <c r="P6354" t="n">
        <v>0</v>
      </c>
      <c r="Q6354" t="n">
        <v>0</v>
      </c>
      <c r="R6354" s="2" t="inlineStr"/>
    </row>
    <row r="6355" ht="15" customHeight="1">
      <c r="A6355" t="inlineStr">
        <is>
          <t>A 7468-2023</t>
        </is>
      </c>
      <c r="B6355" s="1" t="n">
        <v>44971</v>
      </c>
      <c r="C6355" s="1" t="n">
        <v>45587</v>
      </c>
      <c r="D6355" t="inlineStr">
        <is>
          <t>GÄVLEBORGS LÄN</t>
        </is>
      </c>
      <c r="E6355" t="inlineStr">
        <is>
          <t>BOLLNÄS</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7578-2023</t>
        </is>
      </c>
      <c r="B6356" s="1" t="n">
        <v>44972</v>
      </c>
      <c r="C6356" s="1" t="n">
        <v>45587</v>
      </c>
      <c r="D6356" t="inlineStr">
        <is>
          <t>GÄVLEBORGS LÄN</t>
        </is>
      </c>
      <c r="E6356" t="inlineStr">
        <is>
          <t>LJUSDAL</t>
        </is>
      </c>
      <c r="F6356" t="inlineStr">
        <is>
          <t>Kommuner</t>
        </is>
      </c>
      <c r="G6356" t="n">
        <v>4.5</v>
      </c>
      <c r="H6356" t="n">
        <v>0</v>
      </c>
      <c r="I6356" t="n">
        <v>0</v>
      </c>
      <c r="J6356" t="n">
        <v>0</v>
      </c>
      <c r="K6356" t="n">
        <v>0</v>
      </c>
      <c r="L6356" t="n">
        <v>0</v>
      </c>
      <c r="M6356" t="n">
        <v>0</v>
      </c>
      <c r="N6356" t="n">
        <v>0</v>
      </c>
      <c r="O6356" t="n">
        <v>0</v>
      </c>
      <c r="P6356" t="n">
        <v>0</v>
      </c>
      <c r="Q6356" t="n">
        <v>0</v>
      </c>
      <c r="R6356" s="2" t="inlineStr"/>
    </row>
    <row r="6357" ht="15" customHeight="1">
      <c r="A6357" t="inlineStr">
        <is>
          <t>A 7593-2023</t>
        </is>
      </c>
      <c r="B6357" s="1" t="n">
        <v>44972</v>
      </c>
      <c r="C6357" s="1" t="n">
        <v>45587</v>
      </c>
      <c r="D6357" t="inlineStr">
        <is>
          <t>GÄVLEBORGS LÄN</t>
        </is>
      </c>
      <c r="E6357" t="inlineStr">
        <is>
          <t>HUDIKSVALL</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7569-2023</t>
        </is>
      </c>
      <c r="B6358" s="1" t="n">
        <v>44972</v>
      </c>
      <c r="C6358" s="1" t="n">
        <v>45587</v>
      </c>
      <c r="D6358" t="inlineStr">
        <is>
          <t>GÄVLEBORGS LÄN</t>
        </is>
      </c>
      <c r="E6358" t="inlineStr">
        <is>
          <t>LJUSDAL</t>
        </is>
      </c>
      <c r="F6358" t="inlineStr">
        <is>
          <t>Kommuner</t>
        </is>
      </c>
      <c r="G6358" t="n">
        <v>6.9</v>
      </c>
      <c r="H6358" t="n">
        <v>0</v>
      </c>
      <c r="I6358" t="n">
        <v>0</v>
      </c>
      <c r="J6358" t="n">
        <v>0</v>
      </c>
      <c r="K6358" t="n">
        <v>0</v>
      </c>
      <c r="L6358" t="n">
        <v>0</v>
      </c>
      <c r="M6358" t="n">
        <v>0</v>
      </c>
      <c r="N6358" t="n">
        <v>0</v>
      </c>
      <c r="O6358" t="n">
        <v>0</v>
      </c>
      <c r="P6358" t="n">
        <v>0</v>
      </c>
      <c r="Q6358" t="n">
        <v>0</v>
      </c>
      <c r="R6358" s="2" t="inlineStr"/>
    </row>
    <row r="6359" ht="15" customHeight="1">
      <c r="A6359" t="inlineStr">
        <is>
          <t>A 7576-2023</t>
        </is>
      </c>
      <c r="B6359" s="1" t="n">
        <v>44972</v>
      </c>
      <c r="C6359" s="1" t="n">
        <v>45587</v>
      </c>
      <c r="D6359" t="inlineStr">
        <is>
          <t>GÄVLEBORGS LÄN</t>
        </is>
      </c>
      <c r="E6359" t="inlineStr">
        <is>
          <t>LJUSDAL</t>
        </is>
      </c>
      <c r="F6359" t="inlineStr">
        <is>
          <t>Kommuner</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7575-2023</t>
        </is>
      </c>
      <c r="B6360" s="1" t="n">
        <v>44972</v>
      </c>
      <c r="C6360" s="1" t="n">
        <v>45587</v>
      </c>
      <c r="D6360" t="inlineStr">
        <is>
          <t>GÄVLEBORGS LÄN</t>
        </is>
      </c>
      <c r="E6360" t="inlineStr">
        <is>
          <t>GÄVLE</t>
        </is>
      </c>
      <c r="F6360" t="inlineStr">
        <is>
          <t>Bergvik skog öst AB</t>
        </is>
      </c>
      <c r="G6360" t="n">
        <v>7.5</v>
      </c>
      <c r="H6360" t="n">
        <v>0</v>
      </c>
      <c r="I6360" t="n">
        <v>0</v>
      </c>
      <c r="J6360" t="n">
        <v>0</v>
      </c>
      <c r="K6360" t="n">
        <v>0</v>
      </c>
      <c r="L6360" t="n">
        <v>0</v>
      </c>
      <c r="M6360" t="n">
        <v>0</v>
      </c>
      <c r="N6360" t="n">
        <v>0</v>
      </c>
      <c r="O6360" t="n">
        <v>0</v>
      </c>
      <c r="P6360" t="n">
        <v>0</v>
      </c>
      <c r="Q6360" t="n">
        <v>0</v>
      </c>
      <c r="R6360" s="2" t="inlineStr"/>
    </row>
    <row r="6361" ht="15" customHeight="1">
      <c r="A6361" t="inlineStr">
        <is>
          <t>A 7624-2023</t>
        </is>
      </c>
      <c r="B6361" s="1" t="n">
        <v>44972</v>
      </c>
      <c r="C6361" s="1" t="n">
        <v>45587</v>
      </c>
      <c r="D6361" t="inlineStr">
        <is>
          <t>GÄVLEBORGS LÄN</t>
        </is>
      </c>
      <c r="E6361" t="inlineStr">
        <is>
          <t>SANDVIKEN</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7605-2023</t>
        </is>
      </c>
      <c r="B6362" s="1" t="n">
        <v>44972</v>
      </c>
      <c r="C6362" s="1" t="n">
        <v>45587</v>
      </c>
      <c r="D6362" t="inlineStr">
        <is>
          <t>GÄVLEBORGS LÄN</t>
        </is>
      </c>
      <c r="E6362" t="inlineStr">
        <is>
          <t>HUDIKSVALL</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7662-2023</t>
        </is>
      </c>
      <c r="B6363" s="1" t="n">
        <v>44972</v>
      </c>
      <c r="C6363" s="1" t="n">
        <v>45587</v>
      </c>
      <c r="D6363" t="inlineStr">
        <is>
          <t>GÄVLEBORGS LÄN</t>
        </is>
      </c>
      <c r="E6363" t="inlineStr">
        <is>
          <t>HUDIKSVALL</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7792-2023</t>
        </is>
      </c>
      <c r="B6364" s="1" t="n">
        <v>44973</v>
      </c>
      <c r="C6364" s="1" t="n">
        <v>45587</v>
      </c>
      <c r="D6364" t="inlineStr">
        <is>
          <t>GÄVLEBORGS LÄN</t>
        </is>
      </c>
      <c r="E6364" t="inlineStr">
        <is>
          <t>GÄVLE</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7914-2023</t>
        </is>
      </c>
      <c r="B6365" s="1" t="n">
        <v>44973</v>
      </c>
      <c r="C6365" s="1" t="n">
        <v>45587</v>
      </c>
      <c r="D6365" t="inlineStr">
        <is>
          <t>GÄVLEBORGS LÄN</t>
        </is>
      </c>
      <c r="E6365" t="inlineStr">
        <is>
          <t>NORDANSTIG</t>
        </is>
      </c>
      <c r="F6365" t="inlineStr">
        <is>
          <t>Holmen skog AB</t>
        </is>
      </c>
      <c r="G6365" t="n">
        <v>13.2</v>
      </c>
      <c r="H6365" t="n">
        <v>0</v>
      </c>
      <c r="I6365" t="n">
        <v>0</v>
      </c>
      <c r="J6365" t="n">
        <v>0</v>
      </c>
      <c r="K6365" t="n">
        <v>0</v>
      </c>
      <c r="L6365" t="n">
        <v>0</v>
      </c>
      <c r="M6365" t="n">
        <v>0</v>
      </c>
      <c r="N6365" t="n">
        <v>0</v>
      </c>
      <c r="O6365" t="n">
        <v>0</v>
      </c>
      <c r="P6365" t="n">
        <v>0</v>
      </c>
      <c r="Q6365" t="n">
        <v>0</v>
      </c>
      <c r="R6365" s="2" t="inlineStr"/>
    </row>
    <row r="6366" ht="15" customHeight="1">
      <c r="A6366" t="inlineStr">
        <is>
          <t>A 7998-2023</t>
        </is>
      </c>
      <c r="B6366" s="1" t="n">
        <v>44973</v>
      </c>
      <c r="C6366" s="1" t="n">
        <v>45587</v>
      </c>
      <c r="D6366" t="inlineStr">
        <is>
          <t>GÄVLEBORGS LÄN</t>
        </is>
      </c>
      <c r="E6366" t="inlineStr">
        <is>
          <t>GÄVLE</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8137-2023</t>
        </is>
      </c>
      <c r="B6367" s="1" t="n">
        <v>44974</v>
      </c>
      <c r="C6367" s="1" t="n">
        <v>45587</v>
      </c>
      <c r="D6367" t="inlineStr">
        <is>
          <t>GÄVLEBORGS LÄN</t>
        </is>
      </c>
      <c r="E6367" t="inlineStr">
        <is>
          <t>HUDIKSVALL</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8151-2023</t>
        </is>
      </c>
      <c r="B6368" s="1" t="n">
        <v>44974</v>
      </c>
      <c r="C6368" s="1" t="n">
        <v>45587</v>
      </c>
      <c r="D6368" t="inlineStr">
        <is>
          <t>GÄVLEBORGS LÄN</t>
        </is>
      </c>
      <c r="E6368" t="inlineStr">
        <is>
          <t>BOLLNÄS</t>
        </is>
      </c>
      <c r="G6368" t="n">
        <v>6.3</v>
      </c>
      <c r="H6368" t="n">
        <v>0</v>
      </c>
      <c r="I6368" t="n">
        <v>0</v>
      </c>
      <c r="J6368" t="n">
        <v>0</v>
      </c>
      <c r="K6368" t="n">
        <v>0</v>
      </c>
      <c r="L6368" t="n">
        <v>0</v>
      </c>
      <c r="M6368" t="n">
        <v>0</v>
      </c>
      <c r="N6368" t="n">
        <v>0</v>
      </c>
      <c r="O6368" t="n">
        <v>0</v>
      </c>
      <c r="P6368" t="n">
        <v>0</v>
      </c>
      <c r="Q6368" t="n">
        <v>0</v>
      </c>
      <c r="R6368" s="2" t="inlineStr"/>
    </row>
    <row r="6369" ht="15" customHeight="1">
      <c r="A6369" t="inlineStr">
        <is>
          <t>A 8118-2023</t>
        </is>
      </c>
      <c r="B6369" s="1" t="n">
        <v>44974</v>
      </c>
      <c r="C6369" s="1" t="n">
        <v>45587</v>
      </c>
      <c r="D6369" t="inlineStr">
        <is>
          <t>GÄVLEBORGS LÄN</t>
        </is>
      </c>
      <c r="E6369" t="inlineStr">
        <is>
          <t>OCKELBO</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8300-2023</t>
        </is>
      </c>
      <c r="B6370" s="1" t="n">
        <v>44974</v>
      </c>
      <c r="C6370" s="1" t="n">
        <v>45587</v>
      </c>
      <c r="D6370" t="inlineStr">
        <is>
          <t>GÄVLEBORGS LÄN</t>
        </is>
      </c>
      <c r="E6370" t="inlineStr">
        <is>
          <t>LJUSDAL</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8441-2023</t>
        </is>
      </c>
      <c r="B6371" s="1" t="n">
        <v>44977</v>
      </c>
      <c r="C6371" s="1" t="n">
        <v>45587</v>
      </c>
      <c r="D6371" t="inlineStr">
        <is>
          <t>GÄVLEBORGS LÄN</t>
        </is>
      </c>
      <c r="E6371" t="inlineStr">
        <is>
          <t>HUDIKSVALL</t>
        </is>
      </c>
      <c r="F6371" t="inlineStr">
        <is>
          <t>Holmen skog AB</t>
        </is>
      </c>
      <c r="G6371" t="n">
        <v>10</v>
      </c>
      <c r="H6371" t="n">
        <v>0</v>
      </c>
      <c r="I6371" t="n">
        <v>0</v>
      </c>
      <c r="J6371" t="n">
        <v>0</v>
      </c>
      <c r="K6371" t="n">
        <v>0</v>
      </c>
      <c r="L6371" t="n">
        <v>0</v>
      </c>
      <c r="M6371" t="n">
        <v>0</v>
      </c>
      <c r="N6371" t="n">
        <v>0</v>
      </c>
      <c r="O6371" t="n">
        <v>0</v>
      </c>
      <c r="P6371" t="n">
        <v>0</v>
      </c>
      <c r="Q6371" t="n">
        <v>0</v>
      </c>
      <c r="R6371" s="2" t="inlineStr"/>
    </row>
    <row r="6372" ht="15" customHeight="1">
      <c r="A6372" t="inlineStr">
        <is>
          <t>A 8391-2023</t>
        </is>
      </c>
      <c r="B6372" s="1" t="n">
        <v>44977</v>
      </c>
      <c r="C6372" s="1" t="n">
        <v>45587</v>
      </c>
      <c r="D6372" t="inlineStr">
        <is>
          <t>GÄVLEBORGS LÄN</t>
        </is>
      </c>
      <c r="E6372" t="inlineStr">
        <is>
          <t>HUDIKSVALL</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8631-2023</t>
        </is>
      </c>
      <c r="B6373" s="1" t="n">
        <v>44977</v>
      </c>
      <c r="C6373" s="1" t="n">
        <v>45587</v>
      </c>
      <c r="D6373" t="inlineStr">
        <is>
          <t>GÄVLEBORGS LÄN</t>
        </is>
      </c>
      <c r="E6373" t="inlineStr">
        <is>
          <t>NORDANSTIG</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8659-2023</t>
        </is>
      </c>
      <c r="B6374" s="1" t="n">
        <v>44977</v>
      </c>
      <c r="C6374" s="1" t="n">
        <v>45587</v>
      </c>
      <c r="D6374" t="inlineStr">
        <is>
          <t>GÄVLEBORGS LÄN</t>
        </is>
      </c>
      <c r="E6374" t="inlineStr">
        <is>
          <t>LJUSDAL</t>
        </is>
      </c>
      <c r="F6374" t="inlineStr">
        <is>
          <t>SCA</t>
        </is>
      </c>
      <c r="G6374" t="n">
        <v>8.6</v>
      </c>
      <c r="H6374" t="n">
        <v>0</v>
      </c>
      <c r="I6374" t="n">
        <v>0</v>
      </c>
      <c r="J6374" t="n">
        <v>0</v>
      </c>
      <c r="K6374" t="n">
        <v>0</v>
      </c>
      <c r="L6374" t="n">
        <v>0</v>
      </c>
      <c r="M6374" t="n">
        <v>0</v>
      </c>
      <c r="N6374" t="n">
        <v>0</v>
      </c>
      <c r="O6374" t="n">
        <v>0</v>
      </c>
      <c r="P6374" t="n">
        <v>0</v>
      </c>
      <c r="Q6374" t="n">
        <v>0</v>
      </c>
      <c r="R6374" s="2" t="inlineStr"/>
    </row>
    <row r="6375" ht="15" customHeight="1">
      <c r="A6375" t="inlineStr">
        <is>
          <t>A 8664-2023</t>
        </is>
      </c>
      <c r="B6375" s="1" t="n">
        <v>44977</v>
      </c>
      <c r="C6375" s="1" t="n">
        <v>45587</v>
      </c>
      <c r="D6375" t="inlineStr">
        <is>
          <t>GÄVLEBORGS LÄN</t>
        </is>
      </c>
      <c r="E6375" t="inlineStr">
        <is>
          <t>LJUSDAL</t>
        </is>
      </c>
      <c r="F6375" t="inlineStr">
        <is>
          <t>SCA</t>
        </is>
      </c>
      <c r="G6375" t="n">
        <v>23.3</v>
      </c>
      <c r="H6375" t="n">
        <v>0</v>
      </c>
      <c r="I6375" t="n">
        <v>0</v>
      </c>
      <c r="J6375" t="n">
        <v>0</v>
      </c>
      <c r="K6375" t="n">
        <v>0</v>
      </c>
      <c r="L6375" t="n">
        <v>0</v>
      </c>
      <c r="M6375" t="n">
        <v>0</v>
      </c>
      <c r="N6375" t="n">
        <v>0</v>
      </c>
      <c r="O6375" t="n">
        <v>0</v>
      </c>
      <c r="P6375" t="n">
        <v>0</v>
      </c>
      <c r="Q6375" t="n">
        <v>0</v>
      </c>
      <c r="R6375" s="2" t="inlineStr"/>
    </row>
    <row r="6376" ht="15" customHeight="1">
      <c r="A6376" t="inlineStr">
        <is>
          <t>A 8595-2023</t>
        </is>
      </c>
      <c r="B6376" s="1" t="n">
        <v>44977</v>
      </c>
      <c r="C6376" s="1" t="n">
        <v>45587</v>
      </c>
      <c r="D6376" t="inlineStr">
        <is>
          <t>GÄVLEBORGS LÄN</t>
        </is>
      </c>
      <c r="E6376" t="inlineStr">
        <is>
          <t>HUDIKSVALL</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8618-2023</t>
        </is>
      </c>
      <c r="B6377" s="1" t="n">
        <v>44977</v>
      </c>
      <c r="C6377" s="1" t="n">
        <v>45587</v>
      </c>
      <c r="D6377" t="inlineStr">
        <is>
          <t>GÄVLEBORGS LÄN</t>
        </is>
      </c>
      <c r="E6377" t="inlineStr">
        <is>
          <t>OVANÅKER</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8633-2023</t>
        </is>
      </c>
      <c r="B6378" s="1" t="n">
        <v>44977</v>
      </c>
      <c r="C6378" s="1" t="n">
        <v>45587</v>
      </c>
      <c r="D6378" t="inlineStr">
        <is>
          <t>GÄVLEBORGS LÄN</t>
        </is>
      </c>
      <c r="E6378" t="inlineStr">
        <is>
          <t>SÖDERHAMN</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8510-2023</t>
        </is>
      </c>
      <c r="B6379" s="1" t="n">
        <v>44977</v>
      </c>
      <c r="C6379" s="1" t="n">
        <v>45587</v>
      </c>
      <c r="D6379" t="inlineStr">
        <is>
          <t>GÄVLEBORGS LÄN</t>
        </is>
      </c>
      <c r="E6379" t="inlineStr">
        <is>
          <t>HOFORS</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8662-2023</t>
        </is>
      </c>
      <c r="B6380" s="1" t="n">
        <v>44977</v>
      </c>
      <c r="C6380" s="1" t="n">
        <v>45587</v>
      </c>
      <c r="D6380" t="inlineStr">
        <is>
          <t>GÄVLEBORGS LÄN</t>
        </is>
      </c>
      <c r="E6380" t="inlineStr">
        <is>
          <t>LJUSDAL</t>
        </is>
      </c>
      <c r="F6380" t="inlineStr">
        <is>
          <t>SCA</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8660-2023</t>
        </is>
      </c>
      <c r="B6381" s="1" t="n">
        <v>44977</v>
      </c>
      <c r="C6381" s="1" t="n">
        <v>45587</v>
      </c>
      <c r="D6381" t="inlineStr">
        <is>
          <t>GÄVLEBORGS LÄN</t>
        </is>
      </c>
      <c r="E6381" t="inlineStr">
        <is>
          <t>LJUSDAL</t>
        </is>
      </c>
      <c r="F6381" t="inlineStr">
        <is>
          <t>SCA</t>
        </is>
      </c>
      <c r="G6381" t="n">
        <v>6.7</v>
      </c>
      <c r="H6381" t="n">
        <v>0</v>
      </c>
      <c r="I6381" t="n">
        <v>0</v>
      </c>
      <c r="J6381" t="n">
        <v>0</v>
      </c>
      <c r="K6381" t="n">
        <v>0</v>
      </c>
      <c r="L6381" t="n">
        <v>0</v>
      </c>
      <c r="M6381" t="n">
        <v>0</v>
      </c>
      <c r="N6381" t="n">
        <v>0</v>
      </c>
      <c r="O6381" t="n">
        <v>0</v>
      </c>
      <c r="P6381" t="n">
        <v>0</v>
      </c>
      <c r="Q6381" t="n">
        <v>0</v>
      </c>
      <c r="R6381" s="2" t="inlineStr"/>
    </row>
    <row r="6382" ht="15" customHeight="1">
      <c r="A6382" t="inlineStr">
        <is>
          <t>A 8661-2023</t>
        </is>
      </c>
      <c r="B6382" s="1" t="n">
        <v>44977</v>
      </c>
      <c r="C6382" s="1" t="n">
        <v>45587</v>
      </c>
      <c r="D6382" t="inlineStr">
        <is>
          <t>GÄVLEBORGS LÄN</t>
        </is>
      </c>
      <c r="E6382" t="inlineStr">
        <is>
          <t>LJUSDAL</t>
        </is>
      </c>
      <c r="F6382" t="inlineStr">
        <is>
          <t>SCA</t>
        </is>
      </c>
      <c r="G6382" t="n">
        <v>41.6</v>
      </c>
      <c r="H6382" t="n">
        <v>0</v>
      </c>
      <c r="I6382" t="n">
        <v>0</v>
      </c>
      <c r="J6382" t="n">
        <v>0</v>
      </c>
      <c r="K6382" t="n">
        <v>0</v>
      </c>
      <c r="L6382" t="n">
        <v>0</v>
      </c>
      <c r="M6382" t="n">
        <v>0</v>
      </c>
      <c r="N6382" t="n">
        <v>0</v>
      </c>
      <c r="O6382" t="n">
        <v>0</v>
      </c>
      <c r="P6382" t="n">
        <v>0</v>
      </c>
      <c r="Q6382" t="n">
        <v>0</v>
      </c>
      <c r="R6382" s="2" t="inlineStr"/>
    </row>
    <row r="6383" ht="15" customHeight="1">
      <c r="A6383" t="inlineStr">
        <is>
          <t>A 8696-2023</t>
        </is>
      </c>
      <c r="B6383" s="1" t="n">
        <v>44978</v>
      </c>
      <c r="C6383" s="1" t="n">
        <v>45587</v>
      </c>
      <c r="D6383" t="inlineStr">
        <is>
          <t>GÄVLEBORGS LÄN</t>
        </is>
      </c>
      <c r="E6383" t="inlineStr">
        <is>
          <t>BOLLNÄS</t>
        </is>
      </c>
      <c r="G6383" t="n">
        <v>8</v>
      </c>
      <c r="H6383" t="n">
        <v>0</v>
      </c>
      <c r="I6383" t="n">
        <v>0</v>
      </c>
      <c r="J6383" t="n">
        <v>0</v>
      </c>
      <c r="K6383" t="n">
        <v>0</v>
      </c>
      <c r="L6383" t="n">
        <v>0</v>
      </c>
      <c r="M6383" t="n">
        <v>0</v>
      </c>
      <c r="N6383" t="n">
        <v>0</v>
      </c>
      <c r="O6383" t="n">
        <v>0</v>
      </c>
      <c r="P6383" t="n">
        <v>0</v>
      </c>
      <c r="Q6383" t="n">
        <v>0</v>
      </c>
      <c r="R6383" s="2" t="inlineStr"/>
    </row>
    <row r="6384" ht="15" customHeight="1">
      <c r="A6384" t="inlineStr">
        <is>
          <t>A 8714-2023</t>
        </is>
      </c>
      <c r="B6384" s="1" t="n">
        <v>44978</v>
      </c>
      <c r="C6384" s="1" t="n">
        <v>45587</v>
      </c>
      <c r="D6384" t="inlineStr">
        <is>
          <t>GÄVLEBORGS LÄN</t>
        </is>
      </c>
      <c r="E6384" t="inlineStr">
        <is>
          <t>HUDIKSVALL</t>
        </is>
      </c>
      <c r="G6384" t="n">
        <v>6.3</v>
      </c>
      <c r="H6384" t="n">
        <v>0</v>
      </c>
      <c r="I6384" t="n">
        <v>0</v>
      </c>
      <c r="J6384" t="n">
        <v>0</v>
      </c>
      <c r="K6384" t="n">
        <v>0</v>
      </c>
      <c r="L6384" t="n">
        <v>0</v>
      </c>
      <c r="M6384" t="n">
        <v>0</v>
      </c>
      <c r="N6384" t="n">
        <v>0</v>
      </c>
      <c r="O6384" t="n">
        <v>0</v>
      </c>
      <c r="P6384" t="n">
        <v>0</v>
      </c>
      <c r="Q6384" t="n">
        <v>0</v>
      </c>
      <c r="R6384" s="2" t="inlineStr"/>
    </row>
    <row r="6385" ht="15" customHeight="1">
      <c r="A6385" t="inlineStr">
        <is>
          <t>A 8728-2023</t>
        </is>
      </c>
      <c r="B6385" s="1" t="n">
        <v>44978</v>
      </c>
      <c r="C6385" s="1" t="n">
        <v>45587</v>
      </c>
      <c r="D6385" t="inlineStr">
        <is>
          <t>GÄVLEBORGS LÄN</t>
        </is>
      </c>
      <c r="E6385" t="inlineStr">
        <is>
          <t>NORDANSTIG</t>
        </is>
      </c>
      <c r="G6385" t="n">
        <v>14.6</v>
      </c>
      <c r="H6385" t="n">
        <v>0</v>
      </c>
      <c r="I6385" t="n">
        <v>0</v>
      </c>
      <c r="J6385" t="n">
        <v>0</v>
      </c>
      <c r="K6385" t="n">
        <v>0</v>
      </c>
      <c r="L6385" t="n">
        <v>0</v>
      </c>
      <c r="M6385" t="n">
        <v>0</v>
      </c>
      <c r="N6385" t="n">
        <v>0</v>
      </c>
      <c r="O6385" t="n">
        <v>0</v>
      </c>
      <c r="P6385" t="n">
        <v>0</v>
      </c>
      <c r="Q6385" t="n">
        <v>0</v>
      </c>
      <c r="R6385" s="2" t="inlineStr"/>
    </row>
    <row r="6386" ht="15" customHeight="1">
      <c r="A6386" t="inlineStr">
        <is>
          <t>A 8754-2023</t>
        </is>
      </c>
      <c r="B6386" s="1" t="n">
        <v>44978</v>
      </c>
      <c r="C6386" s="1" t="n">
        <v>45587</v>
      </c>
      <c r="D6386" t="inlineStr">
        <is>
          <t>GÄVLEBORGS LÄN</t>
        </is>
      </c>
      <c r="E6386" t="inlineStr">
        <is>
          <t>HUDIKSVALL</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8732-2023</t>
        </is>
      </c>
      <c r="B6387" s="1" t="n">
        <v>44978</v>
      </c>
      <c r="C6387" s="1" t="n">
        <v>45587</v>
      </c>
      <c r="D6387" t="inlineStr">
        <is>
          <t>GÄVLEBORGS LÄN</t>
        </is>
      </c>
      <c r="E6387" t="inlineStr">
        <is>
          <t>HUDIKSVALL</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8752-2023</t>
        </is>
      </c>
      <c r="B6388" s="1" t="n">
        <v>44978</v>
      </c>
      <c r="C6388" s="1" t="n">
        <v>45587</v>
      </c>
      <c r="D6388" t="inlineStr">
        <is>
          <t>GÄVLEBORGS LÄN</t>
        </is>
      </c>
      <c r="E6388" t="inlineStr">
        <is>
          <t>HUDIKSVALL</t>
        </is>
      </c>
      <c r="G6388" t="n">
        <v>5</v>
      </c>
      <c r="H6388" t="n">
        <v>0</v>
      </c>
      <c r="I6388" t="n">
        <v>0</v>
      </c>
      <c r="J6388" t="n">
        <v>0</v>
      </c>
      <c r="K6388" t="n">
        <v>0</v>
      </c>
      <c r="L6388" t="n">
        <v>0</v>
      </c>
      <c r="M6388" t="n">
        <v>0</v>
      </c>
      <c r="N6388" t="n">
        <v>0</v>
      </c>
      <c r="O6388" t="n">
        <v>0</v>
      </c>
      <c r="P6388" t="n">
        <v>0</v>
      </c>
      <c r="Q6388" t="n">
        <v>0</v>
      </c>
      <c r="R6388" s="2" t="inlineStr"/>
    </row>
    <row r="6389" ht="15" customHeight="1">
      <c r="A6389" t="inlineStr">
        <is>
          <t>A 8809-2023</t>
        </is>
      </c>
      <c r="B6389" s="1" t="n">
        <v>44978</v>
      </c>
      <c r="C6389" s="1" t="n">
        <v>45587</v>
      </c>
      <c r="D6389" t="inlineStr">
        <is>
          <t>GÄVLEBORGS LÄN</t>
        </is>
      </c>
      <c r="E6389" t="inlineStr">
        <is>
          <t>HUDIKSVALL</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8810-2023</t>
        </is>
      </c>
      <c r="B6390" s="1" t="n">
        <v>44978</v>
      </c>
      <c r="C6390" s="1" t="n">
        <v>45587</v>
      </c>
      <c r="D6390" t="inlineStr">
        <is>
          <t>GÄVLEBORGS LÄN</t>
        </is>
      </c>
      <c r="E6390" t="inlineStr">
        <is>
          <t>HUDIKSVALL</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8822-2023</t>
        </is>
      </c>
      <c r="B6391" s="1" t="n">
        <v>44978</v>
      </c>
      <c r="C6391" s="1" t="n">
        <v>45587</v>
      </c>
      <c r="D6391" t="inlineStr">
        <is>
          <t>GÄVLEBORGS LÄN</t>
        </is>
      </c>
      <c r="E6391" t="inlineStr">
        <is>
          <t>HUDIKSVALL</t>
        </is>
      </c>
      <c r="G6391" t="n">
        <v>15.8</v>
      </c>
      <c r="H6391" t="n">
        <v>0</v>
      </c>
      <c r="I6391" t="n">
        <v>0</v>
      </c>
      <c r="J6391" t="n">
        <v>0</v>
      </c>
      <c r="K6391" t="n">
        <v>0</v>
      </c>
      <c r="L6391" t="n">
        <v>0</v>
      </c>
      <c r="M6391" t="n">
        <v>0</v>
      </c>
      <c r="N6391" t="n">
        <v>0</v>
      </c>
      <c r="O6391" t="n">
        <v>0</v>
      </c>
      <c r="P6391" t="n">
        <v>0</v>
      </c>
      <c r="Q6391" t="n">
        <v>0</v>
      </c>
      <c r="R6391" s="2" t="inlineStr"/>
    </row>
    <row r="6392" ht="15" customHeight="1">
      <c r="A6392" t="inlineStr">
        <is>
          <t>A 8902-2023</t>
        </is>
      </c>
      <c r="B6392" s="1" t="n">
        <v>44979</v>
      </c>
      <c r="C6392" s="1" t="n">
        <v>45587</v>
      </c>
      <c r="D6392" t="inlineStr">
        <is>
          <t>GÄVLEBORGS LÄN</t>
        </is>
      </c>
      <c r="E6392" t="inlineStr">
        <is>
          <t>GÄVLE</t>
        </is>
      </c>
      <c r="F6392" t="inlineStr">
        <is>
          <t>Bergvik skog öst AB</t>
        </is>
      </c>
      <c r="G6392" t="n">
        <v>13.6</v>
      </c>
      <c r="H6392" t="n">
        <v>0</v>
      </c>
      <c r="I6392" t="n">
        <v>0</v>
      </c>
      <c r="J6392" t="n">
        <v>0</v>
      </c>
      <c r="K6392" t="n">
        <v>0</v>
      </c>
      <c r="L6392" t="n">
        <v>0</v>
      </c>
      <c r="M6392" t="n">
        <v>0</v>
      </c>
      <c r="N6392" t="n">
        <v>0</v>
      </c>
      <c r="O6392" t="n">
        <v>0</v>
      </c>
      <c r="P6392" t="n">
        <v>0</v>
      </c>
      <c r="Q6392" t="n">
        <v>0</v>
      </c>
      <c r="R6392" s="2" t="inlineStr"/>
    </row>
    <row r="6393" ht="15" customHeight="1">
      <c r="A6393" t="inlineStr">
        <is>
          <t>A 8904-2023</t>
        </is>
      </c>
      <c r="B6393" s="1" t="n">
        <v>44979</v>
      </c>
      <c r="C6393" s="1" t="n">
        <v>45587</v>
      </c>
      <c r="D6393" t="inlineStr">
        <is>
          <t>GÄVLEBORGS LÄN</t>
        </is>
      </c>
      <c r="E6393" t="inlineStr">
        <is>
          <t>GÄVLE</t>
        </is>
      </c>
      <c r="F6393" t="inlineStr">
        <is>
          <t>Kyrkan</t>
        </is>
      </c>
      <c r="G6393" t="n">
        <v>7.5</v>
      </c>
      <c r="H6393" t="n">
        <v>0</v>
      </c>
      <c r="I6393" t="n">
        <v>0</v>
      </c>
      <c r="J6393" t="n">
        <v>0</v>
      </c>
      <c r="K6393" t="n">
        <v>0</v>
      </c>
      <c r="L6393" t="n">
        <v>0</v>
      </c>
      <c r="M6393" t="n">
        <v>0</v>
      </c>
      <c r="N6393" t="n">
        <v>0</v>
      </c>
      <c r="O6393" t="n">
        <v>0</v>
      </c>
      <c r="P6393" t="n">
        <v>0</v>
      </c>
      <c r="Q6393" t="n">
        <v>0</v>
      </c>
      <c r="R6393" s="2" t="inlineStr"/>
    </row>
    <row r="6394" ht="15" customHeight="1">
      <c r="A6394" t="inlineStr">
        <is>
          <t>A 9010-2023</t>
        </is>
      </c>
      <c r="B6394" s="1" t="n">
        <v>44979</v>
      </c>
      <c r="C6394" s="1" t="n">
        <v>45587</v>
      </c>
      <c r="D6394" t="inlineStr">
        <is>
          <t>GÄVLEBORGS LÄN</t>
        </is>
      </c>
      <c r="E6394" t="inlineStr">
        <is>
          <t>OVANÅKER</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9018-2023</t>
        </is>
      </c>
      <c r="B6395" s="1" t="n">
        <v>44979</v>
      </c>
      <c r="C6395" s="1" t="n">
        <v>45587</v>
      </c>
      <c r="D6395" t="inlineStr">
        <is>
          <t>GÄVLEBORGS LÄN</t>
        </is>
      </c>
      <c r="E6395" t="inlineStr">
        <is>
          <t>NORDANSTIG</t>
        </is>
      </c>
      <c r="F6395" t="inlineStr">
        <is>
          <t>Holmen skog AB</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9026-2023</t>
        </is>
      </c>
      <c r="B6396" s="1" t="n">
        <v>44979</v>
      </c>
      <c r="C6396" s="1" t="n">
        <v>45587</v>
      </c>
      <c r="D6396" t="inlineStr">
        <is>
          <t>GÄVLEBORGS LÄN</t>
        </is>
      </c>
      <c r="E6396" t="inlineStr">
        <is>
          <t>HUDIKSVALL</t>
        </is>
      </c>
      <c r="F6396" t="inlineStr">
        <is>
          <t>Holmen skog AB</t>
        </is>
      </c>
      <c r="G6396" t="n">
        <v>10</v>
      </c>
      <c r="H6396" t="n">
        <v>0</v>
      </c>
      <c r="I6396" t="n">
        <v>0</v>
      </c>
      <c r="J6396" t="n">
        <v>0</v>
      </c>
      <c r="K6396" t="n">
        <v>0</v>
      </c>
      <c r="L6396" t="n">
        <v>0</v>
      </c>
      <c r="M6396" t="n">
        <v>0</v>
      </c>
      <c r="N6396" t="n">
        <v>0</v>
      </c>
      <c r="O6396" t="n">
        <v>0</v>
      </c>
      <c r="P6396" t="n">
        <v>0</v>
      </c>
      <c r="Q6396" t="n">
        <v>0</v>
      </c>
      <c r="R6396" s="2" t="inlineStr"/>
    </row>
    <row r="6397" ht="15" customHeight="1">
      <c r="A6397" t="inlineStr">
        <is>
          <t>A 9163-2023</t>
        </is>
      </c>
      <c r="B6397" s="1" t="n">
        <v>44980</v>
      </c>
      <c r="C6397" s="1" t="n">
        <v>45587</v>
      </c>
      <c r="D6397" t="inlineStr">
        <is>
          <t>GÄVLEBORGS LÄN</t>
        </is>
      </c>
      <c r="E6397" t="inlineStr">
        <is>
          <t>HUDIKSVALL</t>
        </is>
      </c>
      <c r="F6397" t="inlineStr">
        <is>
          <t>Holmen skog AB</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9140-2023</t>
        </is>
      </c>
      <c r="B6398" s="1" t="n">
        <v>44980</v>
      </c>
      <c r="C6398" s="1" t="n">
        <v>45587</v>
      </c>
      <c r="D6398" t="inlineStr">
        <is>
          <t>GÄVLEBORGS LÄN</t>
        </is>
      </c>
      <c r="E6398" t="inlineStr">
        <is>
          <t>HUDIKSVALL</t>
        </is>
      </c>
      <c r="F6398" t="inlineStr">
        <is>
          <t>Holmen skog AB</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9199-2023</t>
        </is>
      </c>
      <c r="B6399" s="1" t="n">
        <v>44980</v>
      </c>
      <c r="C6399" s="1" t="n">
        <v>45587</v>
      </c>
      <c r="D6399" t="inlineStr">
        <is>
          <t>GÄVLEBORGS LÄN</t>
        </is>
      </c>
      <c r="E6399" t="inlineStr">
        <is>
          <t>NORDANSTIG</t>
        </is>
      </c>
      <c r="F6399" t="inlineStr">
        <is>
          <t>Holmen skog AB</t>
        </is>
      </c>
      <c r="G6399" t="n">
        <v>7.2</v>
      </c>
      <c r="H6399" t="n">
        <v>0</v>
      </c>
      <c r="I6399" t="n">
        <v>0</v>
      </c>
      <c r="J6399" t="n">
        <v>0</v>
      </c>
      <c r="K6399" t="n">
        <v>0</v>
      </c>
      <c r="L6399" t="n">
        <v>0</v>
      </c>
      <c r="M6399" t="n">
        <v>0</v>
      </c>
      <c r="N6399" t="n">
        <v>0</v>
      </c>
      <c r="O6399" t="n">
        <v>0</v>
      </c>
      <c r="P6399" t="n">
        <v>0</v>
      </c>
      <c r="Q6399" t="n">
        <v>0</v>
      </c>
      <c r="R6399" s="2" t="inlineStr"/>
    </row>
    <row r="6400" ht="15" customHeight="1">
      <c r="A6400" t="inlineStr">
        <is>
          <t>A 9219-2023</t>
        </is>
      </c>
      <c r="B6400" s="1" t="n">
        <v>44980</v>
      </c>
      <c r="C6400" s="1" t="n">
        <v>45587</v>
      </c>
      <c r="D6400" t="inlineStr">
        <is>
          <t>GÄVLEBORGS LÄN</t>
        </is>
      </c>
      <c r="E6400" t="inlineStr">
        <is>
          <t>SANDVIKEN</t>
        </is>
      </c>
      <c r="G6400" t="n">
        <v>10</v>
      </c>
      <c r="H6400" t="n">
        <v>0</v>
      </c>
      <c r="I6400" t="n">
        <v>0</v>
      </c>
      <c r="J6400" t="n">
        <v>0</v>
      </c>
      <c r="K6400" t="n">
        <v>0</v>
      </c>
      <c r="L6400" t="n">
        <v>0</v>
      </c>
      <c r="M6400" t="n">
        <v>0</v>
      </c>
      <c r="N6400" t="n">
        <v>0</v>
      </c>
      <c r="O6400" t="n">
        <v>0</v>
      </c>
      <c r="P6400" t="n">
        <v>0</v>
      </c>
      <c r="Q6400" t="n">
        <v>0</v>
      </c>
      <c r="R6400" s="2" t="inlineStr"/>
    </row>
    <row r="6401" ht="15" customHeight="1">
      <c r="A6401" t="inlineStr">
        <is>
          <t>A 9228-2023</t>
        </is>
      </c>
      <c r="B6401" s="1" t="n">
        <v>44980</v>
      </c>
      <c r="C6401" s="1" t="n">
        <v>45587</v>
      </c>
      <c r="D6401" t="inlineStr">
        <is>
          <t>GÄVLEBORGS LÄN</t>
        </is>
      </c>
      <c r="E6401" t="inlineStr">
        <is>
          <t>NORDANSTIG</t>
        </is>
      </c>
      <c r="G6401" t="n">
        <v>5.2</v>
      </c>
      <c r="H6401" t="n">
        <v>0</v>
      </c>
      <c r="I6401" t="n">
        <v>0</v>
      </c>
      <c r="J6401" t="n">
        <v>0</v>
      </c>
      <c r="K6401" t="n">
        <v>0</v>
      </c>
      <c r="L6401" t="n">
        <v>0</v>
      </c>
      <c r="M6401" t="n">
        <v>0</v>
      </c>
      <c r="N6401" t="n">
        <v>0</v>
      </c>
      <c r="O6401" t="n">
        <v>0</v>
      </c>
      <c r="P6401" t="n">
        <v>0</v>
      </c>
      <c r="Q6401" t="n">
        <v>0</v>
      </c>
      <c r="R6401" s="2" t="inlineStr"/>
    </row>
    <row r="6402" ht="15" customHeight="1">
      <c r="A6402" t="inlineStr">
        <is>
          <t>A 9241-2023</t>
        </is>
      </c>
      <c r="B6402" s="1" t="n">
        <v>44980</v>
      </c>
      <c r="C6402" s="1" t="n">
        <v>45587</v>
      </c>
      <c r="D6402" t="inlineStr">
        <is>
          <t>GÄVLEBORGS LÄN</t>
        </is>
      </c>
      <c r="E6402" t="inlineStr">
        <is>
          <t>LJUSDAL</t>
        </is>
      </c>
      <c r="G6402" t="n">
        <v>5.3</v>
      </c>
      <c r="H6402" t="n">
        <v>0</v>
      </c>
      <c r="I6402" t="n">
        <v>0</v>
      </c>
      <c r="J6402" t="n">
        <v>0</v>
      </c>
      <c r="K6402" t="n">
        <v>0</v>
      </c>
      <c r="L6402" t="n">
        <v>0</v>
      </c>
      <c r="M6402" t="n">
        <v>0</v>
      </c>
      <c r="N6402" t="n">
        <v>0</v>
      </c>
      <c r="O6402" t="n">
        <v>0</v>
      </c>
      <c r="P6402" t="n">
        <v>0</v>
      </c>
      <c r="Q6402" t="n">
        <v>0</v>
      </c>
      <c r="R6402" s="2" t="inlineStr"/>
    </row>
    <row r="6403" ht="15" customHeight="1">
      <c r="A6403" t="inlineStr">
        <is>
          <t>A 9179-2023</t>
        </is>
      </c>
      <c r="B6403" s="1" t="n">
        <v>44980</v>
      </c>
      <c r="C6403" s="1" t="n">
        <v>45587</v>
      </c>
      <c r="D6403" t="inlineStr">
        <is>
          <t>GÄVLEBORGS LÄN</t>
        </is>
      </c>
      <c r="E6403" t="inlineStr">
        <is>
          <t>HUDIKSVALL</t>
        </is>
      </c>
      <c r="F6403" t="inlineStr">
        <is>
          <t>Holmen skog AB</t>
        </is>
      </c>
      <c r="G6403" t="n">
        <v>7.5</v>
      </c>
      <c r="H6403" t="n">
        <v>0</v>
      </c>
      <c r="I6403" t="n">
        <v>0</v>
      </c>
      <c r="J6403" t="n">
        <v>0</v>
      </c>
      <c r="K6403" t="n">
        <v>0</v>
      </c>
      <c r="L6403" t="n">
        <v>0</v>
      </c>
      <c r="M6403" t="n">
        <v>0</v>
      </c>
      <c r="N6403" t="n">
        <v>0</v>
      </c>
      <c r="O6403" t="n">
        <v>0</v>
      </c>
      <c r="P6403" t="n">
        <v>0</v>
      </c>
      <c r="Q6403" t="n">
        <v>0</v>
      </c>
      <c r="R6403" s="2" t="inlineStr"/>
    </row>
    <row r="6404" ht="15" customHeight="1">
      <c r="A6404" t="inlineStr">
        <is>
          <t>A 9240-2023</t>
        </is>
      </c>
      <c r="B6404" s="1" t="n">
        <v>44980</v>
      </c>
      <c r="C6404" s="1" t="n">
        <v>45587</v>
      </c>
      <c r="D6404" t="inlineStr">
        <is>
          <t>GÄVLEBORGS LÄN</t>
        </is>
      </c>
      <c r="E6404" t="inlineStr">
        <is>
          <t>NORDANSTIG</t>
        </is>
      </c>
      <c r="F6404" t="inlineStr">
        <is>
          <t>Holmen skog AB</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9316-2023</t>
        </is>
      </c>
      <c r="B6405" s="1" t="n">
        <v>44980</v>
      </c>
      <c r="C6405" s="1" t="n">
        <v>45587</v>
      </c>
      <c r="D6405" t="inlineStr">
        <is>
          <t>GÄVLEBORGS LÄN</t>
        </is>
      </c>
      <c r="E6405" t="inlineStr">
        <is>
          <t>NORDANSTIG</t>
        </is>
      </c>
      <c r="F6405" t="inlineStr">
        <is>
          <t>Holmen skog AB</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9322-2023</t>
        </is>
      </c>
      <c r="B6406" s="1" t="n">
        <v>44980</v>
      </c>
      <c r="C6406" s="1" t="n">
        <v>45587</v>
      </c>
      <c r="D6406" t="inlineStr">
        <is>
          <t>GÄVLEBORGS LÄN</t>
        </is>
      </c>
      <c r="E6406" t="inlineStr">
        <is>
          <t>NORDANSTIG</t>
        </is>
      </c>
      <c r="F6406" t="inlineStr">
        <is>
          <t>Holmen skog AB</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9318-2023</t>
        </is>
      </c>
      <c r="B6407" s="1" t="n">
        <v>44980</v>
      </c>
      <c r="C6407" s="1" t="n">
        <v>45587</v>
      </c>
      <c r="D6407" t="inlineStr">
        <is>
          <t>GÄVLEBORGS LÄN</t>
        </is>
      </c>
      <c r="E6407" t="inlineStr">
        <is>
          <t>NORDANSTIG</t>
        </is>
      </c>
      <c r="F6407" t="inlineStr">
        <is>
          <t>Holmen skog AB</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9135-2023</t>
        </is>
      </c>
      <c r="B6408" s="1" t="n">
        <v>44980</v>
      </c>
      <c r="C6408" s="1" t="n">
        <v>45587</v>
      </c>
      <c r="D6408" t="inlineStr">
        <is>
          <t>GÄVLEBORGS LÄN</t>
        </is>
      </c>
      <c r="E6408" t="inlineStr">
        <is>
          <t>HUDIKSVALL</t>
        </is>
      </c>
      <c r="F6408" t="inlineStr">
        <is>
          <t>Holmen skog AB</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9172-2023</t>
        </is>
      </c>
      <c r="B6409" s="1" t="n">
        <v>44980</v>
      </c>
      <c r="C6409" s="1" t="n">
        <v>45587</v>
      </c>
      <c r="D6409" t="inlineStr">
        <is>
          <t>GÄVLEBORGS LÄN</t>
        </is>
      </c>
      <c r="E6409" t="inlineStr">
        <is>
          <t>HUDIKSVALL</t>
        </is>
      </c>
      <c r="F6409" t="inlineStr">
        <is>
          <t>Holmen skog AB</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9191-2023</t>
        </is>
      </c>
      <c r="B6410" s="1" t="n">
        <v>44980</v>
      </c>
      <c r="C6410" s="1" t="n">
        <v>45587</v>
      </c>
      <c r="D6410" t="inlineStr">
        <is>
          <t>GÄVLEBORGS LÄN</t>
        </is>
      </c>
      <c r="E6410" t="inlineStr">
        <is>
          <t>NORDANSTIG</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9244-2023</t>
        </is>
      </c>
      <c r="B6411" s="1" t="n">
        <v>44980</v>
      </c>
      <c r="C6411" s="1" t="n">
        <v>45587</v>
      </c>
      <c r="D6411" t="inlineStr">
        <is>
          <t>GÄVLEBORGS LÄN</t>
        </is>
      </c>
      <c r="E6411" t="inlineStr">
        <is>
          <t>NORDANSTIG</t>
        </is>
      </c>
      <c r="F6411" t="inlineStr">
        <is>
          <t>Holmen skog AB</t>
        </is>
      </c>
      <c r="G6411" t="n">
        <v>5.5</v>
      </c>
      <c r="H6411" t="n">
        <v>0</v>
      </c>
      <c r="I6411" t="n">
        <v>0</v>
      </c>
      <c r="J6411" t="n">
        <v>0</v>
      </c>
      <c r="K6411" t="n">
        <v>0</v>
      </c>
      <c r="L6411" t="n">
        <v>0</v>
      </c>
      <c r="M6411" t="n">
        <v>0</v>
      </c>
      <c r="N6411" t="n">
        <v>0</v>
      </c>
      <c r="O6411" t="n">
        <v>0</v>
      </c>
      <c r="P6411" t="n">
        <v>0</v>
      </c>
      <c r="Q6411" t="n">
        <v>0</v>
      </c>
      <c r="R6411" s="2" t="inlineStr"/>
    </row>
    <row r="6412" ht="15" customHeight="1">
      <c r="A6412" t="inlineStr">
        <is>
          <t>A 10192-2023</t>
        </is>
      </c>
      <c r="B6412" s="1" t="n">
        <v>44980</v>
      </c>
      <c r="C6412" s="1" t="n">
        <v>45587</v>
      </c>
      <c r="D6412" t="inlineStr">
        <is>
          <t>GÄVLEBORGS LÄN</t>
        </is>
      </c>
      <c r="E6412" t="inlineStr">
        <is>
          <t>LJUSDAL</t>
        </is>
      </c>
      <c r="F6412" t="inlineStr">
        <is>
          <t>Allmännings- och besparingsskogar</t>
        </is>
      </c>
      <c r="G6412" t="n">
        <v>24.3</v>
      </c>
      <c r="H6412" t="n">
        <v>0</v>
      </c>
      <c r="I6412" t="n">
        <v>0</v>
      </c>
      <c r="J6412" t="n">
        <v>0</v>
      </c>
      <c r="K6412" t="n">
        <v>0</v>
      </c>
      <c r="L6412" t="n">
        <v>0</v>
      </c>
      <c r="M6412" t="n">
        <v>0</v>
      </c>
      <c r="N6412" t="n">
        <v>0</v>
      </c>
      <c r="O6412" t="n">
        <v>0</v>
      </c>
      <c r="P6412" t="n">
        <v>0</v>
      </c>
      <c r="Q6412" t="n">
        <v>0</v>
      </c>
      <c r="R6412" s="2" t="inlineStr"/>
    </row>
    <row r="6413" ht="15" customHeight="1">
      <c r="A6413" t="inlineStr">
        <is>
          <t>A 9597-2023</t>
        </is>
      </c>
      <c r="B6413" s="1" t="n">
        <v>44983</v>
      </c>
      <c r="C6413" s="1" t="n">
        <v>45587</v>
      </c>
      <c r="D6413" t="inlineStr">
        <is>
          <t>GÄVLEBORGS LÄN</t>
        </is>
      </c>
      <c r="E6413" t="inlineStr">
        <is>
          <t>SÖDERHAMN</t>
        </is>
      </c>
      <c r="G6413" t="n">
        <v>13.4</v>
      </c>
      <c r="H6413" t="n">
        <v>0</v>
      </c>
      <c r="I6413" t="n">
        <v>0</v>
      </c>
      <c r="J6413" t="n">
        <v>0</v>
      </c>
      <c r="K6413" t="n">
        <v>0</v>
      </c>
      <c r="L6413" t="n">
        <v>0</v>
      </c>
      <c r="M6413" t="n">
        <v>0</v>
      </c>
      <c r="N6413" t="n">
        <v>0</v>
      </c>
      <c r="O6413" t="n">
        <v>0</v>
      </c>
      <c r="P6413" t="n">
        <v>0</v>
      </c>
      <c r="Q6413" t="n">
        <v>0</v>
      </c>
      <c r="R6413" s="2" t="inlineStr"/>
    </row>
    <row r="6414" ht="15" customHeight="1">
      <c r="A6414" t="inlineStr">
        <is>
          <t>A 9590-2023</t>
        </is>
      </c>
      <c r="B6414" s="1" t="n">
        <v>44983</v>
      </c>
      <c r="C6414" s="1" t="n">
        <v>45587</v>
      </c>
      <c r="D6414" t="inlineStr">
        <is>
          <t>GÄVLEBORGS LÄN</t>
        </is>
      </c>
      <c r="E6414" t="inlineStr">
        <is>
          <t>SÖDERHAMN</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9742-2023</t>
        </is>
      </c>
      <c r="B6415" s="1" t="n">
        <v>44984</v>
      </c>
      <c r="C6415" s="1" t="n">
        <v>45587</v>
      </c>
      <c r="D6415" t="inlineStr">
        <is>
          <t>GÄVLEBORGS LÄN</t>
        </is>
      </c>
      <c r="E6415" t="inlineStr">
        <is>
          <t>BOLLNÄS</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9946-2023</t>
        </is>
      </c>
      <c r="B6416" s="1" t="n">
        <v>44985</v>
      </c>
      <c r="C6416" s="1" t="n">
        <v>45587</v>
      </c>
      <c r="D6416" t="inlineStr">
        <is>
          <t>GÄVLEBORGS LÄN</t>
        </is>
      </c>
      <c r="E6416" t="inlineStr">
        <is>
          <t>LJUSDAL</t>
        </is>
      </c>
      <c r="F6416" t="inlineStr">
        <is>
          <t>Bergvik skog väst AB</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9883-2023</t>
        </is>
      </c>
      <c r="B6417" s="1" t="n">
        <v>44985</v>
      </c>
      <c r="C6417" s="1" t="n">
        <v>45587</v>
      </c>
      <c r="D6417" t="inlineStr">
        <is>
          <t>GÄVLEBORGS LÄN</t>
        </is>
      </c>
      <c r="E6417" t="inlineStr">
        <is>
          <t>GÄVLE</t>
        </is>
      </c>
      <c r="G6417" t="n">
        <v>11.7</v>
      </c>
      <c r="H6417" t="n">
        <v>0</v>
      </c>
      <c r="I6417" t="n">
        <v>0</v>
      </c>
      <c r="J6417" t="n">
        <v>0</v>
      </c>
      <c r="K6417" t="n">
        <v>0</v>
      </c>
      <c r="L6417" t="n">
        <v>0</v>
      </c>
      <c r="M6417" t="n">
        <v>0</v>
      </c>
      <c r="N6417" t="n">
        <v>0</v>
      </c>
      <c r="O6417" t="n">
        <v>0</v>
      </c>
      <c r="P6417" t="n">
        <v>0</v>
      </c>
      <c r="Q6417" t="n">
        <v>0</v>
      </c>
      <c r="R6417" s="2" t="inlineStr"/>
    </row>
    <row r="6418" ht="15" customHeight="1">
      <c r="A6418" t="inlineStr">
        <is>
          <t>A 9926-2023</t>
        </is>
      </c>
      <c r="B6418" s="1" t="n">
        <v>44985</v>
      </c>
      <c r="C6418" s="1" t="n">
        <v>45587</v>
      </c>
      <c r="D6418" t="inlineStr">
        <is>
          <t>GÄVLEBORGS LÄN</t>
        </is>
      </c>
      <c r="E6418" t="inlineStr">
        <is>
          <t>LJUSDAL</t>
        </is>
      </c>
      <c r="F6418" t="inlineStr">
        <is>
          <t>Bergvik skog väst AB</t>
        </is>
      </c>
      <c r="G6418" t="n">
        <v>17.5</v>
      </c>
      <c r="H6418" t="n">
        <v>0</v>
      </c>
      <c r="I6418" t="n">
        <v>0</v>
      </c>
      <c r="J6418" t="n">
        <v>0</v>
      </c>
      <c r="K6418" t="n">
        <v>0</v>
      </c>
      <c r="L6418" t="n">
        <v>0</v>
      </c>
      <c r="M6418" t="n">
        <v>0</v>
      </c>
      <c r="N6418" t="n">
        <v>0</v>
      </c>
      <c r="O6418" t="n">
        <v>0</v>
      </c>
      <c r="P6418" t="n">
        <v>0</v>
      </c>
      <c r="Q6418" t="n">
        <v>0</v>
      </c>
      <c r="R6418" s="2" t="inlineStr"/>
    </row>
    <row r="6419" ht="15" customHeight="1">
      <c r="A6419" t="inlineStr">
        <is>
          <t>A 9884-2023</t>
        </is>
      </c>
      <c r="B6419" s="1" t="n">
        <v>44985</v>
      </c>
      <c r="C6419" s="1" t="n">
        <v>45587</v>
      </c>
      <c r="D6419" t="inlineStr">
        <is>
          <t>GÄVLEBORGS LÄN</t>
        </is>
      </c>
      <c r="E6419" t="inlineStr">
        <is>
          <t>NORDANSTIG</t>
        </is>
      </c>
      <c r="F6419" t="inlineStr">
        <is>
          <t>Holmen skog AB</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9888-2023</t>
        </is>
      </c>
      <c r="B6420" s="1" t="n">
        <v>44985</v>
      </c>
      <c r="C6420" s="1" t="n">
        <v>45587</v>
      </c>
      <c r="D6420" t="inlineStr">
        <is>
          <t>GÄVLEBORGS LÄN</t>
        </is>
      </c>
      <c r="E6420" t="inlineStr">
        <is>
          <t>NORDANSTIG</t>
        </is>
      </c>
      <c r="F6420" t="inlineStr">
        <is>
          <t>Holmen skog AB</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9991-2023</t>
        </is>
      </c>
      <c r="B6421" s="1" t="n">
        <v>44985</v>
      </c>
      <c r="C6421" s="1" t="n">
        <v>45587</v>
      </c>
      <c r="D6421" t="inlineStr">
        <is>
          <t>GÄVLEBORGS LÄN</t>
        </is>
      </c>
      <c r="E6421" t="inlineStr">
        <is>
          <t>NORDANSTIG</t>
        </is>
      </c>
      <c r="F6421" t="inlineStr">
        <is>
          <t>Holmen skog AB</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10038-2023</t>
        </is>
      </c>
      <c r="B6422" s="1" t="n">
        <v>44985</v>
      </c>
      <c r="C6422" s="1" t="n">
        <v>45587</v>
      </c>
      <c r="D6422" t="inlineStr">
        <is>
          <t>GÄVLEBORGS LÄN</t>
        </is>
      </c>
      <c r="E6422" t="inlineStr">
        <is>
          <t>LJUSDAL</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10018-2023</t>
        </is>
      </c>
      <c r="B6423" s="1" t="n">
        <v>44985</v>
      </c>
      <c r="C6423" s="1" t="n">
        <v>45587</v>
      </c>
      <c r="D6423" t="inlineStr">
        <is>
          <t>GÄVLEBORGS LÄN</t>
        </is>
      </c>
      <c r="E6423" t="inlineStr">
        <is>
          <t>GÄVLE</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10041-2023</t>
        </is>
      </c>
      <c r="B6424" s="1" t="n">
        <v>44985</v>
      </c>
      <c r="C6424" s="1" t="n">
        <v>45587</v>
      </c>
      <c r="D6424" t="inlineStr">
        <is>
          <t>GÄVLEBORGS LÄN</t>
        </is>
      </c>
      <c r="E6424" t="inlineStr">
        <is>
          <t>OVANÅKER</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9937-2023</t>
        </is>
      </c>
      <c r="B6425" s="1" t="n">
        <v>44985</v>
      </c>
      <c r="C6425" s="1" t="n">
        <v>45587</v>
      </c>
      <c r="D6425" t="inlineStr">
        <is>
          <t>GÄVLEBORGS LÄN</t>
        </is>
      </c>
      <c r="E6425" t="inlineStr">
        <is>
          <t>LJUSDAL</t>
        </is>
      </c>
      <c r="F6425" t="inlineStr">
        <is>
          <t>Bergvik skog väst AB</t>
        </is>
      </c>
      <c r="G6425" t="n">
        <v>4.9</v>
      </c>
      <c r="H6425" t="n">
        <v>0</v>
      </c>
      <c r="I6425" t="n">
        <v>0</v>
      </c>
      <c r="J6425" t="n">
        <v>0</v>
      </c>
      <c r="K6425" t="n">
        <v>0</v>
      </c>
      <c r="L6425" t="n">
        <v>0</v>
      </c>
      <c r="M6425" t="n">
        <v>0</v>
      </c>
      <c r="N6425" t="n">
        <v>0</v>
      </c>
      <c r="O6425" t="n">
        <v>0</v>
      </c>
      <c r="P6425" t="n">
        <v>0</v>
      </c>
      <c r="Q6425" t="n">
        <v>0</v>
      </c>
      <c r="R6425" s="2" t="inlineStr"/>
    </row>
    <row r="6426" ht="15" customHeight="1">
      <c r="A6426" t="inlineStr">
        <is>
          <t>A 9981-2023</t>
        </is>
      </c>
      <c r="B6426" s="1" t="n">
        <v>44985</v>
      </c>
      <c r="C6426" s="1" t="n">
        <v>45587</v>
      </c>
      <c r="D6426" t="inlineStr">
        <is>
          <t>GÄVLEBORGS LÄN</t>
        </is>
      </c>
      <c r="E6426" t="inlineStr">
        <is>
          <t>LJUSDAL</t>
        </is>
      </c>
      <c r="F6426" t="inlineStr">
        <is>
          <t>Bergvik skog väst AB</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9999-2023</t>
        </is>
      </c>
      <c r="B6427" s="1" t="n">
        <v>44985</v>
      </c>
      <c r="C6427" s="1" t="n">
        <v>45587</v>
      </c>
      <c r="D6427" t="inlineStr">
        <is>
          <t>GÄVLEBORGS LÄN</t>
        </is>
      </c>
      <c r="E6427" t="inlineStr">
        <is>
          <t>LJUSDAL</t>
        </is>
      </c>
      <c r="F6427" t="inlineStr">
        <is>
          <t>Bergvik skog väst AB</t>
        </is>
      </c>
      <c r="G6427" t="n">
        <v>13.7</v>
      </c>
      <c r="H6427" t="n">
        <v>0</v>
      </c>
      <c r="I6427" t="n">
        <v>0</v>
      </c>
      <c r="J6427" t="n">
        <v>0</v>
      </c>
      <c r="K6427" t="n">
        <v>0</v>
      </c>
      <c r="L6427" t="n">
        <v>0</v>
      </c>
      <c r="M6427" t="n">
        <v>0</v>
      </c>
      <c r="N6427" t="n">
        <v>0</v>
      </c>
      <c r="O6427" t="n">
        <v>0</v>
      </c>
      <c r="P6427" t="n">
        <v>0</v>
      </c>
      <c r="Q6427" t="n">
        <v>0</v>
      </c>
      <c r="R6427" s="2" t="inlineStr"/>
    </row>
    <row r="6428" ht="15" customHeight="1">
      <c r="A6428" t="inlineStr">
        <is>
          <t>A 10026-2023</t>
        </is>
      </c>
      <c r="B6428" s="1" t="n">
        <v>44985</v>
      </c>
      <c r="C6428" s="1" t="n">
        <v>45587</v>
      </c>
      <c r="D6428" t="inlineStr">
        <is>
          <t>GÄVLEBORGS LÄN</t>
        </is>
      </c>
      <c r="E6428" t="inlineStr">
        <is>
          <t>LJUSDAL</t>
        </is>
      </c>
      <c r="F6428" t="inlineStr">
        <is>
          <t>Holmen skog AB</t>
        </is>
      </c>
      <c r="G6428" t="n">
        <v>6.8</v>
      </c>
      <c r="H6428" t="n">
        <v>0</v>
      </c>
      <c r="I6428" t="n">
        <v>0</v>
      </c>
      <c r="J6428" t="n">
        <v>0</v>
      </c>
      <c r="K6428" t="n">
        <v>0</v>
      </c>
      <c r="L6428" t="n">
        <v>0</v>
      </c>
      <c r="M6428" t="n">
        <v>0</v>
      </c>
      <c r="N6428" t="n">
        <v>0</v>
      </c>
      <c r="O6428" t="n">
        <v>0</v>
      </c>
      <c r="P6428" t="n">
        <v>0</v>
      </c>
      <c r="Q6428" t="n">
        <v>0</v>
      </c>
      <c r="R6428" s="2" t="inlineStr"/>
    </row>
    <row r="6429" ht="15" customHeight="1">
      <c r="A6429" t="inlineStr">
        <is>
          <t>A 10150-2023</t>
        </is>
      </c>
      <c r="B6429" s="1" t="n">
        <v>44986</v>
      </c>
      <c r="C6429" s="1" t="n">
        <v>45587</v>
      </c>
      <c r="D6429" t="inlineStr">
        <is>
          <t>GÄVLEBORGS LÄN</t>
        </is>
      </c>
      <c r="E6429" t="inlineStr">
        <is>
          <t>OCKELBO</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10165-2023</t>
        </is>
      </c>
      <c r="B6430" s="1" t="n">
        <v>44986</v>
      </c>
      <c r="C6430" s="1" t="n">
        <v>45587</v>
      </c>
      <c r="D6430" t="inlineStr">
        <is>
          <t>GÄVLEBORGS LÄN</t>
        </is>
      </c>
      <c r="E6430" t="inlineStr">
        <is>
          <t>GÄVLE</t>
        </is>
      </c>
      <c r="F6430" t="inlineStr">
        <is>
          <t>Kyrkan</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10193-2023</t>
        </is>
      </c>
      <c r="B6431" s="1" t="n">
        <v>44986</v>
      </c>
      <c r="C6431" s="1" t="n">
        <v>45587</v>
      </c>
      <c r="D6431" t="inlineStr">
        <is>
          <t>GÄVLEBORGS LÄN</t>
        </is>
      </c>
      <c r="E6431" t="inlineStr">
        <is>
          <t>HUDIKSVALL</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10161-2023</t>
        </is>
      </c>
      <c r="B6432" s="1" t="n">
        <v>44986</v>
      </c>
      <c r="C6432" s="1" t="n">
        <v>45587</v>
      </c>
      <c r="D6432" t="inlineStr">
        <is>
          <t>GÄVLEBORGS LÄN</t>
        </is>
      </c>
      <c r="E6432" t="inlineStr">
        <is>
          <t>HOFORS</t>
        </is>
      </c>
      <c r="F6432" t="inlineStr">
        <is>
          <t>Övriga statliga verk och myndigheter</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10179-2023</t>
        </is>
      </c>
      <c r="B6433" s="1" t="n">
        <v>44986</v>
      </c>
      <c r="C6433" s="1" t="n">
        <v>45587</v>
      </c>
      <c r="D6433" t="inlineStr">
        <is>
          <t>GÄVLEBORGS LÄN</t>
        </is>
      </c>
      <c r="E6433" t="inlineStr">
        <is>
          <t>OVANÅKER</t>
        </is>
      </c>
      <c r="G6433" t="n">
        <v>4.5</v>
      </c>
      <c r="H6433" t="n">
        <v>0</v>
      </c>
      <c r="I6433" t="n">
        <v>0</v>
      </c>
      <c r="J6433" t="n">
        <v>0</v>
      </c>
      <c r="K6433" t="n">
        <v>0</v>
      </c>
      <c r="L6433" t="n">
        <v>0</v>
      </c>
      <c r="M6433" t="n">
        <v>0</v>
      </c>
      <c r="N6433" t="n">
        <v>0</v>
      </c>
      <c r="O6433" t="n">
        <v>0</v>
      </c>
      <c r="P6433" t="n">
        <v>0</v>
      </c>
      <c r="Q6433" t="n">
        <v>0</v>
      </c>
      <c r="R6433" s="2" t="inlineStr"/>
    </row>
    <row r="6434" ht="15" customHeight="1">
      <c r="A6434" t="inlineStr">
        <is>
          <t>A 10137-2023</t>
        </is>
      </c>
      <c r="B6434" s="1" t="n">
        <v>44986</v>
      </c>
      <c r="C6434" s="1" t="n">
        <v>45587</v>
      </c>
      <c r="D6434" t="inlineStr">
        <is>
          <t>GÄVLEBORGS LÄN</t>
        </is>
      </c>
      <c r="E6434" t="inlineStr">
        <is>
          <t>OVANÅKER</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10157-2023</t>
        </is>
      </c>
      <c r="B6435" s="1" t="n">
        <v>44986</v>
      </c>
      <c r="C6435" s="1" t="n">
        <v>45587</v>
      </c>
      <c r="D6435" t="inlineStr">
        <is>
          <t>GÄVLEBORGS LÄN</t>
        </is>
      </c>
      <c r="E6435" t="inlineStr">
        <is>
          <t>LJUSDAL</t>
        </is>
      </c>
      <c r="F6435" t="inlineStr">
        <is>
          <t>Bergvik skog väst AB</t>
        </is>
      </c>
      <c r="G6435" t="n">
        <v>16.3</v>
      </c>
      <c r="H6435" t="n">
        <v>0</v>
      </c>
      <c r="I6435" t="n">
        <v>0</v>
      </c>
      <c r="J6435" t="n">
        <v>0</v>
      </c>
      <c r="K6435" t="n">
        <v>0</v>
      </c>
      <c r="L6435" t="n">
        <v>0</v>
      </c>
      <c r="M6435" t="n">
        <v>0</v>
      </c>
      <c r="N6435" t="n">
        <v>0</v>
      </c>
      <c r="O6435" t="n">
        <v>0</v>
      </c>
      <c r="P6435" t="n">
        <v>0</v>
      </c>
      <c r="Q6435" t="n">
        <v>0</v>
      </c>
      <c r="R6435" s="2" t="inlineStr"/>
    </row>
    <row r="6436" ht="15" customHeight="1">
      <c r="A6436" t="inlineStr">
        <is>
          <t>A 10176-2023</t>
        </is>
      </c>
      <c r="B6436" s="1" t="n">
        <v>44986</v>
      </c>
      <c r="C6436" s="1" t="n">
        <v>45587</v>
      </c>
      <c r="D6436" t="inlineStr">
        <is>
          <t>GÄVLEBORGS LÄN</t>
        </is>
      </c>
      <c r="E6436" t="inlineStr">
        <is>
          <t>LJUSDAL</t>
        </is>
      </c>
      <c r="F6436" t="inlineStr">
        <is>
          <t>Bergvik skog väst AB</t>
        </is>
      </c>
      <c r="G6436" t="n">
        <v>4.5</v>
      </c>
      <c r="H6436" t="n">
        <v>0</v>
      </c>
      <c r="I6436" t="n">
        <v>0</v>
      </c>
      <c r="J6436" t="n">
        <v>0</v>
      </c>
      <c r="K6436" t="n">
        <v>0</v>
      </c>
      <c r="L6436" t="n">
        <v>0</v>
      </c>
      <c r="M6436" t="n">
        <v>0</v>
      </c>
      <c r="N6436" t="n">
        <v>0</v>
      </c>
      <c r="O6436" t="n">
        <v>0</v>
      </c>
      <c r="P6436" t="n">
        <v>0</v>
      </c>
      <c r="Q6436" t="n">
        <v>0</v>
      </c>
      <c r="R6436" s="2" t="inlineStr"/>
    </row>
    <row r="6437" ht="15" customHeight="1">
      <c r="A6437" t="inlineStr">
        <is>
          <t>A 10190-2023</t>
        </is>
      </c>
      <c r="B6437" s="1" t="n">
        <v>44986</v>
      </c>
      <c r="C6437" s="1" t="n">
        <v>45587</v>
      </c>
      <c r="D6437" t="inlineStr">
        <is>
          <t>GÄVLEBORGS LÄN</t>
        </is>
      </c>
      <c r="E6437" t="inlineStr">
        <is>
          <t>HUDIKSVALL</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10197-2023</t>
        </is>
      </c>
      <c r="B6438" s="1" t="n">
        <v>44986</v>
      </c>
      <c r="C6438" s="1" t="n">
        <v>45587</v>
      </c>
      <c r="D6438" t="inlineStr">
        <is>
          <t>GÄVLEBORGS LÄN</t>
        </is>
      </c>
      <c r="E6438" t="inlineStr">
        <is>
          <t>LJUSDAL</t>
        </is>
      </c>
      <c r="F6438" t="inlineStr">
        <is>
          <t>Bergvik skog väst AB</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10163-2023</t>
        </is>
      </c>
      <c r="B6439" s="1" t="n">
        <v>44986</v>
      </c>
      <c r="C6439" s="1" t="n">
        <v>45587</v>
      </c>
      <c r="D6439" t="inlineStr">
        <is>
          <t>GÄVLEBORGS LÄN</t>
        </is>
      </c>
      <c r="E6439" t="inlineStr">
        <is>
          <t>LJUSDAL</t>
        </is>
      </c>
      <c r="F6439" t="inlineStr">
        <is>
          <t>Bergvik skog väst AB</t>
        </is>
      </c>
      <c r="G6439" t="n">
        <v>9.699999999999999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10186-2023</t>
        </is>
      </c>
      <c r="B6440" s="1" t="n">
        <v>44986</v>
      </c>
      <c r="C6440" s="1" t="n">
        <v>45587</v>
      </c>
      <c r="D6440" t="inlineStr">
        <is>
          <t>GÄVLEBORGS LÄN</t>
        </is>
      </c>
      <c r="E6440" t="inlineStr">
        <is>
          <t>LJUSDAL</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10195-2023</t>
        </is>
      </c>
      <c r="B6441" s="1" t="n">
        <v>44986</v>
      </c>
      <c r="C6441" s="1" t="n">
        <v>45587</v>
      </c>
      <c r="D6441" t="inlineStr">
        <is>
          <t>GÄVLEBORGS LÄN</t>
        </is>
      </c>
      <c r="E6441" t="inlineStr">
        <is>
          <t>HUDIKSVALL</t>
        </is>
      </c>
      <c r="G6441" t="n">
        <v>6</v>
      </c>
      <c r="H6441" t="n">
        <v>0</v>
      </c>
      <c r="I6441" t="n">
        <v>0</v>
      </c>
      <c r="J6441" t="n">
        <v>0</v>
      </c>
      <c r="K6441" t="n">
        <v>0</v>
      </c>
      <c r="L6441" t="n">
        <v>0</v>
      </c>
      <c r="M6441" t="n">
        <v>0</v>
      </c>
      <c r="N6441" t="n">
        <v>0</v>
      </c>
      <c r="O6441" t="n">
        <v>0</v>
      </c>
      <c r="P6441" t="n">
        <v>0</v>
      </c>
      <c r="Q6441" t="n">
        <v>0</v>
      </c>
      <c r="R6441" s="2" t="inlineStr"/>
    </row>
    <row r="6442" ht="15" customHeight="1">
      <c r="A6442" t="inlineStr">
        <is>
          <t>A 10213-2023</t>
        </is>
      </c>
      <c r="B6442" s="1" t="n">
        <v>44986</v>
      </c>
      <c r="C6442" s="1" t="n">
        <v>45587</v>
      </c>
      <c r="D6442" t="inlineStr">
        <is>
          <t>GÄVLEBORGS LÄN</t>
        </is>
      </c>
      <c r="E6442" t="inlineStr">
        <is>
          <t>LJUSDAL</t>
        </is>
      </c>
      <c r="F6442" t="inlineStr">
        <is>
          <t>Bergvik skog väst AB</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10253-2023</t>
        </is>
      </c>
      <c r="B6443" s="1" t="n">
        <v>44986</v>
      </c>
      <c r="C6443" s="1" t="n">
        <v>45587</v>
      </c>
      <c r="D6443" t="inlineStr">
        <is>
          <t>GÄVLEBORGS LÄN</t>
        </is>
      </c>
      <c r="E6443" t="inlineStr">
        <is>
          <t>OVANÅKER</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10375-2023</t>
        </is>
      </c>
      <c r="B6444" s="1" t="n">
        <v>44987</v>
      </c>
      <c r="C6444" s="1" t="n">
        <v>45587</v>
      </c>
      <c r="D6444" t="inlineStr">
        <is>
          <t>GÄVLEBORGS LÄN</t>
        </is>
      </c>
      <c r="E6444" t="inlineStr">
        <is>
          <t>HUDIKSVALL</t>
        </is>
      </c>
      <c r="G6444" t="n">
        <v>6</v>
      </c>
      <c r="H6444" t="n">
        <v>0</v>
      </c>
      <c r="I6444" t="n">
        <v>0</v>
      </c>
      <c r="J6444" t="n">
        <v>0</v>
      </c>
      <c r="K6444" t="n">
        <v>0</v>
      </c>
      <c r="L6444" t="n">
        <v>0</v>
      </c>
      <c r="M6444" t="n">
        <v>0</v>
      </c>
      <c r="N6444" t="n">
        <v>0</v>
      </c>
      <c r="O6444" t="n">
        <v>0</v>
      </c>
      <c r="P6444" t="n">
        <v>0</v>
      </c>
      <c r="Q6444" t="n">
        <v>0</v>
      </c>
      <c r="R6444" s="2" t="inlineStr"/>
    </row>
    <row r="6445" ht="15" customHeight="1">
      <c r="A6445" t="inlineStr">
        <is>
          <t>A 10325-2023</t>
        </is>
      </c>
      <c r="B6445" s="1" t="n">
        <v>44987</v>
      </c>
      <c r="C6445" s="1" t="n">
        <v>45587</v>
      </c>
      <c r="D6445" t="inlineStr">
        <is>
          <t>GÄVLEBORGS LÄN</t>
        </is>
      </c>
      <c r="E6445" t="inlineStr">
        <is>
          <t>OCKELBO</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10484-2023</t>
        </is>
      </c>
      <c r="B6446" s="1" t="n">
        <v>44987</v>
      </c>
      <c r="C6446" s="1" t="n">
        <v>45587</v>
      </c>
      <c r="D6446" t="inlineStr">
        <is>
          <t>GÄVLEBORGS LÄN</t>
        </is>
      </c>
      <c r="E6446" t="inlineStr">
        <is>
          <t>NORDANSTIG</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10332-2023</t>
        </is>
      </c>
      <c r="B6447" s="1" t="n">
        <v>44987</v>
      </c>
      <c r="C6447" s="1" t="n">
        <v>45587</v>
      </c>
      <c r="D6447" t="inlineStr">
        <is>
          <t>GÄVLEBORGS LÄN</t>
        </is>
      </c>
      <c r="E6447" t="inlineStr">
        <is>
          <t>HUDIKSVALL</t>
        </is>
      </c>
      <c r="F6447" t="inlineStr">
        <is>
          <t>Holmen skog AB</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10326-2023</t>
        </is>
      </c>
      <c r="B6448" s="1" t="n">
        <v>44987</v>
      </c>
      <c r="C6448" s="1" t="n">
        <v>45587</v>
      </c>
      <c r="D6448" t="inlineStr">
        <is>
          <t>GÄVLEBORGS LÄN</t>
        </is>
      </c>
      <c r="E6448" t="inlineStr">
        <is>
          <t>OCKELBO</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10470-2023</t>
        </is>
      </c>
      <c r="B6449" s="1" t="n">
        <v>44987</v>
      </c>
      <c r="C6449" s="1" t="n">
        <v>45587</v>
      </c>
      <c r="D6449" t="inlineStr">
        <is>
          <t>GÄVLEBORGS LÄN</t>
        </is>
      </c>
      <c r="E6449" t="inlineStr">
        <is>
          <t>LJUSDAL</t>
        </is>
      </c>
      <c r="F6449" t="inlineStr">
        <is>
          <t>Sveaskog</t>
        </is>
      </c>
      <c r="G6449" t="n">
        <v>16.2</v>
      </c>
      <c r="H6449" t="n">
        <v>0</v>
      </c>
      <c r="I6449" t="n">
        <v>0</v>
      </c>
      <c r="J6449" t="n">
        <v>0</v>
      </c>
      <c r="K6449" t="n">
        <v>0</v>
      </c>
      <c r="L6449" t="n">
        <v>0</v>
      </c>
      <c r="M6449" t="n">
        <v>0</v>
      </c>
      <c r="N6449" t="n">
        <v>0</v>
      </c>
      <c r="O6449" t="n">
        <v>0</v>
      </c>
      <c r="P6449" t="n">
        <v>0</v>
      </c>
      <c r="Q6449" t="n">
        <v>0</v>
      </c>
      <c r="R6449" s="2" t="inlineStr"/>
    </row>
    <row r="6450" ht="15" customHeight="1">
      <c r="A6450" t="inlineStr">
        <is>
          <t>A 10577-2023</t>
        </is>
      </c>
      <c r="B6450" s="1" t="n">
        <v>44988</v>
      </c>
      <c r="C6450" s="1" t="n">
        <v>45587</v>
      </c>
      <c r="D6450" t="inlineStr">
        <is>
          <t>GÄVLEBORGS LÄN</t>
        </is>
      </c>
      <c r="E6450" t="inlineStr">
        <is>
          <t>GÄVLE</t>
        </is>
      </c>
      <c r="F6450" t="inlineStr">
        <is>
          <t>Kyrkan</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11375-2023</t>
        </is>
      </c>
      <c r="B6451" s="1" t="n">
        <v>44988</v>
      </c>
      <c r="C6451" s="1" t="n">
        <v>45587</v>
      </c>
      <c r="D6451" t="inlineStr">
        <is>
          <t>GÄVLEBORGS LÄN</t>
        </is>
      </c>
      <c r="E6451" t="inlineStr">
        <is>
          <t>SANDVIKEN</t>
        </is>
      </c>
      <c r="G6451" t="n">
        <v>10.2</v>
      </c>
      <c r="H6451" t="n">
        <v>0</v>
      </c>
      <c r="I6451" t="n">
        <v>0</v>
      </c>
      <c r="J6451" t="n">
        <v>0</v>
      </c>
      <c r="K6451" t="n">
        <v>0</v>
      </c>
      <c r="L6451" t="n">
        <v>0</v>
      </c>
      <c r="M6451" t="n">
        <v>0</v>
      </c>
      <c r="N6451" t="n">
        <v>0</v>
      </c>
      <c r="O6451" t="n">
        <v>0</v>
      </c>
      <c r="P6451" t="n">
        <v>0</v>
      </c>
      <c r="Q6451" t="n">
        <v>0</v>
      </c>
      <c r="R6451" s="2" t="inlineStr"/>
    </row>
    <row r="6452" ht="15" customHeight="1">
      <c r="A6452" t="inlineStr">
        <is>
          <t>A 11393-2023</t>
        </is>
      </c>
      <c r="B6452" s="1" t="n">
        <v>44988</v>
      </c>
      <c r="C6452" s="1" t="n">
        <v>45587</v>
      </c>
      <c r="D6452" t="inlineStr">
        <is>
          <t>GÄVLEBORGS LÄN</t>
        </is>
      </c>
      <c r="E6452" t="inlineStr">
        <is>
          <t>SANDVIKEN</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11406-2023</t>
        </is>
      </c>
      <c r="B6453" s="1" t="n">
        <v>44988</v>
      </c>
      <c r="C6453" s="1" t="n">
        <v>45587</v>
      </c>
      <c r="D6453" t="inlineStr">
        <is>
          <t>GÄVLEBORGS LÄN</t>
        </is>
      </c>
      <c r="E6453" t="inlineStr">
        <is>
          <t>SANDVIKEN</t>
        </is>
      </c>
      <c r="G6453" t="n">
        <v>4.4</v>
      </c>
      <c r="H6453" t="n">
        <v>0</v>
      </c>
      <c r="I6453" t="n">
        <v>0</v>
      </c>
      <c r="J6453" t="n">
        <v>0</v>
      </c>
      <c r="K6453" t="n">
        <v>0</v>
      </c>
      <c r="L6453" t="n">
        <v>0</v>
      </c>
      <c r="M6453" t="n">
        <v>0</v>
      </c>
      <c r="N6453" t="n">
        <v>0</v>
      </c>
      <c r="O6453" t="n">
        <v>0</v>
      </c>
      <c r="P6453" t="n">
        <v>0</v>
      </c>
      <c r="Q6453" t="n">
        <v>0</v>
      </c>
      <c r="R6453" s="2" t="inlineStr"/>
    </row>
    <row r="6454" ht="15" customHeight="1">
      <c r="A6454" t="inlineStr">
        <is>
          <t>A 11421-2023</t>
        </is>
      </c>
      <c r="B6454" s="1" t="n">
        <v>44988</v>
      </c>
      <c r="C6454" s="1" t="n">
        <v>45587</v>
      </c>
      <c r="D6454" t="inlineStr">
        <is>
          <t>GÄVLEBORGS LÄN</t>
        </is>
      </c>
      <c r="E6454" t="inlineStr">
        <is>
          <t>SANDVIKEN</t>
        </is>
      </c>
      <c r="G6454" t="n">
        <v>12.3</v>
      </c>
      <c r="H6454" t="n">
        <v>0</v>
      </c>
      <c r="I6454" t="n">
        <v>0</v>
      </c>
      <c r="J6454" t="n">
        <v>0</v>
      </c>
      <c r="K6454" t="n">
        <v>0</v>
      </c>
      <c r="L6454" t="n">
        <v>0</v>
      </c>
      <c r="M6454" t="n">
        <v>0</v>
      </c>
      <c r="N6454" t="n">
        <v>0</v>
      </c>
      <c r="O6454" t="n">
        <v>0</v>
      </c>
      <c r="P6454" t="n">
        <v>0</v>
      </c>
      <c r="Q6454" t="n">
        <v>0</v>
      </c>
      <c r="R6454" s="2" t="inlineStr"/>
    </row>
    <row r="6455" ht="15" customHeight="1">
      <c r="A6455" t="inlineStr">
        <is>
          <t>A 11419-2023</t>
        </is>
      </c>
      <c r="B6455" s="1" t="n">
        <v>44988</v>
      </c>
      <c r="C6455" s="1" t="n">
        <v>45587</v>
      </c>
      <c r="D6455" t="inlineStr">
        <is>
          <t>GÄVLEBORGS LÄN</t>
        </is>
      </c>
      <c r="E6455" t="inlineStr">
        <is>
          <t>SANDVIKEN</t>
        </is>
      </c>
      <c r="G6455" t="n">
        <v>5.5</v>
      </c>
      <c r="H6455" t="n">
        <v>0</v>
      </c>
      <c r="I6455" t="n">
        <v>0</v>
      </c>
      <c r="J6455" t="n">
        <v>0</v>
      </c>
      <c r="K6455" t="n">
        <v>0</v>
      </c>
      <c r="L6455" t="n">
        <v>0</v>
      </c>
      <c r="M6455" t="n">
        <v>0</v>
      </c>
      <c r="N6455" t="n">
        <v>0</v>
      </c>
      <c r="O6455" t="n">
        <v>0</v>
      </c>
      <c r="P6455" t="n">
        <v>0</v>
      </c>
      <c r="Q6455" t="n">
        <v>0</v>
      </c>
      <c r="R6455" s="2" t="inlineStr"/>
    </row>
    <row r="6456" ht="15" customHeight="1">
      <c r="A6456" t="inlineStr">
        <is>
          <t>A 11435-2023</t>
        </is>
      </c>
      <c r="B6456" s="1" t="n">
        <v>44988</v>
      </c>
      <c r="C6456" s="1" t="n">
        <v>45587</v>
      </c>
      <c r="D6456" t="inlineStr">
        <is>
          <t>GÄVLEBORGS LÄN</t>
        </is>
      </c>
      <c r="E6456" t="inlineStr">
        <is>
          <t>SANDVIKEN</t>
        </is>
      </c>
      <c r="G6456" t="n">
        <v>9.6</v>
      </c>
      <c r="H6456" t="n">
        <v>0</v>
      </c>
      <c r="I6456" t="n">
        <v>0</v>
      </c>
      <c r="J6456" t="n">
        <v>0</v>
      </c>
      <c r="K6456" t="n">
        <v>0</v>
      </c>
      <c r="L6456" t="n">
        <v>0</v>
      </c>
      <c r="M6456" t="n">
        <v>0</v>
      </c>
      <c r="N6456" t="n">
        <v>0</v>
      </c>
      <c r="O6456" t="n">
        <v>0</v>
      </c>
      <c r="P6456" t="n">
        <v>0</v>
      </c>
      <c r="Q6456" t="n">
        <v>0</v>
      </c>
      <c r="R6456" s="2" t="inlineStr"/>
    </row>
    <row r="6457" ht="15" customHeight="1">
      <c r="A6457" t="inlineStr">
        <is>
          <t>A 11442-2023</t>
        </is>
      </c>
      <c r="B6457" s="1" t="n">
        <v>44988</v>
      </c>
      <c r="C6457" s="1" t="n">
        <v>45587</v>
      </c>
      <c r="D6457" t="inlineStr">
        <is>
          <t>GÄVLEBORGS LÄN</t>
        </is>
      </c>
      <c r="E6457" t="inlineStr">
        <is>
          <t>SANDVIKEN</t>
        </is>
      </c>
      <c r="G6457" t="n">
        <v>5.7</v>
      </c>
      <c r="H6457" t="n">
        <v>0</v>
      </c>
      <c r="I6457" t="n">
        <v>0</v>
      </c>
      <c r="J6457" t="n">
        <v>0</v>
      </c>
      <c r="K6457" t="n">
        <v>0</v>
      </c>
      <c r="L6457" t="n">
        <v>0</v>
      </c>
      <c r="M6457" t="n">
        <v>0</v>
      </c>
      <c r="N6457" t="n">
        <v>0</v>
      </c>
      <c r="O6457" t="n">
        <v>0</v>
      </c>
      <c r="P6457" t="n">
        <v>0</v>
      </c>
      <c r="Q6457" t="n">
        <v>0</v>
      </c>
      <c r="R6457" s="2" t="inlineStr"/>
    </row>
    <row r="6458" ht="15" customHeight="1">
      <c r="A6458" t="inlineStr">
        <is>
          <t>A 11385-2023</t>
        </is>
      </c>
      <c r="B6458" s="1" t="n">
        <v>44988</v>
      </c>
      <c r="C6458" s="1" t="n">
        <v>45587</v>
      </c>
      <c r="D6458" t="inlineStr">
        <is>
          <t>GÄVLEBORGS LÄN</t>
        </is>
      </c>
      <c r="E6458" t="inlineStr">
        <is>
          <t>SANDVIKEN</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11401-2023</t>
        </is>
      </c>
      <c r="B6459" s="1" t="n">
        <v>44988</v>
      </c>
      <c r="C6459" s="1" t="n">
        <v>45587</v>
      </c>
      <c r="D6459" t="inlineStr">
        <is>
          <t>GÄVLEBORGS LÄN</t>
        </is>
      </c>
      <c r="E6459" t="inlineStr">
        <is>
          <t>SANDVIKEN</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11426-2023</t>
        </is>
      </c>
      <c r="B6460" s="1" t="n">
        <v>44988</v>
      </c>
      <c r="C6460" s="1" t="n">
        <v>45587</v>
      </c>
      <c r="D6460" t="inlineStr">
        <is>
          <t>GÄVLEBORGS LÄN</t>
        </is>
      </c>
      <c r="E6460" t="inlineStr">
        <is>
          <t>SANDVIKEN</t>
        </is>
      </c>
      <c r="G6460" t="n">
        <v>17.7</v>
      </c>
      <c r="H6460" t="n">
        <v>0</v>
      </c>
      <c r="I6460" t="n">
        <v>0</v>
      </c>
      <c r="J6460" t="n">
        <v>0</v>
      </c>
      <c r="K6460" t="n">
        <v>0</v>
      </c>
      <c r="L6460" t="n">
        <v>0</v>
      </c>
      <c r="M6460" t="n">
        <v>0</v>
      </c>
      <c r="N6460" t="n">
        <v>0</v>
      </c>
      <c r="O6460" t="n">
        <v>0</v>
      </c>
      <c r="P6460" t="n">
        <v>0</v>
      </c>
      <c r="Q6460" t="n">
        <v>0</v>
      </c>
      <c r="R6460" s="2" t="inlineStr"/>
    </row>
    <row r="6461" ht="15" customHeight="1">
      <c r="A6461" t="inlineStr">
        <is>
          <t>A 11436-2023</t>
        </is>
      </c>
      <c r="B6461" s="1" t="n">
        <v>44988</v>
      </c>
      <c r="C6461" s="1" t="n">
        <v>45587</v>
      </c>
      <c r="D6461" t="inlineStr">
        <is>
          <t>GÄVLEBORGS LÄN</t>
        </is>
      </c>
      <c r="E6461" t="inlineStr">
        <is>
          <t>SANDVIKEN</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11447-2023</t>
        </is>
      </c>
      <c r="B6462" s="1" t="n">
        <v>44988</v>
      </c>
      <c r="C6462" s="1" t="n">
        <v>45587</v>
      </c>
      <c r="D6462" t="inlineStr">
        <is>
          <t>GÄVLEBORGS LÄN</t>
        </is>
      </c>
      <c r="E6462" t="inlineStr">
        <is>
          <t>SANDVIKEN</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11430-2023</t>
        </is>
      </c>
      <c r="B6463" s="1" t="n">
        <v>44988</v>
      </c>
      <c r="C6463" s="1" t="n">
        <v>45587</v>
      </c>
      <c r="D6463" t="inlineStr">
        <is>
          <t>GÄVLEBORGS LÄN</t>
        </is>
      </c>
      <c r="E6463" t="inlineStr">
        <is>
          <t>SANDVIKEN</t>
        </is>
      </c>
      <c r="G6463" t="n">
        <v>10.4</v>
      </c>
      <c r="H6463" t="n">
        <v>0</v>
      </c>
      <c r="I6463" t="n">
        <v>0</v>
      </c>
      <c r="J6463" t="n">
        <v>0</v>
      </c>
      <c r="K6463" t="n">
        <v>0</v>
      </c>
      <c r="L6463" t="n">
        <v>0</v>
      </c>
      <c r="M6463" t="n">
        <v>0</v>
      </c>
      <c r="N6463" t="n">
        <v>0</v>
      </c>
      <c r="O6463" t="n">
        <v>0</v>
      </c>
      <c r="P6463" t="n">
        <v>0</v>
      </c>
      <c r="Q6463" t="n">
        <v>0</v>
      </c>
      <c r="R6463" s="2" t="inlineStr"/>
    </row>
    <row r="6464" ht="15" customHeight="1">
      <c r="A6464" t="inlineStr">
        <is>
          <t>A 11438-2023</t>
        </is>
      </c>
      <c r="B6464" s="1" t="n">
        <v>44988</v>
      </c>
      <c r="C6464" s="1" t="n">
        <v>45587</v>
      </c>
      <c r="D6464" t="inlineStr">
        <is>
          <t>GÄVLEBORGS LÄN</t>
        </is>
      </c>
      <c r="E6464" t="inlineStr">
        <is>
          <t>SANDVIKEN</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11453-2023</t>
        </is>
      </c>
      <c r="B6465" s="1" t="n">
        <v>44988</v>
      </c>
      <c r="C6465" s="1" t="n">
        <v>45587</v>
      </c>
      <c r="D6465" t="inlineStr">
        <is>
          <t>GÄVLEBORGS LÄN</t>
        </is>
      </c>
      <c r="E6465" t="inlineStr">
        <is>
          <t>SANDVIKEN</t>
        </is>
      </c>
      <c r="G6465" t="n">
        <v>17.9</v>
      </c>
      <c r="H6465" t="n">
        <v>0</v>
      </c>
      <c r="I6465" t="n">
        <v>0</v>
      </c>
      <c r="J6465" t="n">
        <v>0</v>
      </c>
      <c r="K6465" t="n">
        <v>0</v>
      </c>
      <c r="L6465" t="n">
        <v>0</v>
      </c>
      <c r="M6465" t="n">
        <v>0</v>
      </c>
      <c r="N6465" t="n">
        <v>0</v>
      </c>
      <c r="O6465" t="n">
        <v>0</v>
      </c>
      <c r="P6465" t="n">
        <v>0</v>
      </c>
      <c r="Q6465" t="n">
        <v>0</v>
      </c>
      <c r="R6465" s="2" t="inlineStr"/>
    </row>
    <row r="6466" ht="15" customHeight="1">
      <c r="A6466" t="inlineStr">
        <is>
          <t>A 11397-2023</t>
        </is>
      </c>
      <c r="B6466" s="1" t="n">
        <v>44988</v>
      </c>
      <c r="C6466" s="1" t="n">
        <v>45587</v>
      </c>
      <c r="D6466" t="inlineStr">
        <is>
          <t>GÄVLEBORGS LÄN</t>
        </is>
      </c>
      <c r="E6466" t="inlineStr">
        <is>
          <t>SANDVIKEN</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11411-2023</t>
        </is>
      </c>
      <c r="B6467" s="1" t="n">
        <v>44988</v>
      </c>
      <c r="C6467" s="1" t="n">
        <v>45587</v>
      </c>
      <c r="D6467" t="inlineStr">
        <is>
          <t>GÄVLEBORGS LÄN</t>
        </is>
      </c>
      <c r="E6467" t="inlineStr">
        <is>
          <t>SANDVIKEN</t>
        </is>
      </c>
      <c r="G6467" t="n">
        <v>10.7</v>
      </c>
      <c r="H6467" t="n">
        <v>0</v>
      </c>
      <c r="I6467" t="n">
        <v>0</v>
      </c>
      <c r="J6467" t="n">
        <v>0</v>
      </c>
      <c r="K6467" t="n">
        <v>0</v>
      </c>
      <c r="L6467" t="n">
        <v>0</v>
      </c>
      <c r="M6467" t="n">
        <v>0</v>
      </c>
      <c r="N6467" t="n">
        <v>0</v>
      </c>
      <c r="O6467" t="n">
        <v>0</v>
      </c>
      <c r="P6467" t="n">
        <v>0</v>
      </c>
      <c r="Q6467" t="n">
        <v>0</v>
      </c>
      <c r="R6467" s="2" t="inlineStr"/>
    </row>
    <row r="6468" ht="15" customHeight="1">
      <c r="A6468" t="inlineStr">
        <is>
          <t>A 11422-2023</t>
        </is>
      </c>
      <c r="B6468" s="1" t="n">
        <v>44988</v>
      </c>
      <c r="C6468" s="1" t="n">
        <v>45587</v>
      </c>
      <c r="D6468" t="inlineStr">
        <is>
          <t>GÄVLEBORGS LÄN</t>
        </is>
      </c>
      <c r="E6468" t="inlineStr">
        <is>
          <t>SANDVIKEN</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11431-2023</t>
        </is>
      </c>
      <c r="B6469" s="1" t="n">
        <v>44988</v>
      </c>
      <c r="C6469" s="1" t="n">
        <v>45587</v>
      </c>
      <c r="D6469" t="inlineStr">
        <is>
          <t>GÄVLEBORGS LÄN</t>
        </is>
      </c>
      <c r="E6469" t="inlineStr">
        <is>
          <t>SANDVIKEN</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11440-2023</t>
        </is>
      </c>
      <c r="B6470" s="1" t="n">
        <v>44988</v>
      </c>
      <c r="C6470" s="1" t="n">
        <v>45587</v>
      </c>
      <c r="D6470" t="inlineStr">
        <is>
          <t>GÄVLEBORGS LÄN</t>
        </is>
      </c>
      <c r="E6470" t="inlineStr">
        <is>
          <t>SANDVIKEN</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11467-2023</t>
        </is>
      </c>
      <c r="B6471" s="1" t="n">
        <v>44988</v>
      </c>
      <c r="C6471" s="1" t="n">
        <v>45587</v>
      </c>
      <c r="D6471" t="inlineStr">
        <is>
          <t>GÄVLEBORGS LÄN</t>
        </is>
      </c>
      <c r="E6471" t="inlineStr">
        <is>
          <t>SANDVIKEN</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10853-2023</t>
        </is>
      </c>
      <c r="B6472" s="1" t="n">
        <v>44991</v>
      </c>
      <c r="C6472" s="1" t="n">
        <v>45587</v>
      </c>
      <c r="D6472" t="inlineStr">
        <is>
          <t>GÄVLEBORGS LÄN</t>
        </is>
      </c>
      <c r="E6472" t="inlineStr">
        <is>
          <t>LJUSDAL</t>
        </is>
      </c>
      <c r="F6472" t="inlineStr">
        <is>
          <t>Bergvik skog väst AB</t>
        </is>
      </c>
      <c r="G6472" t="n">
        <v>12.3</v>
      </c>
      <c r="H6472" t="n">
        <v>0</v>
      </c>
      <c r="I6472" t="n">
        <v>0</v>
      </c>
      <c r="J6472" t="n">
        <v>0</v>
      </c>
      <c r="K6472" t="n">
        <v>0</v>
      </c>
      <c r="L6472" t="n">
        <v>0</v>
      </c>
      <c r="M6472" t="n">
        <v>0</v>
      </c>
      <c r="N6472" t="n">
        <v>0</v>
      </c>
      <c r="O6472" t="n">
        <v>0</v>
      </c>
      <c r="P6472" t="n">
        <v>0</v>
      </c>
      <c r="Q6472" t="n">
        <v>0</v>
      </c>
      <c r="R6472" s="2" t="inlineStr"/>
    </row>
    <row r="6473" ht="15" customHeight="1">
      <c r="A6473" t="inlineStr">
        <is>
          <t>A 10942-2023</t>
        </is>
      </c>
      <c r="B6473" s="1" t="n">
        <v>44991</v>
      </c>
      <c r="C6473" s="1" t="n">
        <v>45587</v>
      </c>
      <c r="D6473" t="inlineStr">
        <is>
          <t>GÄVLEBORGS LÄN</t>
        </is>
      </c>
      <c r="E6473" t="inlineStr">
        <is>
          <t>GÄVLE</t>
        </is>
      </c>
      <c r="F6473" t="inlineStr">
        <is>
          <t>Bergvik skog väst AB</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10850-2023</t>
        </is>
      </c>
      <c r="B6474" s="1" t="n">
        <v>44991</v>
      </c>
      <c r="C6474" s="1" t="n">
        <v>45587</v>
      </c>
      <c r="D6474" t="inlineStr">
        <is>
          <t>GÄVLEBORGS LÄN</t>
        </is>
      </c>
      <c r="E6474" t="inlineStr">
        <is>
          <t>LJUSDAL</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10986-2023</t>
        </is>
      </c>
      <c r="B6475" s="1" t="n">
        <v>44991</v>
      </c>
      <c r="C6475" s="1" t="n">
        <v>45587</v>
      </c>
      <c r="D6475" t="inlineStr">
        <is>
          <t>GÄVLEBORGS LÄN</t>
        </is>
      </c>
      <c r="E6475" t="inlineStr">
        <is>
          <t>GÄVLE</t>
        </is>
      </c>
      <c r="F6475" t="inlineStr">
        <is>
          <t>Bergvik skog väst AB</t>
        </is>
      </c>
      <c r="G6475" t="n">
        <v>5.2</v>
      </c>
      <c r="H6475" t="n">
        <v>0</v>
      </c>
      <c r="I6475" t="n">
        <v>0</v>
      </c>
      <c r="J6475" t="n">
        <v>0</v>
      </c>
      <c r="K6475" t="n">
        <v>0</v>
      </c>
      <c r="L6475" t="n">
        <v>0</v>
      </c>
      <c r="M6475" t="n">
        <v>0</v>
      </c>
      <c r="N6475" t="n">
        <v>0</v>
      </c>
      <c r="O6475" t="n">
        <v>0</v>
      </c>
      <c r="P6475" t="n">
        <v>0</v>
      </c>
      <c r="Q6475" t="n">
        <v>0</v>
      </c>
      <c r="R6475" s="2" t="inlineStr"/>
    </row>
    <row r="6476" ht="15" customHeight="1">
      <c r="A6476" t="inlineStr">
        <is>
          <t>A 11082-2023</t>
        </is>
      </c>
      <c r="B6476" s="1" t="n">
        <v>44992</v>
      </c>
      <c r="C6476" s="1" t="n">
        <v>45587</v>
      </c>
      <c r="D6476" t="inlineStr">
        <is>
          <t>GÄVLEBORGS LÄN</t>
        </is>
      </c>
      <c r="E6476" t="inlineStr">
        <is>
          <t>HUDIKSVALL</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11215-2023</t>
        </is>
      </c>
      <c r="B6477" s="1" t="n">
        <v>44992</v>
      </c>
      <c r="C6477" s="1" t="n">
        <v>45587</v>
      </c>
      <c r="D6477" t="inlineStr">
        <is>
          <t>GÄVLEBORGS LÄN</t>
        </is>
      </c>
      <c r="E6477" t="inlineStr">
        <is>
          <t>SÖDERHAMN</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11108-2023</t>
        </is>
      </c>
      <c r="B6478" s="1" t="n">
        <v>44992</v>
      </c>
      <c r="C6478" s="1" t="n">
        <v>45587</v>
      </c>
      <c r="D6478" t="inlineStr">
        <is>
          <t>GÄVLEBORGS LÄN</t>
        </is>
      </c>
      <c r="E6478" t="inlineStr">
        <is>
          <t>HUDIKSVALL</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11075-2023</t>
        </is>
      </c>
      <c r="B6479" s="1" t="n">
        <v>44992</v>
      </c>
      <c r="C6479" s="1" t="n">
        <v>45587</v>
      </c>
      <c r="D6479" t="inlineStr">
        <is>
          <t>GÄVLEBORGS LÄN</t>
        </is>
      </c>
      <c r="E6479" t="inlineStr">
        <is>
          <t>SÖDERHAMN</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11081-2023</t>
        </is>
      </c>
      <c r="B6480" s="1" t="n">
        <v>44992</v>
      </c>
      <c r="C6480" s="1" t="n">
        <v>45587</v>
      </c>
      <c r="D6480" t="inlineStr">
        <is>
          <t>GÄVLEBORGS LÄN</t>
        </is>
      </c>
      <c r="E6480" t="inlineStr">
        <is>
          <t>GÄVLE</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11157-2023</t>
        </is>
      </c>
      <c r="B6481" s="1" t="n">
        <v>44992</v>
      </c>
      <c r="C6481" s="1" t="n">
        <v>45587</v>
      </c>
      <c r="D6481" t="inlineStr">
        <is>
          <t>GÄVLEBORGS LÄN</t>
        </is>
      </c>
      <c r="E6481" t="inlineStr">
        <is>
          <t>BOLLNÄS</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11267-2023</t>
        </is>
      </c>
      <c r="B6482" s="1" t="n">
        <v>44992</v>
      </c>
      <c r="C6482" s="1" t="n">
        <v>45587</v>
      </c>
      <c r="D6482" t="inlineStr">
        <is>
          <t>GÄVLEBORGS LÄN</t>
        </is>
      </c>
      <c r="E6482" t="inlineStr">
        <is>
          <t>HUDIKSVALL</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11206-2023</t>
        </is>
      </c>
      <c r="B6483" s="1" t="n">
        <v>44992</v>
      </c>
      <c r="C6483" s="1" t="n">
        <v>45587</v>
      </c>
      <c r="D6483" t="inlineStr">
        <is>
          <t>GÄVLEBORGS LÄN</t>
        </is>
      </c>
      <c r="E6483" t="inlineStr">
        <is>
          <t>SÖDERHAMN</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11410-2023</t>
        </is>
      </c>
      <c r="B6484" s="1" t="n">
        <v>44993</v>
      </c>
      <c r="C6484" s="1" t="n">
        <v>45587</v>
      </c>
      <c r="D6484" t="inlineStr">
        <is>
          <t>GÄVLEBORGS LÄN</t>
        </is>
      </c>
      <c r="E6484" t="inlineStr">
        <is>
          <t>BOLLNÄS</t>
        </is>
      </c>
      <c r="G6484" t="n">
        <v>8.6</v>
      </c>
      <c r="H6484" t="n">
        <v>0</v>
      </c>
      <c r="I6484" t="n">
        <v>0</v>
      </c>
      <c r="J6484" t="n">
        <v>0</v>
      </c>
      <c r="K6484" t="n">
        <v>0</v>
      </c>
      <c r="L6484" t="n">
        <v>0</v>
      </c>
      <c r="M6484" t="n">
        <v>0</v>
      </c>
      <c r="N6484" t="n">
        <v>0</v>
      </c>
      <c r="O6484" t="n">
        <v>0</v>
      </c>
      <c r="P6484" t="n">
        <v>0</v>
      </c>
      <c r="Q6484" t="n">
        <v>0</v>
      </c>
      <c r="R6484" s="2" t="inlineStr"/>
    </row>
    <row r="6485" ht="15" customHeight="1">
      <c r="A6485" t="inlineStr">
        <is>
          <t>A 11459-2023</t>
        </is>
      </c>
      <c r="B6485" s="1" t="n">
        <v>44993</v>
      </c>
      <c r="C6485" s="1" t="n">
        <v>45587</v>
      </c>
      <c r="D6485" t="inlineStr">
        <is>
          <t>GÄVLEBORGS LÄN</t>
        </is>
      </c>
      <c r="E6485" t="inlineStr">
        <is>
          <t>BOLLNÄS</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11465-2023</t>
        </is>
      </c>
      <c r="B6486" s="1" t="n">
        <v>44993</v>
      </c>
      <c r="C6486" s="1" t="n">
        <v>45587</v>
      </c>
      <c r="D6486" t="inlineStr">
        <is>
          <t>GÄVLEBORGS LÄN</t>
        </is>
      </c>
      <c r="E6486" t="inlineStr">
        <is>
          <t>BOLLNÄS</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11338-2023</t>
        </is>
      </c>
      <c r="B6487" s="1" t="n">
        <v>44993</v>
      </c>
      <c r="C6487" s="1" t="n">
        <v>45587</v>
      </c>
      <c r="D6487" t="inlineStr">
        <is>
          <t>GÄVLEBORGS LÄN</t>
        </is>
      </c>
      <c r="E6487" t="inlineStr">
        <is>
          <t>NORDANSTIG</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11432-2023</t>
        </is>
      </c>
      <c r="B6488" s="1" t="n">
        <v>44993</v>
      </c>
      <c r="C6488" s="1" t="n">
        <v>45587</v>
      </c>
      <c r="D6488" t="inlineStr">
        <is>
          <t>GÄVLEBORGS LÄN</t>
        </is>
      </c>
      <c r="E6488" t="inlineStr">
        <is>
          <t>HUDIKSVALL</t>
        </is>
      </c>
      <c r="G6488" t="n">
        <v>6.3</v>
      </c>
      <c r="H6488" t="n">
        <v>0</v>
      </c>
      <c r="I6488" t="n">
        <v>0</v>
      </c>
      <c r="J6488" t="n">
        <v>0</v>
      </c>
      <c r="K6488" t="n">
        <v>0</v>
      </c>
      <c r="L6488" t="n">
        <v>0</v>
      </c>
      <c r="M6488" t="n">
        <v>0</v>
      </c>
      <c r="N6488" t="n">
        <v>0</v>
      </c>
      <c r="O6488" t="n">
        <v>0</v>
      </c>
      <c r="P6488" t="n">
        <v>0</v>
      </c>
      <c r="Q6488" t="n">
        <v>0</v>
      </c>
      <c r="R6488" s="2" t="inlineStr"/>
    </row>
    <row r="6489" ht="15" customHeight="1">
      <c r="A6489" t="inlineStr">
        <is>
          <t>A 11439-2023</t>
        </is>
      </c>
      <c r="B6489" s="1" t="n">
        <v>44993</v>
      </c>
      <c r="C6489" s="1" t="n">
        <v>45587</v>
      </c>
      <c r="D6489" t="inlineStr">
        <is>
          <t>GÄVLEBORGS LÄN</t>
        </is>
      </c>
      <c r="E6489" t="inlineStr">
        <is>
          <t>BOLLNÄS</t>
        </is>
      </c>
      <c r="G6489" t="n">
        <v>4.5</v>
      </c>
      <c r="H6489" t="n">
        <v>0</v>
      </c>
      <c r="I6489" t="n">
        <v>0</v>
      </c>
      <c r="J6489" t="n">
        <v>0</v>
      </c>
      <c r="K6489" t="n">
        <v>0</v>
      </c>
      <c r="L6489" t="n">
        <v>0</v>
      </c>
      <c r="M6489" t="n">
        <v>0</v>
      </c>
      <c r="N6489" t="n">
        <v>0</v>
      </c>
      <c r="O6489" t="n">
        <v>0</v>
      </c>
      <c r="P6489" t="n">
        <v>0</v>
      </c>
      <c r="Q6489" t="n">
        <v>0</v>
      </c>
      <c r="R6489" s="2" t="inlineStr"/>
    </row>
    <row r="6490" ht="15" customHeight="1">
      <c r="A6490" t="inlineStr">
        <is>
          <t>A 11455-2023</t>
        </is>
      </c>
      <c r="B6490" s="1" t="n">
        <v>44993</v>
      </c>
      <c r="C6490" s="1" t="n">
        <v>45587</v>
      </c>
      <c r="D6490" t="inlineStr">
        <is>
          <t>GÄVLEBORGS LÄN</t>
        </is>
      </c>
      <c r="E6490" t="inlineStr">
        <is>
          <t>NORDANSTIG</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11652-2023</t>
        </is>
      </c>
      <c r="B6491" s="1" t="n">
        <v>44994</v>
      </c>
      <c r="C6491" s="1" t="n">
        <v>45587</v>
      </c>
      <c r="D6491" t="inlineStr">
        <is>
          <t>GÄVLEBORGS LÄN</t>
        </is>
      </c>
      <c r="E6491" t="inlineStr">
        <is>
          <t>GÄVLE</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11607-2023</t>
        </is>
      </c>
      <c r="B6492" s="1" t="n">
        <v>44994</v>
      </c>
      <c r="C6492" s="1" t="n">
        <v>45587</v>
      </c>
      <c r="D6492" t="inlineStr">
        <is>
          <t>GÄVLEBORGS LÄN</t>
        </is>
      </c>
      <c r="E6492" t="inlineStr">
        <is>
          <t>HOFORS</t>
        </is>
      </c>
      <c r="F6492" t="inlineStr">
        <is>
          <t>Övriga statliga verk och myndigheter</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11762-2023</t>
        </is>
      </c>
      <c r="B6493" s="1" t="n">
        <v>44994</v>
      </c>
      <c r="C6493" s="1" t="n">
        <v>45587</v>
      </c>
      <c r="D6493" t="inlineStr">
        <is>
          <t>GÄVLEBORGS LÄN</t>
        </is>
      </c>
      <c r="E6493" t="inlineStr">
        <is>
          <t>NORDANSTIG</t>
        </is>
      </c>
      <c r="G6493" t="n">
        <v>9.5</v>
      </c>
      <c r="H6493" t="n">
        <v>0</v>
      </c>
      <c r="I6493" t="n">
        <v>0</v>
      </c>
      <c r="J6493" t="n">
        <v>0</v>
      </c>
      <c r="K6493" t="n">
        <v>0</v>
      </c>
      <c r="L6493" t="n">
        <v>0</v>
      </c>
      <c r="M6493" t="n">
        <v>0</v>
      </c>
      <c r="N6493" t="n">
        <v>0</v>
      </c>
      <c r="O6493" t="n">
        <v>0</v>
      </c>
      <c r="P6493" t="n">
        <v>0</v>
      </c>
      <c r="Q6493" t="n">
        <v>0</v>
      </c>
      <c r="R6493" s="2" t="inlineStr"/>
    </row>
    <row r="6494" ht="15" customHeight="1">
      <c r="A6494" t="inlineStr">
        <is>
          <t>A 11811-2023</t>
        </is>
      </c>
      <c r="B6494" s="1" t="n">
        <v>44994</v>
      </c>
      <c r="C6494" s="1" t="n">
        <v>45587</v>
      </c>
      <c r="D6494" t="inlineStr">
        <is>
          <t>GÄVLEBORGS LÄN</t>
        </is>
      </c>
      <c r="E6494" t="inlineStr">
        <is>
          <t>SANDVIKEN</t>
        </is>
      </c>
      <c r="G6494" t="n">
        <v>9.6</v>
      </c>
      <c r="H6494" t="n">
        <v>0</v>
      </c>
      <c r="I6494" t="n">
        <v>0</v>
      </c>
      <c r="J6494" t="n">
        <v>0</v>
      </c>
      <c r="K6494" t="n">
        <v>0</v>
      </c>
      <c r="L6494" t="n">
        <v>0</v>
      </c>
      <c r="M6494" t="n">
        <v>0</v>
      </c>
      <c r="N6494" t="n">
        <v>0</v>
      </c>
      <c r="O6494" t="n">
        <v>0</v>
      </c>
      <c r="P6494" t="n">
        <v>0</v>
      </c>
      <c r="Q6494" t="n">
        <v>0</v>
      </c>
      <c r="R6494" s="2" t="inlineStr"/>
    </row>
    <row r="6495" ht="15" customHeight="1">
      <c r="A6495" t="inlineStr">
        <is>
          <t>A 11756-2023</t>
        </is>
      </c>
      <c r="B6495" s="1" t="n">
        <v>44994</v>
      </c>
      <c r="C6495" s="1" t="n">
        <v>45587</v>
      </c>
      <c r="D6495" t="inlineStr">
        <is>
          <t>GÄVLEBORGS LÄN</t>
        </is>
      </c>
      <c r="E6495" t="inlineStr">
        <is>
          <t>SANDVIKEN</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11810-2023</t>
        </is>
      </c>
      <c r="B6496" s="1" t="n">
        <v>44994</v>
      </c>
      <c r="C6496" s="1" t="n">
        <v>45587</v>
      </c>
      <c r="D6496" t="inlineStr">
        <is>
          <t>GÄVLEBORGS LÄN</t>
        </is>
      </c>
      <c r="E6496" t="inlineStr">
        <is>
          <t>SANDVIKEN</t>
        </is>
      </c>
      <c r="G6496" t="n">
        <v>4.9</v>
      </c>
      <c r="H6496" t="n">
        <v>0</v>
      </c>
      <c r="I6496" t="n">
        <v>0</v>
      </c>
      <c r="J6496" t="n">
        <v>0</v>
      </c>
      <c r="K6496" t="n">
        <v>0</v>
      </c>
      <c r="L6496" t="n">
        <v>0</v>
      </c>
      <c r="M6496" t="n">
        <v>0</v>
      </c>
      <c r="N6496" t="n">
        <v>0</v>
      </c>
      <c r="O6496" t="n">
        <v>0</v>
      </c>
      <c r="P6496" t="n">
        <v>0</v>
      </c>
      <c r="Q6496" t="n">
        <v>0</v>
      </c>
      <c r="R6496" s="2" t="inlineStr"/>
    </row>
    <row r="6497" ht="15" customHeight="1">
      <c r="A6497" t="inlineStr">
        <is>
          <t>A 11736-2023</t>
        </is>
      </c>
      <c r="B6497" s="1" t="n">
        <v>44994</v>
      </c>
      <c r="C6497" s="1" t="n">
        <v>45587</v>
      </c>
      <c r="D6497" t="inlineStr">
        <is>
          <t>GÄVLEBORGS LÄN</t>
        </is>
      </c>
      <c r="E6497" t="inlineStr">
        <is>
          <t>NORDANSTIG</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11764-2023</t>
        </is>
      </c>
      <c r="B6498" s="1" t="n">
        <v>44994</v>
      </c>
      <c r="C6498" s="1" t="n">
        <v>45587</v>
      </c>
      <c r="D6498" t="inlineStr">
        <is>
          <t>GÄVLEBORGS LÄN</t>
        </is>
      </c>
      <c r="E6498" t="inlineStr">
        <is>
          <t>SANDVIKEN</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11808-2023</t>
        </is>
      </c>
      <c r="B6499" s="1" t="n">
        <v>44994</v>
      </c>
      <c r="C6499" s="1" t="n">
        <v>45587</v>
      </c>
      <c r="D6499" t="inlineStr">
        <is>
          <t>GÄVLEBORGS LÄN</t>
        </is>
      </c>
      <c r="E6499" t="inlineStr">
        <is>
          <t>SANDVIKEN</t>
        </is>
      </c>
      <c r="G6499" t="n">
        <v>4.7</v>
      </c>
      <c r="H6499" t="n">
        <v>0</v>
      </c>
      <c r="I6499" t="n">
        <v>0</v>
      </c>
      <c r="J6499" t="n">
        <v>0</v>
      </c>
      <c r="K6499" t="n">
        <v>0</v>
      </c>
      <c r="L6499" t="n">
        <v>0</v>
      </c>
      <c r="M6499" t="n">
        <v>0</v>
      </c>
      <c r="N6499" t="n">
        <v>0</v>
      </c>
      <c r="O6499" t="n">
        <v>0</v>
      </c>
      <c r="P6499" t="n">
        <v>0</v>
      </c>
      <c r="Q6499" t="n">
        <v>0</v>
      </c>
      <c r="R6499" s="2" t="inlineStr"/>
    </row>
    <row r="6500" ht="15" customHeight="1">
      <c r="A6500" t="inlineStr">
        <is>
          <t>A 11956-2023</t>
        </is>
      </c>
      <c r="B6500" s="1" t="n">
        <v>44995</v>
      </c>
      <c r="C6500" s="1" t="n">
        <v>45587</v>
      </c>
      <c r="D6500" t="inlineStr">
        <is>
          <t>GÄVLEBORGS LÄN</t>
        </is>
      </c>
      <c r="E6500" t="inlineStr">
        <is>
          <t>BOLLNÄS</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11914-2023</t>
        </is>
      </c>
      <c r="B6501" s="1" t="n">
        <v>44995</v>
      </c>
      <c r="C6501" s="1" t="n">
        <v>45587</v>
      </c>
      <c r="D6501" t="inlineStr">
        <is>
          <t>GÄVLEBORGS LÄN</t>
        </is>
      </c>
      <c r="E6501" t="inlineStr">
        <is>
          <t>LJUSDAL</t>
        </is>
      </c>
      <c r="F6501" t="inlineStr">
        <is>
          <t>Holmen skog AB</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11923-2023</t>
        </is>
      </c>
      <c r="B6502" s="1" t="n">
        <v>44995</v>
      </c>
      <c r="C6502" s="1" t="n">
        <v>45587</v>
      </c>
      <c r="D6502" t="inlineStr">
        <is>
          <t>GÄVLEBORGS LÄN</t>
        </is>
      </c>
      <c r="E6502" t="inlineStr">
        <is>
          <t>LJUSDAL</t>
        </is>
      </c>
      <c r="F6502" t="inlineStr">
        <is>
          <t>Holmen skog AB</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11964-2023</t>
        </is>
      </c>
      <c r="B6503" s="1" t="n">
        <v>44995</v>
      </c>
      <c r="C6503" s="1" t="n">
        <v>45587</v>
      </c>
      <c r="D6503" t="inlineStr">
        <is>
          <t>GÄVLEBORGS LÄN</t>
        </is>
      </c>
      <c r="E6503" t="inlineStr">
        <is>
          <t>LJUSDAL</t>
        </is>
      </c>
      <c r="G6503" t="n">
        <v>4.8</v>
      </c>
      <c r="H6503" t="n">
        <v>0</v>
      </c>
      <c r="I6503" t="n">
        <v>0</v>
      </c>
      <c r="J6503" t="n">
        <v>0</v>
      </c>
      <c r="K6503" t="n">
        <v>0</v>
      </c>
      <c r="L6503" t="n">
        <v>0</v>
      </c>
      <c r="M6503" t="n">
        <v>0</v>
      </c>
      <c r="N6503" t="n">
        <v>0</v>
      </c>
      <c r="O6503" t="n">
        <v>0</v>
      </c>
      <c r="P6503" t="n">
        <v>0</v>
      </c>
      <c r="Q6503" t="n">
        <v>0</v>
      </c>
      <c r="R6503" s="2" t="inlineStr"/>
    </row>
    <row r="6504" ht="15" customHeight="1">
      <c r="A6504" t="inlineStr">
        <is>
          <t>A 11994-2023</t>
        </is>
      </c>
      <c r="B6504" s="1" t="n">
        <v>44995</v>
      </c>
      <c r="C6504" s="1" t="n">
        <v>45587</v>
      </c>
      <c r="D6504" t="inlineStr">
        <is>
          <t>GÄVLEBORGS LÄN</t>
        </is>
      </c>
      <c r="E6504" t="inlineStr">
        <is>
          <t>SANDVIKEN</t>
        </is>
      </c>
      <c r="G6504" t="n">
        <v>4.5</v>
      </c>
      <c r="H6504" t="n">
        <v>0</v>
      </c>
      <c r="I6504" t="n">
        <v>0</v>
      </c>
      <c r="J6504" t="n">
        <v>0</v>
      </c>
      <c r="K6504" t="n">
        <v>0</v>
      </c>
      <c r="L6504" t="n">
        <v>0</v>
      </c>
      <c r="M6504" t="n">
        <v>0</v>
      </c>
      <c r="N6504" t="n">
        <v>0</v>
      </c>
      <c r="O6504" t="n">
        <v>0</v>
      </c>
      <c r="P6504" t="n">
        <v>0</v>
      </c>
      <c r="Q6504" t="n">
        <v>0</v>
      </c>
      <c r="R6504" s="2" t="inlineStr"/>
    </row>
    <row r="6505" ht="15" customHeight="1">
      <c r="A6505" t="inlineStr">
        <is>
          <t>A 11979-2023</t>
        </is>
      </c>
      <c r="B6505" s="1" t="n">
        <v>44995</v>
      </c>
      <c r="C6505" s="1" t="n">
        <v>45587</v>
      </c>
      <c r="D6505" t="inlineStr">
        <is>
          <t>GÄVLEBORGS LÄN</t>
        </is>
      </c>
      <c r="E6505" t="inlineStr">
        <is>
          <t>LJUSDAL</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12004-2023</t>
        </is>
      </c>
      <c r="B6506" s="1" t="n">
        <v>44995</v>
      </c>
      <c r="C6506" s="1" t="n">
        <v>45587</v>
      </c>
      <c r="D6506" t="inlineStr">
        <is>
          <t>GÄVLEBORGS LÄN</t>
        </is>
      </c>
      <c r="E6506" t="inlineStr">
        <is>
          <t>LJUSDAL</t>
        </is>
      </c>
      <c r="F6506" t="inlineStr">
        <is>
          <t>Holmen skog AB</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12047-2023</t>
        </is>
      </c>
      <c r="B6507" s="1" t="n">
        <v>44995</v>
      </c>
      <c r="C6507" s="1" t="n">
        <v>45587</v>
      </c>
      <c r="D6507" t="inlineStr">
        <is>
          <t>GÄVLEBORGS LÄN</t>
        </is>
      </c>
      <c r="E6507" t="inlineStr">
        <is>
          <t>GÄVLE</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12048-2023</t>
        </is>
      </c>
      <c r="B6508" s="1" t="n">
        <v>44996</v>
      </c>
      <c r="C6508" s="1" t="n">
        <v>45587</v>
      </c>
      <c r="D6508" t="inlineStr">
        <is>
          <t>GÄVLEBORGS LÄN</t>
        </is>
      </c>
      <c r="E6508" t="inlineStr">
        <is>
          <t>SÖDERHAMN</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12239-2023</t>
        </is>
      </c>
      <c r="B6509" s="1" t="n">
        <v>44998</v>
      </c>
      <c r="C6509" s="1" t="n">
        <v>45587</v>
      </c>
      <c r="D6509" t="inlineStr">
        <is>
          <t>GÄVLEBORGS LÄN</t>
        </is>
      </c>
      <c r="E6509" t="inlineStr">
        <is>
          <t>HUDIKSVALL</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12095-2023</t>
        </is>
      </c>
      <c r="B6510" s="1" t="n">
        <v>44998</v>
      </c>
      <c r="C6510" s="1" t="n">
        <v>45587</v>
      </c>
      <c r="D6510" t="inlineStr">
        <is>
          <t>GÄVLEBORGS LÄN</t>
        </is>
      </c>
      <c r="E6510" t="inlineStr">
        <is>
          <t>NORDANSTIG</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12226-2023</t>
        </is>
      </c>
      <c r="B6511" s="1" t="n">
        <v>44998</v>
      </c>
      <c r="C6511" s="1" t="n">
        <v>45587</v>
      </c>
      <c r="D6511" t="inlineStr">
        <is>
          <t>GÄVLEBORGS LÄN</t>
        </is>
      </c>
      <c r="E6511" t="inlineStr">
        <is>
          <t>HUDIKSVALL</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12379-2023</t>
        </is>
      </c>
      <c r="B6512" s="1" t="n">
        <v>44999</v>
      </c>
      <c r="C6512" s="1" t="n">
        <v>45587</v>
      </c>
      <c r="D6512" t="inlineStr">
        <is>
          <t>GÄVLEBORGS LÄN</t>
        </is>
      </c>
      <c r="E6512" t="inlineStr">
        <is>
          <t>NORDANSTIG</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12398-2023</t>
        </is>
      </c>
      <c r="B6513" s="1" t="n">
        <v>44999</v>
      </c>
      <c r="C6513" s="1" t="n">
        <v>45587</v>
      </c>
      <c r="D6513" t="inlineStr">
        <is>
          <t>GÄVLEBORGS LÄN</t>
        </is>
      </c>
      <c r="E6513" t="inlineStr">
        <is>
          <t>NORDANSTIG</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12403-2023</t>
        </is>
      </c>
      <c r="B6514" s="1" t="n">
        <v>44999</v>
      </c>
      <c r="C6514" s="1" t="n">
        <v>45587</v>
      </c>
      <c r="D6514" t="inlineStr">
        <is>
          <t>GÄVLEBORGS LÄN</t>
        </is>
      </c>
      <c r="E6514" t="inlineStr">
        <is>
          <t>NORDANSTIG</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12381-2023</t>
        </is>
      </c>
      <c r="B6515" s="1" t="n">
        <v>44999</v>
      </c>
      <c r="C6515" s="1" t="n">
        <v>45587</v>
      </c>
      <c r="D6515" t="inlineStr">
        <is>
          <t>GÄVLEBORGS LÄN</t>
        </is>
      </c>
      <c r="E6515" t="inlineStr">
        <is>
          <t>GÄVLE</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12389-2023</t>
        </is>
      </c>
      <c r="B6516" s="1" t="n">
        <v>44999</v>
      </c>
      <c r="C6516" s="1" t="n">
        <v>45587</v>
      </c>
      <c r="D6516" t="inlineStr">
        <is>
          <t>GÄVLEBORGS LÄN</t>
        </is>
      </c>
      <c r="E6516" t="inlineStr">
        <is>
          <t>NORDANSTIG</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12450-2023</t>
        </is>
      </c>
      <c r="B6517" s="1" t="n">
        <v>44999</v>
      </c>
      <c r="C6517" s="1" t="n">
        <v>45587</v>
      </c>
      <c r="D6517" t="inlineStr">
        <is>
          <t>GÄVLEBORGS LÄN</t>
        </is>
      </c>
      <c r="E6517" t="inlineStr">
        <is>
          <t>BOLLNÄS</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12454-2023</t>
        </is>
      </c>
      <c r="B6518" s="1" t="n">
        <v>44999</v>
      </c>
      <c r="C6518" s="1" t="n">
        <v>45587</v>
      </c>
      <c r="D6518" t="inlineStr">
        <is>
          <t>GÄVLEBORGS LÄN</t>
        </is>
      </c>
      <c r="E6518" t="inlineStr">
        <is>
          <t>BOLLNÄS</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12451-2023</t>
        </is>
      </c>
      <c r="B6519" s="1" t="n">
        <v>44999</v>
      </c>
      <c r="C6519" s="1" t="n">
        <v>45587</v>
      </c>
      <c r="D6519" t="inlineStr">
        <is>
          <t>GÄVLEBORGS LÄN</t>
        </is>
      </c>
      <c r="E6519" t="inlineStr">
        <is>
          <t>BOLLNÄS</t>
        </is>
      </c>
      <c r="G6519" t="n">
        <v>0.2</v>
      </c>
      <c r="H6519" t="n">
        <v>0</v>
      </c>
      <c r="I6519" t="n">
        <v>0</v>
      </c>
      <c r="J6519" t="n">
        <v>0</v>
      </c>
      <c r="K6519" t="n">
        <v>0</v>
      </c>
      <c r="L6519" t="n">
        <v>0</v>
      </c>
      <c r="M6519" t="n">
        <v>0</v>
      </c>
      <c r="N6519" t="n">
        <v>0</v>
      </c>
      <c r="O6519" t="n">
        <v>0</v>
      </c>
      <c r="P6519" t="n">
        <v>0</v>
      </c>
      <c r="Q6519" t="n">
        <v>0</v>
      </c>
      <c r="R6519" s="2" t="inlineStr"/>
    </row>
    <row r="6520" ht="15" customHeight="1">
      <c r="A6520" t="inlineStr">
        <is>
          <t>A 12674-2023</t>
        </is>
      </c>
      <c r="B6520" s="1" t="n">
        <v>45000</v>
      </c>
      <c r="C6520" s="1" t="n">
        <v>45587</v>
      </c>
      <c r="D6520" t="inlineStr">
        <is>
          <t>GÄVLEBORGS LÄN</t>
        </is>
      </c>
      <c r="E6520" t="inlineStr">
        <is>
          <t>HUDIKSVALL</t>
        </is>
      </c>
      <c r="F6520" t="inlineStr">
        <is>
          <t>Holmen skog AB</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12528-2023</t>
        </is>
      </c>
      <c r="B6521" s="1" t="n">
        <v>45000</v>
      </c>
      <c r="C6521" s="1" t="n">
        <v>45587</v>
      </c>
      <c r="D6521" t="inlineStr">
        <is>
          <t>GÄVLEBORGS LÄN</t>
        </is>
      </c>
      <c r="E6521" t="inlineStr">
        <is>
          <t>SÖDERHAMN</t>
        </is>
      </c>
      <c r="G6521" t="n">
        <v>7.9</v>
      </c>
      <c r="H6521" t="n">
        <v>0</v>
      </c>
      <c r="I6521" t="n">
        <v>0</v>
      </c>
      <c r="J6521" t="n">
        <v>0</v>
      </c>
      <c r="K6521" t="n">
        <v>0</v>
      </c>
      <c r="L6521" t="n">
        <v>0</v>
      </c>
      <c r="M6521" t="n">
        <v>0</v>
      </c>
      <c r="N6521" t="n">
        <v>0</v>
      </c>
      <c r="O6521" t="n">
        <v>0</v>
      </c>
      <c r="P6521" t="n">
        <v>0</v>
      </c>
      <c r="Q6521" t="n">
        <v>0</v>
      </c>
      <c r="R6521" s="2" t="inlineStr"/>
    </row>
    <row r="6522" ht="15" customHeight="1">
      <c r="A6522" t="inlineStr">
        <is>
          <t>A 12555-2023</t>
        </is>
      </c>
      <c r="B6522" s="1" t="n">
        <v>45000</v>
      </c>
      <c r="C6522" s="1" t="n">
        <v>45587</v>
      </c>
      <c r="D6522" t="inlineStr">
        <is>
          <t>GÄVLEBORGS LÄN</t>
        </is>
      </c>
      <c r="E6522" t="inlineStr">
        <is>
          <t>LJUSDAL</t>
        </is>
      </c>
      <c r="G6522" t="n">
        <v>8.4</v>
      </c>
      <c r="H6522" t="n">
        <v>0</v>
      </c>
      <c r="I6522" t="n">
        <v>0</v>
      </c>
      <c r="J6522" t="n">
        <v>0</v>
      </c>
      <c r="K6522" t="n">
        <v>0</v>
      </c>
      <c r="L6522" t="n">
        <v>0</v>
      </c>
      <c r="M6522" t="n">
        <v>0</v>
      </c>
      <c r="N6522" t="n">
        <v>0</v>
      </c>
      <c r="O6522" t="n">
        <v>0</v>
      </c>
      <c r="P6522" t="n">
        <v>0</v>
      </c>
      <c r="Q6522" t="n">
        <v>0</v>
      </c>
      <c r="R6522" s="2" t="inlineStr"/>
    </row>
    <row r="6523" ht="15" customHeight="1">
      <c r="A6523" t="inlineStr">
        <is>
          <t>A 12613-2023</t>
        </is>
      </c>
      <c r="B6523" s="1" t="n">
        <v>45000</v>
      </c>
      <c r="C6523" s="1" t="n">
        <v>45587</v>
      </c>
      <c r="D6523" t="inlineStr">
        <is>
          <t>GÄVLEBORGS LÄN</t>
        </is>
      </c>
      <c r="E6523" t="inlineStr">
        <is>
          <t>OVANÅKER</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12815-2023</t>
        </is>
      </c>
      <c r="B6524" s="1" t="n">
        <v>45001</v>
      </c>
      <c r="C6524" s="1" t="n">
        <v>45587</v>
      </c>
      <c r="D6524" t="inlineStr">
        <is>
          <t>GÄVLEBORGS LÄN</t>
        </is>
      </c>
      <c r="E6524" t="inlineStr">
        <is>
          <t>NORDANSTIG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12880-2023</t>
        </is>
      </c>
      <c r="B6525" s="1" t="n">
        <v>45001</v>
      </c>
      <c r="C6525" s="1" t="n">
        <v>45587</v>
      </c>
      <c r="D6525" t="inlineStr">
        <is>
          <t>GÄVLEBORGS LÄN</t>
        </is>
      </c>
      <c r="E6525" t="inlineStr">
        <is>
          <t>HUDIKSVALL</t>
        </is>
      </c>
      <c r="G6525" t="n">
        <v>11.4</v>
      </c>
      <c r="H6525" t="n">
        <v>0</v>
      </c>
      <c r="I6525" t="n">
        <v>0</v>
      </c>
      <c r="J6525" t="n">
        <v>0</v>
      </c>
      <c r="K6525" t="n">
        <v>0</v>
      </c>
      <c r="L6525" t="n">
        <v>0</v>
      </c>
      <c r="M6525" t="n">
        <v>0</v>
      </c>
      <c r="N6525" t="n">
        <v>0</v>
      </c>
      <c r="O6525" t="n">
        <v>0</v>
      </c>
      <c r="P6525" t="n">
        <v>0</v>
      </c>
      <c r="Q6525" t="n">
        <v>0</v>
      </c>
      <c r="R6525" s="2" t="inlineStr"/>
    </row>
    <row r="6526" ht="15" customHeight="1">
      <c r="A6526" t="inlineStr">
        <is>
          <t>A 12791-2023</t>
        </is>
      </c>
      <c r="B6526" s="1" t="n">
        <v>45001</v>
      </c>
      <c r="C6526" s="1" t="n">
        <v>45587</v>
      </c>
      <c r="D6526" t="inlineStr">
        <is>
          <t>GÄVLEBORGS LÄN</t>
        </is>
      </c>
      <c r="E6526" t="inlineStr">
        <is>
          <t>SANDVIKEN</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13039-2023</t>
        </is>
      </c>
      <c r="B6527" s="1" t="n">
        <v>45002</v>
      </c>
      <c r="C6527" s="1" t="n">
        <v>45587</v>
      </c>
      <c r="D6527" t="inlineStr">
        <is>
          <t>GÄVLEBORGS LÄN</t>
        </is>
      </c>
      <c r="E6527" t="inlineStr">
        <is>
          <t>HUDIKSVALL</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13094-2023</t>
        </is>
      </c>
      <c r="B6528" s="1" t="n">
        <v>45002</v>
      </c>
      <c r="C6528" s="1" t="n">
        <v>45587</v>
      </c>
      <c r="D6528" t="inlineStr">
        <is>
          <t>GÄVLEBORGS LÄN</t>
        </is>
      </c>
      <c r="E6528" t="inlineStr">
        <is>
          <t>LJUSDAL</t>
        </is>
      </c>
      <c r="F6528" t="inlineStr">
        <is>
          <t>Holmen skog AB</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13123-2023</t>
        </is>
      </c>
      <c r="B6529" s="1" t="n">
        <v>45002</v>
      </c>
      <c r="C6529" s="1" t="n">
        <v>45587</v>
      </c>
      <c r="D6529" t="inlineStr">
        <is>
          <t>GÄVLEBORGS LÄN</t>
        </is>
      </c>
      <c r="E6529" t="inlineStr">
        <is>
          <t>OVANÅKER</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13014-2023</t>
        </is>
      </c>
      <c r="B6530" s="1" t="n">
        <v>45002</v>
      </c>
      <c r="C6530" s="1" t="n">
        <v>45587</v>
      </c>
      <c r="D6530" t="inlineStr">
        <is>
          <t>GÄVLEBORGS LÄN</t>
        </is>
      </c>
      <c r="E6530" t="inlineStr">
        <is>
          <t>OVANÅKER</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13085-2023</t>
        </is>
      </c>
      <c r="B6531" s="1" t="n">
        <v>45002</v>
      </c>
      <c r="C6531" s="1" t="n">
        <v>45587</v>
      </c>
      <c r="D6531" t="inlineStr">
        <is>
          <t>GÄVLEBORGS LÄN</t>
        </is>
      </c>
      <c r="E6531" t="inlineStr">
        <is>
          <t>HUDIKSVALL</t>
        </is>
      </c>
      <c r="F6531" t="inlineStr">
        <is>
          <t>Holmen skog AB</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13037-2023</t>
        </is>
      </c>
      <c r="B6532" s="1" t="n">
        <v>45002</v>
      </c>
      <c r="C6532" s="1" t="n">
        <v>45587</v>
      </c>
      <c r="D6532" t="inlineStr">
        <is>
          <t>GÄVLEBORGS LÄN</t>
        </is>
      </c>
      <c r="E6532" t="inlineStr">
        <is>
          <t>SANDVIKEN</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13047-2023</t>
        </is>
      </c>
      <c r="B6533" s="1" t="n">
        <v>45002</v>
      </c>
      <c r="C6533" s="1" t="n">
        <v>45587</v>
      </c>
      <c r="D6533" t="inlineStr">
        <is>
          <t>GÄVLEBORGS LÄN</t>
        </is>
      </c>
      <c r="E6533" t="inlineStr">
        <is>
          <t>OVANÅKER</t>
        </is>
      </c>
      <c r="G6533" t="n">
        <v>0.2</v>
      </c>
      <c r="H6533" t="n">
        <v>0</v>
      </c>
      <c r="I6533" t="n">
        <v>0</v>
      </c>
      <c r="J6533" t="n">
        <v>0</v>
      </c>
      <c r="K6533" t="n">
        <v>0</v>
      </c>
      <c r="L6533" t="n">
        <v>0</v>
      </c>
      <c r="M6533" t="n">
        <v>0</v>
      </c>
      <c r="N6533" t="n">
        <v>0</v>
      </c>
      <c r="O6533" t="n">
        <v>0</v>
      </c>
      <c r="P6533" t="n">
        <v>0</v>
      </c>
      <c r="Q6533" t="n">
        <v>0</v>
      </c>
      <c r="R6533" s="2" t="inlineStr"/>
    </row>
    <row r="6534" ht="15" customHeight="1">
      <c r="A6534" t="inlineStr">
        <is>
          <t>A 13116-2023</t>
        </is>
      </c>
      <c r="B6534" s="1" t="n">
        <v>45002</v>
      </c>
      <c r="C6534" s="1" t="n">
        <v>45587</v>
      </c>
      <c r="D6534" t="inlineStr">
        <is>
          <t>GÄVLEBORGS LÄN</t>
        </is>
      </c>
      <c r="E6534" t="inlineStr">
        <is>
          <t>LJUSDAL</t>
        </is>
      </c>
      <c r="F6534" t="inlineStr">
        <is>
          <t>Allmännings- och besparingsskogar</t>
        </is>
      </c>
      <c r="G6534" t="n">
        <v>8.800000000000001</v>
      </c>
      <c r="H6534" t="n">
        <v>0</v>
      </c>
      <c r="I6534" t="n">
        <v>0</v>
      </c>
      <c r="J6534" t="n">
        <v>0</v>
      </c>
      <c r="K6534" t="n">
        <v>0</v>
      </c>
      <c r="L6534" t="n">
        <v>0</v>
      </c>
      <c r="M6534" t="n">
        <v>0</v>
      </c>
      <c r="N6534" t="n">
        <v>0</v>
      </c>
      <c r="O6534" t="n">
        <v>0</v>
      </c>
      <c r="P6534" t="n">
        <v>0</v>
      </c>
      <c r="Q6534" t="n">
        <v>0</v>
      </c>
      <c r="R6534" s="2" t="inlineStr"/>
    </row>
    <row r="6535" ht="15" customHeight="1">
      <c r="A6535" t="inlineStr">
        <is>
          <t>A 13145-2023</t>
        </is>
      </c>
      <c r="B6535" s="1" t="n">
        <v>45002</v>
      </c>
      <c r="C6535" s="1" t="n">
        <v>45587</v>
      </c>
      <c r="D6535" t="inlineStr">
        <is>
          <t>GÄVLEBORGS LÄN</t>
        </is>
      </c>
      <c r="E6535" t="inlineStr">
        <is>
          <t>SÖDERHAMN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13011-2023</t>
        </is>
      </c>
      <c r="B6536" s="1" t="n">
        <v>45002</v>
      </c>
      <c r="C6536" s="1" t="n">
        <v>45587</v>
      </c>
      <c r="D6536" t="inlineStr">
        <is>
          <t>GÄVLEBORGS LÄN</t>
        </is>
      </c>
      <c r="E6536" t="inlineStr">
        <is>
          <t>OVANÅKER</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13035-2023</t>
        </is>
      </c>
      <c r="B6537" s="1" t="n">
        <v>45002</v>
      </c>
      <c r="C6537" s="1" t="n">
        <v>45587</v>
      </c>
      <c r="D6537" t="inlineStr">
        <is>
          <t>GÄVLEBORGS LÄN</t>
        </is>
      </c>
      <c r="E6537" t="inlineStr">
        <is>
          <t>SANDVIKEN</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13144-2023</t>
        </is>
      </c>
      <c r="B6538" s="1" t="n">
        <v>45002</v>
      </c>
      <c r="C6538" s="1" t="n">
        <v>45587</v>
      </c>
      <c r="D6538" t="inlineStr">
        <is>
          <t>GÄVLEBORGS LÄN</t>
        </is>
      </c>
      <c r="E6538" t="inlineStr">
        <is>
          <t>SÖDERHAMN</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13159-2023</t>
        </is>
      </c>
      <c r="B6539" s="1" t="n">
        <v>45002</v>
      </c>
      <c r="C6539" s="1" t="n">
        <v>45587</v>
      </c>
      <c r="D6539" t="inlineStr">
        <is>
          <t>GÄVLEBORGS LÄN</t>
        </is>
      </c>
      <c r="E6539" t="inlineStr">
        <is>
          <t>HUDIKSVALL</t>
        </is>
      </c>
      <c r="F6539" t="inlineStr">
        <is>
          <t>Holmen skog AB</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13163-2023</t>
        </is>
      </c>
      <c r="B6540" s="1" t="n">
        <v>45002</v>
      </c>
      <c r="C6540" s="1" t="n">
        <v>45587</v>
      </c>
      <c r="D6540" t="inlineStr">
        <is>
          <t>GÄVLEBORGS LÄN</t>
        </is>
      </c>
      <c r="E6540" t="inlineStr">
        <is>
          <t>SÖDERHAMN</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13167-2023</t>
        </is>
      </c>
      <c r="B6541" s="1" t="n">
        <v>45002</v>
      </c>
      <c r="C6541" s="1" t="n">
        <v>45587</v>
      </c>
      <c r="D6541" t="inlineStr">
        <is>
          <t>GÄVLEBORGS LÄN</t>
        </is>
      </c>
      <c r="E6541" t="inlineStr">
        <is>
          <t>SÖDERHAMN</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13324-2023</t>
        </is>
      </c>
      <c r="B6542" s="1" t="n">
        <v>45005</v>
      </c>
      <c r="C6542" s="1" t="n">
        <v>45587</v>
      </c>
      <c r="D6542" t="inlineStr">
        <is>
          <t>GÄVLEBORGS LÄN</t>
        </is>
      </c>
      <c r="E6542" t="inlineStr">
        <is>
          <t>HUDIKSVALL</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13365-2023</t>
        </is>
      </c>
      <c r="B6543" s="1" t="n">
        <v>45005</v>
      </c>
      <c r="C6543" s="1" t="n">
        <v>45587</v>
      </c>
      <c r="D6543" t="inlineStr">
        <is>
          <t>GÄVLEBORGS LÄN</t>
        </is>
      </c>
      <c r="E6543" t="inlineStr">
        <is>
          <t>OVANÅKER</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13484-2023</t>
        </is>
      </c>
      <c r="B6544" s="1" t="n">
        <v>45005</v>
      </c>
      <c r="C6544" s="1" t="n">
        <v>45587</v>
      </c>
      <c r="D6544" t="inlineStr">
        <is>
          <t>GÄVLEBORGS LÄN</t>
        </is>
      </c>
      <c r="E6544" t="inlineStr">
        <is>
          <t>HUDIKSVALL</t>
        </is>
      </c>
      <c r="G6544" t="n">
        <v>4.3</v>
      </c>
      <c r="H6544" t="n">
        <v>0</v>
      </c>
      <c r="I6544" t="n">
        <v>0</v>
      </c>
      <c r="J6544" t="n">
        <v>0</v>
      </c>
      <c r="K6544" t="n">
        <v>0</v>
      </c>
      <c r="L6544" t="n">
        <v>0</v>
      </c>
      <c r="M6544" t="n">
        <v>0</v>
      </c>
      <c r="N6544" t="n">
        <v>0</v>
      </c>
      <c r="O6544" t="n">
        <v>0</v>
      </c>
      <c r="P6544" t="n">
        <v>0</v>
      </c>
      <c r="Q6544" t="n">
        <v>0</v>
      </c>
      <c r="R6544" s="2" t="inlineStr"/>
    </row>
    <row r="6545" ht="15" customHeight="1">
      <c r="A6545" t="inlineStr">
        <is>
          <t>A 13345-2023</t>
        </is>
      </c>
      <c r="B6545" s="1" t="n">
        <v>45005</v>
      </c>
      <c r="C6545" s="1" t="n">
        <v>45587</v>
      </c>
      <c r="D6545" t="inlineStr">
        <is>
          <t>GÄVLEBORGS LÄN</t>
        </is>
      </c>
      <c r="E6545" t="inlineStr">
        <is>
          <t>LJUSDAL</t>
        </is>
      </c>
      <c r="F6545" t="inlineStr">
        <is>
          <t>Holmen skog AB</t>
        </is>
      </c>
      <c r="G6545" t="n">
        <v>17.8</v>
      </c>
      <c r="H6545" t="n">
        <v>0</v>
      </c>
      <c r="I6545" t="n">
        <v>0</v>
      </c>
      <c r="J6545" t="n">
        <v>0</v>
      </c>
      <c r="K6545" t="n">
        <v>0</v>
      </c>
      <c r="L6545" t="n">
        <v>0</v>
      </c>
      <c r="M6545" t="n">
        <v>0</v>
      </c>
      <c r="N6545" t="n">
        <v>0</v>
      </c>
      <c r="O6545" t="n">
        <v>0</v>
      </c>
      <c r="P6545" t="n">
        <v>0</v>
      </c>
      <c r="Q6545" t="n">
        <v>0</v>
      </c>
      <c r="R6545" s="2" t="inlineStr"/>
    </row>
    <row r="6546" ht="15" customHeight="1">
      <c r="A6546" t="inlineStr">
        <is>
          <t>A 13398-2023</t>
        </is>
      </c>
      <c r="B6546" s="1" t="n">
        <v>45005</v>
      </c>
      <c r="C6546" s="1" t="n">
        <v>45587</v>
      </c>
      <c r="D6546" t="inlineStr">
        <is>
          <t>GÄVLEBORGS LÄN</t>
        </is>
      </c>
      <c r="E6546" t="inlineStr">
        <is>
          <t>HUDIKSVALL</t>
        </is>
      </c>
      <c r="F6546" t="inlineStr">
        <is>
          <t>Holmen skog AB</t>
        </is>
      </c>
      <c r="G6546" t="n">
        <v>7.6</v>
      </c>
      <c r="H6546" t="n">
        <v>0</v>
      </c>
      <c r="I6546" t="n">
        <v>0</v>
      </c>
      <c r="J6546" t="n">
        <v>0</v>
      </c>
      <c r="K6546" t="n">
        <v>0</v>
      </c>
      <c r="L6546" t="n">
        <v>0</v>
      </c>
      <c r="M6546" t="n">
        <v>0</v>
      </c>
      <c r="N6546" t="n">
        <v>0</v>
      </c>
      <c r="O6546" t="n">
        <v>0</v>
      </c>
      <c r="P6546" t="n">
        <v>0</v>
      </c>
      <c r="Q6546" t="n">
        <v>0</v>
      </c>
      <c r="R6546" s="2" t="inlineStr"/>
    </row>
    <row r="6547" ht="15" customHeight="1">
      <c r="A6547" t="inlineStr">
        <is>
          <t>A 13500-2023</t>
        </is>
      </c>
      <c r="B6547" s="1" t="n">
        <v>45006</v>
      </c>
      <c r="C6547" s="1" t="n">
        <v>45587</v>
      </c>
      <c r="D6547" t="inlineStr">
        <is>
          <t>GÄVLEBORGS LÄN</t>
        </is>
      </c>
      <c r="E6547" t="inlineStr">
        <is>
          <t>GÄVLE</t>
        </is>
      </c>
      <c r="F6547" t="inlineStr">
        <is>
          <t>Bergvik skog öst AB</t>
        </is>
      </c>
      <c r="G6547" t="n">
        <v>10.6</v>
      </c>
      <c r="H6547" t="n">
        <v>0</v>
      </c>
      <c r="I6547" t="n">
        <v>0</v>
      </c>
      <c r="J6547" t="n">
        <v>0</v>
      </c>
      <c r="K6547" t="n">
        <v>0</v>
      </c>
      <c r="L6547" t="n">
        <v>0</v>
      </c>
      <c r="M6547" t="n">
        <v>0</v>
      </c>
      <c r="N6547" t="n">
        <v>0</v>
      </c>
      <c r="O6547" t="n">
        <v>0</v>
      </c>
      <c r="P6547" t="n">
        <v>0</v>
      </c>
      <c r="Q6547" t="n">
        <v>0</v>
      </c>
      <c r="R6547" s="2" t="inlineStr"/>
    </row>
    <row r="6548" ht="15" customHeight="1">
      <c r="A6548" t="inlineStr">
        <is>
          <t>A 13677-2023</t>
        </is>
      </c>
      <c r="B6548" s="1" t="n">
        <v>45006</v>
      </c>
      <c r="C6548" s="1" t="n">
        <v>45587</v>
      </c>
      <c r="D6548" t="inlineStr">
        <is>
          <t>GÄVLEBORGS LÄN</t>
        </is>
      </c>
      <c r="E6548" t="inlineStr">
        <is>
          <t>SÖDERHAMN</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13667-2023</t>
        </is>
      </c>
      <c r="B6549" s="1" t="n">
        <v>45006</v>
      </c>
      <c r="C6549" s="1" t="n">
        <v>45587</v>
      </c>
      <c r="D6549" t="inlineStr">
        <is>
          <t>GÄVLEBORGS LÄN</t>
        </is>
      </c>
      <c r="E6549" t="inlineStr">
        <is>
          <t>LJUSDAL</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13744-2023</t>
        </is>
      </c>
      <c r="B6550" s="1" t="n">
        <v>45007</v>
      </c>
      <c r="C6550" s="1" t="n">
        <v>45587</v>
      </c>
      <c r="D6550" t="inlineStr">
        <is>
          <t>GÄVLEBORGS LÄN</t>
        </is>
      </c>
      <c r="E6550" t="inlineStr">
        <is>
          <t>HOFORS</t>
        </is>
      </c>
      <c r="F6550" t="inlineStr">
        <is>
          <t>Övriga statliga verk och myndigheter</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13745-2023</t>
        </is>
      </c>
      <c r="B6551" s="1" t="n">
        <v>45007</v>
      </c>
      <c r="C6551" s="1" t="n">
        <v>45587</v>
      </c>
      <c r="D6551" t="inlineStr">
        <is>
          <t>GÄVLEBORGS LÄN</t>
        </is>
      </c>
      <c r="E6551" t="inlineStr">
        <is>
          <t>HOFORS</t>
        </is>
      </c>
      <c r="F6551" t="inlineStr">
        <is>
          <t>Övriga statliga verk och myndigheter</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13854-2023</t>
        </is>
      </c>
      <c r="B6552" s="1" t="n">
        <v>45007</v>
      </c>
      <c r="C6552" s="1" t="n">
        <v>45587</v>
      </c>
      <c r="D6552" t="inlineStr">
        <is>
          <t>GÄVLEBORGS LÄN</t>
        </is>
      </c>
      <c r="E6552" t="inlineStr">
        <is>
          <t>LJUSDAL</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14016-2023</t>
        </is>
      </c>
      <c r="B6553" s="1" t="n">
        <v>45008</v>
      </c>
      <c r="C6553" s="1" t="n">
        <v>45587</v>
      </c>
      <c r="D6553" t="inlineStr">
        <is>
          <t>GÄVLEBORGS LÄN</t>
        </is>
      </c>
      <c r="E6553" t="inlineStr">
        <is>
          <t>HUDIKSVALL</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14029-2023</t>
        </is>
      </c>
      <c r="B6554" s="1" t="n">
        <v>45008</v>
      </c>
      <c r="C6554" s="1" t="n">
        <v>45587</v>
      </c>
      <c r="D6554" t="inlineStr">
        <is>
          <t>GÄVLEBORGS LÄN</t>
        </is>
      </c>
      <c r="E6554" t="inlineStr">
        <is>
          <t>SÖDERHAMN</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14036-2023</t>
        </is>
      </c>
      <c r="B6555" s="1" t="n">
        <v>45008</v>
      </c>
      <c r="C6555" s="1" t="n">
        <v>45587</v>
      </c>
      <c r="D6555" t="inlineStr">
        <is>
          <t>GÄVLEBORGS LÄN</t>
        </is>
      </c>
      <c r="E6555" t="inlineStr">
        <is>
          <t>LJUSDAL</t>
        </is>
      </c>
      <c r="F6555" t="inlineStr">
        <is>
          <t>Holmen skog AB</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14050-2023</t>
        </is>
      </c>
      <c r="B6556" s="1" t="n">
        <v>45008</v>
      </c>
      <c r="C6556" s="1" t="n">
        <v>45587</v>
      </c>
      <c r="D6556" t="inlineStr">
        <is>
          <t>GÄVLEBORGS LÄN</t>
        </is>
      </c>
      <c r="E6556" t="inlineStr">
        <is>
          <t>BOLLNÄS</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14155-2023</t>
        </is>
      </c>
      <c r="B6557" s="1" t="n">
        <v>45009</v>
      </c>
      <c r="C6557" s="1" t="n">
        <v>45587</v>
      </c>
      <c r="D6557" t="inlineStr">
        <is>
          <t>GÄVLEBORGS LÄN</t>
        </is>
      </c>
      <c r="E6557" t="inlineStr">
        <is>
          <t>GÄVLE</t>
        </is>
      </c>
      <c r="F6557" t="inlineStr">
        <is>
          <t>Bergvik skog öst AB</t>
        </is>
      </c>
      <c r="G6557" t="n">
        <v>8.4</v>
      </c>
      <c r="H6557" t="n">
        <v>0</v>
      </c>
      <c r="I6557" t="n">
        <v>0</v>
      </c>
      <c r="J6557" t="n">
        <v>0</v>
      </c>
      <c r="K6557" t="n">
        <v>0</v>
      </c>
      <c r="L6557" t="n">
        <v>0</v>
      </c>
      <c r="M6557" t="n">
        <v>0</v>
      </c>
      <c r="N6557" t="n">
        <v>0</v>
      </c>
      <c r="O6557" t="n">
        <v>0</v>
      </c>
      <c r="P6557" t="n">
        <v>0</v>
      </c>
      <c r="Q6557" t="n">
        <v>0</v>
      </c>
      <c r="R6557" s="2" t="inlineStr"/>
    </row>
    <row r="6558" ht="15" customHeight="1">
      <c r="A6558" t="inlineStr">
        <is>
          <t>A 14240-2023</t>
        </is>
      </c>
      <c r="B6558" s="1" t="n">
        <v>45009</v>
      </c>
      <c r="C6558" s="1" t="n">
        <v>45587</v>
      </c>
      <c r="D6558" t="inlineStr">
        <is>
          <t>GÄVLEBORGS LÄN</t>
        </is>
      </c>
      <c r="E6558" t="inlineStr">
        <is>
          <t>OVANÅKER</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14238-2023</t>
        </is>
      </c>
      <c r="B6559" s="1" t="n">
        <v>45009</v>
      </c>
      <c r="C6559" s="1" t="n">
        <v>45587</v>
      </c>
      <c r="D6559" t="inlineStr">
        <is>
          <t>GÄVLEBORGS LÄN</t>
        </is>
      </c>
      <c r="E6559" t="inlineStr">
        <is>
          <t>OVANÅKER</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14259-2023</t>
        </is>
      </c>
      <c r="B6560" s="1" t="n">
        <v>45009</v>
      </c>
      <c r="C6560" s="1" t="n">
        <v>45587</v>
      </c>
      <c r="D6560" t="inlineStr">
        <is>
          <t>GÄVLEBORGS LÄN</t>
        </is>
      </c>
      <c r="E6560" t="inlineStr">
        <is>
          <t>BOLLNÄS</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14384-2023</t>
        </is>
      </c>
      <c r="B6561" s="1" t="n">
        <v>45012</v>
      </c>
      <c r="C6561" s="1" t="n">
        <v>45587</v>
      </c>
      <c r="D6561" t="inlineStr">
        <is>
          <t>GÄVLEBORGS LÄN</t>
        </is>
      </c>
      <c r="E6561" t="inlineStr">
        <is>
          <t>HUDIKSVALL</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14473-2023</t>
        </is>
      </c>
      <c r="B6562" s="1" t="n">
        <v>45012</v>
      </c>
      <c r="C6562" s="1" t="n">
        <v>45587</v>
      </c>
      <c r="D6562" t="inlineStr">
        <is>
          <t>GÄVLEBORGS LÄN</t>
        </is>
      </c>
      <c r="E6562" t="inlineStr">
        <is>
          <t>LJUSDAL</t>
        </is>
      </c>
      <c r="F6562" t="inlineStr">
        <is>
          <t>Kyrkan</t>
        </is>
      </c>
      <c r="G6562" t="n">
        <v>5.1</v>
      </c>
      <c r="H6562" t="n">
        <v>0</v>
      </c>
      <c r="I6562" t="n">
        <v>0</v>
      </c>
      <c r="J6562" t="n">
        <v>0</v>
      </c>
      <c r="K6562" t="n">
        <v>0</v>
      </c>
      <c r="L6562" t="n">
        <v>0</v>
      </c>
      <c r="M6562" t="n">
        <v>0</v>
      </c>
      <c r="N6562" t="n">
        <v>0</v>
      </c>
      <c r="O6562" t="n">
        <v>0</v>
      </c>
      <c r="P6562" t="n">
        <v>0</v>
      </c>
      <c r="Q6562" t="n">
        <v>0</v>
      </c>
      <c r="R6562" s="2" t="inlineStr"/>
    </row>
    <row r="6563" ht="15" customHeight="1">
      <c r="A6563" t="inlineStr">
        <is>
          <t>A 14479-2023</t>
        </is>
      </c>
      <c r="B6563" s="1" t="n">
        <v>45012</v>
      </c>
      <c r="C6563" s="1" t="n">
        <v>45587</v>
      </c>
      <c r="D6563" t="inlineStr">
        <is>
          <t>GÄVLEBORGS LÄN</t>
        </is>
      </c>
      <c r="E6563" t="inlineStr">
        <is>
          <t>LJUSDAL</t>
        </is>
      </c>
      <c r="F6563" t="inlineStr">
        <is>
          <t>Kyrkan</t>
        </is>
      </c>
      <c r="G6563" t="n">
        <v>27.5</v>
      </c>
      <c r="H6563" t="n">
        <v>0</v>
      </c>
      <c r="I6563" t="n">
        <v>0</v>
      </c>
      <c r="J6563" t="n">
        <v>0</v>
      </c>
      <c r="K6563" t="n">
        <v>0</v>
      </c>
      <c r="L6563" t="n">
        <v>0</v>
      </c>
      <c r="M6563" t="n">
        <v>0</v>
      </c>
      <c r="N6563" t="n">
        <v>0</v>
      </c>
      <c r="O6563" t="n">
        <v>0</v>
      </c>
      <c r="P6563" t="n">
        <v>0</v>
      </c>
      <c r="Q6563" t="n">
        <v>0</v>
      </c>
      <c r="R6563" s="2" t="inlineStr"/>
    </row>
    <row r="6564" ht="15" customHeight="1">
      <c r="A6564" t="inlineStr">
        <is>
          <t>A 14498-2023</t>
        </is>
      </c>
      <c r="B6564" s="1" t="n">
        <v>45012</v>
      </c>
      <c r="C6564" s="1" t="n">
        <v>45587</v>
      </c>
      <c r="D6564" t="inlineStr">
        <is>
          <t>GÄVLEBORGS LÄN</t>
        </is>
      </c>
      <c r="E6564" t="inlineStr">
        <is>
          <t>SÖDERHAMN</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14423-2023</t>
        </is>
      </c>
      <c r="B6565" s="1" t="n">
        <v>45012</v>
      </c>
      <c r="C6565" s="1" t="n">
        <v>45587</v>
      </c>
      <c r="D6565" t="inlineStr">
        <is>
          <t>GÄVLEBORGS LÄN</t>
        </is>
      </c>
      <c r="E6565" t="inlineStr">
        <is>
          <t>BOLLNÄS</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14472-2023</t>
        </is>
      </c>
      <c r="B6566" s="1" t="n">
        <v>45012</v>
      </c>
      <c r="C6566" s="1" t="n">
        <v>45587</v>
      </c>
      <c r="D6566" t="inlineStr">
        <is>
          <t>GÄVLEBORGS LÄN</t>
        </is>
      </c>
      <c r="E6566" t="inlineStr">
        <is>
          <t>SANDVIKEN</t>
        </is>
      </c>
      <c r="F6566" t="inlineStr">
        <is>
          <t>Kommuner</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14401-2023</t>
        </is>
      </c>
      <c r="B6567" s="1" t="n">
        <v>45012</v>
      </c>
      <c r="C6567" s="1" t="n">
        <v>45587</v>
      </c>
      <c r="D6567" t="inlineStr">
        <is>
          <t>GÄVLEBORGS LÄN</t>
        </is>
      </c>
      <c r="E6567" t="inlineStr">
        <is>
          <t>HUDIKSVALL</t>
        </is>
      </c>
      <c r="F6567" t="inlineStr">
        <is>
          <t>Holmen skog AB</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14411-2023</t>
        </is>
      </c>
      <c r="B6568" s="1" t="n">
        <v>45012</v>
      </c>
      <c r="C6568" s="1" t="n">
        <v>45587</v>
      </c>
      <c r="D6568" t="inlineStr">
        <is>
          <t>GÄVLEBORGS LÄN</t>
        </is>
      </c>
      <c r="E6568" t="inlineStr">
        <is>
          <t>GÄVLE</t>
        </is>
      </c>
      <c r="F6568" t="inlineStr">
        <is>
          <t>Bergvik skog öst AB</t>
        </is>
      </c>
      <c r="G6568" t="n">
        <v>13.6</v>
      </c>
      <c r="H6568" t="n">
        <v>0</v>
      </c>
      <c r="I6568" t="n">
        <v>0</v>
      </c>
      <c r="J6568" t="n">
        <v>0</v>
      </c>
      <c r="K6568" t="n">
        <v>0</v>
      </c>
      <c r="L6568" t="n">
        <v>0</v>
      </c>
      <c r="M6568" t="n">
        <v>0</v>
      </c>
      <c r="N6568" t="n">
        <v>0</v>
      </c>
      <c r="O6568" t="n">
        <v>0</v>
      </c>
      <c r="P6568" t="n">
        <v>0</v>
      </c>
      <c r="Q6568" t="n">
        <v>0</v>
      </c>
      <c r="R6568" s="2" t="inlineStr"/>
    </row>
    <row r="6569" ht="15" customHeight="1">
      <c r="A6569" t="inlineStr">
        <is>
          <t>A 14426-2023</t>
        </is>
      </c>
      <c r="B6569" s="1" t="n">
        <v>45012</v>
      </c>
      <c r="C6569" s="1" t="n">
        <v>45587</v>
      </c>
      <c r="D6569" t="inlineStr">
        <is>
          <t>GÄVLEBORGS LÄN</t>
        </is>
      </c>
      <c r="E6569" t="inlineStr">
        <is>
          <t>GÄVLE</t>
        </is>
      </c>
      <c r="F6569" t="inlineStr">
        <is>
          <t>Bergvik skog öst AB</t>
        </is>
      </c>
      <c r="G6569" t="n">
        <v>5.1</v>
      </c>
      <c r="H6569" t="n">
        <v>0</v>
      </c>
      <c r="I6569" t="n">
        <v>0</v>
      </c>
      <c r="J6569" t="n">
        <v>0</v>
      </c>
      <c r="K6569" t="n">
        <v>0</v>
      </c>
      <c r="L6569" t="n">
        <v>0</v>
      </c>
      <c r="M6569" t="n">
        <v>0</v>
      </c>
      <c r="N6569" t="n">
        <v>0</v>
      </c>
      <c r="O6569" t="n">
        <v>0</v>
      </c>
      <c r="P6569" t="n">
        <v>0</v>
      </c>
      <c r="Q6569" t="n">
        <v>0</v>
      </c>
      <c r="R6569" s="2" t="inlineStr"/>
    </row>
    <row r="6570" ht="15" customHeight="1">
      <c r="A6570" t="inlineStr">
        <is>
          <t>A 14623-2023</t>
        </is>
      </c>
      <c r="B6570" s="1" t="n">
        <v>45013</v>
      </c>
      <c r="C6570" s="1" t="n">
        <v>45587</v>
      </c>
      <c r="D6570" t="inlineStr">
        <is>
          <t>GÄVLEBORGS LÄN</t>
        </is>
      </c>
      <c r="E6570" t="inlineStr">
        <is>
          <t>BOLLNÄS</t>
        </is>
      </c>
      <c r="G6570" t="n">
        <v>5.3</v>
      </c>
      <c r="H6570" t="n">
        <v>0</v>
      </c>
      <c r="I6570" t="n">
        <v>0</v>
      </c>
      <c r="J6570" t="n">
        <v>0</v>
      </c>
      <c r="K6570" t="n">
        <v>0</v>
      </c>
      <c r="L6570" t="n">
        <v>0</v>
      </c>
      <c r="M6570" t="n">
        <v>0</v>
      </c>
      <c r="N6570" t="n">
        <v>0</v>
      </c>
      <c r="O6570" t="n">
        <v>0</v>
      </c>
      <c r="P6570" t="n">
        <v>0</v>
      </c>
      <c r="Q6570" t="n">
        <v>0</v>
      </c>
      <c r="R6570" s="2" t="inlineStr"/>
    </row>
    <row r="6571" ht="15" customHeight="1">
      <c r="A6571" t="inlineStr">
        <is>
          <t>A 14664-2023</t>
        </is>
      </c>
      <c r="B6571" s="1" t="n">
        <v>45014</v>
      </c>
      <c r="C6571" s="1" t="n">
        <v>45587</v>
      </c>
      <c r="D6571" t="inlineStr">
        <is>
          <t>GÄVLEBORGS LÄN</t>
        </is>
      </c>
      <c r="E6571" t="inlineStr">
        <is>
          <t>LJUSDAL</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14681-2023</t>
        </is>
      </c>
      <c r="B6572" s="1" t="n">
        <v>45014</v>
      </c>
      <c r="C6572" s="1" t="n">
        <v>45587</v>
      </c>
      <c r="D6572" t="inlineStr">
        <is>
          <t>GÄVLEBORGS LÄN</t>
        </is>
      </c>
      <c r="E6572" t="inlineStr">
        <is>
          <t>BOLLNÄS</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14707-2023</t>
        </is>
      </c>
      <c r="B6573" s="1" t="n">
        <v>45014</v>
      </c>
      <c r="C6573" s="1" t="n">
        <v>45587</v>
      </c>
      <c r="D6573" t="inlineStr">
        <is>
          <t>GÄVLEBORGS LÄN</t>
        </is>
      </c>
      <c r="E6573" t="inlineStr">
        <is>
          <t>HUDIKSVALL</t>
        </is>
      </c>
      <c r="F6573" t="inlineStr">
        <is>
          <t>Holmen skog AB</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14796-2023</t>
        </is>
      </c>
      <c r="B6574" s="1" t="n">
        <v>45014</v>
      </c>
      <c r="C6574" s="1" t="n">
        <v>45587</v>
      </c>
      <c r="D6574" t="inlineStr">
        <is>
          <t>GÄVLEBORGS LÄN</t>
        </is>
      </c>
      <c r="E6574" t="inlineStr">
        <is>
          <t>HUDIKSVALL</t>
        </is>
      </c>
      <c r="F6574" t="inlineStr">
        <is>
          <t>Holmen skog AB</t>
        </is>
      </c>
      <c r="G6574" t="n">
        <v>10.4</v>
      </c>
      <c r="H6574" t="n">
        <v>0</v>
      </c>
      <c r="I6574" t="n">
        <v>0</v>
      </c>
      <c r="J6574" t="n">
        <v>0</v>
      </c>
      <c r="K6574" t="n">
        <v>0</v>
      </c>
      <c r="L6574" t="n">
        <v>0</v>
      </c>
      <c r="M6574" t="n">
        <v>0</v>
      </c>
      <c r="N6574" t="n">
        <v>0</v>
      </c>
      <c r="O6574" t="n">
        <v>0</v>
      </c>
      <c r="P6574" t="n">
        <v>0</v>
      </c>
      <c r="Q6574" t="n">
        <v>0</v>
      </c>
      <c r="R6574" s="2" t="inlineStr"/>
    </row>
    <row r="6575" ht="15" customHeight="1">
      <c r="A6575" t="inlineStr">
        <is>
          <t>A 14807-2023</t>
        </is>
      </c>
      <c r="B6575" s="1" t="n">
        <v>45014</v>
      </c>
      <c r="C6575" s="1" t="n">
        <v>45587</v>
      </c>
      <c r="D6575" t="inlineStr">
        <is>
          <t>GÄVLEBORGS LÄN</t>
        </is>
      </c>
      <c r="E6575" t="inlineStr">
        <is>
          <t>GÄVLE</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14850-2023</t>
        </is>
      </c>
      <c r="B6576" s="1" t="n">
        <v>45014</v>
      </c>
      <c r="C6576" s="1" t="n">
        <v>45587</v>
      </c>
      <c r="D6576" t="inlineStr">
        <is>
          <t>GÄVLEBORGS LÄN</t>
        </is>
      </c>
      <c r="E6576" t="inlineStr">
        <is>
          <t>GÄVLE</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14783-2023</t>
        </is>
      </c>
      <c r="B6577" s="1" t="n">
        <v>45014</v>
      </c>
      <c r="C6577" s="1" t="n">
        <v>45587</v>
      </c>
      <c r="D6577" t="inlineStr">
        <is>
          <t>GÄVLEBORGS LÄN</t>
        </is>
      </c>
      <c r="E6577" t="inlineStr">
        <is>
          <t>HUDIKSVALL</t>
        </is>
      </c>
      <c r="F6577" t="inlineStr">
        <is>
          <t>Holmen skog AB</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14792-2023</t>
        </is>
      </c>
      <c r="B6578" s="1" t="n">
        <v>45014</v>
      </c>
      <c r="C6578" s="1" t="n">
        <v>45587</v>
      </c>
      <c r="D6578" t="inlineStr">
        <is>
          <t>GÄVLEBORGS LÄN</t>
        </is>
      </c>
      <c r="E6578" t="inlineStr">
        <is>
          <t>GÄVLE</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14801-2023</t>
        </is>
      </c>
      <c r="B6579" s="1" t="n">
        <v>45014</v>
      </c>
      <c r="C6579" s="1" t="n">
        <v>45587</v>
      </c>
      <c r="D6579" t="inlineStr">
        <is>
          <t>GÄVLEBORGS LÄN</t>
        </is>
      </c>
      <c r="E6579" t="inlineStr">
        <is>
          <t>GÄVLE</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14811-2023</t>
        </is>
      </c>
      <c r="B6580" s="1" t="n">
        <v>45014</v>
      </c>
      <c r="C6580" s="1" t="n">
        <v>45587</v>
      </c>
      <c r="D6580" t="inlineStr">
        <is>
          <t>GÄVLEBORGS LÄN</t>
        </is>
      </c>
      <c r="E6580" t="inlineStr">
        <is>
          <t>HOFORS</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14912-2023</t>
        </is>
      </c>
      <c r="B6581" s="1" t="n">
        <v>45014</v>
      </c>
      <c r="C6581" s="1" t="n">
        <v>45587</v>
      </c>
      <c r="D6581" t="inlineStr">
        <is>
          <t>GÄVLEBORGS LÄN</t>
        </is>
      </c>
      <c r="E6581" t="inlineStr">
        <is>
          <t>BOLLNÄS</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14910-2023</t>
        </is>
      </c>
      <c r="B6582" s="1" t="n">
        <v>45015</v>
      </c>
      <c r="C6582" s="1" t="n">
        <v>45587</v>
      </c>
      <c r="D6582" t="inlineStr">
        <is>
          <t>GÄVLEBORGS LÄN</t>
        </is>
      </c>
      <c r="E6582" t="inlineStr">
        <is>
          <t>SANDVIKEN</t>
        </is>
      </c>
      <c r="F6582" t="inlineStr">
        <is>
          <t>Bergvik skog öst AB</t>
        </is>
      </c>
      <c r="G6582" t="n">
        <v>26.7</v>
      </c>
      <c r="H6582" t="n">
        <v>0</v>
      </c>
      <c r="I6582" t="n">
        <v>0</v>
      </c>
      <c r="J6582" t="n">
        <v>0</v>
      </c>
      <c r="K6582" t="n">
        <v>0</v>
      </c>
      <c r="L6582" t="n">
        <v>0</v>
      </c>
      <c r="M6582" t="n">
        <v>0</v>
      </c>
      <c r="N6582" t="n">
        <v>0</v>
      </c>
      <c r="O6582" t="n">
        <v>0</v>
      </c>
      <c r="P6582" t="n">
        <v>0</v>
      </c>
      <c r="Q6582" t="n">
        <v>0</v>
      </c>
      <c r="R6582" s="2" t="inlineStr"/>
    </row>
    <row r="6583" ht="15" customHeight="1">
      <c r="A6583" t="inlineStr">
        <is>
          <t>A 14919-2023</t>
        </is>
      </c>
      <c r="B6583" s="1" t="n">
        <v>45015</v>
      </c>
      <c r="C6583" s="1" t="n">
        <v>45587</v>
      </c>
      <c r="D6583" t="inlineStr">
        <is>
          <t>GÄVLEBORGS LÄN</t>
        </is>
      </c>
      <c r="E6583" t="inlineStr">
        <is>
          <t>SANDVIKEN</t>
        </is>
      </c>
      <c r="F6583" t="inlineStr">
        <is>
          <t>Bergvik skog öst AB</t>
        </is>
      </c>
      <c r="G6583" t="n">
        <v>5.5</v>
      </c>
      <c r="H6583" t="n">
        <v>0</v>
      </c>
      <c r="I6583" t="n">
        <v>0</v>
      </c>
      <c r="J6583" t="n">
        <v>0</v>
      </c>
      <c r="K6583" t="n">
        <v>0</v>
      </c>
      <c r="L6583" t="n">
        <v>0</v>
      </c>
      <c r="M6583" t="n">
        <v>0</v>
      </c>
      <c r="N6583" t="n">
        <v>0</v>
      </c>
      <c r="O6583" t="n">
        <v>0</v>
      </c>
      <c r="P6583" t="n">
        <v>0</v>
      </c>
      <c r="Q6583" t="n">
        <v>0</v>
      </c>
      <c r="R6583" s="2" t="inlineStr"/>
    </row>
    <row r="6584" ht="15" customHeight="1">
      <c r="A6584" t="inlineStr">
        <is>
          <t>A 14957-2023</t>
        </is>
      </c>
      <c r="B6584" s="1" t="n">
        <v>45015</v>
      </c>
      <c r="C6584" s="1" t="n">
        <v>45587</v>
      </c>
      <c r="D6584" t="inlineStr">
        <is>
          <t>GÄVLEBORGS LÄN</t>
        </is>
      </c>
      <c r="E6584" t="inlineStr">
        <is>
          <t>GÄVLE</t>
        </is>
      </c>
      <c r="F6584" t="inlineStr">
        <is>
          <t>Bergvik skog öst AB</t>
        </is>
      </c>
      <c r="G6584" t="n">
        <v>6.2</v>
      </c>
      <c r="H6584" t="n">
        <v>0</v>
      </c>
      <c r="I6584" t="n">
        <v>0</v>
      </c>
      <c r="J6584" t="n">
        <v>0</v>
      </c>
      <c r="K6584" t="n">
        <v>0</v>
      </c>
      <c r="L6584" t="n">
        <v>0</v>
      </c>
      <c r="M6584" t="n">
        <v>0</v>
      </c>
      <c r="N6584" t="n">
        <v>0</v>
      </c>
      <c r="O6584" t="n">
        <v>0</v>
      </c>
      <c r="P6584" t="n">
        <v>0</v>
      </c>
      <c r="Q6584" t="n">
        <v>0</v>
      </c>
      <c r="R6584" s="2" t="inlineStr"/>
    </row>
    <row r="6585" ht="15" customHeight="1">
      <c r="A6585" t="inlineStr">
        <is>
          <t>A 14955-2023</t>
        </is>
      </c>
      <c r="B6585" s="1" t="n">
        <v>45015</v>
      </c>
      <c r="C6585" s="1" t="n">
        <v>45587</v>
      </c>
      <c r="D6585" t="inlineStr">
        <is>
          <t>GÄVLEBORGS LÄN</t>
        </is>
      </c>
      <c r="E6585" t="inlineStr">
        <is>
          <t>HUDIKSVALL</t>
        </is>
      </c>
      <c r="G6585" t="n">
        <v>9.699999999999999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14964-2023</t>
        </is>
      </c>
      <c r="B6586" s="1" t="n">
        <v>45015</v>
      </c>
      <c r="C6586" s="1" t="n">
        <v>45587</v>
      </c>
      <c r="D6586" t="inlineStr">
        <is>
          <t>GÄVLEBORGS LÄN</t>
        </is>
      </c>
      <c r="E6586" t="inlineStr">
        <is>
          <t>GÄVLE</t>
        </is>
      </c>
      <c r="F6586" t="inlineStr">
        <is>
          <t>Bergvik skog öst AB</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15001-2023</t>
        </is>
      </c>
      <c r="B6587" s="1" t="n">
        <v>45015</v>
      </c>
      <c r="C6587" s="1" t="n">
        <v>45587</v>
      </c>
      <c r="D6587" t="inlineStr">
        <is>
          <t>GÄVLEBORGS LÄN</t>
        </is>
      </c>
      <c r="E6587" t="inlineStr">
        <is>
          <t>GÄVLE</t>
        </is>
      </c>
      <c r="F6587" t="inlineStr">
        <is>
          <t>Bergvik skog öst AB</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15015-2023</t>
        </is>
      </c>
      <c r="B6588" s="1" t="n">
        <v>45015</v>
      </c>
      <c r="C6588" s="1" t="n">
        <v>45587</v>
      </c>
      <c r="D6588" t="inlineStr">
        <is>
          <t>GÄVLEBORGS LÄN</t>
        </is>
      </c>
      <c r="E6588" t="inlineStr">
        <is>
          <t>LJUSDAL</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14994-2023</t>
        </is>
      </c>
      <c r="B6589" s="1" t="n">
        <v>45015</v>
      </c>
      <c r="C6589" s="1" t="n">
        <v>45587</v>
      </c>
      <c r="D6589" t="inlineStr">
        <is>
          <t>GÄVLEBORGS LÄN</t>
        </is>
      </c>
      <c r="E6589" t="inlineStr">
        <is>
          <t>GÄVLE</t>
        </is>
      </c>
      <c r="F6589" t="inlineStr">
        <is>
          <t>Bergvik skog öst AB</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15004-2023</t>
        </is>
      </c>
      <c r="B6590" s="1" t="n">
        <v>45015</v>
      </c>
      <c r="C6590" s="1" t="n">
        <v>45587</v>
      </c>
      <c r="D6590" t="inlineStr">
        <is>
          <t>GÄVLEBORGS LÄN</t>
        </is>
      </c>
      <c r="E6590" t="inlineStr">
        <is>
          <t>HUDIKSVALL</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14989-2023</t>
        </is>
      </c>
      <c r="B6591" s="1" t="n">
        <v>45015</v>
      </c>
      <c r="C6591" s="1" t="n">
        <v>45587</v>
      </c>
      <c r="D6591" t="inlineStr">
        <is>
          <t>GÄVLEBORGS LÄN</t>
        </is>
      </c>
      <c r="E6591" t="inlineStr">
        <is>
          <t>GÄVLE</t>
        </is>
      </c>
      <c r="F6591" t="inlineStr">
        <is>
          <t>Bergvik skog öst AB</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15074-2023</t>
        </is>
      </c>
      <c r="B6592" s="1" t="n">
        <v>45016</v>
      </c>
      <c r="C6592" s="1" t="n">
        <v>45587</v>
      </c>
      <c r="D6592" t="inlineStr">
        <is>
          <t>GÄVLEBORGS LÄN</t>
        </is>
      </c>
      <c r="E6592" t="inlineStr">
        <is>
          <t>SÖDERHAMN</t>
        </is>
      </c>
      <c r="G6592" t="n">
        <v>11.7</v>
      </c>
      <c r="H6592" t="n">
        <v>0</v>
      </c>
      <c r="I6592" t="n">
        <v>0</v>
      </c>
      <c r="J6592" t="n">
        <v>0</v>
      </c>
      <c r="K6592" t="n">
        <v>0</v>
      </c>
      <c r="L6592" t="n">
        <v>0</v>
      </c>
      <c r="M6592" t="n">
        <v>0</v>
      </c>
      <c r="N6592" t="n">
        <v>0</v>
      </c>
      <c r="O6592" t="n">
        <v>0</v>
      </c>
      <c r="P6592" t="n">
        <v>0</v>
      </c>
      <c r="Q6592" t="n">
        <v>0</v>
      </c>
      <c r="R6592" s="2" t="inlineStr"/>
    </row>
    <row r="6593" ht="15" customHeight="1">
      <c r="A6593" t="inlineStr">
        <is>
          <t>A 15146-2023</t>
        </is>
      </c>
      <c r="B6593" s="1" t="n">
        <v>45016</v>
      </c>
      <c r="C6593" s="1" t="n">
        <v>45587</v>
      </c>
      <c r="D6593" t="inlineStr">
        <is>
          <t>GÄVLEBORGS LÄN</t>
        </is>
      </c>
      <c r="E6593" t="inlineStr">
        <is>
          <t>BOLLNÄS</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15096-2023</t>
        </is>
      </c>
      <c r="B6594" s="1" t="n">
        <v>45016</v>
      </c>
      <c r="C6594" s="1" t="n">
        <v>45587</v>
      </c>
      <c r="D6594" t="inlineStr">
        <is>
          <t>GÄVLEBORGS LÄN</t>
        </is>
      </c>
      <c r="E6594" t="inlineStr">
        <is>
          <t>BOLLNÄS</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15142-2023</t>
        </is>
      </c>
      <c r="B6595" s="1" t="n">
        <v>45016</v>
      </c>
      <c r="C6595" s="1" t="n">
        <v>45587</v>
      </c>
      <c r="D6595" t="inlineStr">
        <is>
          <t>GÄVLEBORGS LÄN</t>
        </is>
      </c>
      <c r="E6595" t="inlineStr">
        <is>
          <t>BOLLNÄS</t>
        </is>
      </c>
      <c r="G6595" t="n">
        <v>4.7</v>
      </c>
      <c r="H6595" t="n">
        <v>0</v>
      </c>
      <c r="I6595" t="n">
        <v>0</v>
      </c>
      <c r="J6595" t="n">
        <v>0</v>
      </c>
      <c r="K6595" t="n">
        <v>0</v>
      </c>
      <c r="L6595" t="n">
        <v>0</v>
      </c>
      <c r="M6595" t="n">
        <v>0</v>
      </c>
      <c r="N6595" t="n">
        <v>0</v>
      </c>
      <c r="O6595" t="n">
        <v>0</v>
      </c>
      <c r="P6595" t="n">
        <v>0</v>
      </c>
      <c r="Q6595" t="n">
        <v>0</v>
      </c>
      <c r="R6595" s="2" t="inlineStr"/>
    </row>
    <row r="6596" ht="15" customHeight="1">
      <c r="A6596" t="inlineStr">
        <is>
          <t>A 15147-2023</t>
        </is>
      </c>
      <c r="B6596" s="1" t="n">
        <v>45016</v>
      </c>
      <c r="C6596" s="1" t="n">
        <v>45587</v>
      </c>
      <c r="D6596" t="inlineStr">
        <is>
          <t>GÄVLEBORGS LÄN</t>
        </is>
      </c>
      <c r="E6596" t="inlineStr">
        <is>
          <t>BOLLNÄS</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15102-2023</t>
        </is>
      </c>
      <c r="B6597" s="1" t="n">
        <v>45016</v>
      </c>
      <c r="C6597" s="1" t="n">
        <v>45587</v>
      </c>
      <c r="D6597" t="inlineStr">
        <is>
          <t>GÄVLEBORGS LÄN</t>
        </is>
      </c>
      <c r="E6597" t="inlineStr">
        <is>
          <t>BOLLNÄS</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15107-2023</t>
        </is>
      </c>
      <c r="B6598" s="1" t="n">
        <v>45016</v>
      </c>
      <c r="C6598" s="1" t="n">
        <v>45587</v>
      </c>
      <c r="D6598" t="inlineStr">
        <is>
          <t>GÄVLEBORGS LÄN</t>
        </is>
      </c>
      <c r="E6598" t="inlineStr">
        <is>
          <t>HUDIKSVALL</t>
        </is>
      </c>
      <c r="G6598" t="n">
        <v>7.8</v>
      </c>
      <c r="H6598" t="n">
        <v>0</v>
      </c>
      <c r="I6598" t="n">
        <v>0</v>
      </c>
      <c r="J6598" t="n">
        <v>0</v>
      </c>
      <c r="K6598" t="n">
        <v>0</v>
      </c>
      <c r="L6598" t="n">
        <v>0</v>
      </c>
      <c r="M6598" t="n">
        <v>0</v>
      </c>
      <c r="N6598" t="n">
        <v>0</v>
      </c>
      <c r="O6598" t="n">
        <v>0</v>
      </c>
      <c r="P6598" t="n">
        <v>0</v>
      </c>
      <c r="Q6598" t="n">
        <v>0</v>
      </c>
      <c r="R6598" s="2" t="inlineStr"/>
    </row>
    <row r="6599" ht="15" customHeight="1">
      <c r="A6599" t="inlineStr">
        <is>
          <t>A 15123-2023</t>
        </is>
      </c>
      <c r="B6599" s="1" t="n">
        <v>45016</v>
      </c>
      <c r="C6599" s="1" t="n">
        <v>45587</v>
      </c>
      <c r="D6599" t="inlineStr">
        <is>
          <t>GÄVLEBORGS LÄN</t>
        </is>
      </c>
      <c r="E6599" t="inlineStr">
        <is>
          <t>NORDANSTIG</t>
        </is>
      </c>
      <c r="G6599" t="n">
        <v>4.5</v>
      </c>
      <c r="H6599" t="n">
        <v>0</v>
      </c>
      <c r="I6599" t="n">
        <v>0</v>
      </c>
      <c r="J6599" t="n">
        <v>0</v>
      </c>
      <c r="K6599" t="n">
        <v>0</v>
      </c>
      <c r="L6599" t="n">
        <v>0</v>
      </c>
      <c r="M6599" t="n">
        <v>0</v>
      </c>
      <c r="N6599" t="n">
        <v>0</v>
      </c>
      <c r="O6599" t="n">
        <v>0</v>
      </c>
      <c r="P6599" t="n">
        <v>0</v>
      </c>
      <c r="Q6599" t="n">
        <v>0</v>
      </c>
      <c r="R6599" s="2" t="inlineStr"/>
    </row>
    <row r="6600" ht="15" customHeight="1">
      <c r="A6600" t="inlineStr">
        <is>
          <t>A 15148-2023</t>
        </is>
      </c>
      <c r="B6600" s="1" t="n">
        <v>45016</v>
      </c>
      <c r="C6600" s="1" t="n">
        <v>45587</v>
      </c>
      <c r="D6600" t="inlineStr">
        <is>
          <t>GÄVLEBORGS LÄN</t>
        </is>
      </c>
      <c r="E6600" t="inlineStr">
        <is>
          <t>BOLLNÄS</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15138-2023</t>
        </is>
      </c>
      <c r="B6601" s="1" t="n">
        <v>45016</v>
      </c>
      <c r="C6601" s="1" t="n">
        <v>45587</v>
      </c>
      <c r="D6601" t="inlineStr">
        <is>
          <t>GÄVLEBORGS LÄN</t>
        </is>
      </c>
      <c r="E6601" t="inlineStr">
        <is>
          <t>LJUSDAL</t>
        </is>
      </c>
      <c r="F6601" t="inlineStr">
        <is>
          <t>Holmen skog AB</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15150-2023</t>
        </is>
      </c>
      <c r="B6602" s="1" t="n">
        <v>45016</v>
      </c>
      <c r="C6602" s="1" t="n">
        <v>45587</v>
      </c>
      <c r="D6602" t="inlineStr">
        <is>
          <t>GÄVLEBORGS LÄN</t>
        </is>
      </c>
      <c r="E6602" t="inlineStr">
        <is>
          <t>BOLLNÄS</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15168-2023</t>
        </is>
      </c>
      <c r="B6603" s="1" t="n">
        <v>45016</v>
      </c>
      <c r="C6603" s="1" t="n">
        <v>45587</v>
      </c>
      <c r="D6603" t="inlineStr">
        <is>
          <t>GÄVLEBORGS LÄN</t>
        </is>
      </c>
      <c r="E6603" t="inlineStr">
        <is>
          <t>SANDVIKEN</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15171-2023</t>
        </is>
      </c>
      <c r="B6604" s="1" t="n">
        <v>45016</v>
      </c>
      <c r="C6604" s="1" t="n">
        <v>45587</v>
      </c>
      <c r="D6604" t="inlineStr">
        <is>
          <t>GÄVLEBORGS LÄN</t>
        </is>
      </c>
      <c r="E6604" t="inlineStr">
        <is>
          <t>LJUSDAL</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15178-2023</t>
        </is>
      </c>
      <c r="B6605" s="1" t="n">
        <v>45016</v>
      </c>
      <c r="C6605" s="1" t="n">
        <v>45587</v>
      </c>
      <c r="D6605" t="inlineStr">
        <is>
          <t>GÄVLEBORGS LÄN</t>
        </is>
      </c>
      <c r="E6605" t="inlineStr">
        <is>
          <t>LJUSDAL</t>
        </is>
      </c>
      <c r="F6605" t="inlineStr">
        <is>
          <t>Holmen skog AB</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15226-2023</t>
        </is>
      </c>
      <c r="B6606" s="1" t="n">
        <v>45019</v>
      </c>
      <c r="C6606" s="1" t="n">
        <v>45587</v>
      </c>
      <c r="D6606" t="inlineStr">
        <is>
          <t>GÄVLEBORGS LÄN</t>
        </is>
      </c>
      <c r="E6606" t="inlineStr">
        <is>
          <t>NORDANSTIG</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15242-2023</t>
        </is>
      </c>
      <c r="B6607" s="1" t="n">
        <v>45019</v>
      </c>
      <c r="C6607" s="1" t="n">
        <v>45587</v>
      </c>
      <c r="D6607" t="inlineStr">
        <is>
          <t>GÄVLEBORGS LÄN</t>
        </is>
      </c>
      <c r="E6607" t="inlineStr">
        <is>
          <t>HUDIKSVALL</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15233-2023</t>
        </is>
      </c>
      <c r="B6608" s="1" t="n">
        <v>45019</v>
      </c>
      <c r="C6608" s="1" t="n">
        <v>45587</v>
      </c>
      <c r="D6608" t="inlineStr">
        <is>
          <t>GÄVLEBORGS LÄN</t>
        </is>
      </c>
      <c r="E6608" t="inlineStr">
        <is>
          <t>HUDIKSVALL</t>
        </is>
      </c>
      <c r="F6608" t="inlineStr">
        <is>
          <t>Holmen skog AB</t>
        </is>
      </c>
      <c r="G6608" t="n">
        <v>4.8</v>
      </c>
      <c r="H6608" t="n">
        <v>0</v>
      </c>
      <c r="I6608" t="n">
        <v>0</v>
      </c>
      <c r="J6608" t="n">
        <v>0</v>
      </c>
      <c r="K6608" t="n">
        <v>0</v>
      </c>
      <c r="L6608" t="n">
        <v>0</v>
      </c>
      <c r="M6608" t="n">
        <v>0</v>
      </c>
      <c r="N6608" t="n">
        <v>0</v>
      </c>
      <c r="O6608" t="n">
        <v>0</v>
      </c>
      <c r="P6608" t="n">
        <v>0</v>
      </c>
      <c r="Q6608" t="n">
        <v>0</v>
      </c>
      <c r="R6608" s="2" t="inlineStr"/>
    </row>
    <row r="6609" ht="15" customHeight="1">
      <c r="A6609" t="inlineStr">
        <is>
          <t>A 15285-2023</t>
        </is>
      </c>
      <c r="B6609" s="1" t="n">
        <v>45019</v>
      </c>
      <c r="C6609" s="1" t="n">
        <v>45587</v>
      </c>
      <c r="D6609" t="inlineStr">
        <is>
          <t>GÄVLEBORGS LÄN</t>
        </is>
      </c>
      <c r="E6609" t="inlineStr">
        <is>
          <t>LJUSDAL</t>
        </is>
      </c>
      <c r="F6609" t="inlineStr">
        <is>
          <t>Holmen skog AB</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15336-2023</t>
        </is>
      </c>
      <c r="B6610" s="1" t="n">
        <v>45019</v>
      </c>
      <c r="C6610" s="1" t="n">
        <v>45587</v>
      </c>
      <c r="D6610" t="inlineStr">
        <is>
          <t>GÄVLEBORGS LÄN</t>
        </is>
      </c>
      <c r="E6610" t="inlineStr">
        <is>
          <t>HUDIKSVALL</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15314-2023</t>
        </is>
      </c>
      <c r="B6611" s="1" t="n">
        <v>45019</v>
      </c>
      <c r="C6611" s="1" t="n">
        <v>45587</v>
      </c>
      <c r="D6611" t="inlineStr">
        <is>
          <t>GÄVLEBORGS LÄN</t>
        </is>
      </c>
      <c r="E6611" t="inlineStr">
        <is>
          <t>GÄVLE</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15311-2023</t>
        </is>
      </c>
      <c r="B6612" s="1" t="n">
        <v>45019</v>
      </c>
      <c r="C6612" s="1" t="n">
        <v>45587</v>
      </c>
      <c r="D6612" t="inlineStr">
        <is>
          <t>GÄVLEBORGS LÄN</t>
        </is>
      </c>
      <c r="E6612" t="inlineStr">
        <is>
          <t>GÄVLE</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15385-2023</t>
        </is>
      </c>
      <c r="B6613" s="1" t="n">
        <v>45019</v>
      </c>
      <c r="C6613" s="1" t="n">
        <v>45587</v>
      </c>
      <c r="D6613" t="inlineStr">
        <is>
          <t>GÄVLEBORGS LÄN</t>
        </is>
      </c>
      <c r="E6613" t="inlineStr">
        <is>
          <t>NORDANSTIG</t>
        </is>
      </c>
      <c r="G6613" t="n">
        <v>5.9</v>
      </c>
      <c r="H6613" t="n">
        <v>0</v>
      </c>
      <c r="I6613" t="n">
        <v>0</v>
      </c>
      <c r="J6613" t="n">
        <v>0</v>
      </c>
      <c r="K6613" t="n">
        <v>0</v>
      </c>
      <c r="L6613" t="n">
        <v>0</v>
      </c>
      <c r="M6613" t="n">
        <v>0</v>
      </c>
      <c r="N6613" t="n">
        <v>0</v>
      </c>
      <c r="O6613" t="n">
        <v>0</v>
      </c>
      <c r="P6613" t="n">
        <v>0</v>
      </c>
      <c r="Q6613" t="n">
        <v>0</v>
      </c>
      <c r="R6613" s="2" t="inlineStr"/>
    </row>
    <row r="6614" ht="15" customHeight="1">
      <c r="A6614" t="inlineStr">
        <is>
          <t>A 15306-2023</t>
        </is>
      </c>
      <c r="B6614" s="1" t="n">
        <v>45019</v>
      </c>
      <c r="C6614" s="1" t="n">
        <v>45587</v>
      </c>
      <c r="D6614" t="inlineStr">
        <is>
          <t>GÄVLEBORGS LÄN</t>
        </is>
      </c>
      <c r="E6614" t="inlineStr">
        <is>
          <t>HUDIKSVALL</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15312-2023</t>
        </is>
      </c>
      <c r="B6615" s="1" t="n">
        <v>45019</v>
      </c>
      <c r="C6615" s="1" t="n">
        <v>45587</v>
      </c>
      <c r="D6615" t="inlineStr">
        <is>
          <t>GÄVLEBORGS LÄN</t>
        </is>
      </c>
      <c r="E6615" t="inlineStr">
        <is>
          <t>GÄVLE</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15390-2023</t>
        </is>
      </c>
      <c r="B6616" s="1" t="n">
        <v>45019</v>
      </c>
      <c r="C6616" s="1" t="n">
        <v>45587</v>
      </c>
      <c r="D6616" t="inlineStr">
        <is>
          <t>GÄVLEBORGS LÄN</t>
        </is>
      </c>
      <c r="E6616" t="inlineStr">
        <is>
          <t>NORDANSTIG</t>
        </is>
      </c>
      <c r="G6616" t="n">
        <v>6.9</v>
      </c>
      <c r="H6616" t="n">
        <v>0</v>
      </c>
      <c r="I6616" t="n">
        <v>0</v>
      </c>
      <c r="J6616" t="n">
        <v>0</v>
      </c>
      <c r="K6616" t="n">
        <v>0</v>
      </c>
      <c r="L6616" t="n">
        <v>0</v>
      </c>
      <c r="M6616" t="n">
        <v>0</v>
      </c>
      <c r="N6616" t="n">
        <v>0</v>
      </c>
      <c r="O6616" t="n">
        <v>0</v>
      </c>
      <c r="P6616" t="n">
        <v>0</v>
      </c>
      <c r="Q6616" t="n">
        <v>0</v>
      </c>
      <c r="R6616" s="2" t="inlineStr"/>
    </row>
    <row r="6617" ht="15" customHeight="1">
      <c r="A6617" t="inlineStr">
        <is>
          <t>A 15494-2023</t>
        </is>
      </c>
      <c r="B6617" s="1" t="n">
        <v>45020</v>
      </c>
      <c r="C6617" s="1" t="n">
        <v>45587</v>
      </c>
      <c r="D6617" t="inlineStr">
        <is>
          <t>GÄVLEBORGS LÄN</t>
        </is>
      </c>
      <c r="E6617" t="inlineStr">
        <is>
          <t>NORDANSTIG</t>
        </is>
      </c>
      <c r="F6617" t="inlineStr">
        <is>
          <t>Holmen skog AB</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15464-2023</t>
        </is>
      </c>
      <c r="B6618" s="1" t="n">
        <v>45020</v>
      </c>
      <c r="C6618" s="1" t="n">
        <v>45587</v>
      </c>
      <c r="D6618" t="inlineStr">
        <is>
          <t>GÄVLEBORGS LÄN</t>
        </is>
      </c>
      <c r="E6618" t="inlineStr">
        <is>
          <t>NORDANSTIG</t>
        </is>
      </c>
      <c r="F6618" t="inlineStr">
        <is>
          <t>Holmen skog AB</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15496-2023</t>
        </is>
      </c>
      <c r="B6619" s="1" t="n">
        <v>45020</v>
      </c>
      <c r="C6619" s="1" t="n">
        <v>45587</v>
      </c>
      <c r="D6619" t="inlineStr">
        <is>
          <t>GÄVLEBORGS LÄN</t>
        </is>
      </c>
      <c r="E6619" t="inlineStr">
        <is>
          <t>NORDANSTIG</t>
        </is>
      </c>
      <c r="F6619" t="inlineStr">
        <is>
          <t>Holmen skog AB</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15521-2023</t>
        </is>
      </c>
      <c r="B6620" s="1" t="n">
        <v>45020</v>
      </c>
      <c r="C6620" s="1" t="n">
        <v>45587</v>
      </c>
      <c r="D6620" t="inlineStr">
        <is>
          <t>GÄVLEBORGS LÄN</t>
        </is>
      </c>
      <c r="E6620" t="inlineStr">
        <is>
          <t>HUDIKSVALL</t>
        </is>
      </c>
      <c r="F6620" t="inlineStr">
        <is>
          <t>Holmen skog AB</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15553-2023</t>
        </is>
      </c>
      <c r="B6621" s="1" t="n">
        <v>45020</v>
      </c>
      <c r="C6621" s="1" t="n">
        <v>45587</v>
      </c>
      <c r="D6621" t="inlineStr">
        <is>
          <t>GÄVLEBORGS LÄN</t>
        </is>
      </c>
      <c r="E6621" t="inlineStr">
        <is>
          <t>HUDIKSVALL</t>
        </is>
      </c>
      <c r="G6621" t="n">
        <v>11.1</v>
      </c>
      <c r="H6621" t="n">
        <v>0</v>
      </c>
      <c r="I6621" t="n">
        <v>0</v>
      </c>
      <c r="J6621" t="n">
        <v>0</v>
      </c>
      <c r="K6621" t="n">
        <v>0</v>
      </c>
      <c r="L6621" t="n">
        <v>0</v>
      </c>
      <c r="M6621" t="n">
        <v>0</v>
      </c>
      <c r="N6621" t="n">
        <v>0</v>
      </c>
      <c r="O6621" t="n">
        <v>0</v>
      </c>
      <c r="P6621" t="n">
        <v>0</v>
      </c>
      <c r="Q6621" t="n">
        <v>0</v>
      </c>
      <c r="R6621" s="2" t="inlineStr"/>
    </row>
    <row r="6622" ht="15" customHeight="1">
      <c r="A6622" t="inlineStr">
        <is>
          <t>A 15585-2023</t>
        </is>
      </c>
      <c r="B6622" s="1" t="n">
        <v>45020</v>
      </c>
      <c r="C6622" s="1" t="n">
        <v>45587</v>
      </c>
      <c r="D6622" t="inlineStr">
        <is>
          <t>GÄVLEBORGS LÄN</t>
        </is>
      </c>
      <c r="E6622" t="inlineStr">
        <is>
          <t>OVANÅKER</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15539-2023</t>
        </is>
      </c>
      <c r="B6623" s="1" t="n">
        <v>45020</v>
      </c>
      <c r="C6623" s="1" t="n">
        <v>45587</v>
      </c>
      <c r="D6623" t="inlineStr">
        <is>
          <t>GÄVLEBORGS LÄN</t>
        </is>
      </c>
      <c r="E6623" t="inlineStr">
        <is>
          <t>NORDANSTIG</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15537-2023</t>
        </is>
      </c>
      <c r="B6624" s="1" t="n">
        <v>45020</v>
      </c>
      <c r="C6624" s="1" t="n">
        <v>45587</v>
      </c>
      <c r="D6624" t="inlineStr">
        <is>
          <t>GÄVLEBORGS LÄN</t>
        </is>
      </c>
      <c r="E6624" t="inlineStr">
        <is>
          <t>LJUSDAL</t>
        </is>
      </c>
      <c r="G6624" t="n">
        <v>9.5</v>
      </c>
      <c r="H6624" t="n">
        <v>0</v>
      </c>
      <c r="I6624" t="n">
        <v>0</v>
      </c>
      <c r="J6624" t="n">
        <v>0</v>
      </c>
      <c r="K6624" t="n">
        <v>0</v>
      </c>
      <c r="L6624" t="n">
        <v>0</v>
      </c>
      <c r="M6624" t="n">
        <v>0</v>
      </c>
      <c r="N6624" t="n">
        <v>0</v>
      </c>
      <c r="O6624" t="n">
        <v>0</v>
      </c>
      <c r="P6624" t="n">
        <v>0</v>
      </c>
      <c r="Q6624" t="n">
        <v>0</v>
      </c>
      <c r="R6624" s="2" t="inlineStr"/>
    </row>
    <row r="6625" ht="15" customHeight="1">
      <c r="A6625" t="inlineStr">
        <is>
          <t>A 15736-2023</t>
        </is>
      </c>
      <c r="B6625" s="1" t="n">
        <v>45021</v>
      </c>
      <c r="C6625" s="1" t="n">
        <v>45587</v>
      </c>
      <c r="D6625" t="inlineStr">
        <is>
          <t>GÄVLEBORGS LÄN</t>
        </is>
      </c>
      <c r="E6625" t="inlineStr">
        <is>
          <t>HUDIKSVALL</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15737-2023</t>
        </is>
      </c>
      <c r="B6626" s="1" t="n">
        <v>45021</v>
      </c>
      <c r="C6626" s="1" t="n">
        <v>45587</v>
      </c>
      <c r="D6626" t="inlineStr">
        <is>
          <t>GÄVLEBORGS LÄN</t>
        </is>
      </c>
      <c r="E6626" t="inlineStr">
        <is>
          <t>BOLLNÄS</t>
        </is>
      </c>
      <c r="G6626" t="n">
        <v>6.6</v>
      </c>
      <c r="H6626" t="n">
        <v>0</v>
      </c>
      <c r="I6626" t="n">
        <v>0</v>
      </c>
      <c r="J6626" t="n">
        <v>0</v>
      </c>
      <c r="K6626" t="n">
        <v>0</v>
      </c>
      <c r="L6626" t="n">
        <v>0</v>
      </c>
      <c r="M6626" t="n">
        <v>0</v>
      </c>
      <c r="N6626" t="n">
        <v>0</v>
      </c>
      <c r="O6626" t="n">
        <v>0</v>
      </c>
      <c r="P6626" t="n">
        <v>0</v>
      </c>
      <c r="Q6626" t="n">
        <v>0</v>
      </c>
      <c r="R6626" s="2" t="inlineStr"/>
    </row>
    <row r="6627" ht="15" customHeight="1">
      <c r="A6627" t="inlineStr">
        <is>
          <t>A 15833-2023</t>
        </is>
      </c>
      <c r="B6627" s="1" t="n">
        <v>45022</v>
      </c>
      <c r="C6627" s="1" t="n">
        <v>45587</v>
      </c>
      <c r="D6627" t="inlineStr">
        <is>
          <t>GÄVLEBORGS LÄN</t>
        </is>
      </c>
      <c r="E6627" t="inlineStr">
        <is>
          <t>OCKELBO</t>
        </is>
      </c>
      <c r="F6627" t="inlineStr">
        <is>
          <t>Bergvik skog väst AB</t>
        </is>
      </c>
      <c r="G6627" t="n">
        <v>6.8</v>
      </c>
      <c r="H6627" t="n">
        <v>0</v>
      </c>
      <c r="I6627" t="n">
        <v>0</v>
      </c>
      <c r="J6627" t="n">
        <v>0</v>
      </c>
      <c r="K6627" t="n">
        <v>0</v>
      </c>
      <c r="L6627" t="n">
        <v>0</v>
      </c>
      <c r="M6627" t="n">
        <v>0</v>
      </c>
      <c r="N6627" t="n">
        <v>0</v>
      </c>
      <c r="O6627" t="n">
        <v>0</v>
      </c>
      <c r="P6627" t="n">
        <v>0</v>
      </c>
      <c r="Q6627" t="n">
        <v>0</v>
      </c>
      <c r="R6627" s="2" t="inlineStr"/>
    </row>
    <row r="6628" ht="15" customHeight="1">
      <c r="A6628" t="inlineStr">
        <is>
          <t>A 15921-2023</t>
        </is>
      </c>
      <c r="B6628" s="1" t="n">
        <v>45022</v>
      </c>
      <c r="C6628" s="1" t="n">
        <v>45587</v>
      </c>
      <c r="D6628" t="inlineStr">
        <is>
          <t>GÄVLEBORGS LÄN</t>
        </is>
      </c>
      <c r="E6628" t="inlineStr">
        <is>
          <t>BOLLNÄS</t>
        </is>
      </c>
      <c r="G6628" t="n">
        <v>11.3</v>
      </c>
      <c r="H6628" t="n">
        <v>0</v>
      </c>
      <c r="I6628" t="n">
        <v>0</v>
      </c>
      <c r="J6628" t="n">
        <v>0</v>
      </c>
      <c r="K6628" t="n">
        <v>0</v>
      </c>
      <c r="L6628" t="n">
        <v>0</v>
      </c>
      <c r="M6628" t="n">
        <v>0</v>
      </c>
      <c r="N6628" t="n">
        <v>0</v>
      </c>
      <c r="O6628" t="n">
        <v>0</v>
      </c>
      <c r="P6628" t="n">
        <v>0</v>
      </c>
      <c r="Q6628" t="n">
        <v>0</v>
      </c>
      <c r="R6628" s="2" t="inlineStr"/>
    </row>
    <row r="6629" ht="15" customHeight="1">
      <c r="A6629" t="inlineStr">
        <is>
          <t>A 15834-2023</t>
        </is>
      </c>
      <c r="B6629" s="1" t="n">
        <v>45022</v>
      </c>
      <c r="C6629" s="1" t="n">
        <v>45587</v>
      </c>
      <c r="D6629" t="inlineStr">
        <is>
          <t>GÄVLEBORGS LÄN</t>
        </is>
      </c>
      <c r="E6629" t="inlineStr">
        <is>
          <t>OCKELBO</t>
        </is>
      </c>
      <c r="F6629" t="inlineStr">
        <is>
          <t>Bergvik skog väst AB</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15838-2023</t>
        </is>
      </c>
      <c r="B6630" s="1" t="n">
        <v>45022</v>
      </c>
      <c r="C6630" s="1" t="n">
        <v>45587</v>
      </c>
      <c r="D6630" t="inlineStr">
        <is>
          <t>GÄVLEBORGS LÄN</t>
        </is>
      </c>
      <c r="E6630" t="inlineStr">
        <is>
          <t>OCKELBO</t>
        </is>
      </c>
      <c r="F6630" t="inlineStr">
        <is>
          <t>Bergvik skog väst AB</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15849-2023</t>
        </is>
      </c>
      <c r="B6631" s="1" t="n">
        <v>45022</v>
      </c>
      <c r="C6631" s="1" t="n">
        <v>45587</v>
      </c>
      <c r="D6631" t="inlineStr">
        <is>
          <t>GÄVLEBORGS LÄN</t>
        </is>
      </c>
      <c r="E6631" t="inlineStr">
        <is>
          <t>OCKELBO</t>
        </is>
      </c>
      <c r="F6631" t="inlineStr">
        <is>
          <t>Bergvik skog väst AB</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15835-2023</t>
        </is>
      </c>
      <c r="B6632" s="1" t="n">
        <v>45022</v>
      </c>
      <c r="C6632" s="1" t="n">
        <v>45587</v>
      </c>
      <c r="D6632" t="inlineStr">
        <is>
          <t>GÄVLEBORGS LÄN</t>
        </is>
      </c>
      <c r="E6632" t="inlineStr">
        <is>
          <t>OCKELBO</t>
        </is>
      </c>
      <c r="F6632" t="inlineStr">
        <is>
          <t>Bergvik skog väst AB</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15839-2023</t>
        </is>
      </c>
      <c r="B6633" s="1" t="n">
        <v>45022</v>
      </c>
      <c r="C6633" s="1" t="n">
        <v>45587</v>
      </c>
      <c r="D6633" t="inlineStr">
        <is>
          <t>GÄVLEBORGS LÄN</t>
        </is>
      </c>
      <c r="E6633" t="inlineStr">
        <is>
          <t>OCKELBO</t>
        </is>
      </c>
      <c r="F6633" t="inlineStr">
        <is>
          <t>Bergvik skog väst AB</t>
        </is>
      </c>
      <c r="G6633" t="n">
        <v>5.8</v>
      </c>
      <c r="H6633" t="n">
        <v>0</v>
      </c>
      <c r="I6633" t="n">
        <v>0</v>
      </c>
      <c r="J6633" t="n">
        <v>0</v>
      </c>
      <c r="K6633" t="n">
        <v>0</v>
      </c>
      <c r="L6633" t="n">
        <v>0</v>
      </c>
      <c r="M6633" t="n">
        <v>0</v>
      </c>
      <c r="N6633" t="n">
        <v>0</v>
      </c>
      <c r="O6633" t="n">
        <v>0</v>
      </c>
      <c r="P6633" t="n">
        <v>0</v>
      </c>
      <c r="Q6633" t="n">
        <v>0</v>
      </c>
      <c r="R6633" s="2" t="inlineStr"/>
    </row>
    <row r="6634" ht="15" customHeight="1">
      <c r="A6634" t="inlineStr">
        <is>
          <t>A 15859-2023</t>
        </is>
      </c>
      <c r="B6634" s="1" t="n">
        <v>45022</v>
      </c>
      <c r="C6634" s="1" t="n">
        <v>45587</v>
      </c>
      <c r="D6634" t="inlineStr">
        <is>
          <t>GÄVLEBORGS LÄN</t>
        </is>
      </c>
      <c r="E6634" t="inlineStr">
        <is>
          <t>HUDIKSVALL</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15873-2023</t>
        </is>
      </c>
      <c r="B6635" s="1" t="n">
        <v>45022</v>
      </c>
      <c r="C6635" s="1" t="n">
        <v>45587</v>
      </c>
      <c r="D6635" t="inlineStr">
        <is>
          <t>GÄVLEBORGS LÄN</t>
        </is>
      </c>
      <c r="E6635" t="inlineStr">
        <is>
          <t>GÄVLE</t>
        </is>
      </c>
      <c r="F6635" t="inlineStr">
        <is>
          <t>Bergvik skog öst AB</t>
        </is>
      </c>
      <c r="G6635" t="n">
        <v>10.7</v>
      </c>
      <c r="H6635" t="n">
        <v>0</v>
      </c>
      <c r="I6635" t="n">
        <v>0</v>
      </c>
      <c r="J6635" t="n">
        <v>0</v>
      </c>
      <c r="K6635" t="n">
        <v>0</v>
      </c>
      <c r="L6635" t="n">
        <v>0</v>
      </c>
      <c r="M6635" t="n">
        <v>0</v>
      </c>
      <c r="N6635" t="n">
        <v>0</v>
      </c>
      <c r="O6635" t="n">
        <v>0</v>
      </c>
      <c r="P6635" t="n">
        <v>0</v>
      </c>
      <c r="Q6635" t="n">
        <v>0</v>
      </c>
      <c r="R6635" s="2" t="inlineStr"/>
    </row>
    <row r="6636" ht="15" customHeight="1">
      <c r="A6636" t="inlineStr">
        <is>
          <t>A 15961-2023</t>
        </is>
      </c>
      <c r="B6636" s="1" t="n">
        <v>45022</v>
      </c>
      <c r="C6636" s="1" t="n">
        <v>45587</v>
      </c>
      <c r="D6636" t="inlineStr">
        <is>
          <t>GÄVLEBORGS LÄN</t>
        </is>
      </c>
      <c r="E6636" t="inlineStr">
        <is>
          <t>HUDIKSVALL</t>
        </is>
      </c>
      <c r="F6636" t="inlineStr">
        <is>
          <t>Holmen skog AB</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15966-2023</t>
        </is>
      </c>
      <c r="B6637" s="1" t="n">
        <v>45022</v>
      </c>
      <c r="C6637" s="1" t="n">
        <v>45587</v>
      </c>
      <c r="D6637" t="inlineStr">
        <is>
          <t>GÄVLEBORGS LÄN</t>
        </is>
      </c>
      <c r="E6637" t="inlineStr">
        <is>
          <t>OCKELBO</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15923-2023</t>
        </is>
      </c>
      <c r="B6638" s="1" t="n">
        <v>45022</v>
      </c>
      <c r="C6638" s="1" t="n">
        <v>45587</v>
      </c>
      <c r="D6638" t="inlineStr">
        <is>
          <t>GÄVLEBORGS LÄN</t>
        </is>
      </c>
      <c r="E6638" t="inlineStr">
        <is>
          <t>BOLLNÄS</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16247-2023</t>
        </is>
      </c>
      <c r="B6639" s="1" t="n">
        <v>45022</v>
      </c>
      <c r="C6639" s="1" t="n">
        <v>45587</v>
      </c>
      <c r="D6639" t="inlineStr">
        <is>
          <t>GÄVLEBORGS LÄN</t>
        </is>
      </c>
      <c r="E6639" t="inlineStr">
        <is>
          <t>GÄVLE</t>
        </is>
      </c>
      <c r="F6639" t="inlineStr">
        <is>
          <t>Bergvik skog väst AB</t>
        </is>
      </c>
      <c r="G6639" t="n">
        <v>31.7</v>
      </c>
      <c r="H6639" t="n">
        <v>0</v>
      </c>
      <c r="I6639" t="n">
        <v>0</v>
      </c>
      <c r="J6639" t="n">
        <v>0</v>
      </c>
      <c r="K6639" t="n">
        <v>0</v>
      </c>
      <c r="L6639" t="n">
        <v>0</v>
      </c>
      <c r="M6639" t="n">
        <v>0</v>
      </c>
      <c r="N6639" t="n">
        <v>0</v>
      </c>
      <c r="O6639" t="n">
        <v>0</v>
      </c>
      <c r="P6639" t="n">
        <v>0</v>
      </c>
      <c r="Q6639" t="n">
        <v>0</v>
      </c>
      <c r="R6639" s="2" t="inlineStr"/>
    </row>
    <row r="6640" ht="15" customHeight="1">
      <c r="A6640" t="inlineStr">
        <is>
          <t>A 16260-2023</t>
        </is>
      </c>
      <c r="B6640" s="1" t="n">
        <v>45022</v>
      </c>
      <c r="C6640" s="1" t="n">
        <v>45587</v>
      </c>
      <c r="D6640" t="inlineStr">
        <is>
          <t>GÄVLEBORGS LÄN</t>
        </is>
      </c>
      <c r="E6640" t="inlineStr">
        <is>
          <t>SANDVIKEN</t>
        </is>
      </c>
      <c r="F6640" t="inlineStr">
        <is>
          <t>Bergvik skog väst AB</t>
        </is>
      </c>
      <c r="G6640" t="n">
        <v>9.1</v>
      </c>
      <c r="H6640" t="n">
        <v>0</v>
      </c>
      <c r="I6640" t="n">
        <v>0</v>
      </c>
      <c r="J6640" t="n">
        <v>0</v>
      </c>
      <c r="K6640" t="n">
        <v>0</v>
      </c>
      <c r="L6640" t="n">
        <v>0</v>
      </c>
      <c r="M6640" t="n">
        <v>0</v>
      </c>
      <c r="N6640" t="n">
        <v>0</v>
      </c>
      <c r="O6640" t="n">
        <v>0</v>
      </c>
      <c r="P6640" t="n">
        <v>0</v>
      </c>
      <c r="Q6640" t="n">
        <v>0</v>
      </c>
      <c r="R6640" s="2" t="inlineStr"/>
    </row>
    <row r="6641" ht="15" customHeight="1">
      <c r="A6641" t="inlineStr">
        <is>
          <t>A 15872-2023</t>
        </is>
      </c>
      <c r="B6641" s="1" t="n">
        <v>45022</v>
      </c>
      <c r="C6641" s="1" t="n">
        <v>45587</v>
      </c>
      <c r="D6641" t="inlineStr">
        <is>
          <t>GÄVLEBORGS LÄN</t>
        </is>
      </c>
      <c r="E6641" t="inlineStr">
        <is>
          <t>HUDIKSVALL</t>
        </is>
      </c>
      <c r="G6641" t="n">
        <v>7.2</v>
      </c>
      <c r="H6641" t="n">
        <v>0</v>
      </c>
      <c r="I6641" t="n">
        <v>0</v>
      </c>
      <c r="J6641" t="n">
        <v>0</v>
      </c>
      <c r="K6641" t="n">
        <v>0</v>
      </c>
      <c r="L6641" t="n">
        <v>0</v>
      </c>
      <c r="M6641" t="n">
        <v>0</v>
      </c>
      <c r="N6641" t="n">
        <v>0</v>
      </c>
      <c r="O6641" t="n">
        <v>0</v>
      </c>
      <c r="P6641" t="n">
        <v>0</v>
      </c>
      <c r="Q6641" t="n">
        <v>0</v>
      </c>
      <c r="R6641" s="2" t="inlineStr"/>
    </row>
    <row r="6642" ht="15" customHeight="1">
      <c r="A6642" t="inlineStr">
        <is>
          <t>A 15877-2023</t>
        </is>
      </c>
      <c r="B6642" s="1" t="n">
        <v>45022</v>
      </c>
      <c r="C6642" s="1" t="n">
        <v>45587</v>
      </c>
      <c r="D6642" t="inlineStr">
        <is>
          <t>GÄVLEBORGS LÄN</t>
        </is>
      </c>
      <c r="E6642" t="inlineStr">
        <is>
          <t>HUDIKSVALL</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15883-2023</t>
        </is>
      </c>
      <c r="B6643" s="1" t="n">
        <v>45022</v>
      </c>
      <c r="C6643" s="1" t="n">
        <v>45587</v>
      </c>
      <c r="D6643" t="inlineStr">
        <is>
          <t>GÄVLEBORGS LÄN</t>
        </is>
      </c>
      <c r="E6643" t="inlineStr">
        <is>
          <t>HUDIKSVALL</t>
        </is>
      </c>
      <c r="G6643" t="n">
        <v>9.6</v>
      </c>
      <c r="H6643" t="n">
        <v>0</v>
      </c>
      <c r="I6643" t="n">
        <v>0</v>
      </c>
      <c r="J6643" t="n">
        <v>0</v>
      </c>
      <c r="K6643" t="n">
        <v>0</v>
      </c>
      <c r="L6643" t="n">
        <v>0</v>
      </c>
      <c r="M6643" t="n">
        <v>0</v>
      </c>
      <c r="N6643" t="n">
        <v>0</v>
      </c>
      <c r="O6643" t="n">
        <v>0</v>
      </c>
      <c r="P6643" t="n">
        <v>0</v>
      </c>
      <c r="Q6643" t="n">
        <v>0</v>
      </c>
      <c r="R6643" s="2" t="inlineStr"/>
      <c r="U6643">
        <f>HYPERLINK("https://klasma.github.io/Logging_2184/knärot/A 15883-2023 karta knärot.png", "A 15883-2023")</f>
        <v/>
      </c>
      <c r="V6643">
        <f>HYPERLINK("https://klasma.github.io/Logging_2184/klagomål/A 15883-2023 FSC-klagomål.docx", "A 15883-2023")</f>
        <v/>
      </c>
      <c r="W6643">
        <f>HYPERLINK("https://klasma.github.io/Logging_2184/klagomålsmail/A 15883-2023 FSC-klagomål mail.docx", "A 15883-2023")</f>
        <v/>
      </c>
      <c r="X6643">
        <f>HYPERLINK("https://klasma.github.io/Logging_2184/tillsyn/A 15883-2023 tillsynsbegäran.docx", "A 15883-2023")</f>
        <v/>
      </c>
      <c r="Y6643">
        <f>HYPERLINK("https://klasma.github.io/Logging_2184/tillsynsmail/A 15883-2023 tillsynsbegäran mail.docx", "A 15883-2023")</f>
        <v/>
      </c>
    </row>
    <row r="6644" ht="15" customHeight="1">
      <c r="A6644" t="inlineStr">
        <is>
          <t>A 15907-2023</t>
        </is>
      </c>
      <c r="B6644" s="1" t="n">
        <v>45022</v>
      </c>
      <c r="C6644" s="1" t="n">
        <v>45587</v>
      </c>
      <c r="D6644" t="inlineStr">
        <is>
          <t>GÄVLEBORGS LÄN</t>
        </is>
      </c>
      <c r="E6644" t="inlineStr">
        <is>
          <t>SANDVIKEN</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16385-2023</t>
        </is>
      </c>
      <c r="B6645" s="1" t="n">
        <v>45022</v>
      </c>
      <c r="C6645" s="1" t="n">
        <v>45587</v>
      </c>
      <c r="D6645" t="inlineStr">
        <is>
          <t>GÄVLEBORGS LÄN</t>
        </is>
      </c>
      <c r="E6645" t="inlineStr">
        <is>
          <t>SANDVIKEN</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16242-2023</t>
        </is>
      </c>
      <c r="B6646" s="1" t="n">
        <v>45022</v>
      </c>
      <c r="C6646" s="1" t="n">
        <v>45587</v>
      </c>
      <c r="D6646" t="inlineStr">
        <is>
          <t>GÄVLEBORGS LÄN</t>
        </is>
      </c>
      <c r="E6646" t="inlineStr">
        <is>
          <t>GÄVLE</t>
        </is>
      </c>
      <c r="F6646" t="inlineStr">
        <is>
          <t>Bergvik skog väst AB</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16258-2023</t>
        </is>
      </c>
      <c r="B6647" s="1" t="n">
        <v>45022</v>
      </c>
      <c r="C6647" s="1" t="n">
        <v>45587</v>
      </c>
      <c r="D6647" t="inlineStr">
        <is>
          <t>GÄVLEBORGS LÄN</t>
        </is>
      </c>
      <c r="E6647" t="inlineStr">
        <is>
          <t>SANDVIKEN</t>
        </is>
      </c>
      <c r="F6647" t="inlineStr">
        <is>
          <t>Bergvik skog väst AB</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16254-2023</t>
        </is>
      </c>
      <c r="B6648" s="1" t="n">
        <v>45022</v>
      </c>
      <c r="C6648" s="1" t="n">
        <v>45587</v>
      </c>
      <c r="D6648" t="inlineStr">
        <is>
          <t>GÄVLEBORGS LÄN</t>
        </is>
      </c>
      <c r="E6648" t="inlineStr">
        <is>
          <t>GÄVLE</t>
        </is>
      </c>
      <c r="F6648" t="inlineStr">
        <is>
          <t>Bergvik skog väst AB</t>
        </is>
      </c>
      <c r="G6648" t="n">
        <v>39.2</v>
      </c>
      <c r="H6648" t="n">
        <v>0</v>
      </c>
      <c r="I6648" t="n">
        <v>0</v>
      </c>
      <c r="J6648" t="n">
        <v>0</v>
      </c>
      <c r="K6648" t="n">
        <v>0</v>
      </c>
      <c r="L6648" t="n">
        <v>0</v>
      </c>
      <c r="M6648" t="n">
        <v>0</v>
      </c>
      <c r="N6648" t="n">
        <v>0</v>
      </c>
      <c r="O6648" t="n">
        <v>0</v>
      </c>
      <c r="P6648" t="n">
        <v>0</v>
      </c>
      <c r="Q6648" t="n">
        <v>0</v>
      </c>
      <c r="R6648" s="2" t="inlineStr"/>
    </row>
    <row r="6649" ht="15" customHeight="1">
      <c r="A6649" t="inlineStr">
        <is>
          <t>A 16384-2023</t>
        </is>
      </c>
      <c r="B6649" s="1" t="n">
        <v>45022</v>
      </c>
      <c r="C6649" s="1" t="n">
        <v>45587</v>
      </c>
      <c r="D6649" t="inlineStr">
        <is>
          <t>GÄVLEBORGS LÄN</t>
        </is>
      </c>
      <c r="E6649" t="inlineStr">
        <is>
          <t>SANDVIKEN</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16023-2023</t>
        </is>
      </c>
      <c r="B6650" s="1" t="n">
        <v>45026</v>
      </c>
      <c r="C6650" s="1" t="n">
        <v>45587</v>
      </c>
      <c r="D6650" t="inlineStr">
        <is>
          <t>GÄVLEBORGS LÄN</t>
        </is>
      </c>
      <c r="E6650" t="inlineStr">
        <is>
          <t>GÄVLE</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16025-2023</t>
        </is>
      </c>
      <c r="B6651" s="1" t="n">
        <v>45027</v>
      </c>
      <c r="C6651" s="1" t="n">
        <v>45587</v>
      </c>
      <c r="D6651" t="inlineStr">
        <is>
          <t>GÄVLEBORGS LÄN</t>
        </is>
      </c>
      <c r="E6651" t="inlineStr">
        <is>
          <t>HUDIKSVALL</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16057-2023</t>
        </is>
      </c>
      <c r="B6652" s="1" t="n">
        <v>45027</v>
      </c>
      <c r="C6652" s="1" t="n">
        <v>45587</v>
      </c>
      <c r="D6652" t="inlineStr">
        <is>
          <t>GÄVLEBORGS LÄN</t>
        </is>
      </c>
      <c r="E6652" t="inlineStr">
        <is>
          <t>GÄVLE</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16081-2023</t>
        </is>
      </c>
      <c r="B6653" s="1" t="n">
        <v>45027</v>
      </c>
      <c r="C6653" s="1" t="n">
        <v>45587</v>
      </c>
      <c r="D6653" t="inlineStr">
        <is>
          <t>GÄVLEBORGS LÄN</t>
        </is>
      </c>
      <c r="E6653" t="inlineStr">
        <is>
          <t>LJUSDAL</t>
        </is>
      </c>
      <c r="F6653" t="inlineStr">
        <is>
          <t>Bergvik skog väst AB</t>
        </is>
      </c>
      <c r="G6653" t="n">
        <v>46.6</v>
      </c>
      <c r="H6653" t="n">
        <v>0</v>
      </c>
      <c r="I6653" t="n">
        <v>0</v>
      </c>
      <c r="J6653" t="n">
        <v>0</v>
      </c>
      <c r="K6653" t="n">
        <v>0</v>
      </c>
      <c r="L6653" t="n">
        <v>0</v>
      </c>
      <c r="M6653" t="n">
        <v>0</v>
      </c>
      <c r="N6653" t="n">
        <v>0</v>
      </c>
      <c r="O6653" t="n">
        <v>0</v>
      </c>
      <c r="P6653" t="n">
        <v>0</v>
      </c>
      <c r="Q6653" t="n">
        <v>0</v>
      </c>
      <c r="R6653" s="2" t="inlineStr"/>
    </row>
    <row r="6654" ht="15" customHeight="1">
      <c r="A6654" t="inlineStr">
        <is>
          <t>A 16104-2023</t>
        </is>
      </c>
      <c r="B6654" s="1" t="n">
        <v>45027</v>
      </c>
      <c r="C6654" s="1" t="n">
        <v>45587</v>
      </c>
      <c r="D6654" t="inlineStr">
        <is>
          <t>GÄVLEBORGS LÄN</t>
        </is>
      </c>
      <c r="E6654" t="inlineStr">
        <is>
          <t>LJUSDAL</t>
        </is>
      </c>
      <c r="F6654" t="inlineStr">
        <is>
          <t>Bergvik skog väst AB</t>
        </is>
      </c>
      <c r="G6654" t="n">
        <v>18.5</v>
      </c>
      <c r="H6654" t="n">
        <v>0</v>
      </c>
      <c r="I6654" t="n">
        <v>0</v>
      </c>
      <c r="J6654" t="n">
        <v>0</v>
      </c>
      <c r="K6654" t="n">
        <v>0</v>
      </c>
      <c r="L6654" t="n">
        <v>0</v>
      </c>
      <c r="M6654" t="n">
        <v>0</v>
      </c>
      <c r="N6654" t="n">
        <v>0</v>
      </c>
      <c r="O6654" t="n">
        <v>0</v>
      </c>
      <c r="P6654" t="n">
        <v>0</v>
      </c>
      <c r="Q6654" t="n">
        <v>0</v>
      </c>
      <c r="R6654" s="2" t="inlineStr"/>
    </row>
    <row r="6655" ht="15" customHeight="1">
      <c r="A6655" t="inlineStr">
        <is>
          <t>A 16106-2023</t>
        </is>
      </c>
      <c r="B6655" s="1" t="n">
        <v>45027</v>
      </c>
      <c r="C6655" s="1" t="n">
        <v>45587</v>
      </c>
      <c r="D6655" t="inlineStr">
        <is>
          <t>GÄVLEBORGS LÄN</t>
        </is>
      </c>
      <c r="E6655" t="inlineStr">
        <is>
          <t>SÖDERHAMN</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16111-2023</t>
        </is>
      </c>
      <c r="B6656" s="1" t="n">
        <v>45027</v>
      </c>
      <c r="C6656" s="1" t="n">
        <v>45587</v>
      </c>
      <c r="D6656" t="inlineStr">
        <is>
          <t>GÄVLEBORGS LÄN</t>
        </is>
      </c>
      <c r="E6656" t="inlineStr">
        <is>
          <t>LJUSDAL</t>
        </is>
      </c>
      <c r="F6656" t="inlineStr">
        <is>
          <t>Bergvik skog väst AB</t>
        </is>
      </c>
      <c r="G6656" t="n">
        <v>21.5</v>
      </c>
      <c r="H6656" t="n">
        <v>0</v>
      </c>
      <c r="I6656" t="n">
        <v>0</v>
      </c>
      <c r="J6656" t="n">
        <v>0</v>
      </c>
      <c r="K6656" t="n">
        <v>0</v>
      </c>
      <c r="L6656" t="n">
        <v>0</v>
      </c>
      <c r="M6656" t="n">
        <v>0</v>
      </c>
      <c r="N6656" t="n">
        <v>0</v>
      </c>
      <c r="O6656" t="n">
        <v>0</v>
      </c>
      <c r="P6656" t="n">
        <v>0</v>
      </c>
      <c r="Q6656" t="n">
        <v>0</v>
      </c>
      <c r="R6656" s="2" t="inlineStr"/>
    </row>
    <row r="6657" ht="15" customHeight="1">
      <c r="A6657" t="inlineStr">
        <is>
          <t>A 16047-2023</t>
        </is>
      </c>
      <c r="B6657" s="1" t="n">
        <v>45027</v>
      </c>
      <c r="C6657" s="1" t="n">
        <v>45587</v>
      </c>
      <c r="D6657" t="inlineStr">
        <is>
          <t>GÄVLEBORGS LÄN</t>
        </is>
      </c>
      <c r="E6657" t="inlineStr">
        <is>
          <t>LJUSDAL</t>
        </is>
      </c>
      <c r="F6657" t="inlineStr">
        <is>
          <t>Holmen skog AB</t>
        </is>
      </c>
      <c r="G6657" t="n">
        <v>8.300000000000001</v>
      </c>
      <c r="H6657" t="n">
        <v>0</v>
      </c>
      <c r="I6657" t="n">
        <v>0</v>
      </c>
      <c r="J6657" t="n">
        <v>0</v>
      </c>
      <c r="K6657" t="n">
        <v>0</v>
      </c>
      <c r="L6657" t="n">
        <v>0</v>
      </c>
      <c r="M6657" t="n">
        <v>0</v>
      </c>
      <c r="N6657" t="n">
        <v>0</v>
      </c>
      <c r="O6657" t="n">
        <v>0</v>
      </c>
      <c r="P6657" t="n">
        <v>0</v>
      </c>
      <c r="Q6657" t="n">
        <v>0</v>
      </c>
      <c r="R6657" s="2" t="inlineStr"/>
    </row>
    <row r="6658" ht="15" customHeight="1">
      <c r="A6658" t="inlineStr">
        <is>
          <t>A 16062-2023</t>
        </is>
      </c>
      <c r="B6658" s="1" t="n">
        <v>45027</v>
      </c>
      <c r="C6658" s="1" t="n">
        <v>45587</v>
      </c>
      <c r="D6658" t="inlineStr">
        <is>
          <t>GÄVLEBORGS LÄN</t>
        </is>
      </c>
      <c r="E6658" t="inlineStr">
        <is>
          <t>GÄVLE</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16116-2023</t>
        </is>
      </c>
      <c r="B6659" s="1" t="n">
        <v>45027</v>
      </c>
      <c r="C6659" s="1" t="n">
        <v>45587</v>
      </c>
      <c r="D6659" t="inlineStr">
        <is>
          <t>GÄVLEBORGS LÄN</t>
        </is>
      </c>
      <c r="E6659" t="inlineStr">
        <is>
          <t>SÖDERHAMN</t>
        </is>
      </c>
      <c r="F6659" t="inlineStr">
        <is>
          <t>Bergvik skog väst AB</t>
        </is>
      </c>
      <c r="G6659" t="n">
        <v>15.9</v>
      </c>
      <c r="H6659" t="n">
        <v>0</v>
      </c>
      <c r="I6659" t="n">
        <v>0</v>
      </c>
      <c r="J6659" t="n">
        <v>0</v>
      </c>
      <c r="K6659" t="n">
        <v>0</v>
      </c>
      <c r="L6659" t="n">
        <v>0</v>
      </c>
      <c r="M6659" t="n">
        <v>0</v>
      </c>
      <c r="N6659" t="n">
        <v>0</v>
      </c>
      <c r="O6659" t="n">
        <v>0</v>
      </c>
      <c r="P6659" t="n">
        <v>0</v>
      </c>
      <c r="Q6659" t="n">
        <v>0</v>
      </c>
      <c r="R6659" s="2" t="inlineStr"/>
    </row>
    <row r="6660" ht="15" customHeight="1">
      <c r="A6660" t="inlineStr">
        <is>
          <t>A 16125-2023</t>
        </is>
      </c>
      <c r="B6660" s="1" t="n">
        <v>45027</v>
      </c>
      <c r="C6660" s="1" t="n">
        <v>45587</v>
      </c>
      <c r="D6660" t="inlineStr">
        <is>
          <t>GÄVLEBORGS LÄN</t>
        </is>
      </c>
      <c r="E6660" t="inlineStr">
        <is>
          <t>NORDANSTIG</t>
        </is>
      </c>
      <c r="F6660" t="inlineStr">
        <is>
          <t>Holmen skog AB</t>
        </is>
      </c>
      <c r="G6660" t="n">
        <v>6.4</v>
      </c>
      <c r="H6660" t="n">
        <v>0</v>
      </c>
      <c r="I6660" t="n">
        <v>0</v>
      </c>
      <c r="J6660" t="n">
        <v>0</v>
      </c>
      <c r="K6660" t="n">
        <v>0</v>
      </c>
      <c r="L6660" t="n">
        <v>0</v>
      </c>
      <c r="M6660" t="n">
        <v>0</v>
      </c>
      <c r="N6660" t="n">
        <v>0</v>
      </c>
      <c r="O6660" t="n">
        <v>0</v>
      </c>
      <c r="P6660" t="n">
        <v>0</v>
      </c>
      <c r="Q6660" t="n">
        <v>0</v>
      </c>
      <c r="R6660" s="2" t="inlineStr"/>
    </row>
    <row r="6661" ht="15" customHeight="1">
      <c r="A6661" t="inlineStr">
        <is>
          <t>A 16124-2023</t>
        </is>
      </c>
      <c r="B6661" s="1" t="n">
        <v>45027</v>
      </c>
      <c r="C6661" s="1" t="n">
        <v>45587</v>
      </c>
      <c r="D6661" t="inlineStr">
        <is>
          <t>GÄVLEBORGS LÄN</t>
        </is>
      </c>
      <c r="E6661" t="inlineStr">
        <is>
          <t>SÖDERHAMN</t>
        </is>
      </c>
      <c r="F6661" t="inlineStr">
        <is>
          <t>Bergvik skog väst AB</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16101-2023</t>
        </is>
      </c>
      <c r="B6662" s="1" t="n">
        <v>45027</v>
      </c>
      <c r="C6662" s="1" t="n">
        <v>45587</v>
      </c>
      <c r="D6662" t="inlineStr">
        <is>
          <t>GÄVLEBORGS LÄN</t>
        </is>
      </c>
      <c r="E6662" t="inlineStr">
        <is>
          <t>SÖDERHAMN</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16113-2023</t>
        </is>
      </c>
      <c r="B6663" s="1" t="n">
        <v>45027</v>
      </c>
      <c r="C6663" s="1" t="n">
        <v>45587</v>
      </c>
      <c r="D6663" t="inlineStr">
        <is>
          <t>GÄVLEBORGS LÄN</t>
        </is>
      </c>
      <c r="E6663" t="inlineStr">
        <is>
          <t>SÖDERHAMN</t>
        </is>
      </c>
      <c r="F6663" t="inlineStr">
        <is>
          <t>Bergvik skog väst AB</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16123-2023</t>
        </is>
      </c>
      <c r="B6664" s="1" t="n">
        <v>45027</v>
      </c>
      <c r="C6664" s="1" t="n">
        <v>45587</v>
      </c>
      <c r="D6664" t="inlineStr">
        <is>
          <t>GÄVLEBORGS LÄN</t>
        </is>
      </c>
      <c r="E6664" t="inlineStr">
        <is>
          <t>HUDIKSVALL</t>
        </is>
      </c>
      <c r="G6664" t="n">
        <v>4.6</v>
      </c>
      <c r="H6664" t="n">
        <v>0</v>
      </c>
      <c r="I6664" t="n">
        <v>0</v>
      </c>
      <c r="J6664" t="n">
        <v>0</v>
      </c>
      <c r="K6664" t="n">
        <v>0</v>
      </c>
      <c r="L6664" t="n">
        <v>0</v>
      </c>
      <c r="M6664" t="n">
        <v>0</v>
      </c>
      <c r="N6664" t="n">
        <v>0</v>
      </c>
      <c r="O6664" t="n">
        <v>0</v>
      </c>
      <c r="P6664" t="n">
        <v>0</v>
      </c>
      <c r="Q6664" t="n">
        <v>0</v>
      </c>
      <c r="R6664" s="2" t="inlineStr"/>
    </row>
    <row r="6665" ht="15" customHeight="1">
      <c r="A6665" t="inlineStr">
        <is>
          <t>A 16144-2023</t>
        </is>
      </c>
      <c r="B6665" s="1" t="n">
        <v>45027</v>
      </c>
      <c r="C6665" s="1" t="n">
        <v>45587</v>
      </c>
      <c r="D6665" t="inlineStr">
        <is>
          <t>GÄVLEBORGS LÄN</t>
        </is>
      </c>
      <c r="E6665" t="inlineStr">
        <is>
          <t>OCKELBO</t>
        </is>
      </c>
      <c r="F6665" t="inlineStr">
        <is>
          <t>Bergvik skog väst AB</t>
        </is>
      </c>
      <c r="G6665" t="n">
        <v>5.2</v>
      </c>
      <c r="H6665" t="n">
        <v>0</v>
      </c>
      <c r="I6665" t="n">
        <v>0</v>
      </c>
      <c r="J6665" t="n">
        <v>0</v>
      </c>
      <c r="K6665" t="n">
        <v>0</v>
      </c>
      <c r="L6665" t="n">
        <v>0</v>
      </c>
      <c r="M6665" t="n">
        <v>0</v>
      </c>
      <c r="N6665" t="n">
        <v>0</v>
      </c>
      <c r="O6665" t="n">
        <v>0</v>
      </c>
      <c r="P6665" t="n">
        <v>0</v>
      </c>
      <c r="Q6665" t="n">
        <v>0</v>
      </c>
      <c r="R6665" s="2" t="inlineStr"/>
    </row>
    <row r="6666" ht="15" customHeight="1">
      <c r="A6666" t="inlineStr">
        <is>
          <t>A 16073-2023</t>
        </is>
      </c>
      <c r="B6666" s="1" t="n">
        <v>45027</v>
      </c>
      <c r="C6666" s="1" t="n">
        <v>45587</v>
      </c>
      <c r="D6666" t="inlineStr">
        <is>
          <t>GÄVLEBORGS LÄN</t>
        </is>
      </c>
      <c r="E6666" t="inlineStr">
        <is>
          <t>HUDIKSVALL</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16100-2023</t>
        </is>
      </c>
      <c r="B6667" s="1" t="n">
        <v>45027</v>
      </c>
      <c r="C6667" s="1" t="n">
        <v>45587</v>
      </c>
      <c r="D6667" t="inlineStr">
        <is>
          <t>GÄVLEBORGS LÄN</t>
        </is>
      </c>
      <c r="E6667" t="inlineStr">
        <is>
          <t>LJUSDAL</t>
        </is>
      </c>
      <c r="F6667" t="inlineStr">
        <is>
          <t>Bergvik skog väst AB</t>
        </is>
      </c>
      <c r="G6667" t="n">
        <v>7</v>
      </c>
      <c r="H6667" t="n">
        <v>0</v>
      </c>
      <c r="I6667" t="n">
        <v>0</v>
      </c>
      <c r="J6667" t="n">
        <v>0</v>
      </c>
      <c r="K6667" t="n">
        <v>0</v>
      </c>
      <c r="L6667" t="n">
        <v>0</v>
      </c>
      <c r="M6667" t="n">
        <v>0</v>
      </c>
      <c r="N6667" t="n">
        <v>0</v>
      </c>
      <c r="O6667" t="n">
        <v>0</v>
      </c>
      <c r="P6667" t="n">
        <v>0</v>
      </c>
      <c r="Q6667" t="n">
        <v>0</v>
      </c>
      <c r="R6667" s="2" t="inlineStr"/>
    </row>
    <row r="6668" ht="15" customHeight="1">
      <c r="A6668" t="inlineStr">
        <is>
          <t>A 16107-2023</t>
        </is>
      </c>
      <c r="B6668" s="1" t="n">
        <v>45027</v>
      </c>
      <c r="C6668" s="1" t="n">
        <v>45587</v>
      </c>
      <c r="D6668" t="inlineStr">
        <is>
          <t>GÄVLEBORGS LÄN</t>
        </is>
      </c>
      <c r="E6668" t="inlineStr">
        <is>
          <t>SÖDERHAMN</t>
        </is>
      </c>
      <c r="F6668" t="inlineStr">
        <is>
          <t>Bergvik skog väst AB</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16141-2023</t>
        </is>
      </c>
      <c r="B6669" s="1" t="n">
        <v>45027</v>
      </c>
      <c r="C6669" s="1" t="n">
        <v>45587</v>
      </c>
      <c r="D6669" t="inlineStr">
        <is>
          <t>GÄVLEBORGS LÄN</t>
        </is>
      </c>
      <c r="E6669" t="inlineStr">
        <is>
          <t>OCKELBO</t>
        </is>
      </c>
      <c r="F6669" t="inlineStr">
        <is>
          <t>Bergvik skog väst AB</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16178-2023</t>
        </is>
      </c>
      <c r="B6670" s="1" t="n">
        <v>45027</v>
      </c>
      <c r="C6670" s="1" t="n">
        <v>45587</v>
      </c>
      <c r="D6670" t="inlineStr">
        <is>
          <t>GÄVLEBORGS LÄN</t>
        </is>
      </c>
      <c r="E6670" t="inlineStr">
        <is>
          <t>SÖDERHAMN</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16231-2023</t>
        </is>
      </c>
      <c r="B6671" s="1" t="n">
        <v>45028</v>
      </c>
      <c r="C6671" s="1" t="n">
        <v>45587</v>
      </c>
      <c r="D6671" t="inlineStr">
        <is>
          <t>GÄVLEBORGS LÄN</t>
        </is>
      </c>
      <c r="E6671" t="inlineStr">
        <is>
          <t>SÖDERHAMN</t>
        </is>
      </c>
      <c r="F6671" t="inlineStr">
        <is>
          <t>Bergvik skog väst AB</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16244-2023</t>
        </is>
      </c>
      <c r="B6672" s="1" t="n">
        <v>45028</v>
      </c>
      <c r="C6672" s="1" t="n">
        <v>45587</v>
      </c>
      <c r="D6672" t="inlineStr">
        <is>
          <t>GÄVLEBORGS LÄN</t>
        </is>
      </c>
      <c r="E6672" t="inlineStr">
        <is>
          <t>SÖDERHAMN</t>
        </is>
      </c>
      <c r="F6672" t="inlineStr">
        <is>
          <t>Bergvik skog väst AB</t>
        </is>
      </c>
      <c r="G6672" t="n">
        <v>15.5</v>
      </c>
      <c r="H6672" t="n">
        <v>0</v>
      </c>
      <c r="I6672" t="n">
        <v>0</v>
      </c>
      <c r="J6672" t="n">
        <v>0</v>
      </c>
      <c r="K6672" t="n">
        <v>0</v>
      </c>
      <c r="L6672" t="n">
        <v>0</v>
      </c>
      <c r="M6672" t="n">
        <v>0</v>
      </c>
      <c r="N6672" t="n">
        <v>0</v>
      </c>
      <c r="O6672" t="n">
        <v>0</v>
      </c>
      <c r="P6672" t="n">
        <v>0</v>
      </c>
      <c r="Q6672" t="n">
        <v>0</v>
      </c>
      <c r="R6672" s="2" t="inlineStr"/>
    </row>
    <row r="6673" ht="15" customHeight="1">
      <c r="A6673" t="inlineStr">
        <is>
          <t>A 16197-2023</t>
        </is>
      </c>
      <c r="B6673" s="1" t="n">
        <v>45028</v>
      </c>
      <c r="C6673" s="1" t="n">
        <v>45587</v>
      </c>
      <c r="D6673" t="inlineStr">
        <is>
          <t>GÄVLEBORGS LÄN</t>
        </is>
      </c>
      <c r="E6673" t="inlineStr">
        <is>
          <t>LJUSDAL</t>
        </is>
      </c>
      <c r="G6673" t="n">
        <v>4.4</v>
      </c>
      <c r="H6673" t="n">
        <v>0</v>
      </c>
      <c r="I6673" t="n">
        <v>0</v>
      </c>
      <c r="J6673" t="n">
        <v>0</v>
      </c>
      <c r="K6673" t="n">
        <v>0</v>
      </c>
      <c r="L6673" t="n">
        <v>0</v>
      </c>
      <c r="M6673" t="n">
        <v>0</v>
      </c>
      <c r="N6673" t="n">
        <v>0</v>
      </c>
      <c r="O6673" t="n">
        <v>0</v>
      </c>
      <c r="P6673" t="n">
        <v>0</v>
      </c>
      <c r="Q6673" t="n">
        <v>0</v>
      </c>
      <c r="R6673" s="2" t="inlineStr"/>
    </row>
    <row r="6674" ht="15" customHeight="1">
      <c r="A6674" t="inlineStr">
        <is>
          <t>A 16206-2023</t>
        </is>
      </c>
      <c r="B6674" s="1" t="n">
        <v>45028</v>
      </c>
      <c r="C6674" s="1" t="n">
        <v>45587</v>
      </c>
      <c r="D6674" t="inlineStr">
        <is>
          <t>GÄVLEBORGS LÄN</t>
        </is>
      </c>
      <c r="E6674" t="inlineStr">
        <is>
          <t>SÖDERHAMN</t>
        </is>
      </c>
      <c r="F6674" t="inlineStr">
        <is>
          <t>Bergvik skog väst AB</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16228-2023</t>
        </is>
      </c>
      <c r="B6675" s="1" t="n">
        <v>45028</v>
      </c>
      <c r="C6675" s="1" t="n">
        <v>45587</v>
      </c>
      <c r="D6675" t="inlineStr">
        <is>
          <t>GÄVLEBORGS LÄN</t>
        </is>
      </c>
      <c r="E6675" t="inlineStr">
        <is>
          <t>LJUSDAL</t>
        </is>
      </c>
      <c r="F6675" t="inlineStr">
        <is>
          <t>Bergvik skog väst AB</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16327-2023</t>
        </is>
      </c>
      <c r="B6676" s="1" t="n">
        <v>45028</v>
      </c>
      <c r="C6676" s="1" t="n">
        <v>45587</v>
      </c>
      <c r="D6676" t="inlineStr">
        <is>
          <t>GÄVLEBORGS LÄN</t>
        </is>
      </c>
      <c r="E6676" t="inlineStr">
        <is>
          <t>HUDIKSVALL</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16340-2023</t>
        </is>
      </c>
      <c r="B6677" s="1" t="n">
        <v>45028</v>
      </c>
      <c r="C6677" s="1" t="n">
        <v>45587</v>
      </c>
      <c r="D6677" t="inlineStr">
        <is>
          <t>GÄVLEBORGS LÄN</t>
        </is>
      </c>
      <c r="E6677" t="inlineStr">
        <is>
          <t>SÖDERHAMN</t>
        </is>
      </c>
      <c r="F6677" t="inlineStr">
        <is>
          <t>Bergvik skog väst AB</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16209-2023</t>
        </is>
      </c>
      <c r="B6678" s="1" t="n">
        <v>45028</v>
      </c>
      <c r="C6678" s="1" t="n">
        <v>45587</v>
      </c>
      <c r="D6678" t="inlineStr">
        <is>
          <t>GÄVLEBORGS LÄN</t>
        </is>
      </c>
      <c r="E6678" t="inlineStr">
        <is>
          <t>SÖDERHAMN</t>
        </is>
      </c>
      <c r="F6678" t="inlineStr">
        <is>
          <t>Bergvik skog väst AB</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16243-2023</t>
        </is>
      </c>
      <c r="B6679" s="1" t="n">
        <v>45028</v>
      </c>
      <c r="C6679" s="1" t="n">
        <v>45587</v>
      </c>
      <c r="D6679" t="inlineStr">
        <is>
          <t>GÄVLEBORGS LÄN</t>
        </is>
      </c>
      <c r="E6679" t="inlineStr">
        <is>
          <t>SÖDERHAMN</t>
        </is>
      </c>
      <c r="F6679" t="inlineStr">
        <is>
          <t>Bergvik skog väst AB</t>
        </is>
      </c>
      <c r="G6679" t="n">
        <v>8.199999999999999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16248-2023</t>
        </is>
      </c>
      <c r="B6680" s="1" t="n">
        <v>45028</v>
      </c>
      <c r="C6680" s="1" t="n">
        <v>45587</v>
      </c>
      <c r="D6680" t="inlineStr">
        <is>
          <t>GÄVLEBORGS LÄN</t>
        </is>
      </c>
      <c r="E6680" t="inlineStr">
        <is>
          <t>SÖDERHAMN</t>
        </is>
      </c>
      <c r="F6680" t="inlineStr">
        <is>
          <t>Bergvik skog väst AB</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16337-2023</t>
        </is>
      </c>
      <c r="B6681" s="1" t="n">
        <v>45028</v>
      </c>
      <c r="C6681" s="1" t="n">
        <v>45587</v>
      </c>
      <c r="D6681" t="inlineStr">
        <is>
          <t>GÄVLEBORGS LÄN</t>
        </is>
      </c>
      <c r="E6681" t="inlineStr">
        <is>
          <t>SÖDERHAMN</t>
        </is>
      </c>
      <c r="F6681" t="inlineStr">
        <is>
          <t>Bergvik skog väst AB</t>
        </is>
      </c>
      <c r="G6681" t="n">
        <v>5.1</v>
      </c>
      <c r="H6681" t="n">
        <v>0</v>
      </c>
      <c r="I6681" t="n">
        <v>0</v>
      </c>
      <c r="J6681" t="n">
        <v>0</v>
      </c>
      <c r="K6681" t="n">
        <v>0</v>
      </c>
      <c r="L6681" t="n">
        <v>0</v>
      </c>
      <c r="M6681" t="n">
        <v>0</v>
      </c>
      <c r="N6681" t="n">
        <v>0</v>
      </c>
      <c r="O6681" t="n">
        <v>0</v>
      </c>
      <c r="P6681" t="n">
        <v>0</v>
      </c>
      <c r="Q6681" t="n">
        <v>0</v>
      </c>
      <c r="R6681" s="2" t="inlineStr"/>
    </row>
    <row r="6682" ht="15" customHeight="1">
      <c r="A6682" t="inlineStr">
        <is>
          <t>A 16421-2023</t>
        </is>
      </c>
      <c r="B6682" s="1" t="n">
        <v>45029</v>
      </c>
      <c r="C6682" s="1" t="n">
        <v>45587</v>
      </c>
      <c r="D6682" t="inlineStr">
        <is>
          <t>GÄVLEBORGS LÄN</t>
        </is>
      </c>
      <c r="E6682" t="inlineStr">
        <is>
          <t>GÄVLE</t>
        </is>
      </c>
      <c r="F6682" t="inlineStr">
        <is>
          <t>Bergvik skog öst AB</t>
        </is>
      </c>
      <c r="G6682" t="n">
        <v>9.199999999999999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16432-2023</t>
        </is>
      </c>
      <c r="B6683" s="1" t="n">
        <v>45029</v>
      </c>
      <c r="C6683" s="1" t="n">
        <v>45587</v>
      </c>
      <c r="D6683" t="inlineStr">
        <is>
          <t>GÄVLEBORGS LÄN</t>
        </is>
      </c>
      <c r="E6683" t="inlineStr">
        <is>
          <t>GÄVLE</t>
        </is>
      </c>
      <c r="F6683" t="inlineStr">
        <is>
          <t>Bergvik skog öst AB</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16443-2023</t>
        </is>
      </c>
      <c r="B6684" s="1" t="n">
        <v>45029</v>
      </c>
      <c r="C6684" s="1" t="n">
        <v>45587</v>
      </c>
      <c r="D6684" t="inlineStr">
        <is>
          <t>GÄVLEBORGS LÄN</t>
        </is>
      </c>
      <c r="E6684" t="inlineStr">
        <is>
          <t>LJUSDAL</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16575-2023</t>
        </is>
      </c>
      <c r="B6685" s="1" t="n">
        <v>45030</v>
      </c>
      <c r="C6685" s="1" t="n">
        <v>45587</v>
      </c>
      <c r="D6685" t="inlineStr">
        <is>
          <t>GÄVLEBORGS LÄN</t>
        </is>
      </c>
      <c r="E6685" t="inlineStr">
        <is>
          <t>LJUSDAL</t>
        </is>
      </c>
      <c r="F6685" t="inlineStr">
        <is>
          <t>SCA</t>
        </is>
      </c>
      <c r="G6685" t="n">
        <v>4.8</v>
      </c>
      <c r="H6685" t="n">
        <v>0</v>
      </c>
      <c r="I6685" t="n">
        <v>0</v>
      </c>
      <c r="J6685" t="n">
        <v>0</v>
      </c>
      <c r="K6685" t="n">
        <v>0</v>
      </c>
      <c r="L6685" t="n">
        <v>0</v>
      </c>
      <c r="M6685" t="n">
        <v>0</v>
      </c>
      <c r="N6685" t="n">
        <v>0</v>
      </c>
      <c r="O6685" t="n">
        <v>0</v>
      </c>
      <c r="P6685" t="n">
        <v>0</v>
      </c>
      <c r="Q6685" t="n">
        <v>0</v>
      </c>
      <c r="R6685" s="2" t="inlineStr"/>
    </row>
    <row r="6686" ht="15" customHeight="1">
      <c r="A6686" t="inlineStr">
        <is>
          <t>A 16504-2023</t>
        </is>
      </c>
      <c r="B6686" s="1" t="n">
        <v>45029</v>
      </c>
      <c r="C6686" s="1" t="n">
        <v>45587</v>
      </c>
      <c r="D6686" t="inlineStr">
        <is>
          <t>GÄVLEBORGS LÄN</t>
        </is>
      </c>
      <c r="E6686" t="inlineStr">
        <is>
          <t>GÄVLE</t>
        </is>
      </c>
      <c r="F6686" t="inlineStr">
        <is>
          <t>Kyrkan</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16515-2023</t>
        </is>
      </c>
      <c r="B6687" s="1" t="n">
        <v>45029</v>
      </c>
      <c r="C6687" s="1" t="n">
        <v>45587</v>
      </c>
      <c r="D6687" t="inlineStr">
        <is>
          <t>GÄVLEBORGS LÄN</t>
        </is>
      </c>
      <c r="E6687" t="inlineStr">
        <is>
          <t>NORDANSTIG</t>
        </is>
      </c>
      <c r="F6687" t="inlineStr">
        <is>
          <t>Holmen skog AB</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16520-2023</t>
        </is>
      </c>
      <c r="B6688" s="1" t="n">
        <v>45029</v>
      </c>
      <c r="C6688" s="1" t="n">
        <v>45587</v>
      </c>
      <c r="D6688" t="inlineStr">
        <is>
          <t>GÄVLEBORGS LÄN</t>
        </is>
      </c>
      <c r="E6688" t="inlineStr">
        <is>
          <t>NORDANSTIG</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16632-2023</t>
        </is>
      </c>
      <c r="B6689" s="1" t="n">
        <v>45030</v>
      </c>
      <c r="C6689" s="1" t="n">
        <v>45587</v>
      </c>
      <c r="D6689" t="inlineStr">
        <is>
          <t>GÄVLEBORGS LÄN</t>
        </is>
      </c>
      <c r="E6689" t="inlineStr">
        <is>
          <t>GÄVLE</t>
        </is>
      </c>
      <c r="F6689" t="inlineStr">
        <is>
          <t>Bergvik skog väst AB</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16624-2023</t>
        </is>
      </c>
      <c r="B6690" s="1" t="n">
        <v>45030</v>
      </c>
      <c r="C6690" s="1" t="n">
        <v>45587</v>
      </c>
      <c r="D6690" t="inlineStr">
        <is>
          <t>GÄVLEBORGS LÄN</t>
        </is>
      </c>
      <c r="E6690" t="inlineStr">
        <is>
          <t>GÄVLE</t>
        </is>
      </c>
      <c r="F6690" t="inlineStr">
        <is>
          <t>Bergvik skog väst AB</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16663-2023</t>
        </is>
      </c>
      <c r="B6691" s="1" t="n">
        <v>45030</v>
      </c>
      <c r="C6691" s="1" t="n">
        <v>45587</v>
      </c>
      <c r="D6691" t="inlineStr">
        <is>
          <t>GÄVLEBORGS LÄN</t>
        </is>
      </c>
      <c r="E6691" t="inlineStr">
        <is>
          <t>GÄVLE</t>
        </is>
      </c>
      <c r="F6691" t="inlineStr">
        <is>
          <t>Bergvik skog väst AB</t>
        </is>
      </c>
      <c r="G6691" t="n">
        <v>7.1</v>
      </c>
      <c r="H6691" t="n">
        <v>0</v>
      </c>
      <c r="I6691" t="n">
        <v>0</v>
      </c>
      <c r="J6691" t="n">
        <v>0</v>
      </c>
      <c r="K6691" t="n">
        <v>0</v>
      </c>
      <c r="L6691" t="n">
        <v>0</v>
      </c>
      <c r="M6691" t="n">
        <v>0</v>
      </c>
      <c r="N6691" t="n">
        <v>0</v>
      </c>
      <c r="O6691" t="n">
        <v>0</v>
      </c>
      <c r="P6691" t="n">
        <v>0</v>
      </c>
      <c r="Q6691" t="n">
        <v>0</v>
      </c>
      <c r="R6691" s="2" t="inlineStr"/>
    </row>
    <row r="6692" ht="15" customHeight="1">
      <c r="A6692" t="inlineStr">
        <is>
          <t>A 16715-2023</t>
        </is>
      </c>
      <c r="B6692" s="1" t="n">
        <v>45030</v>
      </c>
      <c r="C6692" s="1" t="n">
        <v>45587</v>
      </c>
      <c r="D6692" t="inlineStr">
        <is>
          <t>GÄVLEBORGS LÄN</t>
        </is>
      </c>
      <c r="E6692" t="inlineStr">
        <is>
          <t>OCKELBO</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16717-2023</t>
        </is>
      </c>
      <c r="B6693" s="1" t="n">
        <v>45030</v>
      </c>
      <c r="C6693" s="1" t="n">
        <v>45587</v>
      </c>
      <c r="D6693" t="inlineStr">
        <is>
          <t>GÄVLEBORGS LÄN</t>
        </is>
      </c>
      <c r="E6693" t="inlineStr">
        <is>
          <t>BOLLNÄS</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16849-2023</t>
        </is>
      </c>
      <c r="B6694" s="1" t="n">
        <v>45033</v>
      </c>
      <c r="C6694" s="1" t="n">
        <v>45587</v>
      </c>
      <c r="D6694" t="inlineStr">
        <is>
          <t>GÄVLEBORGS LÄN</t>
        </is>
      </c>
      <c r="E6694" t="inlineStr">
        <is>
          <t>HUDIKSVALL</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16887-2023</t>
        </is>
      </c>
      <c r="B6695" s="1" t="n">
        <v>45033</v>
      </c>
      <c r="C6695" s="1" t="n">
        <v>45587</v>
      </c>
      <c r="D6695" t="inlineStr">
        <is>
          <t>GÄVLEBORGS LÄN</t>
        </is>
      </c>
      <c r="E6695" t="inlineStr">
        <is>
          <t>BOLLNÄS</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16951-2023</t>
        </is>
      </c>
      <c r="B6696" s="1" t="n">
        <v>45033</v>
      </c>
      <c r="C6696" s="1" t="n">
        <v>45587</v>
      </c>
      <c r="D6696" t="inlineStr">
        <is>
          <t>GÄVLEBORGS LÄN</t>
        </is>
      </c>
      <c r="E6696" t="inlineStr">
        <is>
          <t>SÖDERHAMN</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16808-2023</t>
        </is>
      </c>
      <c r="B6697" s="1" t="n">
        <v>45033</v>
      </c>
      <c r="C6697" s="1" t="n">
        <v>45587</v>
      </c>
      <c r="D6697" t="inlineStr">
        <is>
          <t>GÄVLEBORGS LÄN</t>
        </is>
      </c>
      <c r="E6697" t="inlineStr">
        <is>
          <t>OCKELBO</t>
        </is>
      </c>
      <c r="F6697" t="inlineStr">
        <is>
          <t>Bergvik skog väst AB</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16846-2023</t>
        </is>
      </c>
      <c r="B6698" s="1" t="n">
        <v>45033</v>
      </c>
      <c r="C6698" s="1" t="n">
        <v>45587</v>
      </c>
      <c r="D6698" t="inlineStr">
        <is>
          <t>GÄVLEBORGS LÄN</t>
        </is>
      </c>
      <c r="E6698" t="inlineStr">
        <is>
          <t>OCKELBO</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16911-2023</t>
        </is>
      </c>
      <c r="B6699" s="1" t="n">
        <v>45033</v>
      </c>
      <c r="C6699" s="1" t="n">
        <v>45587</v>
      </c>
      <c r="D6699" t="inlineStr">
        <is>
          <t>GÄVLEBORGS LÄN</t>
        </is>
      </c>
      <c r="E6699" t="inlineStr">
        <is>
          <t>OCKELBO</t>
        </is>
      </c>
      <c r="F6699" t="inlineStr">
        <is>
          <t>Bergvik skog väst AB</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16950-2023</t>
        </is>
      </c>
      <c r="B6700" s="1" t="n">
        <v>45033</v>
      </c>
      <c r="C6700" s="1" t="n">
        <v>45587</v>
      </c>
      <c r="D6700" t="inlineStr">
        <is>
          <t>GÄVLEBORGS LÄN</t>
        </is>
      </c>
      <c r="E6700" t="inlineStr">
        <is>
          <t>OCKELBO</t>
        </is>
      </c>
      <c r="F6700" t="inlineStr">
        <is>
          <t>Bergvik skog väst AB</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16961-2023</t>
        </is>
      </c>
      <c r="B6701" s="1" t="n">
        <v>45033</v>
      </c>
      <c r="C6701" s="1" t="n">
        <v>45587</v>
      </c>
      <c r="D6701" t="inlineStr">
        <is>
          <t>GÄVLEBORGS LÄN</t>
        </is>
      </c>
      <c r="E6701" t="inlineStr">
        <is>
          <t>OVANÅKER</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16934-2023</t>
        </is>
      </c>
      <c r="B6702" s="1" t="n">
        <v>45033</v>
      </c>
      <c r="C6702" s="1" t="n">
        <v>45587</v>
      </c>
      <c r="D6702" t="inlineStr">
        <is>
          <t>GÄVLEBORGS LÄN</t>
        </is>
      </c>
      <c r="E6702" t="inlineStr">
        <is>
          <t>HUDIKSVALL</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16968-2023</t>
        </is>
      </c>
      <c r="B6703" s="1" t="n">
        <v>45033</v>
      </c>
      <c r="C6703" s="1" t="n">
        <v>45587</v>
      </c>
      <c r="D6703" t="inlineStr">
        <is>
          <t>GÄVLEBORGS LÄN</t>
        </is>
      </c>
      <c r="E6703" t="inlineStr">
        <is>
          <t>OVANÅKER</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17003-2023</t>
        </is>
      </c>
      <c r="B6704" s="1" t="n">
        <v>45034</v>
      </c>
      <c r="C6704" s="1" t="n">
        <v>45587</v>
      </c>
      <c r="D6704" t="inlineStr">
        <is>
          <t>GÄVLEBORGS LÄN</t>
        </is>
      </c>
      <c r="E6704" t="inlineStr">
        <is>
          <t>LJUSDAL</t>
        </is>
      </c>
      <c r="F6704" t="inlineStr">
        <is>
          <t>SCA</t>
        </is>
      </c>
      <c r="G6704" t="n">
        <v>10.8</v>
      </c>
      <c r="H6704" t="n">
        <v>0</v>
      </c>
      <c r="I6704" t="n">
        <v>0</v>
      </c>
      <c r="J6704" t="n">
        <v>0</v>
      </c>
      <c r="K6704" t="n">
        <v>0</v>
      </c>
      <c r="L6704" t="n">
        <v>0</v>
      </c>
      <c r="M6704" t="n">
        <v>0</v>
      </c>
      <c r="N6704" t="n">
        <v>0</v>
      </c>
      <c r="O6704" t="n">
        <v>0</v>
      </c>
      <c r="P6704" t="n">
        <v>0</v>
      </c>
      <c r="Q6704" t="n">
        <v>0</v>
      </c>
      <c r="R6704" s="2" t="inlineStr"/>
    </row>
    <row r="6705" ht="15" customHeight="1">
      <c r="A6705" t="inlineStr">
        <is>
          <t>A 16890-2023</t>
        </is>
      </c>
      <c r="B6705" s="1" t="n">
        <v>45033</v>
      </c>
      <c r="C6705" s="1" t="n">
        <v>45587</v>
      </c>
      <c r="D6705" t="inlineStr">
        <is>
          <t>GÄVLEBORGS LÄN</t>
        </is>
      </c>
      <c r="E6705" t="inlineStr">
        <is>
          <t>BOLLNÄS</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16902-2023</t>
        </is>
      </c>
      <c r="B6706" s="1" t="n">
        <v>45033</v>
      </c>
      <c r="C6706" s="1" t="n">
        <v>45587</v>
      </c>
      <c r="D6706" t="inlineStr">
        <is>
          <t>GÄVLEBORGS LÄN</t>
        </is>
      </c>
      <c r="E6706" t="inlineStr">
        <is>
          <t>BOLLNÄS</t>
        </is>
      </c>
      <c r="G6706" t="n">
        <v>6.9</v>
      </c>
      <c r="H6706" t="n">
        <v>0</v>
      </c>
      <c r="I6706" t="n">
        <v>0</v>
      </c>
      <c r="J6706" t="n">
        <v>0</v>
      </c>
      <c r="K6706" t="n">
        <v>0</v>
      </c>
      <c r="L6706" t="n">
        <v>0</v>
      </c>
      <c r="M6706" t="n">
        <v>0</v>
      </c>
      <c r="N6706" t="n">
        <v>0</v>
      </c>
      <c r="O6706" t="n">
        <v>0</v>
      </c>
      <c r="P6706" t="n">
        <v>0</v>
      </c>
      <c r="Q6706" t="n">
        <v>0</v>
      </c>
      <c r="R6706" s="2" t="inlineStr"/>
    </row>
    <row r="6707" ht="15" customHeight="1">
      <c r="A6707" t="inlineStr">
        <is>
          <t>A 16907-2023</t>
        </is>
      </c>
      <c r="B6707" s="1" t="n">
        <v>45033</v>
      </c>
      <c r="C6707" s="1" t="n">
        <v>45587</v>
      </c>
      <c r="D6707" t="inlineStr">
        <is>
          <t>GÄVLEBORGS LÄN</t>
        </is>
      </c>
      <c r="E6707" t="inlineStr">
        <is>
          <t>BOLLNÄS</t>
        </is>
      </c>
      <c r="G6707" t="n">
        <v>10</v>
      </c>
      <c r="H6707" t="n">
        <v>0</v>
      </c>
      <c r="I6707" t="n">
        <v>0</v>
      </c>
      <c r="J6707" t="n">
        <v>0</v>
      </c>
      <c r="K6707" t="n">
        <v>0</v>
      </c>
      <c r="L6707" t="n">
        <v>0</v>
      </c>
      <c r="M6707" t="n">
        <v>0</v>
      </c>
      <c r="N6707" t="n">
        <v>0</v>
      </c>
      <c r="O6707" t="n">
        <v>0</v>
      </c>
      <c r="P6707" t="n">
        <v>0</v>
      </c>
      <c r="Q6707" t="n">
        <v>0</v>
      </c>
      <c r="R6707" s="2" t="inlineStr"/>
    </row>
    <row r="6708" ht="15" customHeight="1">
      <c r="A6708" t="inlineStr">
        <is>
          <t>A 16931-2023</t>
        </is>
      </c>
      <c r="B6708" s="1" t="n">
        <v>45033</v>
      </c>
      <c r="C6708" s="1" t="n">
        <v>45587</v>
      </c>
      <c r="D6708" t="inlineStr">
        <is>
          <t>GÄVLEBORGS LÄN</t>
        </is>
      </c>
      <c r="E6708" t="inlineStr">
        <is>
          <t>SÖDERHAMN</t>
        </is>
      </c>
      <c r="G6708" t="n">
        <v>6.1</v>
      </c>
      <c r="H6708" t="n">
        <v>0</v>
      </c>
      <c r="I6708" t="n">
        <v>0</v>
      </c>
      <c r="J6708" t="n">
        <v>0</v>
      </c>
      <c r="K6708" t="n">
        <v>0</v>
      </c>
      <c r="L6708" t="n">
        <v>0</v>
      </c>
      <c r="M6708" t="n">
        <v>0</v>
      </c>
      <c r="N6708" t="n">
        <v>0</v>
      </c>
      <c r="O6708" t="n">
        <v>0</v>
      </c>
      <c r="P6708" t="n">
        <v>0</v>
      </c>
      <c r="Q6708" t="n">
        <v>0</v>
      </c>
      <c r="R6708" s="2" t="inlineStr"/>
    </row>
    <row r="6709" ht="15" customHeight="1">
      <c r="A6709" t="inlineStr">
        <is>
          <t>A 17004-2023</t>
        </is>
      </c>
      <c r="B6709" s="1" t="n">
        <v>45033</v>
      </c>
      <c r="C6709" s="1" t="n">
        <v>45587</v>
      </c>
      <c r="D6709" t="inlineStr">
        <is>
          <t>GÄVLEBORGS LÄN</t>
        </is>
      </c>
      <c r="E6709" t="inlineStr">
        <is>
          <t>LJUSDAL</t>
        </is>
      </c>
      <c r="F6709" t="inlineStr">
        <is>
          <t>SCA</t>
        </is>
      </c>
      <c r="G6709" t="n">
        <v>8.5</v>
      </c>
      <c r="H6709" t="n">
        <v>0</v>
      </c>
      <c r="I6709" t="n">
        <v>0</v>
      </c>
      <c r="J6709" t="n">
        <v>0</v>
      </c>
      <c r="K6709" t="n">
        <v>0</v>
      </c>
      <c r="L6709" t="n">
        <v>0</v>
      </c>
      <c r="M6709" t="n">
        <v>0</v>
      </c>
      <c r="N6709" t="n">
        <v>0</v>
      </c>
      <c r="O6709" t="n">
        <v>0</v>
      </c>
      <c r="P6709" t="n">
        <v>0</v>
      </c>
      <c r="Q6709" t="n">
        <v>0</v>
      </c>
      <c r="R6709" s="2" t="inlineStr"/>
    </row>
    <row r="6710" ht="15" customHeight="1">
      <c r="A6710" t="inlineStr">
        <is>
          <t>A 17005-2023</t>
        </is>
      </c>
      <c r="B6710" s="1" t="n">
        <v>45034</v>
      </c>
      <c r="C6710" s="1" t="n">
        <v>45587</v>
      </c>
      <c r="D6710" t="inlineStr">
        <is>
          <t>GÄVLEBORGS LÄN</t>
        </is>
      </c>
      <c r="E6710" t="inlineStr">
        <is>
          <t>LJUSDAL</t>
        </is>
      </c>
      <c r="F6710" t="inlineStr">
        <is>
          <t>SCA</t>
        </is>
      </c>
      <c r="G6710" t="n">
        <v>7.2</v>
      </c>
      <c r="H6710" t="n">
        <v>0</v>
      </c>
      <c r="I6710" t="n">
        <v>0</v>
      </c>
      <c r="J6710" t="n">
        <v>0</v>
      </c>
      <c r="K6710" t="n">
        <v>0</v>
      </c>
      <c r="L6710" t="n">
        <v>0</v>
      </c>
      <c r="M6710" t="n">
        <v>0</v>
      </c>
      <c r="N6710" t="n">
        <v>0</v>
      </c>
      <c r="O6710" t="n">
        <v>0</v>
      </c>
      <c r="P6710" t="n">
        <v>0</v>
      </c>
      <c r="Q6710" t="n">
        <v>0</v>
      </c>
      <c r="R6710" s="2" t="inlineStr"/>
    </row>
    <row r="6711" ht="15" customHeight="1">
      <c r="A6711" t="inlineStr">
        <is>
          <t>A 17360-2023</t>
        </is>
      </c>
      <c r="B6711" s="1" t="n">
        <v>45033</v>
      </c>
      <c r="C6711" s="1" t="n">
        <v>45587</v>
      </c>
      <c r="D6711" t="inlineStr">
        <is>
          <t>GÄVLEBORGS LÄN</t>
        </is>
      </c>
      <c r="E6711" t="inlineStr">
        <is>
          <t>HUDIKSVALL</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17052-2023</t>
        </is>
      </c>
      <c r="B6712" s="1" t="n">
        <v>45034</v>
      </c>
      <c r="C6712" s="1" t="n">
        <v>45587</v>
      </c>
      <c r="D6712" t="inlineStr">
        <is>
          <t>GÄVLEBORGS LÄN</t>
        </is>
      </c>
      <c r="E6712" t="inlineStr">
        <is>
          <t>NORDANSTIG</t>
        </is>
      </c>
      <c r="F6712" t="inlineStr">
        <is>
          <t>Holmen skog AB</t>
        </is>
      </c>
      <c r="G6712" t="n">
        <v>8.6</v>
      </c>
      <c r="H6712" t="n">
        <v>0</v>
      </c>
      <c r="I6712" t="n">
        <v>0</v>
      </c>
      <c r="J6712" t="n">
        <v>0</v>
      </c>
      <c r="K6712" t="n">
        <v>0</v>
      </c>
      <c r="L6712" t="n">
        <v>0</v>
      </c>
      <c r="M6712" t="n">
        <v>0</v>
      </c>
      <c r="N6712" t="n">
        <v>0</v>
      </c>
      <c r="O6712" t="n">
        <v>0</v>
      </c>
      <c r="P6712" t="n">
        <v>0</v>
      </c>
      <c r="Q6712" t="n">
        <v>0</v>
      </c>
      <c r="R6712" s="2" t="inlineStr"/>
    </row>
    <row r="6713" ht="15" customHeight="1">
      <c r="A6713" t="inlineStr">
        <is>
          <t>A 17097-2023</t>
        </is>
      </c>
      <c r="B6713" s="1" t="n">
        <v>45034</v>
      </c>
      <c r="C6713" s="1" t="n">
        <v>45587</v>
      </c>
      <c r="D6713" t="inlineStr">
        <is>
          <t>GÄVLEBORGS LÄN</t>
        </is>
      </c>
      <c r="E6713" t="inlineStr">
        <is>
          <t>HUDIKSVALL</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17062-2023</t>
        </is>
      </c>
      <c r="B6714" s="1" t="n">
        <v>45034</v>
      </c>
      <c r="C6714" s="1" t="n">
        <v>45587</v>
      </c>
      <c r="D6714" t="inlineStr">
        <is>
          <t>GÄVLEBORGS LÄN</t>
        </is>
      </c>
      <c r="E6714" t="inlineStr">
        <is>
          <t>GÄVLE</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17088-2023</t>
        </is>
      </c>
      <c r="B6715" s="1" t="n">
        <v>45034</v>
      </c>
      <c r="C6715" s="1" t="n">
        <v>45587</v>
      </c>
      <c r="D6715" t="inlineStr">
        <is>
          <t>GÄVLEBORGS LÄN</t>
        </is>
      </c>
      <c r="E6715" t="inlineStr">
        <is>
          <t>GÄVLE</t>
        </is>
      </c>
      <c r="F6715" t="inlineStr">
        <is>
          <t>Bergvik skog öst AB</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17106-2023</t>
        </is>
      </c>
      <c r="B6716" s="1" t="n">
        <v>45034</v>
      </c>
      <c r="C6716" s="1" t="n">
        <v>45587</v>
      </c>
      <c r="D6716" t="inlineStr">
        <is>
          <t>GÄVLEBORGS LÄN</t>
        </is>
      </c>
      <c r="E6716" t="inlineStr">
        <is>
          <t>SANDVIKEN</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17146-2023</t>
        </is>
      </c>
      <c r="B6717" s="1" t="n">
        <v>45034</v>
      </c>
      <c r="C6717" s="1" t="n">
        <v>45587</v>
      </c>
      <c r="D6717" t="inlineStr">
        <is>
          <t>GÄVLEBORGS LÄN</t>
        </is>
      </c>
      <c r="E6717" t="inlineStr">
        <is>
          <t>SÖDERHAMN</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17164-2023</t>
        </is>
      </c>
      <c r="B6718" s="1" t="n">
        <v>45034</v>
      </c>
      <c r="C6718" s="1" t="n">
        <v>45587</v>
      </c>
      <c r="D6718" t="inlineStr">
        <is>
          <t>GÄVLEBORGS LÄN</t>
        </is>
      </c>
      <c r="E6718" t="inlineStr">
        <is>
          <t>HUDIKSVALL</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17154-2023</t>
        </is>
      </c>
      <c r="B6719" s="1" t="n">
        <v>45034</v>
      </c>
      <c r="C6719" s="1" t="n">
        <v>45587</v>
      </c>
      <c r="D6719" t="inlineStr">
        <is>
          <t>GÄVLEBORGS LÄN</t>
        </is>
      </c>
      <c r="E6719" t="inlineStr">
        <is>
          <t>SANDVIKEN</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17057-2023</t>
        </is>
      </c>
      <c r="B6720" s="1" t="n">
        <v>45034</v>
      </c>
      <c r="C6720" s="1" t="n">
        <v>45587</v>
      </c>
      <c r="D6720" t="inlineStr">
        <is>
          <t>GÄVLEBORGS LÄN</t>
        </is>
      </c>
      <c r="E6720" t="inlineStr">
        <is>
          <t>GÄVLE</t>
        </is>
      </c>
      <c r="F6720" t="inlineStr">
        <is>
          <t>Bergvik skog öst AB</t>
        </is>
      </c>
      <c r="G6720" t="n">
        <v>7.8</v>
      </c>
      <c r="H6720" t="n">
        <v>0</v>
      </c>
      <c r="I6720" t="n">
        <v>0</v>
      </c>
      <c r="J6720" t="n">
        <v>0</v>
      </c>
      <c r="K6720" t="n">
        <v>0</v>
      </c>
      <c r="L6720" t="n">
        <v>0</v>
      </c>
      <c r="M6720" t="n">
        <v>0</v>
      </c>
      <c r="N6720" t="n">
        <v>0</v>
      </c>
      <c r="O6720" t="n">
        <v>0</v>
      </c>
      <c r="P6720" t="n">
        <v>0</v>
      </c>
      <c r="Q6720" t="n">
        <v>0</v>
      </c>
      <c r="R6720" s="2" t="inlineStr"/>
    </row>
    <row r="6721" ht="15" customHeight="1">
      <c r="A6721" t="inlineStr">
        <is>
          <t>A 17182-2023</t>
        </is>
      </c>
      <c r="B6721" s="1" t="n">
        <v>45034</v>
      </c>
      <c r="C6721" s="1" t="n">
        <v>45587</v>
      </c>
      <c r="D6721" t="inlineStr">
        <is>
          <t>GÄVLEBORGS LÄN</t>
        </is>
      </c>
      <c r="E6721" t="inlineStr">
        <is>
          <t>HUDIKSVALL</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17406-2023</t>
        </is>
      </c>
      <c r="B6722" s="1" t="n">
        <v>45035</v>
      </c>
      <c r="C6722" s="1" t="n">
        <v>45587</v>
      </c>
      <c r="D6722" t="inlineStr">
        <is>
          <t>GÄVLEBORGS LÄN</t>
        </is>
      </c>
      <c r="E6722" t="inlineStr">
        <is>
          <t>SANDVIKEN</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17412-2023</t>
        </is>
      </c>
      <c r="B6723" s="1" t="n">
        <v>45035</v>
      </c>
      <c r="C6723" s="1" t="n">
        <v>45587</v>
      </c>
      <c r="D6723" t="inlineStr">
        <is>
          <t>GÄVLEBORGS LÄN</t>
        </is>
      </c>
      <c r="E6723" t="inlineStr">
        <is>
          <t>SÖDERHAMN</t>
        </is>
      </c>
      <c r="G6723" t="n">
        <v>4.8</v>
      </c>
      <c r="H6723" t="n">
        <v>0</v>
      </c>
      <c r="I6723" t="n">
        <v>0</v>
      </c>
      <c r="J6723" t="n">
        <v>0</v>
      </c>
      <c r="K6723" t="n">
        <v>0</v>
      </c>
      <c r="L6723" t="n">
        <v>0</v>
      </c>
      <c r="M6723" t="n">
        <v>0</v>
      </c>
      <c r="N6723" t="n">
        <v>0</v>
      </c>
      <c r="O6723" t="n">
        <v>0</v>
      </c>
      <c r="P6723" t="n">
        <v>0</v>
      </c>
      <c r="Q6723" t="n">
        <v>0</v>
      </c>
      <c r="R6723" s="2" t="inlineStr"/>
    </row>
    <row r="6724" ht="15" customHeight="1">
      <c r="A6724" t="inlineStr">
        <is>
          <t>A 17244-2023</t>
        </is>
      </c>
      <c r="B6724" s="1" t="n">
        <v>45035</v>
      </c>
      <c r="C6724" s="1" t="n">
        <v>45587</v>
      </c>
      <c r="D6724" t="inlineStr">
        <is>
          <t>GÄVLEBORGS LÄN</t>
        </is>
      </c>
      <c r="E6724" t="inlineStr">
        <is>
          <t>LJUSDAL</t>
        </is>
      </c>
      <c r="G6724" t="n">
        <v>4.9</v>
      </c>
      <c r="H6724" t="n">
        <v>0</v>
      </c>
      <c r="I6724" t="n">
        <v>0</v>
      </c>
      <c r="J6724" t="n">
        <v>0</v>
      </c>
      <c r="K6724" t="n">
        <v>0</v>
      </c>
      <c r="L6724" t="n">
        <v>0</v>
      </c>
      <c r="M6724" t="n">
        <v>0</v>
      </c>
      <c r="N6724" t="n">
        <v>0</v>
      </c>
      <c r="O6724" t="n">
        <v>0</v>
      </c>
      <c r="P6724" t="n">
        <v>0</v>
      </c>
      <c r="Q6724" t="n">
        <v>0</v>
      </c>
      <c r="R6724" s="2" t="inlineStr"/>
    </row>
    <row r="6725" ht="15" customHeight="1">
      <c r="A6725" t="inlineStr">
        <is>
          <t>A 17230-2023</t>
        </is>
      </c>
      <c r="B6725" s="1" t="n">
        <v>45035</v>
      </c>
      <c r="C6725" s="1" t="n">
        <v>45587</v>
      </c>
      <c r="D6725" t="inlineStr">
        <is>
          <t>GÄVLEBORGS LÄN</t>
        </is>
      </c>
      <c r="E6725" t="inlineStr">
        <is>
          <t>LJUSDAL</t>
        </is>
      </c>
      <c r="F6725" t="inlineStr">
        <is>
          <t>Holmen skog AB</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17228-2023</t>
        </is>
      </c>
      <c r="B6726" s="1" t="n">
        <v>45035</v>
      </c>
      <c r="C6726" s="1" t="n">
        <v>45587</v>
      </c>
      <c r="D6726" t="inlineStr">
        <is>
          <t>GÄVLEBORGS LÄN</t>
        </is>
      </c>
      <c r="E6726" t="inlineStr">
        <is>
          <t>LJUSDAL</t>
        </is>
      </c>
      <c r="F6726" t="inlineStr">
        <is>
          <t>Holmen skog AB</t>
        </is>
      </c>
      <c r="G6726" t="n">
        <v>1.8</v>
      </c>
      <c r="H6726" t="n">
        <v>0</v>
      </c>
      <c r="I6726" t="n">
        <v>0</v>
      </c>
      <c r="J6726" t="n">
        <v>0</v>
      </c>
      <c r="K6726" t="n">
        <v>0</v>
      </c>
      <c r="L6726" t="n">
        <v>0</v>
      </c>
      <c r="M6726" t="n">
        <v>0</v>
      </c>
      <c r="N6726" t="n">
        <v>0</v>
      </c>
      <c r="O6726" t="n">
        <v>0</v>
      </c>
      <c r="P6726" t="n">
        <v>0</v>
      </c>
      <c r="Q6726" t="n">
        <v>0</v>
      </c>
      <c r="R6726" s="2" t="inlineStr"/>
      <c r="U6726">
        <f>HYPERLINK("https://klasma.github.io/Logging_2161/knärot/A 17228-2023 karta knärot.png", "A 17228-2023")</f>
        <v/>
      </c>
      <c r="V6726">
        <f>HYPERLINK("https://klasma.github.io/Logging_2161/klagomål/A 17228-2023 FSC-klagomål.docx", "A 17228-2023")</f>
        <v/>
      </c>
      <c r="W6726">
        <f>HYPERLINK("https://klasma.github.io/Logging_2161/klagomålsmail/A 17228-2023 FSC-klagomål mail.docx", "A 17228-2023")</f>
        <v/>
      </c>
      <c r="X6726">
        <f>HYPERLINK("https://klasma.github.io/Logging_2161/tillsyn/A 17228-2023 tillsynsbegäran.docx", "A 17228-2023")</f>
        <v/>
      </c>
      <c r="Y6726">
        <f>HYPERLINK("https://klasma.github.io/Logging_2161/tillsynsmail/A 17228-2023 tillsynsbegäran mail.docx", "A 17228-2023")</f>
        <v/>
      </c>
    </row>
    <row r="6727" ht="15" customHeight="1">
      <c r="A6727" t="inlineStr">
        <is>
          <t>A 17241-2023</t>
        </is>
      </c>
      <c r="B6727" s="1" t="n">
        <v>45035</v>
      </c>
      <c r="C6727" s="1" t="n">
        <v>45587</v>
      </c>
      <c r="D6727" t="inlineStr">
        <is>
          <t>GÄVLEBORGS LÄN</t>
        </is>
      </c>
      <c r="E6727" t="inlineStr">
        <is>
          <t>LJUSDAL</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17384-2023</t>
        </is>
      </c>
      <c r="B6728" s="1" t="n">
        <v>45035</v>
      </c>
      <c r="C6728" s="1" t="n">
        <v>45587</v>
      </c>
      <c r="D6728" t="inlineStr">
        <is>
          <t>GÄVLEBORGS LÄN</t>
        </is>
      </c>
      <c r="E6728" t="inlineStr">
        <is>
          <t>OVANÅKER</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17426-2023</t>
        </is>
      </c>
      <c r="B6729" s="1" t="n">
        <v>45035</v>
      </c>
      <c r="C6729" s="1" t="n">
        <v>45587</v>
      </c>
      <c r="D6729" t="inlineStr">
        <is>
          <t>GÄVLEBORGS LÄN</t>
        </is>
      </c>
      <c r="E6729" t="inlineStr">
        <is>
          <t>HUDIKSVALL</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17449-2023</t>
        </is>
      </c>
      <c r="B6730" s="1" t="n">
        <v>45036</v>
      </c>
      <c r="C6730" s="1" t="n">
        <v>45587</v>
      </c>
      <c r="D6730" t="inlineStr">
        <is>
          <t>GÄVLEBORGS LÄN</t>
        </is>
      </c>
      <c r="E6730" t="inlineStr">
        <is>
          <t>GÄVLE</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17601-2023</t>
        </is>
      </c>
      <c r="B6731" s="1" t="n">
        <v>45036</v>
      </c>
      <c r="C6731" s="1" t="n">
        <v>45587</v>
      </c>
      <c r="D6731" t="inlineStr">
        <is>
          <t>GÄVLEBORGS LÄN</t>
        </is>
      </c>
      <c r="E6731" t="inlineStr">
        <is>
          <t>SANDVIKEN</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17466-2023</t>
        </is>
      </c>
      <c r="B6732" s="1" t="n">
        <v>45036</v>
      </c>
      <c r="C6732" s="1" t="n">
        <v>45587</v>
      </c>
      <c r="D6732" t="inlineStr">
        <is>
          <t>GÄVLEBORGS LÄN</t>
        </is>
      </c>
      <c r="E6732" t="inlineStr">
        <is>
          <t>OVANÅKER</t>
        </is>
      </c>
      <c r="G6732" t="n">
        <v>4.4</v>
      </c>
      <c r="H6732" t="n">
        <v>0</v>
      </c>
      <c r="I6732" t="n">
        <v>0</v>
      </c>
      <c r="J6732" t="n">
        <v>0</v>
      </c>
      <c r="K6732" t="n">
        <v>0</v>
      </c>
      <c r="L6732" t="n">
        <v>0</v>
      </c>
      <c r="M6732" t="n">
        <v>0</v>
      </c>
      <c r="N6732" t="n">
        <v>0</v>
      </c>
      <c r="O6732" t="n">
        <v>0</v>
      </c>
      <c r="P6732" t="n">
        <v>0</v>
      </c>
      <c r="Q6732" t="n">
        <v>0</v>
      </c>
      <c r="R6732" s="2" t="inlineStr"/>
    </row>
    <row r="6733" ht="15" customHeight="1">
      <c r="A6733" t="inlineStr">
        <is>
          <t>A 17489-2023</t>
        </is>
      </c>
      <c r="B6733" s="1" t="n">
        <v>45036</v>
      </c>
      <c r="C6733" s="1" t="n">
        <v>45587</v>
      </c>
      <c r="D6733" t="inlineStr">
        <is>
          <t>GÄVLEBORGS LÄN</t>
        </is>
      </c>
      <c r="E6733" t="inlineStr">
        <is>
          <t>OVANÅKER</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17492-2023</t>
        </is>
      </c>
      <c r="B6734" s="1" t="n">
        <v>45036</v>
      </c>
      <c r="C6734" s="1" t="n">
        <v>45587</v>
      </c>
      <c r="D6734" t="inlineStr">
        <is>
          <t>GÄVLEBORGS LÄN</t>
        </is>
      </c>
      <c r="E6734" t="inlineStr">
        <is>
          <t>OVANÅKER</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17499-2023</t>
        </is>
      </c>
      <c r="B6735" s="1" t="n">
        <v>45036</v>
      </c>
      <c r="C6735" s="1" t="n">
        <v>45587</v>
      </c>
      <c r="D6735" t="inlineStr">
        <is>
          <t>GÄVLEBORGS LÄN</t>
        </is>
      </c>
      <c r="E6735" t="inlineStr">
        <is>
          <t>LJUSDAL</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17521-2023</t>
        </is>
      </c>
      <c r="B6736" s="1" t="n">
        <v>45036</v>
      </c>
      <c r="C6736" s="1" t="n">
        <v>45587</v>
      </c>
      <c r="D6736" t="inlineStr">
        <is>
          <t>GÄVLEBORGS LÄN</t>
        </is>
      </c>
      <c r="E6736" t="inlineStr">
        <is>
          <t>OVANÅKER</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17570-2023</t>
        </is>
      </c>
      <c r="B6737" s="1" t="n">
        <v>45036</v>
      </c>
      <c r="C6737" s="1" t="n">
        <v>45587</v>
      </c>
      <c r="D6737" t="inlineStr">
        <is>
          <t>GÄVLEBORGS LÄN</t>
        </is>
      </c>
      <c r="E6737" t="inlineStr">
        <is>
          <t>GÄVLE</t>
        </is>
      </c>
      <c r="F6737" t="inlineStr">
        <is>
          <t>Bergvik skog öst AB</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17526-2023</t>
        </is>
      </c>
      <c r="B6738" s="1" t="n">
        <v>45036</v>
      </c>
      <c r="C6738" s="1" t="n">
        <v>45587</v>
      </c>
      <c r="D6738" t="inlineStr">
        <is>
          <t>GÄVLEBORGS LÄN</t>
        </is>
      </c>
      <c r="E6738" t="inlineStr">
        <is>
          <t>LJUSDAL</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17522-2023</t>
        </is>
      </c>
      <c r="B6739" s="1" t="n">
        <v>45036</v>
      </c>
      <c r="C6739" s="1" t="n">
        <v>45587</v>
      </c>
      <c r="D6739" t="inlineStr">
        <is>
          <t>GÄVLEBORGS LÄN</t>
        </is>
      </c>
      <c r="E6739" t="inlineStr">
        <is>
          <t>LJUSDAL</t>
        </is>
      </c>
      <c r="G6739" t="n">
        <v>6</v>
      </c>
      <c r="H6739" t="n">
        <v>0</v>
      </c>
      <c r="I6739" t="n">
        <v>0</v>
      </c>
      <c r="J6739" t="n">
        <v>0</v>
      </c>
      <c r="K6739" t="n">
        <v>0</v>
      </c>
      <c r="L6739" t="n">
        <v>0</v>
      </c>
      <c r="M6739" t="n">
        <v>0</v>
      </c>
      <c r="N6739" t="n">
        <v>0</v>
      </c>
      <c r="O6739" t="n">
        <v>0</v>
      </c>
      <c r="P6739" t="n">
        <v>0</v>
      </c>
      <c r="Q6739" t="n">
        <v>0</v>
      </c>
      <c r="R6739" s="2" t="inlineStr"/>
    </row>
    <row r="6740" ht="15" customHeight="1">
      <c r="A6740" t="inlineStr">
        <is>
          <t>A 17604-2023</t>
        </is>
      </c>
      <c r="B6740" s="1" t="n">
        <v>45036</v>
      </c>
      <c r="C6740" s="1" t="n">
        <v>45587</v>
      </c>
      <c r="D6740" t="inlineStr">
        <is>
          <t>GÄVLEBORGS LÄN</t>
        </is>
      </c>
      <c r="E6740" t="inlineStr">
        <is>
          <t>BOLLNÄS</t>
        </is>
      </c>
      <c r="G6740" t="n">
        <v>6.1</v>
      </c>
      <c r="H6740" t="n">
        <v>0</v>
      </c>
      <c r="I6740" t="n">
        <v>0</v>
      </c>
      <c r="J6740" t="n">
        <v>0</v>
      </c>
      <c r="K6740" t="n">
        <v>0</v>
      </c>
      <c r="L6740" t="n">
        <v>0</v>
      </c>
      <c r="M6740" t="n">
        <v>0</v>
      </c>
      <c r="N6740" t="n">
        <v>0</v>
      </c>
      <c r="O6740" t="n">
        <v>0</v>
      </c>
      <c r="P6740" t="n">
        <v>0</v>
      </c>
      <c r="Q6740" t="n">
        <v>0</v>
      </c>
      <c r="R6740" s="2" t="inlineStr"/>
    </row>
    <row r="6741" ht="15" customHeight="1">
      <c r="A6741" t="inlineStr">
        <is>
          <t>A 17667-2023</t>
        </is>
      </c>
      <c r="B6741" s="1" t="n">
        <v>45037</v>
      </c>
      <c r="C6741" s="1" t="n">
        <v>45587</v>
      </c>
      <c r="D6741" t="inlineStr">
        <is>
          <t>GÄVLEBORGS LÄN</t>
        </is>
      </c>
      <c r="E6741" t="inlineStr">
        <is>
          <t>LJUSDAL</t>
        </is>
      </c>
      <c r="F6741" t="inlineStr">
        <is>
          <t>SCA</t>
        </is>
      </c>
      <c r="G6741" t="n">
        <v>5.4</v>
      </c>
      <c r="H6741" t="n">
        <v>0</v>
      </c>
      <c r="I6741" t="n">
        <v>0</v>
      </c>
      <c r="J6741" t="n">
        <v>0</v>
      </c>
      <c r="K6741" t="n">
        <v>0</v>
      </c>
      <c r="L6741" t="n">
        <v>0</v>
      </c>
      <c r="M6741" t="n">
        <v>0</v>
      </c>
      <c r="N6741" t="n">
        <v>0</v>
      </c>
      <c r="O6741" t="n">
        <v>0</v>
      </c>
      <c r="P6741" t="n">
        <v>0</v>
      </c>
      <c r="Q6741" t="n">
        <v>0</v>
      </c>
      <c r="R6741" s="2" t="inlineStr"/>
    </row>
    <row r="6742" ht="15" customHeight="1">
      <c r="A6742" t="inlineStr">
        <is>
          <t>A 17699-2023</t>
        </is>
      </c>
      <c r="B6742" s="1" t="n">
        <v>45037</v>
      </c>
      <c r="C6742" s="1" t="n">
        <v>45587</v>
      </c>
      <c r="D6742" t="inlineStr">
        <is>
          <t>GÄVLEBORGS LÄN</t>
        </is>
      </c>
      <c r="E6742" t="inlineStr">
        <is>
          <t>LJUSDAL</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17681-2023</t>
        </is>
      </c>
      <c r="B6743" s="1" t="n">
        <v>45037</v>
      </c>
      <c r="C6743" s="1" t="n">
        <v>45587</v>
      </c>
      <c r="D6743" t="inlineStr">
        <is>
          <t>GÄVLEBORGS LÄN</t>
        </is>
      </c>
      <c r="E6743" t="inlineStr">
        <is>
          <t>LJUSDAL</t>
        </is>
      </c>
      <c r="G6743" t="n">
        <v>3.8</v>
      </c>
      <c r="H6743" t="n">
        <v>0</v>
      </c>
      <c r="I6743" t="n">
        <v>0</v>
      </c>
      <c r="J6743" t="n">
        <v>0</v>
      </c>
      <c r="K6743" t="n">
        <v>0</v>
      </c>
      <c r="L6743" t="n">
        <v>0</v>
      </c>
      <c r="M6743" t="n">
        <v>0</v>
      </c>
      <c r="N6743" t="n">
        <v>0</v>
      </c>
      <c r="O6743" t="n">
        <v>0</v>
      </c>
      <c r="P6743" t="n">
        <v>0</v>
      </c>
      <c r="Q6743" t="n">
        <v>0</v>
      </c>
      <c r="R6743" s="2" t="inlineStr"/>
    </row>
    <row r="6744" ht="15" customHeight="1">
      <c r="A6744" t="inlineStr">
        <is>
          <t>A 17696-2023</t>
        </is>
      </c>
      <c r="B6744" s="1" t="n">
        <v>45037</v>
      </c>
      <c r="C6744" s="1" t="n">
        <v>45587</v>
      </c>
      <c r="D6744" t="inlineStr">
        <is>
          <t>GÄVLEBORGS LÄN</t>
        </is>
      </c>
      <c r="E6744" t="inlineStr">
        <is>
          <t>LJUSDAL</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17804-2023</t>
        </is>
      </c>
      <c r="B6745" s="1" t="n">
        <v>45037</v>
      </c>
      <c r="C6745" s="1" t="n">
        <v>45587</v>
      </c>
      <c r="D6745" t="inlineStr">
        <is>
          <t>GÄVLEBORGS LÄN</t>
        </is>
      </c>
      <c r="E6745" t="inlineStr">
        <is>
          <t>OVANÅKER</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17822-2023</t>
        </is>
      </c>
      <c r="B6746" s="1" t="n">
        <v>45037</v>
      </c>
      <c r="C6746" s="1" t="n">
        <v>45587</v>
      </c>
      <c r="D6746" t="inlineStr">
        <is>
          <t>GÄVLEBORGS LÄN</t>
        </is>
      </c>
      <c r="E6746" t="inlineStr">
        <is>
          <t>OVANÅKER</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17792-2023</t>
        </is>
      </c>
      <c r="B6747" s="1" t="n">
        <v>45037</v>
      </c>
      <c r="C6747" s="1" t="n">
        <v>45587</v>
      </c>
      <c r="D6747" t="inlineStr">
        <is>
          <t>GÄVLEBORGS LÄN</t>
        </is>
      </c>
      <c r="E6747" t="inlineStr">
        <is>
          <t>BOLLNÄS</t>
        </is>
      </c>
      <c r="F6747" t="inlineStr">
        <is>
          <t>Kyrkan</t>
        </is>
      </c>
      <c r="G6747" t="n">
        <v>4.1</v>
      </c>
      <c r="H6747" t="n">
        <v>0</v>
      </c>
      <c r="I6747" t="n">
        <v>0</v>
      </c>
      <c r="J6747" t="n">
        <v>0</v>
      </c>
      <c r="K6747" t="n">
        <v>0</v>
      </c>
      <c r="L6747" t="n">
        <v>0</v>
      </c>
      <c r="M6747" t="n">
        <v>0</v>
      </c>
      <c r="N6747" t="n">
        <v>0</v>
      </c>
      <c r="O6747" t="n">
        <v>0</v>
      </c>
      <c r="P6747" t="n">
        <v>0</v>
      </c>
      <c r="Q6747" t="n">
        <v>0</v>
      </c>
      <c r="R6747" s="2" t="inlineStr"/>
    </row>
    <row r="6748" ht="15" customHeight="1">
      <c r="A6748" t="inlineStr">
        <is>
          <t>A 17840-2023</t>
        </is>
      </c>
      <c r="B6748" s="1" t="n">
        <v>45037</v>
      </c>
      <c r="C6748" s="1" t="n">
        <v>45587</v>
      </c>
      <c r="D6748" t="inlineStr">
        <is>
          <t>GÄVLEBORGS LÄN</t>
        </is>
      </c>
      <c r="E6748" t="inlineStr">
        <is>
          <t>NORDANSTIG</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17843-2023</t>
        </is>
      </c>
      <c r="B6749" s="1" t="n">
        <v>45037</v>
      </c>
      <c r="C6749" s="1" t="n">
        <v>45587</v>
      </c>
      <c r="D6749" t="inlineStr">
        <is>
          <t>GÄVLEBORGS LÄN</t>
        </is>
      </c>
      <c r="E6749" t="inlineStr">
        <is>
          <t>NORDANSTIG</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17867-2023</t>
        </is>
      </c>
      <c r="B6750" s="1" t="n">
        <v>45038</v>
      </c>
      <c r="C6750" s="1" t="n">
        <v>45587</v>
      </c>
      <c r="D6750" t="inlineStr">
        <is>
          <t>GÄVLEBORGS LÄN</t>
        </is>
      </c>
      <c r="E6750" t="inlineStr">
        <is>
          <t>BOLLNÄS</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17903-2023</t>
        </is>
      </c>
      <c r="B6751" s="1" t="n">
        <v>45040</v>
      </c>
      <c r="C6751" s="1" t="n">
        <v>45587</v>
      </c>
      <c r="D6751" t="inlineStr">
        <is>
          <t>GÄVLEBORGS LÄN</t>
        </is>
      </c>
      <c r="E6751" t="inlineStr">
        <is>
          <t>GÄVLE</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18137-2023</t>
        </is>
      </c>
      <c r="B6752" s="1" t="n">
        <v>45040</v>
      </c>
      <c r="C6752" s="1" t="n">
        <v>45587</v>
      </c>
      <c r="D6752" t="inlineStr">
        <is>
          <t>GÄVLEBORGS LÄN</t>
        </is>
      </c>
      <c r="E6752" t="inlineStr">
        <is>
          <t>SÖDERHAMN</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17911-2023</t>
        </is>
      </c>
      <c r="B6753" s="1" t="n">
        <v>45040</v>
      </c>
      <c r="C6753" s="1" t="n">
        <v>45587</v>
      </c>
      <c r="D6753" t="inlineStr">
        <is>
          <t>GÄVLEBORGS LÄN</t>
        </is>
      </c>
      <c r="E6753" t="inlineStr">
        <is>
          <t>GÄVLE</t>
        </is>
      </c>
      <c r="F6753" t="inlineStr">
        <is>
          <t>Bergvik skog väst AB</t>
        </is>
      </c>
      <c r="G6753" t="n">
        <v>5.3</v>
      </c>
      <c r="H6753" t="n">
        <v>0</v>
      </c>
      <c r="I6753" t="n">
        <v>0</v>
      </c>
      <c r="J6753" t="n">
        <v>0</v>
      </c>
      <c r="K6753" t="n">
        <v>0</v>
      </c>
      <c r="L6753" t="n">
        <v>0</v>
      </c>
      <c r="M6753" t="n">
        <v>0</v>
      </c>
      <c r="N6753" t="n">
        <v>0</v>
      </c>
      <c r="O6753" t="n">
        <v>0</v>
      </c>
      <c r="P6753" t="n">
        <v>0</v>
      </c>
      <c r="Q6753" t="n">
        <v>0</v>
      </c>
      <c r="R6753" s="2" t="inlineStr"/>
    </row>
    <row r="6754" ht="15" customHeight="1">
      <c r="A6754" t="inlineStr">
        <is>
          <t>A 18043-2023</t>
        </is>
      </c>
      <c r="B6754" s="1" t="n">
        <v>45040</v>
      </c>
      <c r="C6754" s="1" t="n">
        <v>45587</v>
      </c>
      <c r="D6754" t="inlineStr">
        <is>
          <t>GÄVLEBORGS LÄN</t>
        </is>
      </c>
      <c r="E6754" t="inlineStr">
        <is>
          <t>LJUSDAL</t>
        </is>
      </c>
      <c r="F6754" t="inlineStr">
        <is>
          <t>Holmen skog AB</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17966-2023</t>
        </is>
      </c>
      <c r="B6755" s="1" t="n">
        <v>45040</v>
      </c>
      <c r="C6755" s="1" t="n">
        <v>45587</v>
      </c>
      <c r="D6755" t="inlineStr">
        <is>
          <t>GÄVLEBORGS LÄN</t>
        </is>
      </c>
      <c r="E6755" t="inlineStr">
        <is>
          <t>HUDIKSVALL</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18013-2023</t>
        </is>
      </c>
      <c r="B6756" s="1" t="n">
        <v>45040</v>
      </c>
      <c r="C6756" s="1" t="n">
        <v>45587</v>
      </c>
      <c r="D6756" t="inlineStr">
        <is>
          <t>GÄVLEBORGS LÄN</t>
        </is>
      </c>
      <c r="E6756" t="inlineStr">
        <is>
          <t>BOLLNÄS</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18140-2023</t>
        </is>
      </c>
      <c r="B6757" s="1" t="n">
        <v>45041</v>
      </c>
      <c r="C6757" s="1" t="n">
        <v>45587</v>
      </c>
      <c r="D6757" t="inlineStr">
        <is>
          <t>GÄVLEBORGS LÄN</t>
        </is>
      </c>
      <c r="E6757" t="inlineStr">
        <is>
          <t>SÖDERHAMN</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18141-2023</t>
        </is>
      </c>
      <c r="B6758" s="1" t="n">
        <v>45041</v>
      </c>
      <c r="C6758" s="1" t="n">
        <v>45587</v>
      </c>
      <c r="D6758" t="inlineStr">
        <is>
          <t>GÄVLEBORGS LÄN</t>
        </is>
      </c>
      <c r="E6758" t="inlineStr">
        <is>
          <t>SÖDERHAMN</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18011-2023</t>
        </is>
      </c>
      <c r="B6759" s="1" t="n">
        <v>45040</v>
      </c>
      <c r="C6759" s="1" t="n">
        <v>45587</v>
      </c>
      <c r="D6759" t="inlineStr">
        <is>
          <t>GÄVLEBORGS LÄN</t>
        </is>
      </c>
      <c r="E6759" t="inlineStr">
        <is>
          <t>SANDVIKEN</t>
        </is>
      </c>
      <c r="F6759" t="inlineStr">
        <is>
          <t>Sveaskog</t>
        </is>
      </c>
      <c r="G6759" t="n">
        <v>11.7</v>
      </c>
      <c r="H6759" t="n">
        <v>0</v>
      </c>
      <c r="I6759" t="n">
        <v>0</v>
      </c>
      <c r="J6759" t="n">
        <v>0</v>
      </c>
      <c r="K6759" t="n">
        <v>0</v>
      </c>
      <c r="L6759" t="n">
        <v>0</v>
      </c>
      <c r="M6759" t="n">
        <v>0</v>
      </c>
      <c r="N6759" t="n">
        <v>0</v>
      </c>
      <c r="O6759" t="n">
        <v>0</v>
      </c>
      <c r="P6759" t="n">
        <v>0</v>
      </c>
      <c r="Q6759" t="n">
        <v>0</v>
      </c>
      <c r="R6759" s="2" t="inlineStr"/>
    </row>
    <row r="6760" ht="15" customHeight="1">
      <c r="A6760" t="inlineStr">
        <is>
          <t>A 18138-2023</t>
        </is>
      </c>
      <c r="B6760" s="1" t="n">
        <v>45040</v>
      </c>
      <c r="C6760" s="1" t="n">
        <v>45587</v>
      </c>
      <c r="D6760" t="inlineStr">
        <is>
          <t>GÄVLEBORGS LÄN</t>
        </is>
      </c>
      <c r="E6760" t="inlineStr">
        <is>
          <t>SÖDERHAMN</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18142-2023</t>
        </is>
      </c>
      <c r="B6761" s="1" t="n">
        <v>45041</v>
      </c>
      <c r="C6761" s="1" t="n">
        <v>45587</v>
      </c>
      <c r="D6761" t="inlineStr">
        <is>
          <t>GÄVLEBORGS LÄN</t>
        </is>
      </c>
      <c r="E6761" t="inlineStr">
        <is>
          <t>SÖDERHAMN</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18027-2023</t>
        </is>
      </c>
      <c r="B6762" s="1" t="n">
        <v>45040</v>
      </c>
      <c r="C6762" s="1" t="n">
        <v>45587</v>
      </c>
      <c r="D6762" t="inlineStr">
        <is>
          <t>GÄVLEBORGS LÄN</t>
        </is>
      </c>
      <c r="E6762" t="inlineStr">
        <is>
          <t>OVANÅKER</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18017-2023</t>
        </is>
      </c>
      <c r="B6763" s="1" t="n">
        <v>45040</v>
      </c>
      <c r="C6763" s="1" t="n">
        <v>45587</v>
      </c>
      <c r="D6763" t="inlineStr">
        <is>
          <t>GÄVLEBORGS LÄN</t>
        </is>
      </c>
      <c r="E6763" t="inlineStr">
        <is>
          <t>GÄVLE</t>
        </is>
      </c>
      <c r="F6763" t="inlineStr">
        <is>
          <t>Bergvik skog väst AB</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18195-2023</t>
        </is>
      </c>
      <c r="B6764" s="1" t="n">
        <v>45041</v>
      </c>
      <c r="C6764" s="1" t="n">
        <v>45587</v>
      </c>
      <c r="D6764" t="inlineStr">
        <is>
          <t>GÄVLEBORGS LÄN</t>
        </is>
      </c>
      <c r="E6764" t="inlineStr">
        <is>
          <t>SÖDERHAMN</t>
        </is>
      </c>
      <c r="F6764" t="inlineStr">
        <is>
          <t>Bergvik skog väst AB</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18200-2023</t>
        </is>
      </c>
      <c r="B6765" s="1" t="n">
        <v>45041</v>
      </c>
      <c r="C6765" s="1" t="n">
        <v>45587</v>
      </c>
      <c r="D6765" t="inlineStr">
        <is>
          <t>GÄVLEBORGS LÄN</t>
        </is>
      </c>
      <c r="E6765" t="inlineStr">
        <is>
          <t>SÖDERHAMN</t>
        </is>
      </c>
      <c r="F6765" t="inlineStr">
        <is>
          <t>Bergvik skog väst AB</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18251-2023</t>
        </is>
      </c>
      <c r="B6766" s="1" t="n">
        <v>45041</v>
      </c>
      <c r="C6766" s="1" t="n">
        <v>45587</v>
      </c>
      <c r="D6766" t="inlineStr">
        <is>
          <t>GÄVLEBORGS LÄN</t>
        </is>
      </c>
      <c r="E6766" t="inlineStr">
        <is>
          <t>HUDIKSVALL</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18180-2023</t>
        </is>
      </c>
      <c r="B6767" s="1" t="n">
        <v>45041</v>
      </c>
      <c r="C6767" s="1" t="n">
        <v>45587</v>
      </c>
      <c r="D6767" t="inlineStr">
        <is>
          <t>GÄVLEBORGS LÄN</t>
        </is>
      </c>
      <c r="E6767" t="inlineStr">
        <is>
          <t>HUDIKSVALL</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18189-2023</t>
        </is>
      </c>
      <c r="B6768" s="1" t="n">
        <v>45041</v>
      </c>
      <c r="C6768" s="1" t="n">
        <v>45587</v>
      </c>
      <c r="D6768" t="inlineStr">
        <is>
          <t>GÄVLEBORGS LÄN</t>
        </is>
      </c>
      <c r="E6768" t="inlineStr">
        <is>
          <t>HUDIKSVALL</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18193-2023</t>
        </is>
      </c>
      <c r="B6769" s="1" t="n">
        <v>45041</v>
      </c>
      <c r="C6769" s="1" t="n">
        <v>45587</v>
      </c>
      <c r="D6769" t="inlineStr">
        <is>
          <t>GÄVLEBORGS LÄN</t>
        </is>
      </c>
      <c r="E6769" t="inlineStr">
        <is>
          <t>SÖDERHAMN</t>
        </is>
      </c>
      <c r="F6769" t="inlineStr">
        <is>
          <t>Bergvik skog väst AB</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18272-2023</t>
        </is>
      </c>
      <c r="B6770" s="1" t="n">
        <v>45041</v>
      </c>
      <c r="C6770" s="1" t="n">
        <v>45587</v>
      </c>
      <c r="D6770" t="inlineStr">
        <is>
          <t>GÄVLEBORGS LÄN</t>
        </is>
      </c>
      <c r="E6770" t="inlineStr">
        <is>
          <t>SANDVIKEN</t>
        </is>
      </c>
      <c r="F6770" t="inlineStr">
        <is>
          <t>Kyrkan</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18205-2023</t>
        </is>
      </c>
      <c r="B6771" s="1" t="n">
        <v>45041</v>
      </c>
      <c r="C6771" s="1" t="n">
        <v>45587</v>
      </c>
      <c r="D6771" t="inlineStr">
        <is>
          <t>GÄVLEBORGS LÄN</t>
        </is>
      </c>
      <c r="E6771" t="inlineStr">
        <is>
          <t>HUDIKSVALL</t>
        </is>
      </c>
      <c r="G6771" t="n">
        <v>4.9</v>
      </c>
      <c r="H6771" t="n">
        <v>0</v>
      </c>
      <c r="I6771" t="n">
        <v>0</v>
      </c>
      <c r="J6771" t="n">
        <v>0</v>
      </c>
      <c r="K6771" t="n">
        <v>0</v>
      </c>
      <c r="L6771" t="n">
        <v>0</v>
      </c>
      <c r="M6771" t="n">
        <v>0</v>
      </c>
      <c r="N6771" t="n">
        <v>0</v>
      </c>
      <c r="O6771" t="n">
        <v>0</v>
      </c>
      <c r="P6771" t="n">
        <v>0</v>
      </c>
      <c r="Q6771" t="n">
        <v>0</v>
      </c>
      <c r="R6771" s="2" t="inlineStr"/>
    </row>
    <row r="6772" ht="15" customHeight="1">
      <c r="A6772" t="inlineStr">
        <is>
          <t>A 18226-2023</t>
        </is>
      </c>
      <c r="B6772" s="1" t="n">
        <v>45041</v>
      </c>
      <c r="C6772" s="1" t="n">
        <v>45587</v>
      </c>
      <c r="D6772" t="inlineStr">
        <is>
          <t>GÄVLEBORGS LÄN</t>
        </is>
      </c>
      <c r="E6772" t="inlineStr">
        <is>
          <t>HUDIKSVALL</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18213-2023</t>
        </is>
      </c>
      <c r="B6773" s="1" t="n">
        <v>45041</v>
      </c>
      <c r="C6773" s="1" t="n">
        <v>45587</v>
      </c>
      <c r="D6773" t="inlineStr">
        <is>
          <t>GÄVLEBORGS LÄN</t>
        </is>
      </c>
      <c r="E6773" t="inlineStr">
        <is>
          <t>SÖDERHAMN</t>
        </is>
      </c>
      <c r="F6773" t="inlineStr">
        <is>
          <t>Bergvik skog väst AB</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18279-2023</t>
        </is>
      </c>
      <c r="B6774" s="1" t="n">
        <v>45041</v>
      </c>
      <c r="C6774" s="1" t="n">
        <v>45587</v>
      </c>
      <c r="D6774" t="inlineStr">
        <is>
          <t>GÄVLEBORGS LÄN</t>
        </is>
      </c>
      <c r="E6774" t="inlineStr">
        <is>
          <t>NORDANSTIG</t>
        </is>
      </c>
      <c r="F6774" t="inlineStr">
        <is>
          <t>Holmen skog AB</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18212-2023</t>
        </is>
      </c>
      <c r="B6775" s="1" t="n">
        <v>45041</v>
      </c>
      <c r="C6775" s="1" t="n">
        <v>45587</v>
      </c>
      <c r="D6775" t="inlineStr">
        <is>
          <t>GÄVLEBORGS LÄN</t>
        </is>
      </c>
      <c r="E6775" t="inlineStr">
        <is>
          <t>BOLLNÄS</t>
        </is>
      </c>
      <c r="F6775" t="inlineStr">
        <is>
          <t>Bergvik skog väst AB</t>
        </is>
      </c>
      <c r="G6775" t="n">
        <v>19.1</v>
      </c>
      <c r="H6775" t="n">
        <v>0</v>
      </c>
      <c r="I6775" t="n">
        <v>0</v>
      </c>
      <c r="J6775" t="n">
        <v>0</v>
      </c>
      <c r="K6775" t="n">
        <v>0</v>
      </c>
      <c r="L6775" t="n">
        <v>0</v>
      </c>
      <c r="M6775" t="n">
        <v>0</v>
      </c>
      <c r="N6775" t="n">
        <v>0</v>
      </c>
      <c r="O6775" t="n">
        <v>0</v>
      </c>
      <c r="P6775" t="n">
        <v>0</v>
      </c>
      <c r="Q6775" t="n">
        <v>0</v>
      </c>
      <c r="R6775" s="2" t="inlineStr"/>
    </row>
    <row r="6776" ht="15" customHeight="1">
      <c r="A6776" t="inlineStr">
        <is>
          <t>A 18224-2023</t>
        </is>
      </c>
      <c r="B6776" s="1" t="n">
        <v>45041</v>
      </c>
      <c r="C6776" s="1" t="n">
        <v>45587</v>
      </c>
      <c r="D6776" t="inlineStr">
        <is>
          <t>GÄVLEBORGS LÄN</t>
        </is>
      </c>
      <c r="E6776" t="inlineStr">
        <is>
          <t>SÖDERHAMN</t>
        </is>
      </c>
      <c r="F6776" t="inlineStr">
        <is>
          <t>Bergvik skog väst AB</t>
        </is>
      </c>
      <c r="G6776" t="n">
        <v>34.6</v>
      </c>
      <c r="H6776" t="n">
        <v>0</v>
      </c>
      <c r="I6776" t="n">
        <v>0</v>
      </c>
      <c r="J6776" t="n">
        <v>0</v>
      </c>
      <c r="K6776" t="n">
        <v>0</v>
      </c>
      <c r="L6776" t="n">
        <v>0</v>
      </c>
      <c r="M6776" t="n">
        <v>0</v>
      </c>
      <c r="N6776" t="n">
        <v>0</v>
      </c>
      <c r="O6776" t="n">
        <v>0</v>
      </c>
      <c r="P6776" t="n">
        <v>0</v>
      </c>
      <c r="Q6776" t="n">
        <v>0</v>
      </c>
      <c r="R6776" s="2" t="inlineStr"/>
    </row>
    <row r="6777" ht="15" customHeight="1">
      <c r="A6777" t="inlineStr">
        <is>
          <t>A 18291-2023</t>
        </is>
      </c>
      <c r="B6777" s="1" t="n">
        <v>45041</v>
      </c>
      <c r="C6777" s="1" t="n">
        <v>45587</v>
      </c>
      <c r="D6777" t="inlineStr">
        <is>
          <t>GÄVLEBORGS LÄN</t>
        </is>
      </c>
      <c r="E6777" t="inlineStr">
        <is>
          <t>OCKELBO</t>
        </is>
      </c>
      <c r="F6777" t="inlineStr">
        <is>
          <t>Bergvik skog väst AB</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18314-2023</t>
        </is>
      </c>
      <c r="B6778" s="1" t="n">
        <v>45041</v>
      </c>
      <c r="C6778" s="1" t="n">
        <v>45587</v>
      </c>
      <c r="D6778" t="inlineStr">
        <is>
          <t>GÄVLEBORGS LÄN</t>
        </is>
      </c>
      <c r="E6778" t="inlineStr">
        <is>
          <t>LJUSDAL</t>
        </is>
      </c>
      <c r="F6778" t="inlineStr">
        <is>
          <t>Holmen skog AB</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18238-2023</t>
        </is>
      </c>
      <c r="B6779" s="1" t="n">
        <v>45041</v>
      </c>
      <c r="C6779" s="1" t="n">
        <v>45587</v>
      </c>
      <c r="D6779" t="inlineStr">
        <is>
          <t>GÄVLEBORGS LÄN</t>
        </is>
      </c>
      <c r="E6779" t="inlineStr">
        <is>
          <t>OCKELBO</t>
        </is>
      </c>
      <c r="F6779" t="inlineStr">
        <is>
          <t>Bergvik skog väst AB</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18288-2023</t>
        </is>
      </c>
      <c r="B6780" s="1" t="n">
        <v>45041</v>
      </c>
      <c r="C6780" s="1" t="n">
        <v>45587</v>
      </c>
      <c r="D6780" t="inlineStr">
        <is>
          <t>GÄVLEBORGS LÄN</t>
        </is>
      </c>
      <c r="E6780" t="inlineStr">
        <is>
          <t>NORDANSTIG</t>
        </is>
      </c>
      <c r="F6780" t="inlineStr">
        <is>
          <t>Holmen skog AB</t>
        </is>
      </c>
      <c r="G6780" t="n">
        <v>4.4</v>
      </c>
      <c r="H6780" t="n">
        <v>0</v>
      </c>
      <c r="I6780" t="n">
        <v>0</v>
      </c>
      <c r="J6780" t="n">
        <v>0</v>
      </c>
      <c r="K6780" t="n">
        <v>0</v>
      </c>
      <c r="L6780" t="n">
        <v>0</v>
      </c>
      <c r="M6780" t="n">
        <v>0</v>
      </c>
      <c r="N6780" t="n">
        <v>0</v>
      </c>
      <c r="O6780" t="n">
        <v>0</v>
      </c>
      <c r="P6780" t="n">
        <v>0</v>
      </c>
      <c r="Q6780" t="n">
        <v>0</v>
      </c>
      <c r="R6780" s="2" t="inlineStr"/>
    </row>
    <row r="6781" ht="15" customHeight="1">
      <c r="A6781" t="inlineStr">
        <is>
          <t>A 18261-2023</t>
        </is>
      </c>
      <c r="B6781" s="1" t="n">
        <v>45041</v>
      </c>
      <c r="C6781" s="1" t="n">
        <v>45587</v>
      </c>
      <c r="D6781" t="inlineStr">
        <is>
          <t>GÄVLEBORGS LÄN</t>
        </is>
      </c>
      <c r="E6781" t="inlineStr">
        <is>
          <t>SANDVIKEN</t>
        </is>
      </c>
      <c r="F6781" t="inlineStr">
        <is>
          <t>Kyrkan</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18284-2023</t>
        </is>
      </c>
      <c r="B6782" s="1" t="n">
        <v>45041</v>
      </c>
      <c r="C6782" s="1" t="n">
        <v>45587</v>
      </c>
      <c r="D6782" t="inlineStr">
        <is>
          <t>GÄVLEBORGS LÄN</t>
        </is>
      </c>
      <c r="E6782" t="inlineStr">
        <is>
          <t>HUDIKSVALL</t>
        </is>
      </c>
      <c r="G6782" t="n">
        <v>5.9</v>
      </c>
      <c r="H6782" t="n">
        <v>0</v>
      </c>
      <c r="I6782" t="n">
        <v>0</v>
      </c>
      <c r="J6782" t="n">
        <v>0</v>
      </c>
      <c r="K6782" t="n">
        <v>0</v>
      </c>
      <c r="L6782" t="n">
        <v>0</v>
      </c>
      <c r="M6782" t="n">
        <v>0</v>
      </c>
      <c r="N6782" t="n">
        <v>0</v>
      </c>
      <c r="O6782" t="n">
        <v>0</v>
      </c>
      <c r="P6782" t="n">
        <v>0</v>
      </c>
      <c r="Q6782" t="n">
        <v>0</v>
      </c>
      <c r="R6782" s="2" t="inlineStr"/>
    </row>
    <row r="6783" ht="15" customHeight="1">
      <c r="A6783" t="inlineStr">
        <is>
          <t>A 18311-2023</t>
        </is>
      </c>
      <c r="B6783" s="1" t="n">
        <v>45041</v>
      </c>
      <c r="C6783" s="1" t="n">
        <v>45587</v>
      </c>
      <c r="D6783" t="inlineStr">
        <is>
          <t>GÄVLEBORGS LÄN</t>
        </is>
      </c>
      <c r="E6783" t="inlineStr">
        <is>
          <t>BOLLNÄS</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18308-2023</t>
        </is>
      </c>
      <c r="B6784" s="1" t="n">
        <v>45041</v>
      </c>
      <c r="C6784" s="1" t="n">
        <v>45587</v>
      </c>
      <c r="D6784" t="inlineStr">
        <is>
          <t>GÄVLEBORGS LÄN</t>
        </is>
      </c>
      <c r="E6784" t="inlineStr">
        <is>
          <t>BOLLNÄS</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18401-2023</t>
        </is>
      </c>
      <c r="B6785" s="1" t="n">
        <v>45042</v>
      </c>
      <c r="C6785" s="1" t="n">
        <v>45587</v>
      </c>
      <c r="D6785" t="inlineStr">
        <is>
          <t>GÄVLEBORGS LÄN</t>
        </is>
      </c>
      <c r="E6785" t="inlineStr">
        <is>
          <t>NORDANSTIG</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18420-2023</t>
        </is>
      </c>
      <c r="B6786" s="1" t="n">
        <v>45042</v>
      </c>
      <c r="C6786" s="1" t="n">
        <v>45587</v>
      </c>
      <c r="D6786" t="inlineStr">
        <is>
          <t>GÄVLEBORGS LÄN</t>
        </is>
      </c>
      <c r="E6786" t="inlineStr">
        <is>
          <t>HUDIKSVALL</t>
        </is>
      </c>
      <c r="G6786" t="n">
        <v>21.3</v>
      </c>
      <c r="H6786" t="n">
        <v>0</v>
      </c>
      <c r="I6786" t="n">
        <v>0</v>
      </c>
      <c r="J6786" t="n">
        <v>0</v>
      </c>
      <c r="K6786" t="n">
        <v>0</v>
      </c>
      <c r="L6786" t="n">
        <v>0</v>
      </c>
      <c r="M6786" t="n">
        <v>0</v>
      </c>
      <c r="N6786" t="n">
        <v>0</v>
      </c>
      <c r="O6786" t="n">
        <v>0</v>
      </c>
      <c r="P6786" t="n">
        <v>0</v>
      </c>
      <c r="Q6786" t="n">
        <v>0</v>
      </c>
      <c r="R6786" s="2" t="inlineStr"/>
    </row>
    <row r="6787" ht="15" customHeight="1">
      <c r="A6787" t="inlineStr">
        <is>
          <t>A 18488-2023</t>
        </is>
      </c>
      <c r="B6787" s="1" t="n">
        <v>45042</v>
      </c>
      <c r="C6787" s="1" t="n">
        <v>45587</v>
      </c>
      <c r="D6787" t="inlineStr">
        <is>
          <t>GÄVLEBORGS LÄN</t>
        </is>
      </c>
      <c r="E6787" t="inlineStr">
        <is>
          <t>LJUSDAL</t>
        </is>
      </c>
      <c r="F6787" t="inlineStr">
        <is>
          <t>Holmen skog AB</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18568-2023</t>
        </is>
      </c>
      <c r="B6788" s="1" t="n">
        <v>45043</v>
      </c>
      <c r="C6788" s="1" t="n">
        <v>45587</v>
      </c>
      <c r="D6788" t="inlineStr">
        <is>
          <t>GÄVLEBORGS LÄN</t>
        </is>
      </c>
      <c r="E6788" t="inlineStr">
        <is>
          <t>HUDIKSVALL</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18614-2023</t>
        </is>
      </c>
      <c r="B6789" s="1" t="n">
        <v>45043</v>
      </c>
      <c r="C6789" s="1" t="n">
        <v>45587</v>
      </c>
      <c r="D6789" t="inlineStr">
        <is>
          <t>GÄVLEBORGS LÄN</t>
        </is>
      </c>
      <c r="E6789" t="inlineStr">
        <is>
          <t>BOLLNÄS</t>
        </is>
      </c>
      <c r="G6789" t="n">
        <v>5.4</v>
      </c>
      <c r="H6789" t="n">
        <v>0</v>
      </c>
      <c r="I6789" t="n">
        <v>0</v>
      </c>
      <c r="J6789" t="n">
        <v>0</v>
      </c>
      <c r="K6789" t="n">
        <v>0</v>
      </c>
      <c r="L6789" t="n">
        <v>0</v>
      </c>
      <c r="M6789" t="n">
        <v>0</v>
      </c>
      <c r="N6789" t="n">
        <v>0</v>
      </c>
      <c r="O6789" t="n">
        <v>0</v>
      </c>
      <c r="P6789" t="n">
        <v>0</v>
      </c>
      <c r="Q6789" t="n">
        <v>0</v>
      </c>
      <c r="R6789" s="2" t="inlineStr"/>
    </row>
    <row r="6790" ht="15" customHeight="1">
      <c r="A6790" t="inlineStr">
        <is>
          <t>A 18638-2023</t>
        </is>
      </c>
      <c r="B6790" s="1" t="n">
        <v>45043</v>
      </c>
      <c r="C6790" s="1" t="n">
        <v>45587</v>
      </c>
      <c r="D6790" t="inlineStr">
        <is>
          <t>GÄVLEBORGS LÄN</t>
        </is>
      </c>
      <c r="E6790" t="inlineStr">
        <is>
          <t>NORDANSTIG</t>
        </is>
      </c>
      <c r="G6790" t="n">
        <v>11.3</v>
      </c>
      <c r="H6790" t="n">
        <v>0</v>
      </c>
      <c r="I6790" t="n">
        <v>0</v>
      </c>
      <c r="J6790" t="n">
        <v>0</v>
      </c>
      <c r="K6790" t="n">
        <v>0</v>
      </c>
      <c r="L6790" t="n">
        <v>0</v>
      </c>
      <c r="M6790" t="n">
        <v>0</v>
      </c>
      <c r="N6790" t="n">
        <v>0</v>
      </c>
      <c r="O6790" t="n">
        <v>0</v>
      </c>
      <c r="P6790" t="n">
        <v>0</v>
      </c>
      <c r="Q6790" t="n">
        <v>0</v>
      </c>
      <c r="R6790" s="2" t="inlineStr"/>
    </row>
    <row r="6791" ht="15" customHeight="1">
      <c r="A6791" t="inlineStr">
        <is>
          <t>A 18657-2023</t>
        </is>
      </c>
      <c r="B6791" s="1" t="n">
        <v>45043</v>
      </c>
      <c r="C6791" s="1" t="n">
        <v>45587</v>
      </c>
      <c r="D6791" t="inlineStr">
        <is>
          <t>GÄVLEBORGS LÄN</t>
        </is>
      </c>
      <c r="E6791" t="inlineStr">
        <is>
          <t>HUDIKSVALL</t>
        </is>
      </c>
      <c r="F6791" t="inlineStr">
        <is>
          <t>Holmen skog AB</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18693-2023</t>
        </is>
      </c>
      <c r="B6792" s="1" t="n">
        <v>45043</v>
      </c>
      <c r="C6792" s="1" t="n">
        <v>45587</v>
      </c>
      <c r="D6792" t="inlineStr">
        <is>
          <t>GÄVLEBORGS LÄN</t>
        </is>
      </c>
      <c r="E6792" t="inlineStr">
        <is>
          <t>HOFORS</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18669-2023</t>
        </is>
      </c>
      <c r="B6793" s="1" t="n">
        <v>45043</v>
      </c>
      <c r="C6793" s="1" t="n">
        <v>45587</v>
      </c>
      <c r="D6793" t="inlineStr">
        <is>
          <t>GÄVLEBORGS LÄN</t>
        </is>
      </c>
      <c r="E6793" t="inlineStr">
        <is>
          <t>SÖDERHAMN</t>
        </is>
      </c>
      <c r="G6793" t="n">
        <v>9.4</v>
      </c>
      <c r="H6793" t="n">
        <v>0</v>
      </c>
      <c r="I6793" t="n">
        <v>0</v>
      </c>
      <c r="J6793" t="n">
        <v>0</v>
      </c>
      <c r="K6793" t="n">
        <v>0</v>
      </c>
      <c r="L6793" t="n">
        <v>0</v>
      </c>
      <c r="M6793" t="n">
        <v>0</v>
      </c>
      <c r="N6793" t="n">
        <v>0</v>
      </c>
      <c r="O6793" t="n">
        <v>0</v>
      </c>
      <c r="P6793" t="n">
        <v>0</v>
      </c>
      <c r="Q6793" t="n">
        <v>0</v>
      </c>
      <c r="R6793" s="2" t="inlineStr"/>
    </row>
    <row r="6794" ht="15" customHeight="1">
      <c r="A6794" t="inlineStr">
        <is>
          <t>A 18690-2023</t>
        </is>
      </c>
      <c r="B6794" s="1" t="n">
        <v>45043</v>
      </c>
      <c r="C6794" s="1" t="n">
        <v>45587</v>
      </c>
      <c r="D6794" t="inlineStr">
        <is>
          <t>GÄVLEBORGS LÄN</t>
        </is>
      </c>
      <c r="E6794" t="inlineStr">
        <is>
          <t>HOFORS</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18759-2023</t>
        </is>
      </c>
      <c r="B6795" s="1" t="n">
        <v>45044</v>
      </c>
      <c r="C6795" s="1" t="n">
        <v>45587</v>
      </c>
      <c r="D6795" t="inlineStr">
        <is>
          <t>GÄVLEBORGS LÄN</t>
        </is>
      </c>
      <c r="E6795" t="inlineStr">
        <is>
          <t>NORDANSTIG</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18852-2023</t>
        </is>
      </c>
      <c r="B6796" s="1" t="n">
        <v>45044</v>
      </c>
      <c r="C6796" s="1" t="n">
        <v>45587</v>
      </c>
      <c r="D6796" t="inlineStr">
        <is>
          <t>GÄVLEBORGS LÄN</t>
        </is>
      </c>
      <c r="E6796" t="inlineStr">
        <is>
          <t>BOLLNÄS</t>
        </is>
      </c>
      <c r="G6796" t="n">
        <v>4.8</v>
      </c>
      <c r="H6796" t="n">
        <v>0</v>
      </c>
      <c r="I6796" t="n">
        <v>0</v>
      </c>
      <c r="J6796" t="n">
        <v>0</v>
      </c>
      <c r="K6796" t="n">
        <v>0</v>
      </c>
      <c r="L6796" t="n">
        <v>0</v>
      </c>
      <c r="M6796" t="n">
        <v>0</v>
      </c>
      <c r="N6796" t="n">
        <v>0</v>
      </c>
      <c r="O6796" t="n">
        <v>0</v>
      </c>
      <c r="P6796" t="n">
        <v>0</v>
      </c>
      <c r="Q6796" t="n">
        <v>0</v>
      </c>
      <c r="R6796" s="2" t="inlineStr"/>
    </row>
    <row r="6797" ht="15" customHeight="1">
      <c r="A6797" t="inlineStr">
        <is>
          <t>A 18930-2023</t>
        </is>
      </c>
      <c r="B6797" s="1" t="n">
        <v>45044</v>
      </c>
      <c r="C6797" s="1" t="n">
        <v>45587</v>
      </c>
      <c r="D6797" t="inlineStr">
        <is>
          <t>GÄVLEBORGS LÄN</t>
        </is>
      </c>
      <c r="E6797" t="inlineStr">
        <is>
          <t>HOFORS</t>
        </is>
      </c>
      <c r="G6797" t="n">
        <v>5.9</v>
      </c>
      <c r="H6797" t="n">
        <v>0</v>
      </c>
      <c r="I6797" t="n">
        <v>0</v>
      </c>
      <c r="J6797" t="n">
        <v>0</v>
      </c>
      <c r="K6797" t="n">
        <v>0</v>
      </c>
      <c r="L6797" t="n">
        <v>0</v>
      </c>
      <c r="M6797" t="n">
        <v>0</v>
      </c>
      <c r="N6797" t="n">
        <v>0</v>
      </c>
      <c r="O6797" t="n">
        <v>0</v>
      </c>
      <c r="P6797" t="n">
        <v>0</v>
      </c>
      <c r="Q6797" t="n">
        <v>0</v>
      </c>
      <c r="R6797" s="2" t="inlineStr"/>
    </row>
    <row r="6798" ht="15" customHeight="1">
      <c r="A6798" t="inlineStr">
        <is>
          <t>A 18939-2023</t>
        </is>
      </c>
      <c r="B6798" s="1" t="n">
        <v>45044</v>
      </c>
      <c r="C6798" s="1" t="n">
        <v>45587</v>
      </c>
      <c r="D6798" t="inlineStr">
        <is>
          <t>GÄVLEBORGS LÄN</t>
        </is>
      </c>
      <c r="E6798" t="inlineStr">
        <is>
          <t>OCKELBO</t>
        </is>
      </c>
      <c r="F6798" t="inlineStr">
        <is>
          <t>Bergvik skog väst AB</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18849-2023</t>
        </is>
      </c>
      <c r="B6799" s="1" t="n">
        <v>45044</v>
      </c>
      <c r="C6799" s="1" t="n">
        <v>45587</v>
      </c>
      <c r="D6799" t="inlineStr">
        <is>
          <t>GÄVLEBORGS LÄN</t>
        </is>
      </c>
      <c r="E6799" t="inlineStr">
        <is>
          <t>GÄVLE</t>
        </is>
      </c>
      <c r="G6799" t="n">
        <v>7</v>
      </c>
      <c r="H6799" t="n">
        <v>0</v>
      </c>
      <c r="I6799" t="n">
        <v>0</v>
      </c>
      <c r="J6799" t="n">
        <v>0</v>
      </c>
      <c r="K6799" t="n">
        <v>0</v>
      </c>
      <c r="L6799" t="n">
        <v>0</v>
      </c>
      <c r="M6799" t="n">
        <v>0</v>
      </c>
      <c r="N6799" t="n">
        <v>0</v>
      </c>
      <c r="O6799" t="n">
        <v>0</v>
      </c>
      <c r="P6799" t="n">
        <v>0</v>
      </c>
      <c r="Q6799" t="n">
        <v>0</v>
      </c>
      <c r="R6799" s="2" t="inlineStr"/>
    </row>
    <row r="6800" ht="15" customHeight="1">
      <c r="A6800" t="inlineStr">
        <is>
          <t>A 18835-2023</t>
        </is>
      </c>
      <c r="B6800" s="1" t="n">
        <v>45044</v>
      </c>
      <c r="C6800" s="1" t="n">
        <v>45587</v>
      </c>
      <c r="D6800" t="inlineStr">
        <is>
          <t>GÄVLEBORGS LÄN</t>
        </is>
      </c>
      <c r="E6800" t="inlineStr">
        <is>
          <t>HUDIKSVALL</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18896-2023</t>
        </is>
      </c>
      <c r="B6801" s="1" t="n">
        <v>45044</v>
      </c>
      <c r="C6801" s="1" t="n">
        <v>45587</v>
      </c>
      <c r="D6801" t="inlineStr">
        <is>
          <t>GÄVLEBORGS LÄN</t>
        </is>
      </c>
      <c r="E6801" t="inlineStr">
        <is>
          <t>NORDANSTIG</t>
        </is>
      </c>
      <c r="G6801" t="n">
        <v>13.8</v>
      </c>
      <c r="H6801" t="n">
        <v>0</v>
      </c>
      <c r="I6801" t="n">
        <v>0</v>
      </c>
      <c r="J6801" t="n">
        <v>0</v>
      </c>
      <c r="K6801" t="n">
        <v>0</v>
      </c>
      <c r="L6801" t="n">
        <v>0</v>
      </c>
      <c r="M6801" t="n">
        <v>0</v>
      </c>
      <c r="N6801" t="n">
        <v>0</v>
      </c>
      <c r="O6801" t="n">
        <v>0</v>
      </c>
      <c r="P6801" t="n">
        <v>0</v>
      </c>
      <c r="Q6801" t="n">
        <v>0</v>
      </c>
      <c r="R6801" s="2" t="inlineStr"/>
    </row>
    <row r="6802" ht="15" customHeight="1">
      <c r="A6802" t="inlineStr">
        <is>
          <t>A 18904-2023</t>
        </is>
      </c>
      <c r="B6802" s="1" t="n">
        <v>45044</v>
      </c>
      <c r="C6802" s="1" t="n">
        <v>45587</v>
      </c>
      <c r="D6802" t="inlineStr">
        <is>
          <t>GÄVLEBORGS LÄN</t>
        </is>
      </c>
      <c r="E6802" t="inlineStr">
        <is>
          <t>HUDIKSVALL</t>
        </is>
      </c>
      <c r="F6802" t="inlineStr">
        <is>
          <t>Holmen skog AB</t>
        </is>
      </c>
      <c r="G6802" t="n">
        <v>12.5</v>
      </c>
      <c r="H6802" t="n">
        <v>0</v>
      </c>
      <c r="I6802" t="n">
        <v>0</v>
      </c>
      <c r="J6802" t="n">
        <v>0</v>
      </c>
      <c r="K6802" t="n">
        <v>0</v>
      </c>
      <c r="L6802" t="n">
        <v>0</v>
      </c>
      <c r="M6802" t="n">
        <v>0</v>
      </c>
      <c r="N6802" t="n">
        <v>0</v>
      </c>
      <c r="O6802" t="n">
        <v>0</v>
      </c>
      <c r="P6802" t="n">
        <v>0</v>
      </c>
      <c r="Q6802" t="n">
        <v>0</v>
      </c>
      <c r="R6802" s="2" t="inlineStr"/>
    </row>
    <row r="6803" ht="15" customHeight="1">
      <c r="A6803" t="inlineStr">
        <is>
          <t>A 18856-2023</t>
        </is>
      </c>
      <c r="B6803" s="1" t="n">
        <v>45044</v>
      </c>
      <c r="C6803" s="1" t="n">
        <v>45587</v>
      </c>
      <c r="D6803" t="inlineStr">
        <is>
          <t>GÄVLEBORGS LÄN</t>
        </is>
      </c>
      <c r="E6803" t="inlineStr">
        <is>
          <t>OVANÅKER</t>
        </is>
      </c>
      <c r="G6803" t="n">
        <v>6.4</v>
      </c>
      <c r="H6803" t="n">
        <v>0</v>
      </c>
      <c r="I6803" t="n">
        <v>0</v>
      </c>
      <c r="J6803" t="n">
        <v>0</v>
      </c>
      <c r="K6803" t="n">
        <v>0</v>
      </c>
      <c r="L6803" t="n">
        <v>0</v>
      </c>
      <c r="M6803" t="n">
        <v>0</v>
      </c>
      <c r="N6803" t="n">
        <v>0</v>
      </c>
      <c r="O6803" t="n">
        <v>0</v>
      </c>
      <c r="P6803" t="n">
        <v>0</v>
      </c>
      <c r="Q6803" t="n">
        <v>0</v>
      </c>
      <c r="R6803" s="2" t="inlineStr"/>
    </row>
    <row r="6804" ht="15" customHeight="1">
      <c r="A6804" t="inlineStr">
        <is>
          <t>A 18887-2023</t>
        </is>
      </c>
      <c r="B6804" s="1" t="n">
        <v>45044</v>
      </c>
      <c r="C6804" s="1" t="n">
        <v>45587</v>
      </c>
      <c r="D6804" t="inlineStr">
        <is>
          <t>GÄVLEBORGS LÄN</t>
        </is>
      </c>
      <c r="E6804" t="inlineStr">
        <is>
          <t>HUDIKSVALL</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18976-2023</t>
        </is>
      </c>
      <c r="B6805" s="1" t="n">
        <v>45044</v>
      </c>
      <c r="C6805" s="1" t="n">
        <v>45587</v>
      </c>
      <c r="D6805" t="inlineStr">
        <is>
          <t>GÄVLEBORGS LÄN</t>
        </is>
      </c>
      <c r="E6805" t="inlineStr">
        <is>
          <t>NORDANSTIG</t>
        </is>
      </c>
      <c r="G6805" t="n">
        <v>25.7</v>
      </c>
      <c r="H6805" t="n">
        <v>0</v>
      </c>
      <c r="I6805" t="n">
        <v>0</v>
      </c>
      <c r="J6805" t="n">
        <v>0</v>
      </c>
      <c r="K6805" t="n">
        <v>0</v>
      </c>
      <c r="L6805" t="n">
        <v>0</v>
      </c>
      <c r="M6805" t="n">
        <v>0</v>
      </c>
      <c r="N6805" t="n">
        <v>0</v>
      </c>
      <c r="O6805" t="n">
        <v>0</v>
      </c>
      <c r="P6805" t="n">
        <v>0</v>
      </c>
      <c r="Q6805" t="n">
        <v>0</v>
      </c>
      <c r="R6805" s="2" t="inlineStr"/>
    </row>
    <row r="6806" ht="15" customHeight="1">
      <c r="A6806" t="inlineStr">
        <is>
          <t>A 18910-2023</t>
        </is>
      </c>
      <c r="B6806" s="1" t="n">
        <v>45044</v>
      </c>
      <c r="C6806" s="1" t="n">
        <v>45587</v>
      </c>
      <c r="D6806" t="inlineStr">
        <is>
          <t>GÄVLEBORGS LÄN</t>
        </is>
      </c>
      <c r="E6806" t="inlineStr">
        <is>
          <t>HUDIKSVALL</t>
        </is>
      </c>
      <c r="F6806" t="inlineStr">
        <is>
          <t>Holmen skog AB</t>
        </is>
      </c>
      <c r="G6806" t="n">
        <v>8.800000000000001</v>
      </c>
      <c r="H6806" t="n">
        <v>0</v>
      </c>
      <c r="I6806" t="n">
        <v>0</v>
      </c>
      <c r="J6806" t="n">
        <v>0</v>
      </c>
      <c r="K6806" t="n">
        <v>0</v>
      </c>
      <c r="L6806" t="n">
        <v>0</v>
      </c>
      <c r="M6806" t="n">
        <v>0</v>
      </c>
      <c r="N6806" t="n">
        <v>0</v>
      </c>
      <c r="O6806" t="n">
        <v>0</v>
      </c>
      <c r="P6806" t="n">
        <v>0</v>
      </c>
      <c r="Q6806" t="n">
        <v>0</v>
      </c>
      <c r="R6806" s="2" t="inlineStr"/>
    </row>
    <row r="6807" ht="15" customHeight="1">
      <c r="A6807" t="inlineStr">
        <is>
          <t>A 18933-2023</t>
        </is>
      </c>
      <c r="B6807" s="1" t="n">
        <v>45044</v>
      </c>
      <c r="C6807" s="1" t="n">
        <v>45587</v>
      </c>
      <c r="D6807" t="inlineStr">
        <is>
          <t>GÄVLEBORGS LÄN</t>
        </is>
      </c>
      <c r="E6807" t="inlineStr">
        <is>
          <t>NORDANSTIG</t>
        </is>
      </c>
      <c r="G6807" t="n">
        <v>26.6</v>
      </c>
      <c r="H6807" t="n">
        <v>0</v>
      </c>
      <c r="I6807" t="n">
        <v>0</v>
      </c>
      <c r="J6807" t="n">
        <v>0</v>
      </c>
      <c r="K6807" t="n">
        <v>0</v>
      </c>
      <c r="L6807" t="n">
        <v>0</v>
      </c>
      <c r="M6807" t="n">
        <v>0</v>
      </c>
      <c r="N6807" t="n">
        <v>0</v>
      </c>
      <c r="O6807" t="n">
        <v>0</v>
      </c>
      <c r="P6807" t="n">
        <v>0</v>
      </c>
      <c r="Q6807" t="n">
        <v>0</v>
      </c>
      <c r="R6807" s="2" t="inlineStr"/>
    </row>
    <row r="6808" ht="15" customHeight="1">
      <c r="A6808" t="inlineStr">
        <is>
          <t>A 18977-2023</t>
        </is>
      </c>
      <c r="B6808" s="1" t="n">
        <v>45045</v>
      </c>
      <c r="C6808" s="1" t="n">
        <v>45587</v>
      </c>
      <c r="D6808" t="inlineStr">
        <is>
          <t>GÄVLEBORGS LÄN</t>
        </is>
      </c>
      <c r="E6808" t="inlineStr">
        <is>
          <t>NORDANSTIG</t>
        </is>
      </c>
      <c r="G6808" t="n">
        <v>9.9</v>
      </c>
      <c r="H6808" t="n">
        <v>0</v>
      </c>
      <c r="I6808" t="n">
        <v>0</v>
      </c>
      <c r="J6808" t="n">
        <v>0</v>
      </c>
      <c r="K6808" t="n">
        <v>0</v>
      </c>
      <c r="L6808" t="n">
        <v>0</v>
      </c>
      <c r="M6808" t="n">
        <v>0</v>
      </c>
      <c r="N6808" t="n">
        <v>0</v>
      </c>
      <c r="O6808" t="n">
        <v>0</v>
      </c>
      <c r="P6808" t="n">
        <v>0</v>
      </c>
      <c r="Q6808" t="n">
        <v>0</v>
      </c>
      <c r="R6808" s="2" t="inlineStr"/>
    </row>
    <row r="6809" ht="15" customHeight="1">
      <c r="A6809" t="inlineStr">
        <is>
          <t>A 18857-2023</t>
        </is>
      </c>
      <c r="B6809" s="1" t="n">
        <v>45044</v>
      </c>
      <c r="C6809" s="1" t="n">
        <v>45587</v>
      </c>
      <c r="D6809" t="inlineStr">
        <is>
          <t>GÄVLEBORGS LÄN</t>
        </is>
      </c>
      <c r="E6809" t="inlineStr">
        <is>
          <t>BOLLNÄS</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18906-2023</t>
        </is>
      </c>
      <c r="B6810" s="1" t="n">
        <v>45044</v>
      </c>
      <c r="C6810" s="1" t="n">
        <v>45587</v>
      </c>
      <c r="D6810" t="inlineStr">
        <is>
          <t>GÄVLEBORGS LÄN</t>
        </is>
      </c>
      <c r="E6810" t="inlineStr">
        <is>
          <t>OVANÅKER</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19405-2023</t>
        </is>
      </c>
      <c r="B6811" s="1" t="n">
        <v>45044</v>
      </c>
      <c r="C6811" s="1" t="n">
        <v>45587</v>
      </c>
      <c r="D6811" t="inlineStr">
        <is>
          <t>GÄVLEBORGS LÄN</t>
        </is>
      </c>
      <c r="E6811" t="inlineStr">
        <is>
          <t>BOLLNÄS</t>
        </is>
      </c>
      <c r="G6811" t="n">
        <v>7.4</v>
      </c>
      <c r="H6811" t="n">
        <v>0</v>
      </c>
      <c r="I6811" t="n">
        <v>0</v>
      </c>
      <c r="J6811" t="n">
        <v>0</v>
      </c>
      <c r="K6811" t="n">
        <v>0</v>
      </c>
      <c r="L6811" t="n">
        <v>0</v>
      </c>
      <c r="M6811" t="n">
        <v>0</v>
      </c>
      <c r="N6811" t="n">
        <v>0</v>
      </c>
      <c r="O6811" t="n">
        <v>0</v>
      </c>
      <c r="P6811" t="n">
        <v>0</v>
      </c>
      <c r="Q6811" t="n">
        <v>0</v>
      </c>
      <c r="R6811" s="2" t="inlineStr"/>
    </row>
    <row r="6812" ht="15" customHeight="1">
      <c r="A6812" t="inlineStr">
        <is>
          <t>A 19398-2023</t>
        </is>
      </c>
      <c r="B6812" s="1" t="n">
        <v>45044</v>
      </c>
      <c r="C6812" s="1" t="n">
        <v>45587</v>
      </c>
      <c r="D6812" t="inlineStr">
        <is>
          <t>GÄVLEBORGS LÄN</t>
        </is>
      </c>
      <c r="E6812" t="inlineStr">
        <is>
          <t>BOLLNÄS</t>
        </is>
      </c>
      <c r="G6812" t="n">
        <v>7.7</v>
      </c>
      <c r="H6812" t="n">
        <v>0</v>
      </c>
      <c r="I6812" t="n">
        <v>0</v>
      </c>
      <c r="J6812" t="n">
        <v>0</v>
      </c>
      <c r="K6812" t="n">
        <v>0</v>
      </c>
      <c r="L6812" t="n">
        <v>0</v>
      </c>
      <c r="M6812" t="n">
        <v>0</v>
      </c>
      <c r="N6812" t="n">
        <v>0</v>
      </c>
      <c r="O6812" t="n">
        <v>0</v>
      </c>
      <c r="P6812" t="n">
        <v>0</v>
      </c>
      <c r="Q6812" t="n">
        <v>0</v>
      </c>
      <c r="R6812" s="2" t="inlineStr"/>
    </row>
    <row r="6813" ht="15" customHeight="1">
      <c r="A6813" t="inlineStr">
        <is>
          <t>A 19033-2023</t>
        </is>
      </c>
      <c r="B6813" s="1" t="n">
        <v>45047</v>
      </c>
      <c r="C6813" s="1" t="n">
        <v>45587</v>
      </c>
      <c r="D6813" t="inlineStr">
        <is>
          <t>GÄVLEBORGS LÄN</t>
        </is>
      </c>
      <c r="E6813" t="inlineStr">
        <is>
          <t>LJUSDAL</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19022-2023</t>
        </is>
      </c>
      <c r="B6814" s="1" t="n">
        <v>45047</v>
      </c>
      <c r="C6814" s="1" t="n">
        <v>45587</v>
      </c>
      <c r="D6814" t="inlineStr">
        <is>
          <t>GÄVLEBORGS LÄN</t>
        </is>
      </c>
      <c r="E6814" t="inlineStr">
        <is>
          <t>LJUSDAL</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19035-2023</t>
        </is>
      </c>
      <c r="B6815" s="1" t="n">
        <v>45047</v>
      </c>
      <c r="C6815" s="1" t="n">
        <v>45587</v>
      </c>
      <c r="D6815" t="inlineStr">
        <is>
          <t>GÄVLEBORGS LÄN</t>
        </is>
      </c>
      <c r="E6815" t="inlineStr">
        <is>
          <t>LJUSDAL</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19034-2023</t>
        </is>
      </c>
      <c r="B6816" s="1" t="n">
        <v>45047</v>
      </c>
      <c r="C6816" s="1" t="n">
        <v>45587</v>
      </c>
      <c r="D6816" t="inlineStr">
        <is>
          <t>GÄVLEBORGS LÄN</t>
        </is>
      </c>
      <c r="E6816" t="inlineStr">
        <is>
          <t>LJUSDAL</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19078-2023</t>
        </is>
      </c>
      <c r="B6817" s="1" t="n">
        <v>45048</v>
      </c>
      <c r="C6817" s="1" t="n">
        <v>45587</v>
      </c>
      <c r="D6817" t="inlineStr">
        <is>
          <t>GÄVLEBORGS LÄN</t>
        </is>
      </c>
      <c r="E6817" t="inlineStr">
        <is>
          <t>LJUSDAL</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19156-2023</t>
        </is>
      </c>
      <c r="B6818" s="1" t="n">
        <v>45048</v>
      </c>
      <c r="C6818" s="1" t="n">
        <v>45587</v>
      </c>
      <c r="D6818" t="inlineStr">
        <is>
          <t>GÄVLEBORGS LÄN</t>
        </is>
      </c>
      <c r="E6818" t="inlineStr">
        <is>
          <t>HUDIKSVALL</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19171-2023</t>
        </is>
      </c>
      <c r="B6819" s="1" t="n">
        <v>45048</v>
      </c>
      <c r="C6819" s="1" t="n">
        <v>45587</v>
      </c>
      <c r="D6819" t="inlineStr">
        <is>
          <t>GÄVLEBORGS LÄN</t>
        </is>
      </c>
      <c r="E6819" t="inlineStr">
        <is>
          <t>HUDIKSVALL</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19096-2023</t>
        </is>
      </c>
      <c r="B6820" s="1" t="n">
        <v>45048</v>
      </c>
      <c r="C6820" s="1" t="n">
        <v>45587</v>
      </c>
      <c r="D6820" t="inlineStr">
        <is>
          <t>GÄVLEBORGS LÄN</t>
        </is>
      </c>
      <c r="E6820" t="inlineStr">
        <is>
          <t>HUDIKSVALL</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19104-2023</t>
        </is>
      </c>
      <c r="B6821" s="1" t="n">
        <v>45048</v>
      </c>
      <c r="C6821" s="1" t="n">
        <v>45587</v>
      </c>
      <c r="D6821" t="inlineStr">
        <is>
          <t>GÄVLEBORGS LÄN</t>
        </is>
      </c>
      <c r="E6821" t="inlineStr">
        <is>
          <t>HUDIKSVALL</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19225-2023</t>
        </is>
      </c>
      <c r="B6822" s="1" t="n">
        <v>45048</v>
      </c>
      <c r="C6822" s="1" t="n">
        <v>45587</v>
      </c>
      <c r="D6822" t="inlineStr">
        <is>
          <t>GÄVLEBORGS LÄN</t>
        </is>
      </c>
      <c r="E6822" t="inlineStr">
        <is>
          <t>SÖDERHAMN</t>
        </is>
      </c>
      <c r="F6822" t="inlineStr">
        <is>
          <t>Bergvik skog väst AB</t>
        </is>
      </c>
      <c r="G6822" t="n">
        <v>6.8</v>
      </c>
      <c r="H6822" t="n">
        <v>0</v>
      </c>
      <c r="I6822" t="n">
        <v>0</v>
      </c>
      <c r="J6822" t="n">
        <v>0</v>
      </c>
      <c r="K6822" t="n">
        <v>0</v>
      </c>
      <c r="L6822" t="n">
        <v>0</v>
      </c>
      <c r="M6822" t="n">
        <v>0</v>
      </c>
      <c r="N6822" t="n">
        <v>0</v>
      </c>
      <c r="O6822" t="n">
        <v>0</v>
      </c>
      <c r="P6822" t="n">
        <v>0</v>
      </c>
      <c r="Q6822" t="n">
        <v>0</v>
      </c>
      <c r="R6822" s="2" t="inlineStr"/>
    </row>
    <row r="6823" ht="15" customHeight="1">
      <c r="A6823" t="inlineStr">
        <is>
          <t>A 19178-2023</t>
        </is>
      </c>
      <c r="B6823" s="1" t="n">
        <v>45048</v>
      </c>
      <c r="C6823" s="1" t="n">
        <v>45587</v>
      </c>
      <c r="D6823" t="inlineStr">
        <is>
          <t>GÄVLEBORGS LÄN</t>
        </is>
      </c>
      <c r="E6823" t="inlineStr">
        <is>
          <t>OCKELBO</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19222-2023</t>
        </is>
      </c>
      <c r="B6824" s="1" t="n">
        <v>45048</v>
      </c>
      <c r="C6824" s="1" t="n">
        <v>45587</v>
      </c>
      <c r="D6824" t="inlineStr">
        <is>
          <t>GÄVLEBORGS LÄN</t>
        </is>
      </c>
      <c r="E6824" t="inlineStr">
        <is>
          <t>SÖDERHAMN</t>
        </is>
      </c>
      <c r="F6824" t="inlineStr">
        <is>
          <t>Bergvik skog väst AB</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19130-2023</t>
        </is>
      </c>
      <c r="B6825" s="1" t="n">
        <v>45048</v>
      </c>
      <c r="C6825" s="1" t="n">
        <v>45587</v>
      </c>
      <c r="D6825" t="inlineStr">
        <is>
          <t>GÄVLEBORGS LÄN</t>
        </is>
      </c>
      <c r="E6825" t="inlineStr">
        <is>
          <t>HUDIKSVALL</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19343-2023</t>
        </is>
      </c>
      <c r="B6826" s="1" t="n">
        <v>45049</v>
      </c>
      <c r="C6826" s="1" t="n">
        <v>45587</v>
      </c>
      <c r="D6826" t="inlineStr">
        <is>
          <t>GÄVLEBORGS LÄN</t>
        </is>
      </c>
      <c r="E6826" t="inlineStr">
        <is>
          <t>SANDVIKEN</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19255-2023</t>
        </is>
      </c>
      <c r="B6827" s="1" t="n">
        <v>45049</v>
      </c>
      <c r="C6827" s="1" t="n">
        <v>45587</v>
      </c>
      <c r="D6827" t="inlineStr">
        <is>
          <t>GÄVLEBORGS LÄN</t>
        </is>
      </c>
      <c r="E6827" t="inlineStr">
        <is>
          <t>HUDIKSVALL</t>
        </is>
      </c>
      <c r="G6827" t="n">
        <v>8.4</v>
      </c>
      <c r="H6827" t="n">
        <v>0</v>
      </c>
      <c r="I6827" t="n">
        <v>0</v>
      </c>
      <c r="J6827" t="n">
        <v>0</v>
      </c>
      <c r="K6827" t="n">
        <v>0</v>
      </c>
      <c r="L6827" t="n">
        <v>0</v>
      </c>
      <c r="M6827" t="n">
        <v>0</v>
      </c>
      <c r="N6827" t="n">
        <v>0</v>
      </c>
      <c r="O6827" t="n">
        <v>0</v>
      </c>
      <c r="P6827" t="n">
        <v>0</v>
      </c>
      <c r="Q6827" t="n">
        <v>0</v>
      </c>
      <c r="R6827" s="2" t="inlineStr"/>
    </row>
    <row r="6828" ht="15" customHeight="1">
      <c r="A6828" t="inlineStr">
        <is>
          <t>A 19282-2023</t>
        </is>
      </c>
      <c r="B6828" s="1" t="n">
        <v>45049</v>
      </c>
      <c r="C6828" s="1" t="n">
        <v>45587</v>
      </c>
      <c r="D6828" t="inlineStr">
        <is>
          <t>GÄVLEBORGS LÄN</t>
        </is>
      </c>
      <c r="E6828" t="inlineStr">
        <is>
          <t>HUDIKSVALL</t>
        </is>
      </c>
      <c r="F6828" t="inlineStr">
        <is>
          <t>Holmen skog AB</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19346-2023</t>
        </is>
      </c>
      <c r="B6829" s="1" t="n">
        <v>45049</v>
      </c>
      <c r="C6829" s="1" t="n">
        <v>45587</v>
      </c>
      <c r="D6829" t="inlineStr">
        <is>
          <t>GÄVLEBORGS LÄN</t>
        </is>
      </c>
      <c r="E6829" t="inlineStr">
        <is>
          <t>SANDVIKEN</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19352-2023</t>
        </is>
      </c>
      <c r="B6830" s="1" t="n">
        <v>45049</v>
      </c>
      <c r="C6830" s="1" t="n">
        <v>45587</v>
      </c>
      <c r="D6830" t="inlineStr">
        <is>
          <t>GÄVLEBORGS LÄN</t>
        </is>
      </c>
      <c r="E6830" t="inlineStr">
        <is>
          <t>SANDVIKEN</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19476-2023</t>
        </is>
      </c>
      <c r="B6831" s="1" t="n">
        <v>45050</v>
      </c>
      <c r="C6831" s="1" t="n">
        <v>45587</v>
      </c>
      <c r="D6831" t="inlineStr">
        <is>
          <t>GÄVLEBORGS LÄN</t>
        </is>
      </c>
      <c r="E6831" t="inlineStr">
        <is>
          <t>HOFORS</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19499-2023</t>
        </is>
      </c>
      <c r="B6832" s="1" t="n">
        <v>45050</v>
      </c>
      <c r="C6832" s="1" t="n">
        <v>45587</v>
      </c>
      <c r="D6832" t="inlineStr">
        <is>
          <t>GÄVLEBORGS LÄN</t>
        </is>
      </c>
      <c r="E6832" t="inlineStr">
        <is>
          <t>HUDIKSVALL</t>
        </is>
      </c>
      <c r="F6832" t="inlineStr">
        <is>
          <t>Holmen skog AB</t>
        </is>
      </c>
      <c r="G6832" t="n">
        <v>8.199999999999999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19475-2023</t>
        </is>
      </c>
      <c r="B6833" s="1" t="n">
        <v>45050</v>
      </c>
      <c r="C6833" s="1" t="n">
        <v>45587</v>
      </c>
      <c r="D6833" t="inlineStr">
        <is>
          <t>GÄVLEBORGS LÄN</t>
        </is>
      </c>
      <c r="E6833" t="inlineStr">
        <is>
          <t>HOFORS</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19484-2023</t>
        </is>
      </c>
      <c r="B6834" s="1" t="n">
        <v>45050</v>
      </c>
      <c r="C6834" s="1" t="n">
        <v>45587</v>
      </c>
      <c r="D6834" t="inlineStr">
        <is>
          <t>GÄVLEBORGS LÄN</t>
        </is>
      </c>
      <c r="E6834" t="inlineStr">
        <is>
          <t>HUDIKSVALL</t>
        </is>
      </c>
      <c r="F6834" t="inlineStr">
        <is>
          <t>Holmen skog AB</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19525-2023</t>
        </is>
      </c>
      <c r="B6835" s="1" t="n">
        <v>45050</v>
      </c>
      <c r="C6835" s="1" t="n">
        <v>45587</v>
      </c>
      <c r="D6835" t="inlineStr">
        <is>
          <t>GÄVLEBORGS LÄN</t>
        </is>
      </c>
      <c r="E6835" t="inlineStr">
        <is>
          <t>OVANÅKER</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19473-2023</t>
        </is>
      </c>
      <c r="B6836" s="1" t="n">
        <v>45050</v>
      </c>
      <c r="C6836" s="1" t="n">
        <v>45587</v>
      </c>
      <c r="D6836" t="inlineStr">
        <is>
          <t>GÄVLEBORGS LÄN</t>
        </is>
      </c>
      <c r="E6836" t="inlineStr">
        <is>
          <t>BOLLNÄS</t>
        </is>
      </c>
      <c r="F6836" t="inlineStr">
        <is>
          <t>Bergvik skog väst AB</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19507-2023</t>
        </is>
      </c>
      <c r="B6837" s="1" t="n">
        <v>45050</v>
      </c>
      <c r="C6837" s="1" t="n">
        <v>45587</v>
      </c>
      <c r="D6837" t="inlineStr">
        <is>
          <t>GÄVLEBORGS LÄN</t>
        </is>
      </c>
      <c r="E6837" t="inlineStr">
        <is>
          <t>OVANÅKER</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19684-2023</t>
        </is>
      </c>
      <c r="B6838" s="1" t="n">
        <v>45051</v>
      </c>
      <c r="C6838" s="1" t="n">
        <v>45587</v>
      </c>
      <c r="D6838" t="inlineStr">
        <is>
          <t>GÄVLEBORGS LÄN</t>
        </is>
      </c>
      <c r="E6838" t="inlineStr">
        <is>
          <t>HOFORS</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19757-2023</t>
        </is>
      </c>
      <c r="B6839" s="1" t="n">
        <v>45051</v>
      </c>
      <c r="C6839" s="1" t="n">
        <v>45587</v>
      </c>
      <c r="D6839" t="inlineStr">
        <is>
          <t>GÄVLEBORGS LÄN</t>
        </is>
      </c>
      <c r="E6839" t="inlineStr">
        <is>
          <t>SANDVIKEN</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19637-2023</t>
        </is>
      </c>
      <c r="B6840" s="1" t="n">
        <v>45051</v>
      </c>
      <c r="C6840" s="1" t="n">
        <v>45587</v>
      </c>
      <c r="D6840" t="inlineStr">
        <is>
          <t>GÄVLEBORGS LÄN</t>
        </is>
      </c>
      <c r="E6840" t="inlineStr">
        <is>
          <t>BOLLNÄS</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19641-2023</t>
        </is>
      </c>
      <c r="B6841" s="1" t="n">
        <v>45051</v>
      </c>
      <c r="C6841" s="1" t="n">
        <v>45587</v>
      </c>
      <c r="D6841" t="inlineStr">
        <is>
          <t>GÄVLEBORGS LÄN</t>
        </is>
      </c>
      <c r="E6841" t="inlineStr">
        <is>
          <t>HUDIKSVALL</t>
        </is>
      </c>
      <c r="F6841" t="inlineStr">
        <is>
          <t>Holmen skog AB</t>
        </is>
      </c>
      <c r="G6841" t="n">
        <v>6.2</v>
      </c>
      <c r="H6841" t="n">
        <v>0</v>
      </c>
      <c r="I6841" t="n">
        <v>0</v>
      </c>
      <c r="J6841" t="n">
        <v>0</v>
      </c>
      <c r="K6841" t="n">
        <v>0</v>
      </c>
      <c r="L6841" t="n">
        <v>0</v>
      </c>
      <c r="M6841" t="n">
        <v>0</v>
      </c>
      <c r="N6841" t="n">
        <v>0</v>
      </c>
      <c r="O6841" t="n">
        <v>0</v>
      </c>
      <c r="P6841" t="n">
        <v>0</v>
      </c>
      <c r="Q6841" t="n">
        <v>0</v>
      </c>
      <c r="R6841" s="2" t="inlineStr"/>
    </row>
    <row r="6842" ht="15" customHeight="1">
      <c r="A6842" t="inlineStr">
        <is>
          <t>A 19657-2023</t>
        </is>
      </c>
      <c r="B6842" s="1" t="n">
        <v>45051</v>
      </c>
      <c r="C6842" s="1" t="n">
        <v>45587</v>
      </c>
      <c r="D6842" t="inlineStr">
        <is>
          <t>GÄVLEBORGS LÄN</t>
        </is>
      </c>
      <c r="E6842" t="inlineStr">
        <is>
          <t>OVANÅKER</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19685-2023</t>
        </is>
      </c>
      <c r="B6843" s="1" t="n">
        <v>45051</v>
      </c>
      <c r="C6843" s="1" t="n">
        <v>45587</v>
      </c>
      <c r="D6843" t="inlineStr">
        <is>
          <t>GÄVLEBORGS LÄN</t>
        </is>
      </c>
      <c r="E6843" t="inlineStr">
        <is>
          <t>HOFORS</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19635-2023</t>
        </is>
      </c>
      <c r="B6844" s="1" t="n">
        <v>45051</v>
      </c>
      <c r="C6844" s="1" t="n">
        <v>45587</v>
      </c>
      <c r="D6844" t="inlineStr">
        <is>
          <t>GÄVLEBORGS LÄN</t>
        </is>
      </c>
      <c r="E6844" t="inlineStr">
        <is>
          <t>BOLLNÄS</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19700-2023</t>
        </is>
      </c>
      <c r="B6845" s="1" t="n">
        <v>45051</v>
      </c>
      <c r="C6845" s="1" t="n">
        <v>45587</v>
      </c>
      <c r="D6845" t="inlineStr">
        <is>
          <t>GÄVLEBORGS LÄN</t>
        </is>
      </c>
      <c r="E6845" t="inlineStr">
        <is>
          <t>SÖDERHAMN</t>
        </is>
      </c>
      <c r="F6845" t="inlineStr">
        <is>
          <t>Bergvik skog väst AB</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19687-2023</t>
        </is>
      </c>
      <c r="B6846" s="1" t="n">
        <v>45051</v>
      </c>
      <c r="C6846" s="1" t="n">
        <v>45587</v>
      </c>
      <c r="D6846" t="inlineStr">
        <is>
          <t>GÄVLEBORGS LÄN</t>
        </is>
      </c>
      <c r="E6846" t="inlineStr">
        <is>
          <t>HOFORS</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19693-2023</t>
        </is>
      </c>
      <c r="B6847" s="1" t="n">
        <v>45051</v>
      </c>
      <c r="C6847" s="1" t="n">
        <v>45587</v>
      </c>
      <c r="D6847" t="inlineStr">
        <is>
          <t>GÄVLEBORGS LÄN</t>
        </is>
      </c>
      <c r="E6847" t="inlineStr">
        <is>
          <t>LJUSDAL</t>
        </is>
      </c>
      <c r="F6847" t="inlineStr">
        <is>
          <t>Holmen skog AB</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19697-2023</t>
        </is>
      </c>
      <c r="B6848" s="1" t="n">
        <v>45051</v>
      </c>
      <c r="C6848" s="1" t="n">
        <v>45587</v>
      </c>
      <c r="D6848" t="inlineStr">
        <is>
          <t>GÄVLEBORGS LÄN</t>
        </is>
      </c>
      <c r="E6848" t="inlineStr">
        <is>
          <t>OCKELBO</t>
        </is>
      </c>
      <c r="F6848" t="inlineStr">
        <is>
          <t>Bergvik skog väst AB</t>
        </is>
      </c>
      <c r="G6848" t="n">
        <v>4.6</v>
      </c>
      <c r="H6848" t="n">
        <v>0</v>
      </c>
      <c r="I6848" t="n">
        <v>0</v>
      </c>
      <c r="J6848" t="n">
        <v>0</v>
      </c>
      <c r="K6848" t="n">
        <v>0</v>
      </c>
      <c r="L6848" t="n">
        <v>0</v>
      </c>
      <c r="M6848" t="n">
        <v>0</v>
      </c>
      <c r="N6848" t="n">
        <v>0</v>
      </c>
      <c r="O6848" t="n">
        <v>0</v>
      </c>
      <c r="P6848" t="n">
        <v>0</v>
      </c>
      <c r="Q6848" t="n">
        <v>0</v>
      </c>
      <c r="R6848" s="2" t="inlineStr"/>
    </row>
    <row r="6849" ht="15" customHeight="1">
      <c r="A6849" t="inlineStr">
        <is>
          <t>A 19738-2023</t>
        </is>
      </c>
      <c r="B6849" s="1" t="n">
        <v>45051</v>
      </c>
      <c r="C6849" s="1" t="n">
        <v>45587</v>
      </c>
      <c r="D6849" t="inlineStr">
        <is>
          <t>GÄVLEBORGS LÄN</t>
        </is>
      </c>
      <c r="E6849" t="inlineStr">
        <is>
          <t>HUDIKSVALL</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19773-2023</t>
        </is>
      </c>
      <c r="B6850" s="1" t="n">
        <v>45051</v>
      </c>
      <c r="C6850" s="1" t="n">
        <v>45587</v>
      </c>
      <c r="D6850" t="inlineStr">
        <is>
          <t>GÄVLEBORGS LÄN</t>
        </is>
      </c>
      <c r="E6850" t="inlineStr">
        <is>
          <t>SÖDERHAMN</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19780-2023</t>
        </is>
      </c>
      <c r="B6851" s="1" t="n">
        <v>45051</v>
      </c>
      <c r="C6851" s="1" t="n">
        <v>45587</v>
      </c>
      <c r="D6851" t="inlineStr">
        <is>
          <t>GÄVLEBORGS LÄN</t>
        </is>
      </c>
      <c r="E6851" t="inlineStr">
        <is>
          <t>SANDVIKEN</t>
        </is>
      </c>
      <c r="G6851" t="n">
        <v>7.8</v>
      </c>
      <c r="H6851" t="n">
        <v>0</v>
      </c>
      <c r="I6851" t="n">
        <v>0</v>
      </c>
      <c r="J6851" t="n">
        <v>0</v>
      </c>
      <c r="K6851" t="n">
        <v>0</v>
      </c>
      <c r="L6851" t="n">
        <v>0</v>
      </c>
      <c r="M6851" t="n">
        <v>0</v>
      </c>
      <c r="N6851" t="n">
        <v>0</v>
      </c>
      <c r="O6851" t="n">
        <v>0</v>
      </c>
      <c r="P6851" t="n">
        <v>0</v>
      </c>
      <c r="Q6851" t="n">
        <v>0</v>
      </c>
      <c r="R6851" s="2" t="inlineStr"/>
    </row>
    <row r="6852" ht="15" customHeight="1">
      <c r="A6852" t="inlineStr">
        <is>
          <t>A 19728-2023</t>
        </is>
      </c>
      <c r="B6852" s="1" t="n">
        <v>45051</v>
      </c>
      <c r="C6852" s="1" t="n">
        <v>45587</v>
      </c>
      <c r="D6852" t="inlineStr">
        <is>
          <t>GÄVLEBORGS LÄN</t>
        </is>
      </c>
      <c r="E6852" t="inlineStr">
        <is>
          <t>SÖDERHAMN</t>
        </is>
      </c>
      <c r="F6852" t="inlineStr">
        <is>
          <t>Bergvik skog väst AB</t>
        </is>
      </c>
      <c r="G6852" t="n">
        <v>13.2</v>
      </c>
      <c r="H6852" t="n">
        <v>0</v>
      </c>
      <c r="I6852" t="n">
        <v>0</v>
      </c>
      <c r="J6852" t="n">
        <v>0</v>
      </c>
      <c r="K6852" t="n">
        <v>0</v>
      </c>
      <c r="L6852" t="n">
        <v>0</v>
      </c>
      <c r="M6852" t="n">
        <v>0</v>
      </c>
      <c r="N6852" t="n">
        <v>0</v>
      </c>
      <c r="O6852" t="n">
        <v>0</v>
      </c>
      <c r="P6852" t="n">
        <v>0</v>
      </c>
      <c r="Q6852" t="n">
        <v>0</v>
      </c>
      <c r="R6852" s="2" t="inlineStr"/>
    </row>
    <row r="6853" ht="15" customHeight="1">
      <c r="A6853" t="inlineStr">
        <is>
          <t>A 19736-2023</t>
        </is>
      </c>
      <c r="B6853" s="1" t="n">
        <v>45051</v>
      </c>
      <c r="C6853" s="1" t="n">
        <v>45587</v>
      </c>
      <c r="D6853" t="inlineStr">
        <is>
          <t>GÄVLEBORGS LÄN</t>
        </is>
      </c>
      <c r="E6853" t="inlineStr">
        <is>
          <t>HUDIKSVALL</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19759-2023</t>
        </is>
      </c>
      <c r="B6854" s="1" t="n">
        <v>45051</v>
      </c>
      <c r="C6854" s="1" t="n">
        <v>45587</v>
      </c>
      <c r="D6854" t="inlineStr">
        <is>
          <t>GÄVLEBORGS LÄN</t>
        </is>
      </c>
      <c r="E6854" t="inlineStr">
        <is>
          <t>SANDVIKEN</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19850-2023</t>
        </is>
      </c>
      <c r="B6855" s="1" t="n">
        <v>45053</v>
      </c>
      <c r="C6855" s="1" t="n">
        <v>45587</v>
      </c>
      <c r="D6855" t="inlineStr">
        <is>
          <t>GÄVLEBORGS LÄN</t>
        </is>
      </c>
      <c r="E6855" t="inlineStr">
        <is>
          <t>HUDIKSVALL</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19874-2023</t>
        </is>
      </c>
      <c r="B6856" s="1" t="n">
        <v>45054</v>
      </c>
      <c r="C6856" s="1" t="n">
        <v>45587</v>
      </c>
      <c r="D6856" t="inlineStr">
        <is>
          <t>GÄVLEBORGS LÄN</t>
        </is>
      </c>
      <c r="E6856" t="inlineStr">
        <is>
          <t>GÄVLE</t>
        </is>
      </c>
      <c r="F6856" t="inlineStr">
        <is>
          <t>Bergvik skog väst AB</t>
        </is>
      </c>
      <c r="G6856" t="n">
        <v>4.6</v>
      </c>
      <c r="H6856" t="n">
        <v>0</v>
      </c>
      <c r="I6856" t="n">
        <v>0</v>
      </c>
      <c r="J6856" t="n">
        <v>0</v>
      </c>
      <c r="K6856" t="n">
        <v>0</v>
      </c>
      <c r="L6856" t="n">
        <v>0</v>
      </c>
      <c r="M6856" t="n">
        <v>0</v>
      </c>
      <c r="N6856" t="n">
        <v>0</v>
      </c>
      <c r="O6856" t="n">
        <v>0</v>
      </c>
      <c r="P6856" t="n">
        <v>0</v>
      </c>
      <c r="Q6856" t="n">
        <v>0</v>
      </c>
      <c r="R6856" s="2" t="inlineStr"/>
    </row>
    <row r="6857" ht="15" customHeight="1">
      <c r="A6857" t="inlineStr">
        <is>
          <t>A 19886-2023</t>
        </is>
      </c>
      <c r="B6857" s="1" t="n">
        <v>45054</v>
      </c>
      <c r="C6857" s="1" t="n">
        <v>45587</v>
      </c>
      <c r="D6857" t="inlineStr">
        <is>
          <t>GÄVLEBORGS LÄN</t>
        </is>
      </c>
      <c r="E6857" t="inlineStr">
        <is>
          <t>OCKELBO</t>
        </is>
      </c>
      <c r="F6857" t="inlineStr">
        <is>
          <t>Bergvik skog väst AB</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19924-2023</t>
        </is>
      </c>
      <c r="B6858" s="1" t="n">
        <v>45054</v>
      </c>
      <c r="C6858" s="1" t="n">
        <v>45587</v>
      </c>
      <c r="D6858" t="inlineStr">
        <is>
          <t>GÄVLEBORGS LÄN</t>
        </is>
      </c>
      <c r="E6858" t="inlineStr">
        <is>
          <t>OVANÅKER</t>
        </is>
      </c>
      <c r="G6858" t="n">
        <v>4.5</v>
      </c>
      <c r="H6858" t="n">
        <v>0</v>
      </c>
      <c r="I6858" t="n">
        <v>0</v>
      </c>
      <c r="J6858" t="n">
        <v>0</v>
      </c>
      <c r="K6858" t="n">
        <v>0</v>
      </c>
      <c r="L6858" t="n">
        <v>0</v>
      </c>
      <c r="M6858" t="n">
        <v>0</v>
      </c>
      <c r="N6858" t="n">
        <v>0</v>
      </c>
      <c r="O6858" t="n">
        <v>0</v>
      </c>
      <c r="P6858" t="n">
        <v>0</v>
      </c>
      <c r="Q6858" t="n">
        <v>0</v>
      </c>
      <c r="R6858" s="2" t="inlineStr"/>
    </row>
    <row r="6859" ht="15" customHeight="1">
      <c r="A6859" t="inlineStr">
        <is>
          <t>A 19931-2023</t>
        </is>
      </c>
      <c r="B6859" s="1" t="n">
        <v>45054</v>
      </c>
      <c r="C6859" s="1" t="n">
        <v>45587</v>
      </c>
      <c r="D6859" t="inlineStr">
        <is>
          <t>GÄVLEBORGS LÄN</t>
        </is>
      </c>
      <c r="E6859" t="inlineStr">
        <is>
          <t>HUDIKSVALL</t>
        </is>
      </c>
      <c r="G6859" t="n">
        <v>10.1</v>
      </c>
      <c r="H6859" t="n">
        <v>0</v>
      </c>
      <c r="I6859" t="n">
        <v>0</v>
      </c>
      <c r="J6859" t="n">
        <v>0</v>
      </c>
      <c r="K6859" t="n">
        <v>0</v>
      </c>
      <c r="L6859" t="n">
        <v>0</v>
      </c>
      <c r="M6859" t="n">
        <v>0</v>
      </c>
      <c r="N6859" t="n">
        <v>0</v>
      </c>
      <c r="O6859" t="n">
        <v>0</v>
      </c>
      <c r="P6859" t="n">
        <v>0</v>
      </c>
      <c r="Q6859" t="n">
        <v>0</v>
      </c>
      <c r="R6859" s="2" t="inlineStr"/>
    </row>
    <row r="6860" ht="15" customHeight="1">
      <c r="A6860" t="inlineStr">
        <is>
          <t>A 19921-2023</t>
        </is>
      </c>
      <c r="B6860" s="1" t="n">
        <v>45054</v>
      </c>
      <c r="C6860" s="1" t="n">
        <v>45587</v>
      </c>
      <c r="D6860" t="inlineStr">
        <is>
          <t>GÄVLEBORGS LÄN</t>
        </is>
      </c>
      <c r="E6860" t="inlineStr">
        <is>
          <t>HUDIKSVALL</t>
        </is>
      </c>
      <c r="F6860" t="inlineStr">
        <is>
          <t>Holmen skog AB</t>
        </is>
      </c>
      <c r="G6860" t="n">
        <v>10.3</v>
      </c>
      <c r="H6860" t="n">
        <v>0</v>
      </c>
      <c r="I6860" t="n">
        <v>0</v>
      </c>
      <c r="J6860" t="n">
        <v>0</v>
      </c>
      <c r="K6860" t="n">
        <v>0</v>
      </c>
      <c r="L6860" t="n">
        <v>0</v>
      </c>
      <c r="M6860" t="n">
        <v>0</v>
      </c>
      <c r="N6860" t="n">
        <v>0</v>
      </c>
      <c r="O6860" t="n">
        <v>0</v>
      </c>
      <c r="P6860" t="n">
        <v>0</v>
      </c>
      <c r="Q6860" t="n">
        <v>0</v>
      </c>
      <c r="R6860" s="2" t="inlineStr"/>
    </row>
    <row r="6861" ht="15" customHeight="1">
      <c r="A6861" t="inlineStr">
        <is>
          <t>A 19954-2023</t>
        </is>
      </c>
      <c r="B6861" s="1" t="n">
        <v>45054</v>
      </c>
      <c r="C6861" s="1" t="n">
        <v>45587</v>
      </c>
      <c r="D6861" t="inlineStr">
        <is>
          <t>GÄVLEBORGS LÄN</t>
        </is>
      </c>
      <c r="E6861" t="inlineStr">
        <is>
          <t>LJUSDAL</t>
        </is>
      </c>
      <c r="F6861" t="inlineStr">
        <is>
          <t>Holmen skog AB</t>
        </is>
      </c>
      <c r="G6861" t="n">
        <v>6.1</v>
      </c>
      <c r="H6861" t="n">
        <v>0</v>
      </c>
      <c r="I6861" t="n">
        <v>0</v>
      </c>
      <c r="J6861" t="n">
        <v>0</v>
      </c>
      <c r="K6861" t="n">
        <v>0</v>
      </c>
      <c r="L6861" t="n">
        <v>0</v>
      </c>
      <c r="M6861" t="n">
        <v>0</v>
      </c>
      <c r="N6861" t="n">
        <v>0</v>
      </c>
      <c r="O6861" t="n">
        <v>0</v>
      </c>
      <c r="P6861" t="n">
        <v>0</v>
      </c>
      <c r="Q6861" t="n">
        <v>0</v>
      </c>
      <c r="R6861" s="2" t="inlineStr"/>
    </row>
    <row r="6862" ht="15" customHeight="1">
      <c r="A6862" t="inlineStr">
        <is>
          <t>A 19979-2023</t>
        </is>
      </c>
      <c r="B6862" s="1" t="n">
        <v>45054</v>
      </c>
      <c r="C6862" s="1" t="n">
        <v>45587</v>
      </c>
      <c r="D6862" t="inlineStr">
        <is>
          <t>GÄVLEBORGS LÄN</t>
        </is>
      </c>
      <c r="E6862" t="inlineStr">
        <is>
          <t>HUDIKSVALL</t>
        </is>
      </c>
      <c r="G6862" t="n">
        <v>6.9</v>
      </c>
      <c r="H6862" t="n">
        <v>0</v>
      </c>
      <c r="I6862" t="n">
        <v>0</v>
      </c>
      <c r="J6862" t="n">
        <v>0</v>
      </c>
      <c r="K6862" t="n">
        <v>0</v>
      </c>
      <c r="L6862" t="n">
        <v>0</v>
      </c>
      <c r="M6862" t="n">
        <v>0</v>
      </c>
      <c r="N6862" t="n">
        <v>0</v>
      </c>
      <c r="O6862" t="n">
        <v>0</v>
      </c>
      <c r="P6862" t="n">
        <v>0</v>
      </c>
      <c r="Q6862" t="n">
        <v>0</v>
      </c>
      <c r="R6862" s="2" t="inlineStr"/>
    </row>
    <row r="6863" ht="15" customHeight="1">
      <c r="A6863" t="inlineStr">
        <is>
          <t>A 19909-2023</t>
        </is>
      </c>
      <c r="B6863" s="1" t="n">
        <v>45054</v>
      </c>
      <c r="C6863" s="1" t="n">
        <v>45587</v>
      </c>
      <c r="D6863" t="inlineStr">
        <is>
          <t>GÄVLEBORGS LÄN</t>
        </is>
      </c>
      <c r="E6863" t="inlineStr">
        <is>
          <t>OCKELBO</t>
        </is>
      </c>
      <c r="F6863" t="inlineStr">
        <is>
          <t>Bergvik skog väst AB</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19919-2023</t>
        </is>
      </c>
      <c r="B6864" s="1" t="n">
        <v>45054</v>
      </c>
      <c r="C6864" s="1" t="n">
        <v>45587</v>
      </c>
      <c r="D6864" t="inlineStr">
        <is>
          <t>GÄVLEBORGS LÄN</t>
        </is>
      </c>
      <c r="E6864" t="inlineStr">
        <is>
          <t>OCKELBO</t>
        </is>
      </c>
      <c r="F6864" t="inlineStr">
        <is>
          <t>Bergvik skog väst AB</t>
        </is>
      </c>
      <c r="G6864" t="n">
        <v>8</v>
      </c>
      <c r="H6864" t="n">
        <v>0</v>
      </c>
      <c r="I6864" t="n">
        <v>0</v>
      </c>
      <c r="J6864" t="n">
        <v>0</v>
      </c>
      <c r="K6864" t="n">
        <v>0</v>
      </c>
      <c r="L6864" t="n">
        <v>0</v>
      </c>
      <c r="M6864" t="n">
        <v>0</v>
      </c>
      <c r="N6864" t="n">
        <v>0</v>
      </c>
      <c r="O6864" t="n">
        <v>0</v>
      </c>
      <c r="P6864" t="n">
        <v>0</v>
      </c>
      <c r="Q6864" t="n">
        <v>0</v>
      </c>
      <c r="R6864" s="2" t="inlineStr"/>
    </row>
    <row r="6865" ht="15" customHeight="1">
      <c r="A6865" t="inlineStr">
        <is>
          <t>A 20016-2023</t>
        </is>
      </c>
      <c r="B6865" s="1" t="n">
        <v>45054</v>
      </c>
      <c r="C6865" s="1" t="n">
        <v>45587</v>
      </c>
      <c r="D6865" t="inlineStr">
        <is>
          <t>GÄVLEBORGS LÄN</t>
        </is>
      </c>
      <c r="E6865" t="inlineStr">
        <is>
          <t>LJUSDAL</t>
        </is>
      </c>
      <c r="F6865" t="inlineStr">
        <is>
          <t>Kommuner</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20064-2023</t>
        </is>
      </c>
      <c r="B6866" s="1" t="n">
        <v>45054</v>
      </c>
      <c r="C6866" s="1" t="n">
        <v>45587</v>
      </c>
      <c r="D6866" t="inlineStr">
        <is>
          <t>GÄVLEBORGS LÄN</t>
        </is>
      </c>
      <c r="E6866" t="inlineStr">
        <is>
          <t>SANDVIKEN</t>
        </is>
      </c>
      <c r="F6866" t="inlineStr">
        <is>
          <t>Sveaskog</t>
        </is>
      </c>
      <c r="G6866" t="n">
        <v>5.2</v>
      </c>
      <c r="H6866" t="n">
        <v>0</v>
      </c>
      <c r="I6866" t="n">
        <v>0</v>
      </c>
      <c r="J6866" t="n">
        <v>0</v>
      </c>
      <c r="K6866" t="n">
        <v>0</v>
      </c>
      <c r="L6866" t="n">
        <v>0</v>
      </c>
      <c r="M6866" t="n">
        <v>0</v>
      </c>
      <c r="N6866" t="n">
        <v>0</v>
      </c>
      <c r="O6866" t="n">
        <v>0</v>
      </c>
      <c r="P6866" t="n">
        <v>0</v>
      </c>
      <c r="Q6866" t="n">
        <v>0</v>
      </c>
      <c r="R6866" s="2" t="inlineStr"/>
    </row>
    <row r="6867" ht="15" customHeight="1">
      <c r="A6867" t="inlineStr">
        <is>
          <t>A 20062-2023</t>
        </is>
      </c>
      <c r="B6867" s="1" t="n">
        <v>45054</v>
      </c>
      <c r="C6867" s="1" t="n">
        <v>45587</v>
      </c>
      <c r="D6867" t="inlineStr">
        <is>
          <t>GÄVLEBORGS LÄN</t>
        </is>
      </c>
      <c r="E6867" t="inlineStr">
        <is>
          <t>SANDVIKEN</t>
        </is>
      </c>
      <c r="F6867" t="inlineStr">
        <is>
          <t>Sveaskog</t>
        </is>
      </c>
      <c r="G6867" t="n">
        <v>4.8</v>
      </c>
      <c r="H6867" t="n">
        <v>0</v>
      </c>
      <c r="I6867" t="n">
        <v>0</v>
      </c>
      <c r="J6867" t="n">
        <v>0</v>
      </c>
      <c r="K6867" t="n">
        <v>0</v>
      </c>
      <c r="L6867" t="n">
        <v>0</v>
      </c>
      <c r="M6867" t="n">
        <v>0</v>
      </c>
      <c r="N6867" t="n">
        <v>0</v>
      </c>
      <c r="O6867" t="n">
        <v>0</v>
      </c>
      <c r="P6867" t="n">
        <v>0</v>
      </c>
      <c r="Q6867" t="n">
        <v>0</v>
      </c>
      <c r="R6867" s="2" t="inlineStr"/>
    </row>
    <row r="6868" ht="15" customHeight="1">
      <c r="A6868" t="inlineStr">
        <is>
          <t>A 20082-2023</t>
        </is>
      </c>
      <c r="B6868" s="1" t="n">
        <v>45055</v>
      </c>
      <c r="C6868" s="1" t="n">
        <v>45587</v>
      </c>
      <c r="D6868" t="inlineStr">
        <is>
          <t>GÄVLEBORGS LÄN</t>
        </is>
      </c>
      <c r="E6868" t="inlineStr">
        <is>
          <t>SÖDERHAMN</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20085-2023</t>
        </is>
      </c>
      <c r="B6869" s="1" t="n">
        <v>45055</v>
      </c>
      <c r="C6869" s="1" t="n">
        <v>45587</v>
      </c>
      <c r="D6869" t="inlineStr">
        <is>
          <t>GÄVLEBORGS LÄN</t>
        </is>
      </c>
      <c r="E6869" t="inlineStr">
        <is>
          <t>SÖDERHAMN</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19876-2023</t>
        </is>
      </c>
      <c r="B6870" s="1" t="n">
        <v>45054</v>
      </c>
      <c r="C6870" s="1" t="n">
        <v>45587</v>
      </c>
      <c r="D6870" t="inlineStr">
        <is>
          <t>GÄVLEBORGS LÄN</t>
        </is>
      </c>
      <c r="E6870" t="inlineStr">
        <is>
          <t>GÄVLE</t>
        </is>
      </c>
      <c r="F6870" t="inlineStr">
        <is>
          <t>Bergvik skog väst AB</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19922-2023</t>
        </is>
      </c>
      <c r="B6871" s="1" t="n">
        <v>45054</v>
      </c>
      <c r="C6871" s="1" t="n">
        <v>45587</v>
      </c>
      <c r="D6871" t="inlineStr">
        <is>
          <t>GÄVLEBORGS LÄN</t>
        </is>
      </c>
      <c r="E6871" t="inlineStr">
        <is>
          <t>HUDIKSVALL</t>
        </is>
      </c>
      <c r="G6871" t="n">
        <v>10.5</v>
      </c>
      <c r="H6871" t="n">
        <v>0</v>
      </c>
      <c r="I6871" t="n">
        <v>0</v>
      </c>
      <c r="J6871" t="n">
        <v>0</v>
      </c>
      <c r="K6871" t="n">
        <v>0</v>
      </c>
      <c r="L6871" t="n">
        <v>0</v>
      </c>
      <c r="M6871" t="n">
        <v>0</v>
      </c>
      <c r="N6871" t="n">
        <v>0</v>
      </c>
      <c r="O6871" t="n">
        <v>0</v>
      </c>
      <c r="P6871" t="n">
        <v>0</v>
      </c>
      <c r="Q6871" t="n">
        <v>0</v>
      </c>
      <c r="R6871" s="2" t="inlineStr"/>
    </row>
    <row r="6872" ht="15" customHeight="1">
      <c r="A6872" t="inlineStr">
        <is>
          <t>A 20065-2023</t>
        </is>
      </c>
      <c r="B6872" s="1" t="n">
        <v>45054</v>
      </c>
      <c r="C6872" s="1" t="n">
        <v>45587</v>
      </c>
      <c r="D6872" t="inlineStr">
        <is>
          <t>GÄVLEBORGS LÄN</t>
        </is>
      </c>
      <c r="E6872" t="inlineStr">
        <is>
          <t>SANDVIKEN</t>
        </is>
      </c>
      <c r="F6872" t="inlineStr">
        <is>
          <t>Sveaskog</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20219-2023</t>
        </is>
      </c>
      <c r="B6873" s="1" t="n">
        <v>45055</v>
      </c>
      <c r="C6873" s="1" t="n">
        <v>45587</v>
      </c>
      <c r="D6873" t="inlineStr">
        <is>
          <t>GÄVLEBORGS LÄN</t>
        </is>
      </c>
      <c r="E6873" t="inlineStr">
        <is>
          <t>LJUSDAL</t>
        </is>
      </c>
      <c r="F6873" t="inlineStr">
        <is>
          <t>Bergvik skog väst AB</t>
        </is>
      </c>
      <c r="G6873" t="n">
        <v>8.800000000000001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20137-2023</t>
        </is>
      </c>
      <c r="B6874" s="1" t="n">
        <v>45055</v>
      </c>
      <c r="C6874" s="1" t="n">
        <v>45587</v>
      </c>
      <c r="D6874" t="inlineStr">
        <is>
          <t>GÄVLEBORGS LÄN</t>
        </is>
      </c>
      <c r="E6874" t="inlineStr">
        <is>
          <t>NORDANSTIG</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20208-2023</t>
        </is>
      </c>
      <c r="B6875" s="1" t="n">
        <v>45055</v>
      </c>
      <c r="C6875" s="1" t="n">
        <v>45587</v>
      </c>
      <c r="D6875" t="inlineStr">
        <is>
          <t>GÄVLEBORGS LÄN</t>
        </is>
      </c>
      <c r="E6875" t="inlineStr">
        <is>
          <t>HUDIKSVALL</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20171-2023</t>
        </is>
      </c>
      <c r="B6876" s="1" t="n">
        <v>45055</v>
      </c>
      <c r="C6876" s="1" t="n">
        <v>45587</v>
      </c>
      <c r="D6876" t="inlineStr">
        <is>
          <t>GÄVLEBORGS LÄN</t>
        </is>
      </c>
      <c r="E6876" t="inlineStr">
        <is>
          <t>LJUSDAL</t>
        </is>
      </c>
      <c r="F6876" t="inlineStr">
        <is>
          <t>Sveaskog</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20200-2023</t>
        </is>
      </c>
      <c r="B6877" s="1" t="n">
        <v>45055</v>
      </c>
      <c r="C6877" s="1" t="n">
        <v>45587</v>
      </c>
      <c r="D6877" t="inlineStr">
        <is>
          <t>GÄVLEBORGS LÄN</t>
        </is>
      </c>
      <c r="E6877" t="inlineStr">
        <is>
          <t>HUDIKSVALL</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20204-2023</t>
        </is>
      </c>
      <c r="B6878" s="1" t="n">
        <v>45055</v>
      </c>
      <c r="C6878" s="1" t="n">
        <v>45587</v>
      </c>
      <c r="D6878" t="inlineStr">
        <is>
          <t>GÄVLEBORGS LÄN</t>
        </is>
      </c>
      <c r="E6878" t="inlineStr">
        <is>
          <t>LJUSDAL</t>
        </is>
      </c>
      <c r="F6878" t="inlineStr">
        <is>
          <t>Allmännings- och besparingsskogar</t>
        </is>
      </c>
      <c r="G6878" t="n">
        <v>18.5</v>
      </c>
      <c r="H6878" t="n">
        <v>0</v>
      </c>
      <c r="I6878" t="n">
        <v>0</v>
      </c>
      <c r="J6878" t="n">
        <v>0</v>
      </c>
      <c r="K6878" t="n">
        <v>0</v>
      </c>
      <c r="L6878" t="n">
        <v>0</v>
      </c>
      <c r="M6878" t="n">
        <v>0</v>
      </c>
      <c r="N6878" t="n">
        <v>0</v>
      </c>
      <c r="O6878" t="n">
        <v>0</v>
      </c>
      <c r="P6878" t="n">
        <v>0</v>
      </c>
      <c r="Q6878" t="n">
        <v>0</v>
      </c>
      <c r="R6878" s="2" t="inlineStr"/>
    </row>
    <row r="6879" ht="15" customHeight="1">
      <c r="A6879" t="inlineStr">
        <is>
          <t>A 20235-2023</t>
        </is>
      </c>
      <c r="B6879" s="1" t="n">
        <v>45055</v>
      </c>
      <c r="C6879" s="1" t="n">
        <v>45587</v>
      </c>
      <c r="D6879" t="inlineStr">
        <is>
          <t>GÄVLEBORGS LÄN</t>
        </is>
      </c>
      <c r="E6879" t="inlineStr">
        <is>
          <t>HUDIKSVALL</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20257-2023</t>
        </is>
      </c>
      <c r="B6880" s="1" t="n">
        <v>45055</v>
      </c>
      <c r="C6880" s="1" t="n">
        <v>45587</v>
      </c>
      <c r="D6880" t="inlineStr">
        <is>
          <t>GÄVLEBORGS LÄN</t>
        </is>
      </c>
      <c r="E6880" t="inlineStr">
        <is>
          <t>HUDIKSVALL</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20315-2023</t>
        </is>
      </c>
      <c r="B6881" s="1" t="n">
        <v>45056</v>
      </c>
      <c r="C6881" s="1" t="n">
        <v>45587</v>
      </c>
      <c r="D6881" t="inlineStr">
        <is>
          <t>GÄVLEBORGS LÄN</t>
        </is>
      </c>
      <c r="E6881" t="inlineStr">
        <is>
          <t>SANDVIKEN</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20361-2023</t>
        </is>
      </c>
      <c r="B6882" s="1" t="n">
        <v>45056</v>
      </c>
      <c r="C6882" s="1" t="n">
        <v>45587</v>
      </c>
      <c r="D6882" t="inlineStr">
        <is>
          <t>GÄVLEBORGS LÄN</t>
        </is>
      </c>
      <c r="E6882" t="inlineStr">
        <is>
          <t>GÄVLE</t>
        </is>
      </c>
      <c r="F6882" t="inlineStr">
        <is>
          <t>Bergvik skog öst AB</t>
        </is>
      </c>
      <c r="G6882" t="n">
        <v>21.2</v>
      </c>
      <c r="H6882" t="n">
        <v>0</v>
      </c>
      <c r="I6882" t="n">
        <v>0</v>
      </c>
      <c r="J6882" t="n">
        <v>0</v>
      </c>
      <c r="K6882" t="n">
        <v>0</v>
      </c>
      <c r="L6882" t="n">
        <v>0</v>
      </c>
      <c r="M6882" t="n">
        <v>0</v>
      </c>
      <c r="N6882" t="n">
        <v>0</v>
      </c>
      <c r="O6882" t="n">
        <v>0</v>
      </c>
      <c r="P6882" t="n">
        <v>0</v>
      </c>
      <c r="Q6882" t="n">
        <v>0</v>
      </c>
      <c r="R6882" s="2" t="inlineStr"/>
    </row>
    <row r="6883" ht="15" customHeight="1">
      <c r="A6883" t="inlineStr">
        <is>
          <t>A 20433-2023</t>
        </is>
      </c>
      <c r="B6883" s="1" t="n">
        <v>45056</v>
      </c>
      <c r="C6883" s="1" t="n">
        <v>45587</v>
      </c>
      <c r="D6883" t="inlineStr">
        <is>
          <t>GÄVLEBORGS LÄN</t>
        </is>
      </c>
      <c r="E6883" t="inlineStr">
        <is>
          <t>NORDANSTIG</t>
        </is>
      </c>
      <c r="G6883" t="n">
        <v>3.8</v>
      </c>
      <c r="H6883" t="n">
        <v>0</v>
      </c>
      <c r="I6883" t="n">
        <v>0</v>
      </c>
      <c r="J6883" t="n">
        <v>0</v>
      </c>
      <c r="K6883" t="n">
        <v>0</v>
      </c>
      <c r="L6883" t="n">
        <v>0</v>
      </c>
      <c r="M6883" t="n">
        <v>0</v>
      </c>
      <c r="N6883" t="n">
        <v>0</v>
      </c>
      <c r="O6883" t="n">
        <v>0</v>
      </c>
      <c r="P6883" t="n">
        <v>0</v>
      </c>
      <c r="Q6883" t="n">
        <v>0</v>
      </c>
      <c r="R6883" s="2" t="inlineStr"/>
    </row>
    <row r="6884" ht="15" customHeight="1">
      <c r="A6884" t="inlineStr">
        <is>
          <t>A 20388-2023</t>
        </is>
      </c>
      <c r="B6884" s="1" t="n">
        <v>45056</v>
      </c>
      <c r="C6884" s="1" t="n">
        <v>45587</v>
      </c>
      <c r="D6884" t="inlineStr">
        <is>
          <t>GÄVLEBORGS LÄN</t>
        </is>
      </c>
      <c r="E6884" t="inlineStr">
        <is>
          <t>OCKELBO</t>
        </is>
      </c>
      <c r="G6884" t="n">
        <v>6.3</v>
      </c>
      <c r="H6884" t="n">
        <v>0</v>
      </c>
      <c r="I6884" t="n">
        <v>0</v>
      </c>
      <c r="J6884" t="n">
        <v>0</v>
      </c>
      <c r="K6884" t="n">
        <v>0</v>
      </c>
      <c r="L6884" t="n">
        <v>0</v>
      </c>
      <c r="M6884" t="n">
        <v>0</v>
      </c>
      <c r="N6884" t="n">
        <v>0</v>
      </c>
      <c r="O6884" t="n">
        <v>0</v>
      </c>
      <c r="P6884" t="n">
        <v>0</v>
      </c>
      <c r="Q6884" t="n">
        <v>0</v>
      </c>
      <c r="R6884" s="2" t="inlineStr"/>
    </row>
    <row r="6885" ht="15" customHeight="1">
      <c r="A6885" t="inlineStr">
        <is>
          <t>A 20286-2023</t>
        </is>
      </c>
      <c r="B6885" s="1" t="n">
        <v>45056</v>
      </c>
      <c r="C6885" s="1" t="n">
        <v>45587</v>
      </c>
      <c r="D6885" t="inlineStr">
        <is>
          <t>GÄVLEBORGS LÄN</t>
        </is>
      </c>
      <c r="E6885" t="inlineStr">
        <is>
          <t>SÖDERHAMN</t>
        </is>
      </c>
      <c r="F6885" t="inlineStr">
        <is>
          <t>Bergvik skog väst AB</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20313-2023</t>
        </is>
      </c>
      <c r="B6886" s="1" t="n">
        <v>45056</v>
      </c>
      <c r="C6886" s="1" t="n">
        <v>45587</v>
      </c>
      <c r="D6886" t="inlineStr">
        <is>
          <t>GÄVLEBORGS LÄN</t>
        </is>
      </c>
      <c r="E6886" t="inlineStr">
        <is>
          <t>HUDIKSVALL</t>
        </is>
      </c>
      <c r="F6886" t="inlineStr">
        <is>
          <t>Kommuner</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20331-2023</t>
        </is>
      </c>
      <c r="B6887" s="1" t="n">
        <v>45056</v>
      </c>
      <c r="C6887" s="1" t="n">
        <v>45587</v>
      </c>
      <c r="D6887" t="inlineStr">
        <is>
          <t>GÄVLEBORGS LÄN</t>
        </is>
      </c>
      <c r="E6887" t="inlineStr">
        <is>
          <t>OVANÅKER</t>
        </is>
      </c>
      <c r="G6887" t="n">
        <v>5.1</v>
      </c>
      <c r="H6887" t="n">
        <v>0</v>
      </c>
      <c r="I6887" t="n">
        <v>0</v>
      </c>
      <c r="J6887" t="n">
        <v>0</v>
      </c>
      <c r="K6887" t="n">
        <v>0</v>
      </c>
      <c r="L6887" t="n">
        <v>0</v>
      </c>
      <c r="M6887" t="n">
        <v>0</v>
      </c>
      <c r="N6887" t="n">
        <v>0</v>
      </c>
      <c r="O6887" t="n">
        <v>0</v>
      </c>
      <c r="P6887" t="n">
        <v>0</v>
      </c>
      <c r="Q6887" t="n">
        <v>0</v>
      </c>
      <c r="R6887" s="2" t="inlineStr"/>
    </row>
    <row r="6888" ht="15" customHeight="1">
      <c r="A6888" t="inlineStr">
        <is>
          <t>A 20390-2023</t>
        </is>
      </c>
      <c r="B6888" s="1" t="n">
        <v>45056</v>
      </c>
      <c r="C6888" s="1" t="n">
        <v>45587</v>
      </c>
      <c r="D6888" t="inlineStr">
        <is>
          <t>GÄVLEBORGS LÄN</t>
        </is>
      </c>
      <c r="E6888" t="inlineStr">
        <is>
          <t>OCKELBO</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20407-2023</t>
        </is>
      </c>
      <c r="B6889" s="1" t="n">
        <v>45056</v>
      </c>
      <c r="C6889" s="1" t="n">
        <v>45587</v>
      </c>
      <c r="D6889" t="inlineStr">
        <is>
          <t>GÄVLEBORGS LÄN</t>
        </is>
      </c>
      <c r="E6889" t="inlineStr">
        <is>
          <t>OCKELBO</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20287-2023</t>
        </is>
      </c>
      <c r="B6890" s="1" t="n">
        <v>45056</v>
      </c>
      <c r="C6890" s="1" t="n">
        <v>45587</v>
      </c>
      <c r="D6890" t="inlineStr">
        <is>
          <t>GÄVLEBORGS LÄN</t>
        </is>
      </c>
      <c r="E6890" t="inlineStr">
        <is>
          <t>HUDIKSVALL</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20408-2023</t>
        </is>
      </c>
      <c r="B6891" s="1" t="n">
        <v>45056</v>
      </c>
      <c r="C6891" s="1" t="n">
        <v>45587</v>
      </c>
      <c r="D6891" t="inlineStr">
        <is>
          <t>GÄVLEBORGS LÄN</t>
        </is>
      </c>
      <c r="E6891" t="inlineStr">
        <is>
          <t>LJUSDAL</t>
        </is>
      </c>
      <c r="F6891" t="inlineStr">
        <is>
          <t>Sveaskog</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20412-2023</t>
        </is>
      </c>
      <c r="B6892" s="1" t="n">
        <v>45056</v>
      </c>
      <c r="C6892" s="1" t="n">
        <v>45587</v>
      </c>
      <c r="D6892" t="inlineStr">
        <is>
          <t>GÄVLEBORGS LÄN</t>
        </is>
      </c>
      <c r="E6892" t="inlineStr">
        <is>
          <t>LJUSDAL</t>
        </is>
      </c>
      <c r="F6892" t="inlineStr">
        <is>
          <t>Bergvik skog väst AB</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20441-2023</t>
        </is>
      </c>
      <c r="B6893" s="1" t="n">
        <v>45056</v>
      </c>
      <c r="C6893" s="1" t="n">
        <v>45587</v>
      </c>
      <c r="D6893" t="inlineStr">
        <is>
          <t>GÄVLEBORGS LÄN</t>
        </is>
      </c>
      <c r="E6893" t="inlineStr">
        <is>
          <t>NORDANSTIG</t>
        </is>
      </c>
      <c r="F6893" t="inlineStr">
        <is>
          <t>Holmen skog AB</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20557-2023</t>
        </is>
      </c>
      <c r="B6894" s="1" t="n">
        <v>45057</v>
      </c>
      <c r="C6894" s="1" t="n">
        <v>45587</v>
      </c>
      <c r="D6894" t="inlineStr">
        <is>
          <t>GÄVLEBORGS LÄN</t>
        </is>
      </c>
      <c r="E6894" t="inlineStr">
        <is>
          <t>BOLLNÄS</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20560-2023</t>
        </is>
      </c>
      <c r="B6895" s="1" t="n">
        <v>45057</v>
      </c>
      <c r="C6895" s="1" t="n">
        <v>45587</v>
      </c>
      <c r="D6895" t="inlineStr">
        <is>
          <t>GÄVLEBORGS LÄN</t>
        </is>
      </c>
      <c r="E6895" t="inlineStr">
        <is>
          <t>BOLLNÄS</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20589-2023</t>
        </is>
      </c>
      <c r="B6896" s="1" t="n">
        <v>45057</v>
      </c>
      <c r="C6896" s="1" t="n">
        <v>45587</v>
      </c>
      <c r="D6896" t="inlineStr">
        <is>
          <t>GÄVLEBORGS LÄN</t>
        </is>
      </c>
      <c r="E6896" t="inlineStr">
        <is>
          <t>HUDIKSVALL</t>
        </is>
      </c>
      <c r="G6896" t="n">
        <v>4.2</v>
      </c>
      <c r="H6896" t="n">
        <v>0</v>
      </c>
      <c r="I6896" t="n">
        <v>0</v>
      </c>
      <c r="J6896" t="n">
        <v>0</v>
      </c>
      <c r="K6896" t="n">
        <v>0</v>
      </c>
      <c r="L6896" t="n">
        <v>0</v>
      </c>
      <c r="M6896" t="n">
        <v>0</v>
      </c>
      <c r="N6896" t="n">
        <v>0</v>
      </c>
      <c r="O6896" t="n">
        <v>0</v>
      </c>
      <c r="P6896" t="n">
        <v>0</v>
      </c>
      <c r="Q6896" t="n">
        <v>0</v>
      </c>
      <c r="R6896" s="2" t="inlineStr"/>
    </row>
    <row r="6897" ht="15" customHeight="1">
      <c r="A6897" t="inlineStr">
        <is>
          <t>A 20682-2023</t>
        </is>
      </c>
      <c r="B6897" s="1" t="n">
        <v>45058</v>
      </c>
      <c r="C6897" s="1" t="n">
        <v>45587</v>
      </c>
      <c r="D6897" t="inlineStr">
        <is>
          <t>GÄVLEBORGS LÄN</t>
        </is>
      </c>
      <c r="E6897" t="inlineStr">
        <is>
          <t>GÄVLE</t>
        </is>
      </c>
      <c r="G6897" t="n">
        <v>5.1</v>
      </c>
      <c r="H6897" t="n">
        <v>0</v>
      </c>
      <c r="I6897" t="n">
        <v>0</v>
      </c>
      <c r="J6897" t="n">
        <v>0</v>
      </c>
      <c r="K6897" t="n">
        <v>0</v>
      </c>
      <c r="L6897" t="n">
        <v>0</v>
      </c>
      <c r="M6897" t="n">
        <v>0</v>
      </c>
      <c r="N6897" t="n">
        <v>0</v>
      </c>
      <c r="O6897" t="n">
        <v>0</v>
      </c>
      <c r="P6897" t="n">
        <v>0</v>
      </c>
      <c r="Q6897" t="n">
        <v>0</v>
      </c>
      <c r="R6897" s="2" t="inlineStr"/>
    </row>
    <row r="6898" ht="15" customHeight="1">
      <c r="A6898" t="inlineStr">
        <is>
          <t>A 20711-2023</t>
        </is>
      </c>
      <c r="B6898" s="1" t="n">
        <v>45058</v>
      </c>
      <c r="C6898" s="1" t="n">
        <v>45587</v>
      </c>
      <c r="D6898" t="inlineStr">
        <is>
          <t>GÄVLEBORGS LÄN</t>
        </is>
      </c>
      <c r="E6898" t="inlineStr">
        <is>
          <t>HUDIKSVALL</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20655-2023</t>
        </is>
      </c>
      <c r="B6899" s="1" t="n">
        <v>45058</v>
      </c>
      <c r="C6899" s="1" t="n">
        <v>45587</v>
      </c>
      <c r="D6899" t="inlineStr">
        <is>
          <t>GÄVLEBORGS LÄN</t>
        </is>
      </c>
      <c r="E6899" t="inlineStr">
        <is>
          <t>LJUSDAL</t>
        </is>
      </c>
      <c r="G6899" t="n">
        <v>6.4</v>
      </c>
      <c r="H6899" t="n">
        <v>0</v>
      </c>
      <c r="I6899" t="n">
        <v>0</v>
      </c>
      <c r="J6899" t="n">
        <v>0</v>
      </c>
      <c r="K6899" t="n">
        <v>0</v>
      </c>
      <c r="L6899" t="n">
        <v>0</v>
      </c>
      <c r="M6899" t="n">
        <v>0</v>
      </c>
      <c r="N6899" t="n">
        <v>0</v>
      </c>
      <c r="O6899" t="n">
        <v>0</v>
      </c>
      <c r="P6899" t="n">
        <v>0</v>
      </c>
      <c r="Q6899" t="n">
        <v>0</v>
      </c>
      <c r="R6899" s="2" t="inlineStr"/>
    </row>
    <row r="6900" ht="15" customHeight="1">
      <c r="A6900" t="inlineStr">
        <is>
          <t>A 20814-2023</t>
        </is>
      </c>
      <c r="B6900" s="1" t="n">
        <v>45058</v>
      </c>
      <c r="C6900" s="1" t="n">
        <v>45587</v>
      </c>
      <c r="D6900" t="inlineStr">
        <is>
          <t>GÄVLEBORGS LÄN</t>
        </is>
      </c>
      <c r="E6900" t="inlineStr">
        <is>
          <t>OCKELBO</t>
        </is>
      </c>
      <c r="F6900" t="inlineStr">
        <is>
          <t>Bergvik skog väst AB</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20747-2023</t>
        </is>
      </c>
      <c r="B6901" s="1" t="n">
        <v>45058</v>
      </c>
      <c r="C6901" s="1" t="n">
        <v>45587</v>
      </c>
      <c r="D6901" t="inlineStr">
        <is>
          <t>GÄVLEBORGS LÄN</t>
        </is>
      </c>
      <c r="E6901" t="inlineStr">
        <is>
          <t>NORDANSTIG</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20778-2023</t>
        </is>
      </c>
      <c r="B6902" s="1" t="n">
        <v>45058</v>
      </c>
      <c r="C6902" s="1" t="n">
        <v>45587</v>
      </c>
      <c r="D6902" t="inlineStr">
        <is>
          <t>GÄVLEBORGS LÄN</t>
        </is>
      </c>
      <c r="E6902" t="inlineStr">
        <is>
          <t>BOLLNÄS</t>
        </is>
      </c>
      <c r="F6902" t="inlineStr">
        <is>
          <t>Sveaskog</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21318-2023</t>
        </is>
      </c>
      <c r="B6903" s="1" t="n">
        <v>45058</v>
      </c>
      <c r="C6903" s="1" t="n">
        <v>45587</v>
      </c>
      <c r="D6903" t="inlineStr">
        <is>
          <t>GÄVLEBORGS LÄN</t>
        </is>
      </c>
      <c r="E6903" t="inlineStr">
        <is>
          <t>SANDVIKEN</t>
        </is>
      </c>
      <c r="F6903" t="inlineStr">
        <is>
          <t>Bergvik skog väst AB</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21376-2023</t>
        </is>
      </c>
      <c r="B6904" s="1" t="n">
        <v>45058</v>
      </c>
      <c r="C6904" s="1" t="n">
        <v>45587</v>
      </c>
      <c r="D6904" t="inlineStr">
        <is>
          <t>GÄVLEBORGS LÄN</t>
        </is>
      </c>
      <c r="E6904" t="inlineStr">
        <is>
          <t>SANDVIKEN</t>
        </is>
      </c>
      <c r="F6904" t="inlineStr">
        <is>
          <t>Bergvik skog väst AB</t>
        </is>
      </c>
      <c r="G6904" t="n">
        <v>36.1</v>
      </c>
      <c r="H6904" t="n">
        <v>0</v>
      </c>
      <c r="I6904" t="n">
        <v>0</v>
      </c>
      <c r="J6904" t="n">
        <v>0</v>
      </c>
      <c r="K6904" t="n">
        <v>0</v>
      </c>
      <c r="L6904" t="n">
        <v>0</v>
      </c>
      <c r="M6904" t="n">
        <v>0</v>
      </c>
      <c r="N6904" t="n">
        <v>0</v>
      </c>
      <c r="O6904" t="n">
        <v>0</v>
      </c>
      <c r="P6904" t="n">
        <v>0</v>
      </c>
      <c r="Q6904" t="n">
        <v>0</v>
      </c>
      <c r="R6904" s="2" t="inlineStr"/>
    </row>
    <row r="6905" ht="15" customHeight="1">
      <c r="A6905" t="inlineStr">
        <is>
          <t>A 20909-2023</t>
        </is>
      </c>
      <c r="B6905" s="1" t="n">
        <v>45060</v>
      </c>
      <c r="C6905" s="1" t="n">
        <v>45587</v>
      </c>
      <c r="D6905" t="inlineStr">
        <is>
          <t>GÄVLEBORGS LÄN</t>
        </is>
      </c>
      <c r="E6905" t="inlineStr">
        <is>
          <t>LJUSDAL</t>
        </is>
      </c>
      <c r="G6905" t="n">
        <v>5.3</v>
      </c>
      <c r="H6905" t="n">
        <v>0</v>
      </c>
      <c r="I6905" t="n">
        <v>0</v>
      </c>
      <c r="J6905" t="n">
        <v>0</v>
      </c>
      <c r="K6905" t="n">
        <v>0</v>
      </c>
      <c r="L6905" t="n">
        <v>0</v>
      </c>
      <c r="M6905" t="n">
        <v>0</v>
      </c>
      <c r="N6905" t="n">
        <v>0</v>
      </c>
      <c r="O6905" t="n">
        <v>0</v>
      </c>
      <c r="P6905" t="n">
        <v>0</v>
      </c>
      <c r="Q6905" t="n">
        <v>0</v>
      </c>
      <c r="R6905" s="2" t="inlineStr"/>
    </row>
    <row r="6906" ht="15" customHeight="1">
      <c r="A6906" t="inlineStr">
        <is>
          <t>A 20955-2023</t>
        </is>
      </c>
      <c r="B6906" s="1" t="n">
        <v>45061</v>
      </c>
      <c r="C6906" s="1" t="n">
        <v>45587</v>
      </c>
      <c r="D6906" t="inlineStr">
        <is>
          <t>GÄVLEBORGS LÄN</t>
        </is>
      </c>
      <c r="E6906" t="inlineStr">
        <is>
          <t>NORDANSTIG</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20969-2023</t>
        </is>
      </c>
      <c r="B6907" s="1" t="n">
        <v>45061</v>
      </c>
      <c r="C6907" s="1" t="n">
        <v>45587</v>
      </c>
      <c r="D6907" t="inlineStr">
        <is>
          <t>GÄVLEBORGS LÄN</t>
        </is>
      </c>
      <c r="E6907" t="inlineStr">
        <is>
          <t>SANDVIKEN</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20988-2023</t>
        </is>
      </c>
      <c r="B6908" s="1" t="n">
        <v>45061</v>
      </c>
      <c r="C6908" s="1" t="n">
        <v>45587</v>
      </c>
      <c r="D6908" t="inlineStr">
        <is>
          <t>GÄVLEBORGS LÄN</t>
        </is>
      </c>
      <c r="E6908" t="inlineStr">
        <is>
          <t>LJUSDAL</t>
        </is>
      </c>
      <c r="F6908" t="inlineStr">
        <is>
          <t>Bergvik skog väst AB</t>
        </is>
      </c>
      <c r="G6908" t="n">
        <v>5.3</v>
      </c>
      <c r="H6908" t="n">
        <v>0</v>
      </c>
      <c r="I6908" t="n">
        <v>0</v>
      </c>
      <c r="J6908" t="n">
        <v>0</v>
      </c>
      <c r="K6908" t="n">
        <v>0</v>
      </c>
      <c r="L6908" t="n">
        <v>0</v>
      </c>
      <c r="M6908" t="n">
        <v>0</v>
      </c>
      <c r="N6908" t="n">
        <v>0</v>
      </c>
      <c r="O6908" t="n">
        <v>0</v>
      </c>
      <c r="P6908" t="n">
        <v>0</v>
      </c>
      <c r="Q6908" t="n">
        <v>0</v>
      </c>
      <c r="R6908" s="2" t="inlineStr"/>
    </row>
    <row r="6909" ht="15" customHeight="1">
      <c r="A6909" t="inlineStr">
        <is>
          <t>A 20912-2023</t>
        </is>
      </c>
      <c r="B6909" s="1" t="n">
        <v>45061</v>
      </c>
      <c r="C6909" s="1" t="n">
        <v>45587</v>
      </c>
      <c r="D6909" t="inlineStr">
        <is>
          <t>GÄVLEBORGS LÄN</t>
        </is>
      </c>
      <c r="E6909" t="inlineStr">
        <is>
          <t>LJUSDAL</t>
        </is>
      </c>
      <c r="F6909" t="inlineStr">
        <is>
          <t>Bergvik skog väst AB</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21040-2023</t>
        </is>
      </c>
      <c r="B6910" s="1" t="n">
        <v>45061</v>
      </c>
      <c r="C6910" s="1" t="n">
        <v>45587</v>
      </c>
      <c r="D6910" t="inlineStr">
        <is>
          <t>GÄVLEBORGS LÄN</t>
        </is>
      </c>
      <c r="E6910" t="inlineStr">
        <is>
          <t>HUDIKSVALL</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21061-2023</t>
        </is>
      </c>
      <c r="B6911" s="1" t="n">
        <v>45061</v>
      </c>
      <c r="C6911" s="1" t="n">
        <v>45587</v>
      </c>
      <c r="D6911" t="inlineStr">
        <is>
          <t>GÄVLEBORGS LÄN</t>
        </is>
      </c>
      <c r="E6911" t="inlineStr">
        <is>
          <t>BOLLNÄS</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20963-2023</t>
        </is>
      </c>
      <c r="B6912" s="1" t="n">
        <v>45061</v>
      </c>
      <c r="C6912" s="1" t="n">
        <v>45587</v>
      </c>
      <c r="D6912" t="inlineStr">
        <is>
          <t>GÄVLEBORGS LÄN</t>
        </is>
      </c>
      <c r="E6912" t="inlineStr">
        <is>
          <t>HUDIKSVALL</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20914-2023</t>
        </is>
      </c>
      <c r="B6913" s="1" t="n">
        <v>45061</v>
      </c>
      <c r="C6913" s="1" t="n">
        <v>45587</v>
      </c>
      <c r="D6913" t="inlineStr">
        <is>
          <t>GÄVLEBORGS LÄN</t>
        </is>
      </c>
      <c r="E6913" t="inlineStr">
        <is>
          <t>LJUSDAL</t>
        </is>
      </c>
      <c r="F6913" t="inlineStr">
        <is>
          <t>Allmännings- och besparingsskogar</t>
        </is>
      </c>
      <c r="G6913" t="n">
        <v>35.5</v>
      </c>
      <c r="H6913" t="n">
        <v>0</v>
      </c>
      <c r="I6913" t="n">
        <v>0</v>
      </c>
      <c r="J6913" t="n">
        <v>0</v>
      </c>
      <c r="K6913" t="n">
        <v>0</v>
      </c>
      <c r="L6913" t="n">
        <v>0</v>
      </c>
      <c r="M6913" t="n">
        <v>0</v>
      </c>
      <c r="N6913" t="n">
        <v>0</v>
      </c>
      <c r="O6913" t="n">
        <v>0</v>
      </c>
      <c r="P6913" t="n">
        <v>0</v>
      </c>
      <c r="Q6913" t="n">
        <v>0</v>
      </c>
      <c r="R6913" s="2" t="inlineStr"/>
    </row>
    <row r="6914" ht="15" customHeight="1">
      <c r="A6914" t="inlineStr">
        <is>
          <t>A 20910-2023</t>
        </is>
      </c>
      <c r="B6914" s="1" t="n">
        <v>45061</v>
      </c>
      <c r="C6914" s="1" t="n">
        <v>45587</v>
      </c>
      <c r="D6914" t="inlineStr">
        <is>
          <t>GÄVLEBORGS LÄN</t>
        </is>
      </c>
      <c r="E6914" t="inlineStr">
        <is>
          <t>LJUSDAL</t>
        </is>
      </c>
      <c r="F6914" t="inlineStr">
        <is>
          <t>Bergvik skog väst AB</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21153-2023</t>
        </is>
      </c>
      <c r="B6915" s="1" t="n">
        <v>45062</v>
      </c>
      <c r="C6915" s="1" t="n">
        <v>45587</v>
      </c>
      <c r="D6915" t="inlineStr">
        <is>
          <t>GÄVLEBORGS LÄN</t>
        </is>
      </c>
      <c r="E6915" t="inlineStr">
        <is>
          <t>NORDANSTIG</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21178-2023</t>
        </is>
      </c>
      <c r="B6916" s="1" t="n">
        <v>45062</v>
      </c>
      <c r="C6916" s="1" t="n">
        <v>45587</v>
      </c>
      <c r="D6916" t="inlineStr">
        <is>
          <t>GÄVLEBORGS LÄN</t>
        </is>
      </c>
      <c r="E6916" t="inlineStr">
        <is>
          <t>NORDANSTIG</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21125-2023</t>
        </is>
      </c>
      <c r="B6917" s="1" t="n">
        <v>45062</v>
      </c>
      <c r="C6917" s="1" t="n">
        <v>45587</v>
      </c>
      <c r="D6917" t="inlineStr">
        <is>
          <t>GÄVLEBORGS LÄN</t>
        </is>
      </c>
      <c r="E6917" t="inlineStr">
        <is>
          <t>LJUSDAL</t>
        </is>
      </c>
      <c r="F6917" t="inlineStr">
        <is>
          <t>Holmen skog AB</t>
        </is>
      </c>
      <c r="G6917" t="n">
        <v>5.9</v>
      </c>
      <c r="H6917" t="n">
        <v>0</v>
      </c>
      <c r="I6917" t="n">
        <v>0</v>
      </c>
      <c r="J6917" t="n">
        <v>0</v>
      </c>
      <c r="K6917" t="n">
        <v>0</v>
      </c>
      <c r="L6917" t="n">
        <v>0</v>
      </c>
      <c r="M6917" t="n">
        <v>0</v>
      </c>
      <c r="N6917" t="n">
        <v>0</v>
      </c>
      <c r="O6917" t="n">
        <v>0</v>
      </c>
      <c r="P6917" t="n">
        <v>0</v>
      </c>
      <c r="Q6917" t="n">
        <v>0</v>
      </c>
      <c r="R6917" s="2" t="inlineStr"/>
    </row>
    <row r="6918" ht="15" customHeight="1">
      <c r="A6918" t="inlineStr">
        <is>
          <t>A 21176-2023</t>
        </is>
      </c>
      <c r="B6918" s="1" t="n">
        <v>45062</v>
      </c>
      <c r="C6918" s="1" t="n">
        <v>45587</v>
      </c>
      <c r="D6918" t="inlineStr">
        <is>
          <t>GÄVLEBORGS LÄN</t>
        </is>
      </c>
      <c r="E6918" t="inlineStr">
        <is>
          <t>NORDANSTIG</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21260-2023</t>
        </is>
      </c>
      <c r="B6919" s="1" t="n">
        <v>45062</v>
      </c>
      <c r="C6919" s="1" t="n">
        <v>45587</v>
      </c>
      <c r="D6919" t="inlineStr">
        <is>
          <t>GÄVLEBORGS LÄN</t>
        </is>
      </c>
      <c r="E6919" t="inlineStr">
        <is>
          <t>BOLLNÄS</t>
        </is>
      </c>
      <c r="F6919" t="inlineStr">
        <is>
          <t>Bergvik skog väst AB</t>
        </is>
      </c>
      <c r="G6919" t="n">
        <v>18.3</v>
      </c>
      <c r="H6919" t="n">
        <v>0</v>
      </c>
      <c r="I6919" t="n">
        <v>0</v>
      </c>
      <c r="J6919" t="n">
        <v>0</v>
      </c>
      <c r="K6919" t="n">
        <v>0</v>
      </c>
      <c r="L6919" t="n">
        <v>0</v>
      </c>
      <c r="M6919" t="n">
        <v>0</v>
      </c>
      <c r="N6919" t="n">
        <v>0</v>
      </c>
      <c r="O6919" t="n">
        <v>0</v>
      </c>
      <c r="P6919" t="n">
        <v>0</v>
      </c>
      <c r="Q6919" t="n">
        <v>0</v>
      </c>
      <c r="R6919" s="2" t="inlineStr"/>
    </row>
    <row r="6920" ht="15" customHeight="1">
      <c r="A6920" t="inlineStr">
        <is>
          <t>A 21268-2023</t>
        </is>
      </c>
      <c r="B6920" s="1" t="n">
        <v>45062</v>
      </c>
      <c r="C6920" s="1" t="n">
        <v>45587</v>
      </c>
      <c r="D6920" t="inlineStr">
        <is>
          <t>GÄVLEBORGS LÄN</t>
        </is>
      </c>
      <c r="E6920" t="inlineStr">
        <is>
          <t>SÖDERHAMN</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21251-2023</t>
        </is>
      </c>
      <c r="B6921" s="1" t="n">
        <v>45062</v>
      </c>
      <c r="C6921" s="1" t="n">
        <v>45587</v>
      </c>
      <c r="D6921" t="inlineStr">
        <is>
          <t>GÄVLEBORGS LÄN</t>
        </is>
      </c>
      <c r="E6921" t="inlineStr">
        <is>
          <t>HUDIKSVALL</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21270-2023</t>
        </is>
      </c>
      <c r="B6922" s="1" t="n">
        <v>45062</v>
      </c>
      <c r="C6922" s="1" t="n">
        <v>45587</v>
      </c>
      <c r="D6922" t="inlineStr">
        <is>
          <t>GÄVLEBORGS LÄN</t>
        </is>
      </c>
      <c r="E6922" t="inlineStr">
        <is>
          <t>BOLLNÄS</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21275-2023</t>
        </is>
      </c>
      <c r="B6923" s="1" t="n">
        <v>45062</v>
      </c>
      <c r="C6923" s="1" t="n">
        <v>45587</v>
      </c>
      <c r="D6923" t="inlineStr">
        <is>
          <t>GÄVLEBORGS LÄN</t>
        </is>
      </c>
      <c r="E6923" t="inlineStr">
        <is>
          <t>BOLLNÄS</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21253-2023</t>
        </is>
      </c>
      <c r="B6924" s="1" t="n">
        <v>45062</v>
      </c>
      <c r="C6924" s="1" t="n">
        <v>45587</v>
      </c>
      <c r="D6924" t="inlineStr">
        <is>
          <t>GÄVLEBORGS LÄN</t>
        </is>
      </c>
      <c r="E6924" t="inlineStr">
        <is>
          <t>OCKELBO</t>
        </is>
      </c>
      <c r="F6924" t="inlineStr">
        <is>
          <t>Bergvik skog väst AB</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21272-2023</t>
        </is>
      </c>
      <c r="B6925" s="1" t="n">
        <v>45062</v>
      </c>
      <c r="C6925" s="1" t="n">
        <v>45587</v>
      </c>
      <c r="D6925" t="inlineStr">
        <is>
          <t>GÄVLEBORGS LÄN</t>
        </is>
      </c>
      <c r="E6925" t="inlineStr">
        <is>
          <t>SÖDERHAMN</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21283-2023</t>
        </is>
      </c>
      <c r="B6926" s="1" t="n">
        <v>45062</v>
      </c>
      <c r="C6926" s="1" t="n">
        <v>45587</v>
      </c>
      <c r="D6926" t="inlineStr">
        <is>
          <t>GÄVLEBORGS LÄN</t>
        </is>
      </c>
      <c r="E6926" t="inlineStr">
        <is>
          <t>SÖDERHAMN</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21305-2023</t>
        </is>
      </c>
      <c r="B6927" s="1" t="n">
        <v>45062</v>
      </c>
      <c r="C6927" s="1" t="n">
        <v>45587</v>
      </c>
      <c r="D6927" t="inlineStr">
        <is>
          <t>GÄVLEBORGS LÄN</t>
        </is>
      </c>
      <c r="E6927" t="inlineStr">
        <is>
          <t>HUDIKSVALL</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21611-2023</t>
        </is>
      </c>
      <c r="B6928" s="1" t="n">
        <v>45062</v>
      </c>
      <c r="C6928" s="1" t="n">
        <v>45587</v>
      </c>
      <c r="D6928" t="inlineStr">
        <is>
          <t>GÄVLEBORGS LÄN</t>
        </is>
      </c>
      <c r="E6928" t="inlineStr">
        <is>
          <t>HUDIKSVALL</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21428-2023</t>
        </is>
      </c>
      <c r="B6929" s="1" t="n">
        <v>45063</v>
      </c>
      <c r="C6929" s="1" t="n">
        <v>45587</v>
      </c>
      <c r="D6929" t="inlineStr">
        <is>
          <t>GÄVLEBORGS LÄN</t>
        </is>
      </c>
      <c r="E6929" t="inlineStr">
        <is>
          <t>NORDANSTIG</t>
        </is>
      </c>
      <c r="F6929" t="inlineStr">
        <is>
          <t>Holmen skog AB</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21459-2023</t>
        </is>
      </c>
      <c r="B6930" s="1" t="n">
        <v>45063</v>
      </c>
      <c r="C6930" s="1" t="n">
        <v>45587</v>
      </c>
      <c r="D6930" t="inlineStr">
        <is>
          <t>GÄVLEBORGS LÄN</t>
        </is>
      </c>
      <c r="E6930" t="inlineStr">
        <is>
          <t>HUDIKSVALL</t>
        </is>
      </c>
      <c r="F6930" t="inlineStr">
        <is>
          <t>Holmen skog AB</t>
        </is>
      </c>
      <c r="G6930" t="n">
        <v>8</v>
      </c>
      <c r="H6930" t="n">
        <v>0</v>
      </c>
      <c r="I6930" t="n">
        <v>0</v>
      </c>
      <c r="J6930" t="n">
        <v>0</v>
      </c>
      <c r="K6930" t="n">
        <v>0</v>
      </c>
      <c r="L6930" t="n">
        <v>0</v>
      </c>
      <c r="M6930" t="n">
        <v>0</v>
      </c>
      <c r="N6930" t="n">
        <v>0</v>
      </c>
      <c r="O6930" t="n">
        <v>0</v>
      </c>
      <c r="P6930" t="n">
        <v>0</v>
      </c>
      <c r="Q6930" t="n">
        <v>0</v>
      </c>
      <c r="R6930" s="2" t="inlineStr"/>
    </row>
    <row r="6931" ht="15" customHeight="1">
      <c r="A6931" t="inlineStr">
        <is>
          <t>A 21473-2023</t>
        </is>
      </c>
      <c r="B6931" s="1" t="n">
        <v>45063</v>
      </c>
      <c r="C6931" s="1" t="n">
        <v>45587</v>
      </c>
      <c r="D6931" t="inlineStr">
        <is>
          <t>GÄVLEBORGS LÄN</t>
        </is>
      </c>
      <c r="E6931" t="inlineStr">
        <is>
          <t>NORDANSTIG</t>
        </is>
      </c>
      <c r="F6931" t="inlineStr">
        <is>
          <t>Holmen skog AB</t>
        </is>
      </c>
      <c r="G6931" t="n">
        <v>5.7</v>
      </c>
      <c r="H6931" t="n">
        <v>0</v>
      </c>
      <c r="I6931" t="n">
        <v>0</v>
      </c>
      <c r="J6931" t="n">
        <v>0</v>
      </c>
      <c r="K6931" t="n">
        <v>0</v>
      </c>
      <c r="L6931" t="n">
        <v>0</v>
      </c>
      <c r="M6931" t="n">
        <v>0</v>
      </c>
      <c r="N6931" t="n">
        <v>0</v>
      </c>
      <c r="O6931" t="n">
        <v>0</v>
      </c>
      <c r="P6931" t="n">
        <v>0</v>
      </c>
      <c r="Q6931" t="n">
        <v>0</v>
      </c>
      <c r="R6931" s="2" t="inlineStr"/>
    </row>
    <row r="6932" ht="15" customHeight="1">
      <c r="A6932" t="inlineStr">
        <is>
          <t>A 21381-2023</t>
        </is>
      </c>
      <c r="B6932" s="1" t="n">
        <v>45063</v>
      </c>
      <c r="C6932" s="1" t="n">
        <v>45587</v>
      </c>
      <c r="D6932" t="inlineStr">
        <is>
          <t>GÄVLEBORGS LÄN</t>
        </is>
      </c>
      <c r="E6932" t="inlineStr">
        <is>
          <t>OVANÅKER</t>
        </is>
      </c>
      <c r="F6932" t="inlineStr">
        <is>
          <t>Sveaskog</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21401-2023</t>
        </is>
      </c>
      <c r="B6933" s="1" t="n">
        <v>45063</v>
      </c>
      <c r="C6933" s="1" t="n">
        <v>45587</v>
      </c>
      <c r="D6933" t="inlineStr">
        <is>
          <t>GÄVLEBORGS LÄN</t>
        </is>
      </c>
      <c r="E6933" t="inlineStr">
        <is>
          <t>OCKELBO</t>
        </is>
      </c>
      <c r="F6933" t="inlineStr">
        <is>
          <t>Bergvik skog väst AB</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21380-2023</t>
        </is>
      </c>
      <c r="B6934" s="1" t="n">
        <v>45063</v>
      </c>
      <c r="C6934" s="1" t="n">
        <v>45587</v>
      </c>
      <c r="D6934" t="inlineStr">
        <is>
          <t>GÄVLEBORGS LÄN</t>
        </is>
      </c>
      <c r="E6934" t="inlineStr">
        <is>
          <t>OVANÅKER</t>
        </is>
      </c>
      <c r="F6934" t="inlineStr">
        <is>
          <t>Sveaskog</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21452-2023</t>
        </is>
      </c>
      <c r="B6935" s="1" t="n">
        <v>45063</v>
      </c>
      <c r="C6935" s="1" t="n">
        <v>45587</v>
      </c>
      <c r="D6935" t="inlineStr">
        <is>
          <t>GÄVLEBORGS LÄN</t>
        </is>
      </c>
      <c r="E6935" t="inlineStr">
        <is>
          <t>HUDIKSVALL</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21391-2023</t>
        </is>
      </c>
      <c r="B6936" s="1" t="n">
        <v>45063</v>
      </c>
      <c r="C6936" s="1" t="n">
        <v>45587</v>
      </c>
      <c r="D6936" t="inlineStr">
        <is>
          <t>GÄVLEBORGS LÄN</t>
        </is>
      </c>
      <c r="E6936" t="inlineStr">
        <is>
          <t>SÖDERHAMN</t>
        </is>
      </c>
      <c r="F6936" t="inlineStr">
        <is>
          <t>Bergvik skog väst AB</t>
        </is>
      </c>
      <c r="G6936" t="n">
        <v>7</v>
      </c>
      <c r="H6936" t="n">
        <v>0</v>
      </c>
      <c r="I6936" t="n">
        <v>0</v>
      </c>
      <c r="J6936" t="n">
        <v>0</v>
      </c>
      <c r="K6936" t="n">
        <v>0</v>
      </c>
      <c r="L6936" t="n">
        <v>0</v>
      </c>
      <c r="M6936" t="n">
        <v>0</v>
      </c>
      <c r="N6936" t="n">
        <v>0</v>
      </c>
      <c r="O6936" t="n">
        <v>0</v>
      </c>
      <c r="P6936" t="n">
        <v>0</v>
      </c>
      <c r="Q6936" t="n">
        <v>0</v>
      </c>
      <c r="R6936" s="2" t="inlineStr"/>
    </row>
    <row r="6937" ht="15" customHeight="1">
      <c r="A6937" t="inlineStr">
        <is>
          <t>A 21456-2023</t>
        </is>
      </c>
      <c r="B6937" s="1" t="n">
        <v>45063</v>
      </c>
      <c r="C6937" s="1" t="n">
        <v>45587</v>
      </c>
      <c r="D6937" t="inlineStr">
        <is>
          <t>GÄVLEBORGS LÄN</t>
        </is>
      </c>
      <c r="E6937" t="inlineStr">
        <is>
          <t>SANDVIKEN</t>
        </is>
      </c>
      <c r="F6937" t="inlineStr">
        <is>
          <t>Kommuner</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21475-2023</t>
        </is>
      </c>
      <c r="B6938" s="1" t="n">
        <v>45063</v>
      </c>
      <c r="C6938" s="1" t="n">
        <v>45587</v>
      </c>
      <c r="D6938" t="inlineStr">
        <is>
          <t>GÄVLEBORGS LÄN</t>
        </is>
      </c>
      <c r="E6938" t="inlineStr">
        <is>
          <t>LJUSDAL</t>
        </is>
      </c>
      <c r="F6938" t="inlineStr">
        <is>
          <t>Sveaskog</t>
        </is>
      </c>
      <c r="G6938" t="n">
        <v>9.4</v>
      </c>
      <c r="H6938" t="n">
        <v>0</v>
      </c>
      <c r="I6938" t="n">
        <v>0</v>
      </c>
      <c r="J6938" t="n">
        <v>0</v>
      </c>
      <c r="K6938" t="n">
        <v>0</v>
      </c>
      <c r="L6938" t="n">
        <v>0</v>
      </c>
      <c r="M6938" t="n">
        <v>0</v>
      </c>
      <c r="N6938" t="n">
        <v>0</v>
      </c>
      <c r="O6938" t="n">
        <v>0</v>
      </c>
      <c r="P6938" t="n">
        <v>0</v>
      </c>
      <c r="Q6938" t="n">
        <v>0</v>
      </c>
      <c r="R6938" s="2" t="inlineStr"/>
    </row>
    <row r="6939" ht="15" customHeight="1">
      <c r="A6939" t="inlineStr">
        <is>
          <t>A 21383-2023</t>
        </is>
      </c>
      <c r="B6939" s="1" t="n">
        <v>45063</v>
      </c>
      <c r="C6939" s="1" t="n">
        <v>45587</v>
      </c>
      <c r="D6939" t="inlineStr">
        <is>
          <t>GÄVLEBORGS LÄN</t>
        </is>
      </c>
      <c r="E6939" t="inlineStr">
        <is>
          <t>OCKELBO</t>
        </is>
      </c>
      <c r="F6939" t="inlineStr">
        <is>
          <t>Bergvik skog väst AB</t>
        </is>
      </c>
      <c r="G6939" t="n">
        <v>4</v>
      </c>
      <c r="H6939" t="n">
        <v>0</v>
      </c>
      <c r="I6939" t="n">
        <v>0</v>
      </c>
      <c r="J6939" t="n">
        <v>0</v>
      </c>
      <c r="K6939" t="n">
        <v>0</v>
      </c>
      <c r="L6939" t="n">
        <v>0</v>
      </c>
      <c r="M6939" t="n">
        <v>0</v>
      </c>
      <c r="N6939" t="n">
        <v>0</v>
      </c>
      <c r="O6939" t="n">
        <v>0</v>
      </c>
      <c r="P6939" t="n">
        <v>0</v>
      </c>
      <c r="Q6939" t="n">
        <v>0</v>
      </c>
      <c r="R6939" s="2" t="inlineStr"/>
    </row>
    <row r="6940" ht="15" customHeight="1">
      <c r="A6940" t="inlineStr">
        <is>
          <t>A 21526-2023</t>
        </is>
      </c>
      <c r="B6940" s="1" t="n">
        <v>45063</v>
      </c>
      <c r="C6940" s="1" t="n">
        <v>45587</v>
      </c>
      <c r="D6940" t="inlineStr">
        <is>
          <t>GÄVLEBORGS LÄN</t>
        </is>
      </c>
      <c r="E6940" t="inlineStr">
        <is>
          <t>NORDANSTIG</t>
        </is>
      </c>
      <c r="F6940" t="inlineStr">
        <is>
          <t>Holmen skog AB</t>
        </is>
      </c>
      <c r="G6940" t="n">
        <v>5.4</v>
      </c>
      <c r="H6940" t="n">
        <v>0</v>
      </c>
      <c r="I6940" t="n">
        <v>0</v>
      </c>
      <c r="J6940" t="n">
        <v>0</v>
      </c>
      <c r="K6940" t="n">
        <v>0</v>
      </c>
      <c r="L6940" t="n">
        <v>0</v>
      </c>
      <c r="M6940" t="n">
        <v>0</v>
      </c>
      <c r="N6940" t="n">
        <v>0</v>
      </c>
      <c r="O6940" t="n">
        <v>0</v>
      </c>
      <c r="P6940" t="n">
        <v>0</v>
      </c>
      <c r="Q6940" t="n">
        <v>0</v>
      </c>
      <c r="R6940" s="2" t="inlineStr"/>
    </row>
    <row r="6941" ht="15" customHeight="1">
      <c r="A6941" t="inlineStr">
        <is>
          <t>A 21434-2023</t>
        </is>
      </c>
      <c r="B6941" s="1" t="n">
        <v>45063</v>
      </c>
      <c r="C6941" s="1" t="n">
        <v>45587</v>
      </c>
      <c r="D6941" t="inlineStr">
        <is>
          <t>GÄVLEBORGS LÄN</t>
        </is>
      </c>
      <c r="E6941" t="inlineStr">
        <is>
          <t>SANDVIKEN</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21454-2023</t>
        </is>
      </c>
      <c r="B6942" s="1" t="n">
        <v>45063</v>
      </c>
      <c r="C6942" s="1" t="n">
        <v>45587</v>
      </c>
      <c r="D6942" t="inlineStr">
        <is>
          <t>GÄVLEBORGS LÄN</t>
        </is>
      </c>
      <c r="E6942" t="inlineStr">
        <is>
          <t>SANDVIKEN</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21474-2023</t>
        </is>
      </c>
      <c r="B6943" s="1" t="n">
        <v>45063</v>
      </c>
      <c r="C6943" s="1" t="n">
        <v>45587</v>
      </c>
      <c r="D6943" t="inlineStr">
        <is>
          <t>GÄVLEBORGS LÄN</t>
        </is>
      </c>
      <c r="E6943" t="inlineStr">
        <is>
          <t>LJUSDAL</t>
        </is>
      </c>
      <c r="F6943" t="inlineStr">
        <is>
          <t>Sveaskog</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21588-2023</t>
        </is>
      </c>
      <c r="B6944" s="1" t="n">
        <v>45063</v>
      </c>
      <c r="C6944" s="1" t="n">
        <v>45587</v>
      </c>
      <c r="D6944" t="inlineStr">
        <is>
          <t>GÄVLEBORGS LÄN</t>
        </is>
      </c>
      <c r="E6944" t="inlineStr">
        <is>
          <t>OVANÅKER</t>
        </is>
      </c>
      <c r="G6944" t="n">
        <v>5.3</v>
      </c>
      <c r="H6944" t="n">
        <v>0</v>
      </c>
      <c r="I6944" t="n">
        <v>0</v>
      </c>
      <c r="J6944" t="n">
        <v>0</v>
      </c>
      <c r="K6944" t="n">
        <v>0</v>
      </c>
      <c r="L6944" t="n">
        <v>0</v>
      </c>
      <c r="M6944" t="n">
        <v>0</v>
      </c>
      <c r="N6944" t="n">
        <v>0</v>
      </c>
      <c r="O6944" t="n">
        <v>0</v>
      </c>
      <c r="P6944" t="n">
        <v>0</v>
      </c>
      <c r="Q6944" t="n">
        <v>0</v>
      </c>
      <c r="R6944" s="2" t="inlineStr"/>
    </row>
    <row r="6945" ht="15" customHeight="1">
      <c r="A6945" t="inlineStr">
        <is>
          <t>A 21591-2023</t>
        </is>
      </c>
      <c r="B6945" s="1" t="n">
        <v>45063</v>
      </c>
      <c r="C6945" s="1" t="n">
        <v>45587</v>
      </c>
      <c r="D6945" t="inlineStr">
        <is>
          <t>GÄVLEBORGS LÄN</t>
        </is>
      </c>
      <c r="E6945" t="inlineStr">
        <is>
          <t>LJUSDAL</t>
        </is>
      </c>
      <c r="G6945" t="n">
        <v>8.699999999999999</v>
      </c>
      <c r="H6945" t="n">
        <v>0</v>
      </c>
      <c r="I6945" t="n">
        <v>0</v>
      </c>
      <c r="J6945" t="n">
        <v>0</v>
      </c>
      <c r="K6945" t="n">
        <v>0</v>
      </c>
      <c r="L6945" t="n">
        <v>0</v>
      </c>
      <c r="M6945" t="n">
        <v>0</v>
      </c>
      <c r="N6945" t="n">
        <v>0</v>
      </c>
      <c r="O6945" t="n">
        <v>0</v>
      </c>
      <c r="P6945" t="n">
        <v>0</v>
      </c>
      <c r="Q6945" t="n">
        <v>0</v>
      </c>
      <c r="R6945" s="2" t="inlineStr"/>
    </row>
    <row r="6946" ht="15" customHeight="1">
      <c r="A6946" t="inlineStr">
        <is>
          <t>A 21618-2023</t>
        </is>
      </c>
      <c r="B6946" s="1" t="n">
        <v>45063</v>
      </c>
      <c r="C6946" s="1" t="n">
        <v>45587</v>
      </c>
      <c r="D6946" t="inlineStr">
        <is>
          <t>GÄVLEBORGS LÄN</t>
        </is>
      </c>
      <c r="E6946" t="inlineStr">
        <is>
          <t>HUDIKSVALL</t>
        </is>
      </c>
      <c r="F6946" t="inlineStr">
        <is>
          <t>Holmen skog AB</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21567-2023</t>
        </is>
      </c>
      <c r="B6947" s="1" t="n">
        <v>45063</v>
      </c>
      <c r="C6947" s="1" t="n">
        <v>45587</v>
      </c>
      <c r="D6947" t="inlineStr">
        <is>
          <t>GÄVLEBORGS LÄN</t>
        </is>
      </c>
      <c r="E6947" t="inlineStr">
        <is>
          <t>SÖDERHAMN</t>
        </is>
      </c>
      <c r="F6947" t="inlineStr">
        <is>
          <t>Bergvik skog väst AB</t>
        </is>
      </c>
      <c r="G6947" t="n">
        <v>15.9</v>
      </c>
      <c r="H6947" t="n">
        <v>0</v>
      </c>
      <c r="I6947" t="n">
        <v>0</v>
      </c>
      <c r="J6947" t="n">
        <v>0</v>
      </c>
      <c r="K6947" t="n">
        <v>0</v>
      </c>
      <c r="L6947" t="n">
        <v>0</v>
      </c>
      <c r="M6947" t="n">
        <v>0</v>
      </c>
      <c r="N6947" t="n">
        <v>0</v>
      </c>
      <c r="O6947" t="n">
        <v>0</v>
      </c>
      <c r="P6947" t="n">
        <v>0</v>
      </c>
      <c r="Q6947" t="n">
        <v>0</v>
      </c>
      <c r="R6947" s="2" t="inlineStr"/>
    </row>
    <row r="6948" ht="15" customHeight="1">
      <c r="A6948" t="inlineStr">
        <is>
          <t>A 21586-2023</t>
        </is>
      </c>
      <c r="B6948" s="1" t="n">
        <v>45063</v>
      </c>
      <c r="C6948" s="1" t="n">
        <v>45587</v>
      </c>
      <c r="D6948" t="inlineStr">
        <is>
          <t>GÄVLEBORGS LÄN</t>
        </is>
      </c>
      <c r="E6948" t="inlineStr">
        <is>
          <t>SÖDERHAMN</t>
        </is>
      </c>
      <c r="F6948" t="inlineStr">
        <is>
          <t>Bergvik skog väst AB</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21621-2023</t>
        </is>
      </c>
      <c r="B6949" s="1" t="n">
        <v>45063</v>
      </c>
      <c r="C6949" s="1" t="n">
        <v>45587</v>
      </c>
      <c r="D6949" t="inlineStr">
        <is>
          <t>GÄVLEBORGS LÄN</t>
        </is>
      </c>
      <c r="E6949" t="inlineStr">
        <is>
          <t>BOLLNÄS</t>
        </is>
      </c>
      <c r="F6949" t="inlineStr">
        <is>
          <t>Sveaskog</t>
        </is>
      </c>
      <c r="G6949" t="n">
        <v>9.300000000000001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21724-2023</t>
        </is>
      </c>
      <c r="B6950" s="1" t="n">
        <v>45065</v>
      </c>
      <c r="C6950" s="1" t="n">
        <v>45587</v>
      </c>
      <c r="D6950" t="inlineStr">
        <is>
          <t>GÄVLEBORGS LÄN</t>
        </is>
      </c>
      <c r="E6950" t="inlineStr">
        <is>
          <t>HUDIKSVALL</t>
        </is>
      </c>
      <c r="F6950" t="inlineStr">
        <is>
          <t>Holmen skog AB</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21750-2023</t>
        </is>
      </c>
      <c r="B6951" s="1" t="n">
        <v>45065</v>
      </c>
      <c r="C6951" s="1" t="n">
        <v>45587</v>
      </c>
      <c r="D6951" t="inlineStr">
        <is>
          <t>GÄVLEBORGS LÄN</t>
        </is>
      </c>
      <c r="E6951" t="inlineStr">
        <is>
          <t>HUDIKSVALL</t>
        </is>
      </c>
      <c r="F6951" t="inlineStr">
        <is>
          <t>Holmen skog AB</t>
        </is>
      </c>
      <c r="G6951" t="n">
        <v>10.5</v>
      </c>
      <c r="H6951" t="n">
        <v>0</v>
      </c>
      <c r="I6951" t="n">
        <v>0</v>
      </c>
      <c r="J6951" t="n">
        <v>0</v>
      </c>
      <c r="K6951" t="n">
        <v>0</v>
      </c>
      <c r="L6951" t="n">
        <v>0</v>
      </c>
      <c r="M6951" t="n">
        <v>0</v>
      </c>
      <c r="N6951" t="n">
        <v>0</v>
      </c>
      <c r="O6951" t="n">
        <v>0</v>
      </c>
      <c r="P6951" t="n">
        <v>0</v>
      </c>
      <c r="Q6951" t="n">
        <v>0</v>
      </c>
      <c r="R6951" s="2" t="inlineStr"/>
    </row>
    <row r="6952" ht="15" customHeight="1">
      <c r="A6952" t="inlineStr">
        <is>
          <t>A 21715-2023</t>
        </is>
      </c>
      <c r="B6952" s="1" t="n">
        <v>45065</v>
      </c>
      <c r="C6952" s="1" t="n">
        <v>45587</v>
      </c>
      <c r="D6952" t="inlineStr">
        <is>
          <t>GÄVLEBORGS LÄN</t>
        </is>
      </c>
      <c r="E6952" t="inlineStr">
        <is>
          <t>HUDIKSVALL</t>
        </is>
      </c>
      <c r="F6952" t="inlineStr">
        <is>
          <t>Holmen skog AB</t>
        </is>
      </c>
      <c r="G6952" t="n">
        <v>6.5</v>
      </c>
      <c r="H6952" t="n">
        <v>0</v>
      </c>
      <c r="I6952" t="n">
        <v>0</v>
      </c>
      <c r="J6952" t="n">
        <v>0</v>
      </c>
      <c r="K6952" t="n">
        <v>0</v>
      </c>
      <c r="L6952" t="n">
        <v>0</v>
      </c>
      <c r="M6952" t="n">
        <v>0</v>
      </c>
      <c r="N6952" t="n">
        <v>0</v>
      </c>
      <c r="O6952" t="n">
        <v>0</v>
      </c>
      <c r="P6952" t="n">
        <v>0</v>
      </c>
      <c r="Q6952" t="n">
        <v>0</v>
      </c>
      <c r="R6952" s="2" t="inlineStr"/>
    </row>
    <row r="6953" ht="15" customHeight="1">
      <c r="A6953" t="inlineStr">
        <is>
          <t>A 21742-2023</t>
        </is>
      </c>
      <c r="B6953" s="1" t="n">
        <v>45065</v>
      </c>
      <c r="C6953" s="1" t="n">
        <v>45587</v>
      </c>
      <c r="D6953" t="inlineStr">
        <is>
          <t>GÄVLEBORGS LÄN</t>
        </is>
      </c>
      <c r="E6953" t="inlineStr">
        <is>
          <t>LJUSDAL</t>
        </is>
      </c>
      <c r="F6953" t="inlineStr">
        <is>
          <t>Allmännings- och besparingsskogar</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21746-2023</t>
        </is>
      </c>
      <c r="B6954" s="1" t="n">
        <v>45065</v>
      </c>
      <c r="C6954" s="1" t="n">
        <v>45587</v>
      </c>
      <c r="D6954" t="inlineStr">
        <is>
          <t>GÄVLEBORGS LÄN</t>
        </is>
      </c>
      <c r="E6954" t="inlineStr">
        <is>
          <t>SÖDERHAMN</t>
        </is>
      </c>
      <c r="G6954" t="n">
        <v>5.2</v>
      </c>
      <c r="H6954" t="n">
        <v>0</v>
      </c>
      <c r="I6954" t="n">
        <v>0</v>
      </c>
      <c r="J6954" t="n">
        <v>0</v>
      </c>
      <c r="K6954" t="n">
        <v>0</v>
      </c>
      <c r="L6954" t="n">
        <v>0</v>
      </c>
      <c r="M6954" t="n">
        <v>0</v>
      </c>
      <c r="N6954" t="n">
        <v>0</v>
      </c>
      <c r="O6954" t="n">
        <v>0</v>
      </c>
      <c r="P6954" t="n">
        <v>0</v>
      </c>
      <c r="Q6954" t="n">
        <v>0</v>
      </c>
      <c r="R6954" s="2" t="inlineStr"/>
    </row>
    <row r="6955" ht="15" customHeight="1">
      <c r="A6955" t="inlineStr">
        <is>
          <t>A 21747-2023</t>
        </is>
      </c>
      <c r="B6955" s="1" t="n">
        <v>45065</v>
      </c>
      <c r="C6955" s="1" t="n">
        <v>45587</v>
      </c>
      <c r="D6955" t="inlineStr">
        <is>
          <t>GÄVLEBORGS LÄN</t>
        </is>
      </c>
      <c r="E6955" t="inlineStr">
        <is>
          <t>SÖDERHAMN</t>
        </is>
      </c>
      <c r="G6955" t="n">
        <v>3.7</v>
      </c>
      <c r="H6955" t="n">
        <v>0</v>
      </c>
      <c r="I6955" t="n">
        <v>0</v>
      </c>
      <c r="J6955" t="n">
        <v>0</v>
      </c>
      <c r="K6955" t="n">
        <v>0</v>
      </c>
      <c r="L6955" t="n">
        <v>0</v>
      </c>
      <c r="M6955" t="n">
        <v>0</v>
      </c>
      <c r="N6955" t="n">
        <v>0</v>
      </c>
      <c r="O6955" t="n">
        <v>0</v>
      </c>
      <c r="P6955" t="n">
        <v>0</v>
      </c>
      <c r="Q6955" t="n">
        <v>0</v>
      </c>
      <c r="R6955" s="2" t="inlineStr"/>
    </row>
    <row r="6956" ht="15" customHeight="1">
      <c r="A6956" t="inlineStr">
        <is>
          <t>A 21774-2023</t>
        </is>
      </c>
      <c r="B6956" s="1" t="n">
        <v>45066</v>
      </c>
      <c r="C6956" s="1" t="n">
        <v>45587</v>
      </c>
      <c r="D6956" t="inlineStr">
        <is>
          <t>GÄVLEBORGS LÄN</t>
        </is>
      </c>
      <c r="E6956" t="inlineStr">
        <is>
          <t>HUDIKSVALL</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21773-2023</t>
        </is>
      </c>
      <c r="B6957" s="1" t="n">
        <v>45066</v>
      </c>
      <c r="C6957" s="1" t="n">
        <v>45587</v>
      </c>
      <c r="D6957" t="inlineStr">
        <is>
          <t>GÄVLEBORGS LÄN</t>
        </is>
      </c>
      <c r="E6957" t="inlineStr">
        <is>
          <t>HUDIKSVALL</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21772-2023</t>
        </is>
      </c>
      <c r="B6958" s="1" t="n">
        <v>45066</v>
      </c>
      <c r="C6958" s="1" t="n">
        <v>45587</v>
      </c>
      <c r="D6958" t="inlineStr">
        <is>
          <t>GÄVLEBORGS LÄN</t>
        </is>
      </c>
      <c r="E6958" t="inlineStr">
        <is>
          <t>HUDIKSVALL</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21802-2023</t>
        </is>
      </c>
      <c r="B6959" s="1" t="n">
        <v>45067</v>
      </c>
      <c r="C6959" s="1" t="n">
        <v>45587</v>
      </c>
      <c r="D6959" t="inlineStr">
        <is>
          <t>GÄVLEBORGS LÄN</t>
        </is>
      </c>
      <c r="E6959" t="inlineStr">
        <is>
          <t>OVANÅKER</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21803-2023</t>
        </is>
      </c>
      <c r="B6960" s="1" t="n">
        <v>45068</v>
      </c>
      <c r="C6960" s="1" t="n">
        <v>45587</v>
      </c>
      <c r="D6960" t="inlineStr">
        <is>
          <t>GÄVLEBORGS LÄN</t>
        </is>
      </c>
      <c r="E6960" t="inlineStr">
        <is>
          <t>OVANÅKER</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21856-2023</t>
        </is>
      </c>
      <c r="B6961" s="1" t="n">
        <v>45068</v>
      </c>
      <c r="C6961" s="1" t="n">
        <v>45587</v>
      </c>
      <c r="D6961" t="inlineStr">
        <is>
          <t>GÄVLEBORGS LÄN</t>
        </is>
      </c>
      <c r="E6961" t="inlineStr">
        <is>
          <t>OCKELBO</t>
        </is>
      </c>
      <c r="F6961" t="inlineStr">
        <is>
          <t>Bergvik skog väst AB</t>
        </is>
      </c>
      <c r="G6961" t="n">
        <v>5.2</v>
      </c>
      <c r="H6961" t="n">
        <v>0</v>
      </c>
      <c r="I6961" t="n">
        <v>0</v>
      </c>
      <c r="J6961" t="n">
        <v>0</v>
      </c>
      <c r="K6961" t="n">
        <v>0</v>
      </c>
      <c r="L6961" t="n">
        <v>0</v>
      </c>
      <c r="M6961" t="n">
        <v>0</v>
      </c>
      <c r="N6961" t="n">
        <v>0</v>
      </c>
      <c r="O6961" t="n">
        <v>0</v>
      </c>
      <c r="P6961" t="n">
        <v>0</v>
      </c>
      <c r="Q6961" t="n">
        <v>0</v>
      </c>
      <c r="R6961" s="2" t="inlineStr"/>
    </row>
    <row r="6962" ht="15" customHeight="1">
      <c r="A6962" t="inlineStr">
        <is>
          <t>A 21884-2023</t>
        </is>
      </c>
      <c r="B6962" s="1" t="n">
        <v>45068</v>
      </c>
      <c r="C6962" s="1" t="n">
        <v>45587</v>
      </c>
      <c r="D6962" t="inlineStr">
        <is>
          <t>GÄVLEBORGS LÄN</t>
        </is>
      </c>
      <c r="E6962" t="inlineStr">
        <is>
          <t>OCKELBO</t>
        </is>
      </c>
      <c r="F6962" t="inlineStr">
        <is>
          <t>Bergvik skog väst AB</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21819-2023</t>
        </is>
      </c>
      <c r="B6963" s="1" t="n">
        <v>45068</v>
      </c>
      <c r="C6963" s="1" t="n">
        <v>45587</v>
      </c>
      <c r="D6963" t="inlineStr">
        <is>
          <t>GÄVLEBORGS LÄN</t>
        </is>
      </c>
      <c r="E6963" t="inlineStr">
        <is>
          <t>HUDIKSVALL</t>
        </is>
      </c>
      <c r="F6963" t="inlineStr">
        <is>
          <t>Holmen skog AB</t>
        </is>
      </c>
      <c r="G6963" t="n">
        <v>4.6</v>
      </c>
      <c r="H6963" t="n">
        <v>0</v>
      </c>
      <c r="I6963" t="n">
        <v>0</v>
      </c>
      <c r="J6963" t="n">
        <v>0</v>
      </c>
      <c r="K6963" t="n">
        <v>0</v>
      </c>
      <c r="L6963" t="n">
        <v>0</v>
      </c>
      <c r="M6963" t="n">
        <v>0</v>
      </c>
      <c r="N6963" t="n">
        <v>0</v>
      </c>
      <c r="O6963" t="n">
        <v>0</v>
      </c>
      <c r="P6963" t="n">
        <v>0</v>
      </c>
      <c r="Q6963" t="n">
        <v>0</v>
      </c>
      <c r="R6963" s="2" t="inlineStr"/>
    </row>
    <row r="6964" ht="15" customHeight="1">
      <c r="A6964" t="inlineStr">
        <is>
          <t>A 21816-2023</t>
        </is>
      </c>
      <c r="B6964" s="1" t="n">
        <v>45068</v>
      </c>
      <c r="C6964" s="1" t="n">
        <v>45587</v>
      </c>
      <c r="D6964" t="inlineStr">
        <is>
          <t>GÄVLEBORGS LÄN</t>
        </is>
      </c>
      <c r="E6964" t="inlineStr">
        <is>
          <t>LJUSDAL</t>
        </is>
      </c>
      <c r="F6964" t="inlineStr">
        <is>
          <t>Bergvik skog väst AB</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21855-2023</t>
        </is>
      </c>
      <c r="B6965" s="1" t="n">
        <v>45068</v>
      </c>
      <c r="C6965" s="1" t="n">
        <v>45587</v>
      </c>
      <c r="D6965" t="inlineStr">
        <is>
          <t>GÄVLEBORGS LÄN</t>
        </is>
      </c>
      <c r="E6965" t="inlineStr">
        <is>
          <t>SÖDERHAMN</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21981-2023</t>
        </is>
      </c>
      <c r="B6966" s="1" t="n">
        <v>45068</v>
      </c>
      <c r="C6966" s="1" t="n">
        <v>45587</v>
      </c>
      <c r="D6966" t="inlineStr">
        <is>
          <t>GÄVLEBORGS LÄN</t>
        </is>
      </c>
      <c r="E6966" t="inlineStr">
        <is>
          <t>NORDANSTIG</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21878-2023</t>
        </is>
      </c>
      <c r="B6967" s="1" t="n">
        <v>45068</v>
      </c>
      <c r="C6967" s="1" t="n">
        <v>45587</v>
      </c>
      <c r="D6967" t="inlineStr">
        <is>
          <t>GÄVLEBORGS LÄN</t>
        </is>
      </c>
      <c r="E6967" t="inlineStr">
        <is>
          <t>OCKELBO</t>
        </is>
      </c>
      <c r="F6967" t="inlineStr">
        <is>
          <t>Bergvik skog väst AB</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21914-2023</t>
        </is>
      </c>
      <c r="B6968" s="1" t="n">
        <v>45068</v>
      </c>
      <c r="C6968" s="1" t="n">
        <v>45587</v>
      </c>
      <c r="D6968" t="inlineStr">
        <is>
          <t>GÄVLEBORGS LÄN</t>
        </is>
      </c>
      <c r="E6968" t="inlineStr">
        <is>
          <t>LJUSDAL</t>
        </is>
      </c>
      <c r="F6968" t="inlineStr">
        <is>
          <t>Allmännings- och besparingsskogar</t>
        </is>
      </c>
      <c r="G6968" t="n">
        <v>17.3</v>
      </c>
      <c r="H6968" t="n">
        <v>0</v>
      </c>
      <c r="I6968" t="n">
        <v>0</v>
      </c>
      <c r="J6968" t="n">
        <v>0</v>
      </c>
      <c r="K6968" t="n">
        <v>0</v>
      </c>
      <c r="L6968" t="n">
        <v>0</v>
      </c>
      <c r="M6968" t="n">
        <v>0</v>
      </c>
      <c r="N6968" t="n">
        <v>0</v>
      </c>
      <c r="O6968" t="n">
        <v>0</v>
      </c>
      <c r="P6968" t="n">
        <v>0</v>
      </c>
      <c r="Q6968" t="n">
        <v>0</v>
      </c>
      <c r="R6968" s="2" t="inlineStr"/>
    </row>
    <row r="6969" ht="15" customHeight="1">
      <c r="A6969" t="inlineStr">
        <is>
          <t>A 21900-2023</t>
        </is>
      </c>
      <c r="B6969" s="1" t="n">
        <v>45068</v>
      </c>
      <c r="C6969" s="1" t="n">
        <v>45587</v>
      </c>
      <c r="D6969" t="inlineStr">
        <is>
          <t>GÄVLEBORGS LÄN</t>
        </is>
      </c>
      <c r="E6969" t="inlineStr">
        <is>
          <t>OCKELBO</t>
        </is>
      </c>
      <c r="F6969" t="inlineStr">
        <is>
          <t>Bergvik skog väst AB</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21966-2023</t>
        </is>
      </c>
      <c r="B6970" s="1" t="n">
        <v>45068</v>
      </c>
      <c r="C6970" s="1" t="n">
        <v>45587</v>
      </c>
      <c r="D6970" t="inlineStr">
        <is>
          <t>GÄVLEBORGS LÄN</t>
        </is>
      </c>
      <c r="E6970" t="inlineStr">
        <is>
          <t>HUDIKSVALL</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22004-2023</t>
        </is>
      </c>
      <c r="B6971" s="1" t="n">
        <v>45069</v>
      </c>
      <c r="C6971" s="1" t="n">
        <v>45587</v>
      </c>
      <c r="D6971" t="inlineStr">
        <is>
          <t>GÄVLEBORGS LÄN</t>
        </is>
      </c>
      <c r="E6971" t="inlineStr">
        <is>
          <t>NORDANSTIG</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21880-2023</t>
        </is>
      </c>
      <c r="B6972" s="1" t="n">
        <v>45068</v>
      </c>
      <c r="C6972" s="1" t="n">
        <v>45587</v>
      </c>
      <c r="D6972" t="inlineStr">
        <is>
          <t>GÄVLEBORGS LÄN</t>
        </is>
      </c>
      <c r="E6972" t="inlineStr">
        <is>
          <t>HUDIKSVALL</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21932-2023</t>
        </is>
      </c>
      <c r="B6973" s="1" t="n">
        <v>45068</v>
      </c>
      <c r="C6973" s="1" t="n">
        <v>45587</v>
      </c>
      <c r="D6973" t="inlineStr">
        <is>
          <t>GÄVLEBORGS LÄN</t>
        </is>
      </c>
      <c r="E6973" t="inlineStr">
        <is>
          <t>OVANÅKER</t>
        </is>
      </c>
      <c r="F6973" t="inlineStr">
        <is>
          <t>Bergvik skog väst AB</t>
        </is>
      </c>
      <c r="G6973" t="n">
        <v>9.199999999999999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21945-2023</t>
        </is>
      </c>
      <c r="B6974" s="1" t="n">
        <v>45068</v>
      </c>
      <c r="C6974" s="1" t="n">
        <v>45587</v>
      </c>
      <c r="D6974" t="inlineStr">
        <is>
          <t>GÄVLEBORGS LÄN</t>
        </is>
      </c>
      <c r="E6974" t="inlineStr">
        <is>
          <t>SÖDERHAMN</t>
        </is>
      </c>
      <c r="F6974" t="inlineStr">
        <is>
          <t>Bergvik skog väst AB</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21982-2023</t>
        </is>
      </c>
      <c r="B6975" s="1" t="n">
        <v>45068</v>
      </c>
      <c r="C6975" s="1" t="n">
        <v>45587</v>
      </c>
      <c r="D6975" t="inlineStr">
        <is>
          <t>GÄVLEBORGS LÄN</t>
        </is>
      </c>
      <c r="E6975" t="inlineStr">
        <is>
          <t>HUDIKSVALL</t>
        </is>
      </c>
      <c r="F6975" t="inlineStr">
        <is>
          <t>Holmen skog AB</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21999-2023</t>
        </is>
      </c>
      <c r="B6976" s="1" t="n">
        <v>45069</v>
      </c>
      <c r="C6976" s="1" t="n">
        <v>45587</v>
      </c>
      <c r="D6976" t="inlineStr">
        <is>
          <t>GÄVLEBORGS LÄN</t>
        </is>
      </c>
      <c r="E6976" t="inlineStr">
        <is>
          <t>NORDANSTIG</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22150-2023</t>
        </is>
      </c>
      <c r="B6977" s="1" t="n">
        <v>45069</v>
      </c>
      <c r="C6977" s="1" t="n">
        <v>45587</v>
      </c>
      <c r="D6977" t="inlineStr">
        <is>
          <t>GÄVLEBORGS LÄN</t>
        </is>
      </c>
      <c r="E6977" t="inlineStr">
        <is>
          <t>OVANÅKER</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22214-2023</t>
        </is>
      </c>
      <c r="B6978" s="1" t="n">
        <v>45069</v>
      </c>
      <c r="C6978" s="1" t="n">
        <v>45587</v>
      </c>
      <c r="D6978" t="inlineStr">
        <is>
          <t>GÄVLEBORGS LÄN</t>
        </is>
      </c>
      <c r="E6978" t="inlineStr">
        <is>
          <t>SÖDERHAMN</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22066-2023</t>
        </is>
      </c>
      <c r="B6979" s="1" t="n">
        <v>45069</v>
      </c>
      <c r="C6979" s="1" t="n">
        <v>45587</v>
      </c>
      <c r="D6979" t="inlineStr">
        <is>
          <t>GÄVLEBORGS LÄN</t>
        </is>
      </c>
      <c r="E6979" t="inlineStr">
        <is>
          <t>LJUSDAL</t>
        </is>
      </c>
      <c r="F6979" t="inlineStr">
        <is>
          <t>Allmännings- och besparingsskogar</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22070-2023</t>
        </is>
      </c>
      <c r="B6980" s="1" t="n">
        <v>45069</v>
      </c>
      <c r="C6980" s="1" t="n">
        <v>45587</v>
      </c>
      <c r="D6980" t="inlineStr">
        <is>
          <t>GÄVLEBORGS LÄN</t>
        </is>
      </c>
      <c r="E6980" t="inlineStr">
        <is>
          <t>SANDVIKEN</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22106-2023</t>
        </is>
      </c>
      <c r="B6981" s="1" t="n">
        <v>45069</v>
      </c>
      <c r="C6981" s="1" t="n">
        <v>45587</v>
      </c>
      <c r="D6981" t="inlineStr">
        <is>
          <t>GÄVLEBORGS LÄN</t>
        </is>
      </c>
      <c r="E6981" t="inlineStr">
        <is>
          <t>GÄVLE</t>
        </is>
      </c>
      <c r="G6981" t="n">
        <v>4.8</v>
      </c>
      <c r="H6981" t="n">
        <v>0</v>
      </c>
      <c r="I6981" t="n">
        <v>0</v>
      </c>
      <c r="J6981" t="n">
        <v>0</v>
      </c>
      <c r="K6981" t="n">
        <v>0</v>
      </c>
      <c r="L6981" t="n">
        <v>0</v>
      </c>
      <c r="M6981" t="n">
        <v>0</v>
      </c>
      <c r="N6981" t="n">
        <v>0</v>
      </c>
      <c r="O6981" t="n">
        <v>0</v>
      </c>
      <c r="P6981" t="n">
        <v>0</v>
      </c>
      <c r="Q6981" t="n">
        <v>0</v>
      </c>
      <c r="R6981" s="2" t="inlineStr"/>
    </row>
    <row r="6982" ht="15" customHeight="1">
      <c r="A6982" t="inlineStr">
        <is>
          <t>A 22129-2023</t>
        </is>
      </c>
      <c r="B6982" s="1" t="n">
        <v>45069</v>
      </c>
      <c r="C6982" s="1" t="n">
        <v>45587</v>
      </c>
      <c r="D6982" t="inlineStr">
        <is>
          <t>GÄVLEBORGS LÄN</t>
        </is>
      </c>
      <c r="E6982" t="inlineStr">
        <is>
          <t>HOFORS</t>
        </is>
      </c>
      <c r="F6982" t="inlineStr">
        <is>
          <t>Sveaskog</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22130-2023</t>
        </is>
      </c>
      <c r="B6983" s="1" t="n">
        <v>45069</v>
      </c>
      <c r="C6983" s="1" t="n">
        <v>45587</v>
      </c>
      <c r="D6983" t="inlineStr">
        <is>
          <t>GÄVLEBORGS LÄN</t>
        </is>
      </c>
      <c r="E6983" t="inlineStr">
        <is>
          <t>HUDIKSVALL</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22148-2023</t>
        </is>
      </c>
      <c r="B6984" s="1" t="n">
        <v>45069</v>
      </c>
      <c r="C6984" s="1" t="n">
        <v>45587</v>
      </c>
      <c r="D6984" t="inlineStr">
        <is>
          <t>GÄVLEBORGS LÄN</t>
        </is>
      </c>
      <c r="E6984" t="inlineStr">
        <is>
          <t>BOLLNÄS</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22163-2023</t>
        </is>
      </c>
      <c r="B6985" s="1" t="n">
        <v>45069</v>
      </c>
      <c r="C6985" s="1" t="n">
        <v>45587</v>
      </c>
      <c r="D6985" t="inlineStr">
        <is>
          <t>GÄVLEBORGS LÄN</t>
        </is>
      </c>
      <c r="E6985" t="inlineStr">
        <is>
          <t>SÖDERHAMN</t>
        </is>
      </c>
      <c r="G6985" t="n">
        <v>4.2</v>
      </c>
      <c r="H6985" t="n">
        <v>0</v>
      </c>
      <c r="I6985" t="n">
        <v>0</v>
      </c>
      <c r="J6985" t="n">
        <v>0</v>
      </c>
      <c r="K6985" t="n">
        <v>0</v>
      </c>
      <c r="L6985" t="n">
        <v>0</v>
      </c>
      <c r="M6985" t="n">
        <v>0</v>
      </c>
      <c r="N6985" t="n">
        <v>0</v>
      </c>
      <c r="O6985" t="n">
        <v>0</v>
      </c>
      <c r="P6985" t="n">
        <v>0</v>
      </c>
      <c r="Q6985" t="n">
        <v>0</v>
      </c>
      <c r="R6985" s="2" t="inlineStr"/>
    </row>
    <row r="6986" ht="15" customHeight="1">
      <c r="A6986" t="inlineStr">
        <is>
          <t>A 22164-2023</t>
        </is>
      </c>
      <c r="B6986" s="1" t="n">
        <v>45069</v>
      </c>
      <c r="C6986" s="1" t="n">
        <v>45587</v>
      </c>
      <c r="D6986" t="inlineStr">
        <is>
          <t>GÄVLEBORGS LÄN</t>
        </is>
      </c>
      <c r="E6986" t="inlineStr">
        <is>
          <t>SÖDERHAMN</t>
        </is>
      </c>
      <c r="G6986" t="n">
        <v>9.1</v>
      </c>
      <c r="H6986" t="n">
        <v>0</v>
      </c>
      <c r="I6986" t="n">
        <v>0</v>
      </c>
      <c r="J6986" t="n">
        <v>0</v>
      </c>
      <c r="K6986" t="n">
        <v>0</v>
      </c>
      <c r="L6986" t="n">
        <v>0</v>
      </c>
      <c r="M6986" t="n">
        <v>0</v>
      </c>
      <c r="N6986" t="n">
        <v>0</v>
      </c>
      <c r="O6986" t="n">
        <v>0</v>
      </c>
      <c r="P6986" t="n">
        <v>0</v>
      </c>
      <c r="Q6986" t="n">
        <v>0</v>
      </c>
      <c r="R6986" s="2" t="inlineStr"/>
    </row>
    <row r="6987" ht="15" customHeight="1">
      <c r="A6987" t="inlineStr">
        <is>
          <t>A 22096-2023</t>
        </is>
      </c>
      <c r="B6987" s="1" t="n">
        <v>45069</v>
      </c>
      <c r="C6987" s="1" t="n">
        <v>45587</v>
      </c>
      <c r="D6987" t="inlineStr">
        <is>
          <t>GÄVLEBORGS LÄN</t>
        </is>
      </c>
      <c r="E6987" t="inlineStr">
        <is>
          <t>LJUSDAL</t>
        </is>
      </c>
      <c r="G6987" t="n">
        <v>9.699999999999999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22221-2023</t>
        </is>
      </c>
      <c r="B6988" s="1" t="n">
        <v>45070</v>
      </c>
      <c r="C6988" s="1" t="n">
        <v>45587</v>
      </c>
      <c r="D6988" t="inlineStr">
        <is>
          <t>GÄVLEBORGS LÄN</t>
        </is>
      </c>
      <c r="E6988" t="inlineStr">
        <is>
          <t>LJUSDAL</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22179-2023</t>
        </is>
      </c>
      <c r="B6989" s="1" t="n">
        <v>45069</v>
      </c>
      <c r="C6989" s="1" t="n">
        <v>45587</v>
      </c>
      <c r="D6989" t="inlineStr">
        <is>
          <t>GÄVLEBORGS LÄN</t>
        </is>
      </c>
      <c r="E6989" t="inlineStr">
        <is>
          <t>OCKELBO</t>
        </is>
      </c>
      <c r="G6989" t="n">
        <v>6.7</v>
      </c>
      <c r="H6989" t="n">
        <v>0</v>
      </c>
      <c r="I6989" t="n">
        <v>0</v>
      </c>
      <c r="J6989" t="n">
        <v>0</v>
      </c>
      <c r="K6989" t="n">
        <v>0</v>
      </c>
      <c r="L6989" t="n">
        <v>0</v>
      </c>
      <c r="M6989" t="n">
        <v>0</v>
      </c>
      <c r="N6989" t="n">
        <v>0</v>
      </c>
      <c r="O6989" t="n">
        <v>0</v>
      </c>
      <c r="P6989" t="n">
        <v>0</v>
      </c>
      <c r="Q6989" t="n">
        <v>0</v>
      </c>
      <c r="R6989" s="2" t="inlineStr"/>
    </row>
    <row r="6990" ht="15" customHeight="1">
      <c r="A6990" t="inlineStr">
        <is>
          <t>A 22213-2023</t>
        </is>
      </c>
      <c r="B6990" s="1" t="n">
        <v>45069</v>
      </c>
      <c r="C6990" s="1" t="n">
        <v>45587</v>
      </c>
      <c r="D6990" t="inlineStr">
        <is>
          <t>GÄVLEBORGS LÄN</t>
        </is>
      </c>
      <c r="E6990" t="inlineStr">
        <is>
          <t>SÖDERHAMN</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22212-2023</t>
        </is>
      </c>
      <c r="B6991" s="1" t="n">
        <v>45069</v>
      </c>
      <c r="C6991" s="1" t="n">
        <v>45587</v>
      </c>
      <c r="D6991" t="inlineStr">
        <is>
          <t>GÄVLEBORGS LÄN</t>
        </is>
      </c>
      <c r="E6991" t="inlineStr">
        <is>
          <t>SÖDERHAMN</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22042-2023</t>
        </is>
      </c>
      <c r="B6992" s="1" t="n">
        <v>45069</v>
      </c>
      <c r="C6992" s="1" t="n">
        <v>45587</v>
      </c>
      <c r="D6992" t="inlineStr">
        <is>
          <t>GÄVLEBORGS LÄN</t>
        </is>
      </c>
      <c r="E6992" t="inlineStr">
        <is>
          <t>SANDVIKEN</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22039-2023</t>
        </is>
      </c>
      <c r="B6993" s="1" t="n">
        <v>45069</v>
      </c>
      <c r="C6993" s="1" t="n">
        <v>45587</v>
      </c>
      <c r="D6993" t="inlineStr">
        <is>
          <t>GÄVLEBORGS LÄN</t>
        </is>
      </c>
      <c r="E6993" t="inlineStr">
        <is>
          <t>LJUSDAL</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22041-2023</t>
        </is>
      </c>
      <c r="B6994" s="1" t="n">
        <v>45069</v>
      </c>
      <c r="C6994" s="1" t="n">
        <v>45587</v>
      </c>
      <c r="D6994" t="inlineStr">
        <is>
          <t>GÄVLEBORGS LÄN</t>
        </is>
      </c>
      <c r="E6994" t="inlineStr">
        <is>
          <t>OCKELBO</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22250-2023</t>
        </is>
      </c>
      <c r="B6995" s="1" t="n">
        <v>45070</v>
      </c>
      <c r="C6995" s="1" t="n">
        <v>45587</v>
      </c>
      <c r="D6995" t="inlineStr">
        <is>
          <t>GÄVLEBORGS LÄN</t>
        </is>
      </c>
      <c r="E6995" t="inlineStr">
        <is>
          <t>LJUSDAL</t>
        </is>
      </c>
      <c r="F6995" t="inlineStr">
        <is>
          <t>Sveaskog</t>
        </is>
      </c>
      <c r="G6995" t="n">
        <v>29.7</v>
      </c>
      <c r="H6995" t="n">
        <v>0</v>
      </c>
      <c r="I6995" t="n">
        <v>0</v>
      </c>
      <c r="J6995" t="n">
        <v>0</v>
      </c>
      <c r="K6995" t="n">
        <v>0</v>
      </c>
      <c r="L6995" t="n">
        <v>0</v>
      </c>
      <c r="M6995" t="n">
        <v>0</v>
      </c>
      <c r="N6995" t="n">
        <v>0</v>
      </c>
      <c r="O6995" t="n">
        <v>0</v>
      </c>
      <c r="P6995" t="n">
        <v>0</v>
      </c>
      <c r="Q6995" t="n">
        <v>0</v>
      </c>
      <c r="R6995" s="2" t="inlineStr"/>
    </row>
    <row r="6996" ht="15" customHeight="1">
      <c r="A6996" t="inlineStr">
        <is>
          <t>A 22317-2023</t>
        </is>
      </c>
      <c r="B6996" s="1" t="n">
        <v>45070</v>
      </c>
      <c r="C6996" s="1" t="n">
        <v>45587</v>
      </c>
      <c r="D6996" t="inlineStr">
        <is>
          <t>GÄVLEBORGS LÄN</t>
        </is>
      </c>
      <c r="E6996" t="inlineStr">
        <is>
          <t>LJUSDAL</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22343-2023</t>
        </is>
      </c>
      <c r="B6997" s="1" t="n">
        <v>45070</v>
      </c>
      <c r="C6997" s="1" t="n">
        <v>45587</v>
      </c>
      <c r="D6997" t="inlineStr">
        <is>
          <t>GÄVLEBORGS LÄN</t>
        </is>
      </c>
      <c r="E6997" t="inlineStr">
        <is>
          <t>LJUSDAL</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22372-2023</t>
        </is>
      </c>
      <c r="B6998" s="1" t="n">
        <v>45070</v>
      </c>
      <c r="C6998" s="1" t="n">
        <v>45587</v>
      </c>
      <c r="D6998" t="inlineStr">
        <is>
          <t>GÄVLEBORGS LÄN</t>
        </is>
      </c>
      <c r="E6998" t="inlineStr">
        <is>
          <t>HUDIKSVALL</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22377-2023</t>
        </is>
      </c>
      <c r="B6999" s="1" t="n">
        <v>45070</v>
      </c>
      <c r="C6999" s="1" t="n">
        <v>45587</v>
      </c>
      <c r="D6999" t="inlineStr">
        <is>
          <t>GÄVLEBORGS LÄN</t>
        </is>
      </c>
      <c r="E6999" t="inlineStr">
        <is>
          <t>HUDIKSVALL</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22238-2023</t>
        </is>
      </c>
      <c r="B7000" s="1" t="n">
        <v>45070</v>
      </c>
      <c r="C7000" s="1" t="n">
        <v>45587</v>
      </c>
      <c r="D7000" t="inlineStr">
        <is>
          <t>GÄVLEBORGS LÄN</t>
        </is>
      </c>
      <c r="E7000" t="inlineStr">
        <is>
          <t>SANDVIKEN</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22251-2023</t>
        </is>
      </c>
      <c r="B7001" s="1" t="n">
        <v>45070</v>
      </c>
      <c r="C7001" s="1" t="n">
        <v>45587</v>
      </c>
      <c r="D7001" t="inlineStr">
        <is>
          <t>GÄVLEBORGS LÄN</t>
        </is>
      </c>
      <c r="E7001" t="inlineStr">
        <is>
          <t>LJUSDAL</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22252-2023</t>
        </is>
      </c>
      <c r="B7002" s="1" t="n">
        <v>45070</v>
      </c>
      <c r="C7002" s="1" t="n">
        <v>45587</v>
      </c>
      <c r="D7002" t="inlineStr">
        <is>
          <t>GÄVLEBORGS LÄN</t>
        </is>
      </c>
      <c r="E7002" t="inlineStr">
        <is>
          <t>LJUSDAL</t>
        </is>
      </c>
      <c r="F7002" t="inlineStr">
        <is>
          <t>Sveaskog</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22302-2023</t>
        </is>
      </c>
      <c r="B7003" s="1" t="n">
        <v>45070</v>
      </c>
      <c r="C7003" s="1" t="n">
        <v>45587</v>
      </c>
      <c r="D7003" t="inlineStr">
        <is>
          <t>GÄVLEBORGS LÄN</t>
        </is>
      </c>
      <c r="E7003" t="inlineStr">
        <is>
          <t>OVANÅKER</t>
        </is>
      </c>
      <c r="F7003" t="inlineStr">
        <is>
          <t>Bergvik skog väst AB</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22349-2023</t>
        </is>
      </c>
      <c r="B7004" s="1" t="n">
        <v>45070</v>
      </c>
      <c r="C7004" s="1" t="n">
        <v>45587</v>
      </c>
      <c r="D7004" t="inlineStr">
        <is>
          <t>GÄVLEBORGS LÄN</t>
        </is>
      </c>
      <c r="E7004" t="inlineStr">
        <is>
          <t>HUDIKSVALL</t>
        </is>
      </c>
      <c r="F7004" t="inlineStr">
        <is>
          <t>Holmen skog AB</t>
        </is>
      </c>
      <c r="G7004" t="n">
        <v>15.9</v>
      </c>
      <c r="H7004" t="n">
        <v>0</v>
      </c>
      <c r="I7004" t="n">
        <v>0</v>
      </c>
      <c r="J7004" t="n">
        <v>0</v>
      </c>
      <c r="K7004" t="n">
        <v>0</v>
      </c>
      <c r="L7004" t="n">
        <v>0</v>
      </c>
      <c r="M7004" t="n">
        <v>0</v>
      </c>
      <c r="N7004" t="n">
        <v>0</v>
      </c>
      <c r="O7004" t="n">
        <v>0</v>
      </c>
      <c r="P7004" t="n">
        <v>0</v>
      </c>
      <c r="Q7004" t="n">
        <v>0</v>
      </c>
      <c r="R7004" s="2" t="inlineStr"/>
    </row>
    <row r="7005" ht="15" customHeight="1">
      <c r="A7005" t="inlineStr">
        <is>
          <t>A 22459-2023</t>
        </is>
      </c>
      <c r="B7005" s="1" t="n">
        <v>45070</v>
      </c>
      <c r="C7005" s="1" t="n">
        <v>45587</v>
      </c>
      <c r="D7005" t="inlineStr">
        <is>
          <t>GÄVLEBORGS LÄN</t>
        </is>
      </c>
      <c r="E7005" t="inlineStr">
        <is>
          <t>NORDANSTIG</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22272-2023</t>
        </is>
      </c>
      <c r="B7006" s="1" t="n">
        <v>45070</v>
      </c>
      <c r="C7006" s="1" t="n">
        <v>45587</v>
      </c>
      <c r="D7006" t="inlineStr">
        <is>
          <t>GÄVLEBORGS LÄN</t>
        </is>
      </c>
      <c r="E7006" t="inlineStr">
        <is>
          <t>OCKELBO</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22276-2023</t>
        </is>
      </c>
      <c r="B7007" s="1" t="n">
        <v>45070</v>
      </c>
      <c r="C7007" s="1" t="n">
        <v>45587</v>
      </c>
      <c r="D7007" t="inlineStr">
        <is>
          <t>GÄVLEBORGS LÄN</t>
        </is>
      </c>
      <c r="E7007" t="inlineStr">
        <is>
          <t>LJUSDAL</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22299-2023</t>
        </is>
      </c>
      <c r="B7008" s="1" t="n">
        <v>45070</v>
      </c>
      <c r="C7008" s="1" t="n">
        <v>45587</v>
      </c>
      <c r="D7008" t="inlineStr">
        <is>
          <t>GÄVLEBORGS LÄN</t>
        </is>
      </c>
      <c r="E7008" t="inlineStr">
        <is>
          <t>OVANÅKER</t>
        </is>
      </c>
      <c r="F7008" t="inlineStr">
        <is>
          <t>Bergvik skog väst AB</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22320-2023</t>
        </is>
      </c>
      <c r="B7009" s="1" t="n">
        <v>45070</v>
      </c>
      <c r="C7009" s="1" t="n">
        <v>45587</v>
      </c>
      <c r="D7009" t="inlineStr">
        <is>
          <t>GÄVLEBORGS LÄN</t>
        </is>
      </c>
      <c r="E7009" t="inlineStr">
        <is>
          <t>NORDANSTIG</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22336-2023</t>
        </is>
      </c>
      <c r="B7010" s="1" t="n">
        <v>45070</v>
      </c>
      <c r="C7010" s="1" t="n">
        <v>45587</v>
      </c>
      <c r="D7010" t="inlineStr">
        <is>
          <t>GÄVLEBORGS LÄN</t>
        </is>
      </c>
      <c r="E7010" t="inlineStr">
        <is>
          <t>OVANÅKER</t>
        </is>
      </c>
      <c r="F7010" t="inlineStr">
        <is>
          <t>Bergvik skog väst AB</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22383-2023</t>
        </is>
      </c>
      <c r="B7011" s="1" t="n">
        <v>45070</v>
      </c>
      <c r="C7011" s="1" t="n">
        <v>45587</v>
      </c>
      <c r="D7011" t="inlineStr">
        <is>
          <t>GÄVLEBORGS LÄN</t>
        </is>
      </c>
      <c r="E7011" t="inlineStr">
        <is>
          <t>SÖDERHAMN</t>
        </is>
      </c>
      <c r="F7011" t="inlineStr">
        <is>
          <t>Bergvik skog väst AB</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22399-2023</t>
        </is>
      </c>
      <c r="B7012" s="1" t="n">
        <v>45070</v>
      </c>
      <c r="C7012" s="1" t="n">
        <v>45587</v>
      </c>
      <c r="D7012" t="inlineStr">
        <is>
          <t>GÄVLEBORGS LÄN</t>
        </is>
      </c>
      <c r="E7012" t="inlineStr">
        <is>
          <t>BOLLNÄS</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22438-2023</t>
        </is>
      </c>
      <c r="B7013" s="1" t="n">
        <v>45070</v>
      </c>
      <c r="C7013" s="1" t="n">
        <v>45587</v>
      </c>
      <c r="D7013" t="inlineStr">
        <is>
          <t>GÄVLEBORGS LÄN</t>
        </is>
      </c>
      <c r="E7013" t="inlineStr">
        <is>
          <t>HUDIKSVALL</t>
        </is>
      </c>
      <c r="G7013" t="n">
        <v>4.8</v>
      </c>
      <c r="H7013" t="n">
        <v>0</v>
      </c>
      <c r="I7013" t="n">
        <v>0</v>
      </c>
      <c r="J7013" t="n">
        <v>0</v>
      </c>
      <c r="K7013" t="n">
        <v>0</v>
      </c>
      <c r="L7013" t="n">
        <v>0</v>
      </c>
      <c r="M7013" t="n">
        <v>0</v>
      </c>
      <c r="N7013" t="n">
        <v>0</v>
      </c>
      <c r="O7013" t="n">
        <v>0</v>
      </c>
      <c r="P7013" t="n">
        <v>0</v>
      </c>
      <c r="Q7013" t="n">
        <v>0</v>
      </c>
      <c r="R7013" s="2" t="inlineStr"/>
    </row>
    <row r="7014" ht="15" customHeight="1">
      <c r="A7014" t="inlineStr">
        <is>
          <t>A 22297-2023</t>
        </is>
      </c>
      <c r="B7014" s="1" t="n">
        <v>45070</v>
      </c>
      <c r="C7014" s="1" t="n">
        <v>45587</v>
      </c>
      <c r="D7014" t="inlineStr">
        <is>
          <t>GÄVLEBORGS LÄN</t>
        </is>
      </c>
      <c r="E7014" t="inlineStr">
        <is>
          <t>HOFORS</t>
        </is>
      </c>
      <c r="G7014" t="n">
        <v>5.9</v>
      </c>
      <c r="H7014" t="n">
        <v>0</v>
      </c>
      <c r="I7014" t="n">
        <v>0</v>
      </c>
      <c r="J7014" t="n">
        <v>0</v>
      </c>
      <c r="K7014" t="n">
        <v>0</v>
      </c>
      <c r="L7014" t="n">
        <v>0</v>
      </c>
      <c r="M7014" t="n">
        <v>0</v>
      </c>
      <c r="N7014" t="n">
        <v>0</v>
      </c>
      <c r="O7014" t="n">
        <v>0</v>
      </c>
      <c r="P7014" t="n">
        <v>0</v>
      </c>
      <c r="Q7014" t="n">
        <v>0</v>
      </c>
      <c r="R7014" s="2" t="inlineStr"/>
    </row>
    <row r="7015" ht="15" customHeight="1">
      <c r="A7015" t="inlineStr">
        <is>
          <t>A 22338-2023</t>
        </is>
      </c>
      <c r="B7015" s="1" t="n">
        <v>45070</v>
      </c>
      <c r="C7015" s="1" t="n">
        <v>45587</v>
      </c>
      <c r="D7015" t="inlineStr">
        <is>
          <t>GÄVLEBORGS LÄN</t>
        </is>
      </c>
      <c r="E7015" t="inlineStr">
        <is>
          <t>LJUSDAL</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22348-2023</t>
        </is>
      </c>
      <c r="B7016" s="1" t="n">
        <v>45070</v>
      </c>
      <c r="C7016" s="1" t="n">
        <v>45587</v>
      </c>
      <c r="D7016" t="inlineStr">
        <is>
          <t>GÄVLEBORGS LÄN</t>
        </is>
      </c>
      <c r="E7016" t="inlineStr">
        <is>
          <t>HUDIKSVALL</t>
        </is>
      </c>
      <c r="F7016" t="inlineStr">
        <is>
          <t>Holmen skog AB</t>
        </is>
      </c>
      <c r="G7016" t="n">
        <v>6.1</v>
      </c>
      <c r="H7016" t="n">
        <v>0</v>
      </c>
      <c r="I7016" t="n">
        <v>0</v>
      </c>
      <c r="J7016" t="n">
        <v>0</v>
      </c>
      <c r="K7016" t="n">
        <v>0</v>
      </c>
      <c r="L7016" t="n">
        <v>0</v>
      </c>
      <c r="M7016" t="n">
        <v>0</v>
      </c>
      <c r="N7016" t="n">
        <v>0</v>
      </c>
      <c r="O7016" t="n">
        <v>0</v>
      </c>
      <c r="P7016" t="n">
        <v>0</v>
      </c>
      <c r="Q7016" t="n">
        <v>0</v>
      </c>
      <c r="R7016" s="2" t="inlineStr"/>
    </row>
    <row r="7017" ht="15" customHeight="1">
      <c r="A7017" t="inlineStr">
        <is>
          <t>A 22373-2023</t>
        </is>
      </c>
      <c r="B7017" s="1" t="n">
        <v>45070</v>
      </c>
      <c r="C7017" s="1" t="n">
        <v>45587</v>
      </c>
      <c r="D7017" t="inlineStr">
        <is>
          <t>GÄVLEBORGS LÄN</t>
        </is>
      </c>
      <c r="E7017" t="inlineStr">
        <is>
          <t>SANDVIKEN</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22385-2023</t>
        </is>
      </c>
      <c r="B7018" s="1" t="n">
        <v>45070</v>
      </c>
      <c r="C7018" s="1" t="n">
        <v>45587</v>
      </c>
      <c r="D7018" t="inlineStr">
        <is>
          <t>GÄVLEBORGS LÄN</t>
        </is>
      </c>
      <c r="E7018" t="inlineStr">
        <is>
          <t>OCKELBO</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22440-2023</t>
        </is>
      </c>
      <c r="B7019" s="1" t="n">
        <v>45070</v>
      </c>
      <c r="C7019" s="1" t="n">
        <v>45587</v>
      </c>
      <c r="D7019" t="inlineStr">
        <is>
          <t>GÄVLEBORGS LÄN</t>
        </is>
      </c>
      <c r="E7019" t="inlineStr">
        <is>
          <t>LJUSDAL</t>
        </is>
      </c>
      <c r="F7019" t="inlineStr">
        <is>
          <t>Holmen skog AB</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22462-2023</t>
        </is>
      </c>
      <c r="B7020" s="1" t="n">
        <v>45070</v>
      </c>
      <c r="C7020" s="1" t="n">
        <v>45587</v>
      </c>
      <c r="D7020" t="inlineStr">
        <is>
          <t>GÄVLEBORGS LÄN</t>
        </is>
      </c>
      <c r="E7020" t="inlineStr">
        <is>
          <t>LJUSDAL</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22466-2023</t>
        </is>
      </c>
      <c r="B7021" s="1" t="n">
        <v>45070</v>
      </c>
      <c r="C7021" s="1" t="n">
        <v>45587</v>
      </c>
      <c r="D7021" t="inlineStr">
        <is>
          <t>GÄVLEBORGS LÄN</t>
        </is>
      </c>
      <c r="E7021" t="inlineStr">
        <is>
          <t>GÄVLE</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22504-2023</t>
        </is>
      </c>
      <c r="B7022" s="1" t="n">
        <v>45071</v>
      </c>
      <c r="C7022" s="1" t="n">
        <v>45587</v>
      </c>
      <c r="D7022" t="inlineStr">
        <is>
          <t>GÄVLEBORGS LÄN</t>
        </is>
      </c>
      <c r="E7022" t="inlineStr">
        <is>
          <t>LJUSDAL</t>
        </is>
      </c>
      <c r="F7022" t="inlineStr">
        <is>
          <t>Holmen skog AB</t>
        </is>
      </c>
      <c r="G7022" t="n">
        <v>5.7</v>
      </c>
      <c r="H7022" t="n">
        <v>0</v>
      </c>
      <c r="I7022" t="n">
        <v>0</v>
      </c>
      <c r="J7022" t="n">
        <v>0</v>
      </c>
      <c r="K7022" t="n">
        <v>0</v>
      </c>
      <c r="L7022" t="n">
        <v>0</v>
      </c>
      <c r="M7022" t="n">
        <v>0</v>
      </c>
      <c r="N7022" t="n">
        <v>0</v>
      </c>
      <c r="O7022" t="n">
        <v>0</v>
      </c>
      <c r="P7022" t="n">
        <v>0</v>
      </c>
      <c r="Q7022" t="n">
        <v>0</v>
      </c>
      <c r="R7022" s="2" t="inlineStr"/>
    </row>
    <row r="7023" ht="15" customHeight="1">
      <c r="A7023" t="inlineStr">
        <is>
          <t>A 22631-2023</t>
        </is>
      </c>
      <c r="B7023" s="1" t="n">
        <v>45071</v>
      </c>
      <c r="C7023" s="1" t="n">
        <v>45587</v>
      </c>
      <c r="D7023" t="inlineStr">
        <is>
          <t>GÄVLEBORGS LÄN</t>
        </is>
      </c>
      <c r="E7023" t="inlineStr">
        <is>
          <t>NORDANSTIG</t>
        </is>
      </c>
      <c r="F7023" t="inlineStr">
        <is>
          <t>Holmen skog AB</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22497-2023</t>
        </is>
      </c>
      <c r="B7024" s="1" t="n">
        <v>45071</v>
      </c>
      <c r="C7024" s="1" t="n">
        <v>45587</v>
      </c>
      <c r="D7024" t="inlineStr">
        <is>
          <t>GÄVLEBORGS LÄN</t>
        </is>
      </c>
      <c r="E7024" t="inlineStr">
        <is>
          <t>SÖDERHAMN</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22588-2023</t>
        </is>
      </c>
      <c r="B7025" s="1" t="n">
        <v>45071</v>
      </c>
      <c r="C7025" s="1" t="n">
        <v>45587</v>
      </c>
      <c r="D7025" t="inlineStr">
        <is>
          <t>GÄVLEBORGS LÄN</t>
        </is>
      </c>
      <c r="E7025" t="inlineStr">
        <is>
          <t>HUDIKSVALL</t>
        </is>
      </c>
      <c r="G7025" t="n">
        <v>8.4</v>
      </c>
      <c r="H7025" t="n">
        <v>0</v>
      </c>
      <c r="I7025" t="n">
        <v>0</v>
      </c>
      <c r="J7025" t="n">
        <v>0</v>
      </c>
      <c r="K7025" t="n">
        <v>0</v>
      </c>
      <c r="L7025" t="n">
        <v>0</v>
      </c>
      <c r="M7025" t="n">
        <v>0</v>
      </c>
      <c r="N7025" t="n">
        <v>0</v>
      </c>
      <c r="O7025" t="n">
        <v>0</v>
      </c>
      <c r="P7025" t="n">
        <v>0</v>
      </c>
      <c r="Q7025" t="n">
        <v>0</v>
      </c>
      <c r="R7025" s="2" t="inlineStr"/>
    </row>
    <row r="7026" ht="15" customHeight="1">
      <c r="A7026" t="inlineStr">
        <is>
          <t>A 22593-2023</t>
        </is>
      </c>
      <c r="B7026" s="1" t="n">
        <v>45071</v>
      </c>
      <c r="C7026" s="1" t="n">
        <v>45587</v>
      </c>
      <c r="D7026" t="inlineStr">
        <is>
          <t>GÄVLEBORGS LÄN</t>
        </is>
      </c>
      <c r="E7026" t="inlineStr">
        <is>
          <t>HUDIKSVALL</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22627-2023</t>
        </is>
      </c>
      <c r="B7027" s="1" t="n">
        <v>45071</v>
      </c>
      <c r="C7027" s="1" t="n">
        <v>45587</v>
      </c>
      <c r="D7027" t="inlineStr">
        <is>
          <t>GÄVLEBORGS LÄN</t>
        </is>
      </c>
      <c r="E7027" t="inlineStr">
        <is>
          <t>LJUSDAL</t>
        </is>
      </c>
      <c r="F7027" t="inlineStr">
        <is>
          <t>Holmen skog AB</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22499-2023</t>
        </is>
      </c>
      <c r="B7028" s="1" t="n">
        <v>45071</v>
      </c>
      <c r="C7028" s="1" t="n">
        <v>45587</v>
      </c>
      <c r="D7028" t="inlineStr">
        <is>
          <t>GÄVLEBORGS LÄN</t>
        </is>
      </c>
      <c r="E7028" t="inlineStr">
        <is>
          <t>OVANÅKER</t>
        </is>
      </c>
      <c r="F7028" t="inlineStr">
        <is>
          <t>Bergvik skog väst AB</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22503-2023</t>
        </is>
      </c>
      <c r="B7029" s="1" t="n">
        <v>45071</v>
      </c>
      <c r="C7029" s="1" t="n">
        <v>45587</v>
      </c>
      <c r="D7029" t="inlineStr">
        <is>
          <t>GÄVLEBORGS LÄN</t>
        </is>
      </c>
      <c r="E7029" t="inlineStr">
        <is>
          <t>SÖDERHAMN</t>
        </is>
      </c>
      <c r="F7029" t="inlineStr">
        <is>
          <t>Bergvik skog väst AB</t>
        </is>
      </c>
      <c r="G7029" t="n">
        <v>4.3</v>
      </c>
      <c r="H7029" t="n">
        <v>0</v>
      </c>
      <c r="I7029" t="n">
        <v>0</v>
      </c>
      <c r="J7029" t="n">
        <v>0</v>
      </c>
      <c r="K7029" t="n">
        <v>0</v>
      </c>
      <c r="L7029" t="n">
        <v>0</v>
      </c>
      <c r="M7029" t="n">
        <v>0</v>
      </c>
      <c r="N7029" t="n">
        <v>0</v>
      </c>
      <c r="O7029" t="n">
        <v>0</v>
      </c>
      <c r="P7029" t="n">
        <v>0</v>
      </c>
      <c r="Q7029" t="n">
        <v>0</v>
      </c>
      <c r="R7029" s="2" t="inlineStr"/>
    </row>
    <row r="7030" ht="15" customHeight="1">
      <c r="A7030" t="inlineStr">
        <is>
          <t>A 22527-2023</t>
        </is>
      </c>
      <c r="B7030" s="1" t="n">
        <v>45071</v>
      </c>
      <c r="C7030" s="1" t="n">
        <v>45587</v>
      </c>
      <c r="D7030" t="inlineStr">
        <is>
          <t>GÄVLEBORGS LÄN</t>
        </is>
      </c>
      <c r="E7030" t="inlineStr">
        <is>
          <t>BOLLNÄS</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22531-2023</t>
        </is>
      </c>
      <c r="B7031" s="1" t="n">
        <v>45071</v>
      </c>
      <c r="C7031" s="1" t="n">
        <v>45587</v>
      </c>
      <c r="D7031" t="inlineStr">
        <is>
          <t>GÄVLEBORGS LÄN</t>
        </is>
      </c>
      <c r="E7031" t="inlineStr">
        <is>
          <t>LJUSDAL</t>
        </is>
      </c>
      <c r="F7031" t="inlineStr">
        <is>
          <t>Holmen skog AB</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22554-2023</t>
        </is>
      </c>
      <c r="B7032" s="1" t="n">
        <v>45071</v>
      </c>
      <c r="C7032" s="1" t="n">
        <v>45587</v>
      </c>
      <c r="D7032" t="inlineStr">
        <is>
          <t>GÄVLEBORGS LÄN</t>
        </is>
      </c>
      <c r="E7032" t="inlineStr">
        <is>
          <t>LJUSDAL</t>
        </is>
      </c>
      <c r="F7032" t="inlineStr">
        <is>
          <t>Allmännings- och besparingsskogar</t>
        </is>
      </c>
      <c r="G7032" t="n">
        <v>7.1</v>
      </c>
      <c r="H7032" t="n">
        <v>0</v>
      </c>
      <c r="I7032" t="n">
        <v>0</v>
      </c>
      <c r="J7032" t="n">
        <v>0</v>
      </c>
      <c r="K7032" t="n">
        <v>0</v>
      </c>
      <c r="L7032" t="n">
        <v>0</v>
      </c>
      <c r="M7032" t="n">
        <v>0</v>
      </c>
      <c r="N7032" t="n">
        <v>0</v>
      </c>
      <c r="O7032" t="n">
        <v>0</v>
      </c>
      <c r="P7032" t="n">
        <v>0</v>
      </c>
      <c r="Q7032" t="n">
        <v>0</v>
      </c>
      <c r="R7032" s="2" t="inlineStr"/>
    </row>
    <row r="7033" ht="15" customHeight="1">
      <c r="A7033" t="inlineStr">
        <is>
          <t>A 22559-2023</t>
        </is>
      </c>
      <c r="B7033" s="1" t="n">
        <v>45071</v>
      </c>
      <c r="C7033" s="1" t="n">
        <v>45587</v>
      </c>
      <c r="D7033" t="inlineStr">
        <is>
          <t>GÄVLEBORGS LÄN</t>
        </is>
      </c>
      <c r="E7033" t="inlineStr">
        <is>
          <t>LJUSDAL</t>
        </is>
      </c>
      <c r="F7033" t="inlineStr">
        <is>
          <t>Holmen skog AB</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22558-2023</t>
        </is>
      </c>
      <c r="B7034" s="1" t="n">
        <v>45071</v>
      </c>
      <c r="C7034" s="1" t="n">
        <v>45587</v>
      </c>
      <c r="D7034" t="inlineStr">
        <is>
          <t>GÄVLEBORGS LÄN</t>
        </is>
      </c>
      <c r="E7034" t="inlineStr">
        <is>
          <t>LJUSDAL</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22575-2023</t>
        </is>
      </c>
      <c r="B7035" s="1" t="n">
        <v>45071</v>
      </c>
      <c r="C7035" s="1" t="n">
        <v>45587</v>
      </c>
      <c r="D7035" t="inlineStr">
        <is>
          <t>GÄVLEBORGS LÄN</t>
        </is>
      </c>
      <c r="E7035" t="inlineStr">
        <is>
          <t>HUDIKSVALL</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22608-2023</t>
        </is>
      </c>
      <c r="B7036" s="1" t="n">
        <v>45071</v>
      </c>
      <c r="C7036" s="1" t="n">
        <v>45587</v>
      </c>
      <c r="D7036" t="inlineStr">
        <is>
          <t>GÄVLEBORGS LÄN</t>
        </is>
      </c>
      <c r="E7036" t="inlineStr">
        <is>
          <t>LJUSDAL</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22620-2023</t>
        </is>
      </c>
      <c r="B7037" s="1" t="n">
        <v>45071</v>
      </c>
      <c r="C7037" s="1" t="n">
        <v>45587</v>
      </c>
      <c r="D7037" t="inlineStr">
        <is>
          <t>GÄVLEBORGS LÄN</t>
        </is>
      </c>
      <c r="E7037" t="inlineStr">
        <is>
          <t>LJUSDAL</t>
        </is>
      </c>
      <c r="F7037" t="inlineStr">
        <is>
          <t>Holmen skog AB</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22678-2023</t>
        </is>
      </c>
      <c r="B7038" s="1" t="n">
        <v>45071</v>
      </c>
      <c r="C7038" s="1" t="n">
        <v>45587</v>
      </c>
      <c r="D7038" t="inlineStr">
        <is>
          <t>GÄVLEBORGS LÄN</t>
        </is>
      </c>
      <c r="E7038" t="inlineStr">
        <is>
          <t>LJUSDAL</t>
        </is>
      </c>
      <c r="G7038" t="n">
        <v>0.1</v>
      </c>
      <c r="H7038" t="n">
        <v>0</v>
      </c>
      <c r="I7038" t="n">
        <v>0</v>
      </c>
      <c r="J7038" t="n">
        <v>0</v>
      </c>
      <c r="K7038" t="n">
        <v>0</v>
      </c>
      <c r="L7038" t="n">
        <v>0</v>
      </c>
      <c r="M7038" t="n">
        <v>0</v>
      </c>
      <c r="N7038" t="n">
        <v>0</v>
      </c>
      <c r="O7038" t="n">
        <v>0</v>
      </c>
      <c r="P7038" t="n">
        <v>0</v>
      </c>
      <c r="Q7038" t="n">
        <v>0</v>
      </c>
      <c r="R7038" s="2" t="inlineStr"/>
    </row>
    <row r="7039" ht="15" customHeight="1">
      <c r="A7039" t="inlineStr">
        <is>
          <t>A 22690-2023</t>
        </is>
      </c>
      <c r="B7039" s="1" t="n">
        <v>45071</v>
      </c>
      <c r="C7039" s="1" t="n">
        <v>45587</v>
      </c>
      <c r="D7039" t="inlineStr">
        <is>
          <t>GÄVLEBORGS LÄN</t>
        </is>
      </c>
      <c r="E7039" t="inlineStr">
        <is>
          <t>SÖDERHAMN</t>
        </is>
      </c>
      <c r="G7039" t="n">
        <v>3.6</v>
      </c>
      <c r="H7039" t="n">
        <v>0</v>
      </c>
      <c r="I7039" t="n">
        <v>0</v>
      </c>
      <c r="J7039" t="n">
        <v>0</v>
      </c>
      <c r="K7039" t="n">
        <v>0</v>
      </c>
      <c r="L7039" t="n">
        <v>0</v>
      </c>
      <c r="M7039" t="n">
        <v>0</v>
      </c>
      <c r="N7039" t="n">
        <v>0</v>
      </c>
      <c r="O7039" t="n">
        <v>0</v>
      </c>
      <c r="P7039" t="n">
        <v>0</v>
      </c>
      <c r="Q7039" t="n">
        <v>0</v>
      </c>
      <c r="R7039" s="2" t="inlineStr"/>
    </row>
    <row r="7040" ht="15" customHeight="1">
      <c r="A7040" t="inlineStr">
        <is>
          <t>A 22720-2023</t>
        </is>
      </c>
      <c r="B7040" s="1" t="n">
        <v>45071</v>
      </c>
      <c r="C7040" s="1" t="n">
        <v>45587</v>
      </c>
      <c r="D7040" t="inlineStr">
        <is>
          <t>GÄVLEBORGS LÄN</t>
        </is>
      </c>
      <c r="E7040" t="inlineStr">
        <is>
          <t>GÄVLE</t>
        </is>
      </c>
      <c r="F7040" t="inlineStr">
        <is>
          <t>Bergvik skog öst AB</t>
        </is>
      </c>
      <c r="G7040" t="n">
        <v>8.199999999999999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22738-2023</t>
        </is>
      </c>
      <c r="B7041" s="1" t="n">
        <v>45072</v>
      </c>
      <c r="C7041" s="1" t="n">
        <v>45587</v>
      </c>
      <c r="D7041" t="inlineStr">
        <is>
          <t>GÄVLEBORGS LÄN</t>
        </is>
      </c>
      <c r="E7041" t="inlineStr">
        <is>
          <t>SÖDERHAMN</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22724-2023</t>
        </is>
      </c>
      <c r="B7042" s="1" t="n">
        <v>45071</v>
      </c>
      <c r="C7042" s="1" t="n">
        <v>45587</v>
      </c>
      <c r="D7042" t="inlineStr">
        <is>
          <t>GÄVLEBORGS LÄN</t>
        </is>
      </c>
      <c r="E7042" t="inlineStr">
        <is>
          <t>GÄVLE</t>
        </is>
      </c>
      <c r="F7042" t="inlineStr">
        <is>
          <t>Bergvik skog öst AB</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22741-2023</t>
        </is>
      </c>
      <c r="B7043" s="1" t="n">
        <v>45072</v>
      </c>
      <c r="C7043" s="1" t="n">
        <v>45587</v>
      </c>
      <c r="D7043" t="inlineStr">
        <is>
          <t>GÄVLEBORGS LÄN</t>
        </is>
      </c>
      <c r="E7043" t="inlineStr">
        <is>
          <t>GÄVLE</t>
        </is>
      </c>
      <c r="F7043" t="inlineStr">
        <is>
          <t>Bergvik skog öst AB</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22727-2023</t>
        </is>
      </c>
      <c r="B7044" s="1" t="n">
        <v>45072</v>
      </c>
      <c r="C7044" s="1" t="n">
        <v>45587</v>
      </c>
      <c r="D7044" t="inlineStr">
        <is>
          <t>GÄVLEBORGS LÄN</t>
        </is>
      </c>
      <c r="E7044" t="inlineStr">
        <is>
          <t>LJUSDAL</t>
        </is>
      </c>
      <c r="G7044" t="n">
        <v>5.9</v>
      </c>
      <c r="H7044" t="n">
        <v>0</v>
      </c>
      <c r="I7044" t="n">
        <v>0</v>
      </c>
      <c r="J7044" t="n">
        <v>0</v>
      </c>
      <c r="K7044" t="n">
        <v>0</v>
      </c>
      <c r="L7044" t="n">
        <v>0</v>
      </c>
      <c r="M7044" t="n">
        <v>0</v>
      </c>
      <c r="N7044" t="n">
        <v>0</v>
      </c>
      <c r="O7044" t="n">
        <v>0</v>
      </c>
      <c r="P7044" t="n">
        <v>0</v>
      </c>
      <c r="Q7044" t="n">
        <v>0</v>
      </c>
      <c r="R7044" s="2" t="inlineStr"/>
    </row>
    <row r="7045" ht="15" customHeight="1">
      <c r="A7045" t="inlineStr">
        <is>
          <t>A 22774-2023</t>
        </is>
      </c>
      <c r="B7045" s="1" t="n">
        <v>45072</v>
      </c>
      <c r="C7045" s="1" t="n">
        <v>45587</v>
      </c>
      <c r="D7045" t="inlineStr">
        <is>
          <t>GÄVLEBORGS LÄN</t>
        </is>
      </c>
      <c r="E7045" t="inlineStr">
        <is>
          <t>OVANÅKER</t>
        </is>
      </c>
      <c r="F7045" t="inlineStr">
        <is>
          <t>Sveaskog</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22777-2023</t>
        </is>
      </c>
      <c r="B7046" s="1" t="n">
        <v>45072</v>
      </c>
      <c r="C7046" s="1" t="n">
        <v>45587</v>
      </c>
      <c r="D7046" t="inlineStr">
        <is>
          <t>GÄVLEBORGS LÄN</t>
        </is>
      </c>
      <c r="E7046" t="inlineStr">
        <is>
          <t>GÄVLE</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22857-2023</t>
        </is>
      </c>
      <c r="B7047" s="1" t="n">
        <v>45072</v>
      </c>
      <c r="C7047" s="1" t="n">
        <v>45587</v>
      </c>
      <c r="D7047" t="inlineStr">
        <is>
          <t>GÄVLEBORGS LÄN</t>
        </is>
      </c>
      <c r="E7047" t="inlineStr">
        <is>
          <t>SÖDERHAMN</t>
        </is>
      </c>
      <c r="F7047" t="inlineStr">
        <is>
          <t>Bergvik skog väst AB</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22863-2023</t>
        </is>
      </c>
      <c r="B7048" s="1" t="n">
        <v>45072</v>
      </c>
      <c r="C7048" s="1" t="n">
        <v>45587</v>
      </c>
      <c r="D7048" t="inlineStr">
        <is>
          <t>GÄVLEBORGS LÄN</t>
        </is>
      </c>
      <c r="E7048" t="inlineStr">
        <is>
          <t>NORDANSTIG</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22868-2023</t>
        </is>
      </c>
      <c r="B7049" s="1" t="n">
        <v>45072</v>
      </c>
      <c r="C7049" s="1" t="n">
        <v>45587</v>
      </c>
      <c r="D7049" t="inlineStr">
        <is>
          <t>GÄVLEBORGS LÄN</t>
        </is>
      </c>
      <c r="E7049" t="inlineStr">
        <is>
          <t>NORDANSTIG</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22787-2023</t>
        </is>
      </c>
      <c r="B7050" s="1" t="n">
        <v>45072</v>
      </c>
      <c r="C7050" s="1" t="n">
        <v>45587</v>
      </c>
      <c r="D7050" t="inlineStr">
        <is>
          <t>GÄVLEBORGS LÄN</t>
        </is>
      </c>
      <c r="E7050" t="inlineStr">
        <is>
          <t>HOFORS</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22791-2023</t>
        </is>
      </c>
      <c r="B7051" s="1" t="n">
        <v>45072</v>
      </c>
      <c r="C7051" s="1" t="n">
        <v>45587</v>
      </c>
      <c r="D7051" t="inlineStr">
        <is>
          <t>GÄVLEBORGS LÄN</t>
        </is>
      </c>
      <c r="E7051" t="inlineStr">
        <is>
          <t>OCKELBO</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22801-2023</t>
        </is>
      </c>
      <c r="B7052" s="1" t="n">
        <v>45072</v>
      </c>
      <c r="C7052" s="1" t="n">
        <v>45587</v>
      </c>
      <c r="D7052" t="inlineStr">
        <is>
          <t>GÄVLEBORGS LÄN</t>
        </is>
      </c>
      <c r="E7052" t="inlineStr">
        <is>
          <t>LJUSDAL</t>
        </is>
      </c>
      <c r="F7052" t="inlineStr">
        <is>
          <t>Sveaskog</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22810-2023</t>
        </is>
      </c>
      <c r="B7053" s="1" t="n">
        <v>45072</v>
      </c>
      <c r="C7053" s="1" t="n">
        <v>45587</v>
      </c>
      <c r="D7053" t="inlineStr">
        <is>
          <t>GÄVLEBORGS LÄN</t>
        </is>
      </c>
      <c r="E7053" t="inlineStr">
        <is>
          <t>LJUSDAL</t>
        </is>
      </c>
      <c r="F7053" t="inlineStr">
        <is>
          <t>Sveaskog</t>
        </is>
      </c>
      <c r="G7053" t="n">
        <v>6.2</v>
      </c>
      <c r="H7053" t="n">
        <v>0</v>
      </c>
      <c r="I7053" t="n">
        <v>0</v>
      </c>
      <c r="J7053" t="n">
        <v>0</v>
      </c>
      <c r="K7053" t="n">
        <v>0</v>
      </c>
      <c r="L7053" t="n">
        <v>0</v>
      </c>
      <c r="M7053" t="n">
        <v>0</v>
      </c>
      <c r="N7053" t="n">
        <v>0</v>
      </c>
      <c r="O7053" t="n">
        <v>0</v>
      </c>
      <c r="P7053" t="n">
        <v>0</v>
      </c>
      <c r="Q7053" t="n">
        <v>0</v>
      </c>
      <c r="R7053" s="2" t="inlineStr"/>
    </row>
    <row r="7054" ht="15" customHeight="1">
      <c r="A7054" t="inlineStr">
        <is>
          <t>A 22870-2023</t>
        </is>
      </c>
      <c r="B7054" s="1" t="n">
        <v>45072</v>
      </c>
      <c r="C7054" s="1" t="n">
        <v>45587</v>
      </c>
      <c r="D7054" t="inlineStr">
        <is>
          <t>GÄVLEBORGS LÄN</t>
        </is>
      </c>
      <c r="E7054" t="inlineStr">
        <is>
          <t>LJUSDAL</t>
        </is>
      </c>
      <c r="F7054" t="inlineStr">
        <is>
          <t>Sveaskog</t>
        </is>
      </c>
      <c r="G7054" t="n">
        <v>9</v>
      </c>
      <c r="H7054" t="n">
        <v>0</v>
      </c>
      <c r="I7054" t="n">
        <v>0</v>
      </c>
      <c r="J7054" t="n">
        <v>0</v>
      </c>
      <c r="K7054" t="n">
        <v>0</v>
      </c>
      <c r="L7054" t="n">
        <v>0</v>
      </c>
      <c r="M7054" t="n">
        <v>0</v>
      </c>
      <c r="N7054" t="n">
        <v>0</v>
      </c>
      <c r="O7054" t="n">
        <v>0</v>
      </c>
      <c r="P7054" t="n">
        <v>0</v>
      </c>
      <c r="Q7054" t="n">
        <v>0</v>
      </c>
      <c r="R7054" s="2" t="inlineStr"/>
    </row>
    <row r="7055" ht="15" customHeight="1">
      <c r="A7055" t="inlineStr">
        <is>
          <t>A 22892-2023</t>
        </is>
      </c>
      <c r="B7055" s="1" t="n">
        <v>45072</v>
      </c>
      <c r="C7055" s="1" t="n">
        <v>45587</v>
      </c>
      <c r="D7055" t="inlineStr">
        <is>
          <t>GÄVLEBORGS LÄN</t>
        </is>
      </c>
      <c r="E7055" t="inlineStr">
        <is>
          <t>HUDIKSVALL</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22904-2023</t>
        </is>
      </c>
      <c r="B7056" s="1" t="n">
        <v>45072</v>
      </c>
      <c r="C7056" s="1" t="n">
        <v>45587</v>
      </c>
      <c r="D7056" t="inlineStr">
        <is>
          <t>GÄVLEBORGS LÄN</t>
        </is>
      </c>
      <c r="E7056" t="inlineStr">
        <is>
          <t>HOFORS</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22919-2023</t>
        </is>
      </c>
      <c r="B7057" s="1" t="n">
        <v>45072</v>
      </c>
      <c r="C7057" s="1" t="n">
        <v>45587</v>
      </c>
      <c r="D7057" t="inlineStr">
        <is>
          <t>GÄVLEBORGS LÄN</t>
        </is>
      </c>
      <c r="E7057" t="inlineStr">
        <is>
          <t>BOLLNÄS</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22954-2023</t>
        </is>
      </c>
      <c r="B7058" s="1" t="n">
        <v>45072</v>
      </c>
      <c r="C7058" s="1" t="n">
        <v>45587</v>
      </c>
      <c r="D7058" t="inlineStr">
        <is>
          <t>GÄVLEBORGS LÄN</t>
        </is>
      </c>
      <c r="E7058" t="inlineStr">
        <is>
          <t>OVANÅKER</t>
        </is>
      </c>
      <c r="F7058" t="inlineStr">
        <is>
          <t>Bergvik skog väst AB</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22959-2023</t>
        </is>
      </c>
      <c r="B7059" s="1" t="n">
        <v>45072</v>
      </c>
      <c r="C7059" s="1" t="n">
        <v>45587</v>
      </c>
      <c r="D7059" t="inlineStr">
        <is>
          <t>GÄVLEBORGS LÄN</t>
        </is>
      </c>
      <c r="E7059" t="inlineStr">
        <is>
          <t>LJUSDAL</t>
        </is>
      </c>
      <c r="G7059" t="n">
        <v>8</v>
      </c>
      <c r="H7059" t="n">
        <v>0</v>
      </c>
      <c r="I7059" t="n">
        <v>0</v>
      </c>
      <c r="J7059" t="n">
        <v>0</v>
      </c>
      <c r="K7059" t="n">
        <v>0</v>
      </c>
      <c r="L7059" t="n">
        <v>0</v>
      </c>
      <c r="M7059" t="n">
        <v>0</v>
      </c>
      <c r="N7059" t="n">
        <v>0</v>
      </c>
      <c r="O7059" t="n">
        <v>0</v>
      </c>
      <c r="P7059" t="n">
        <v>0</v>
      </c>
      <c r="Q7059" t="n">
        <v>0</v>
      </c>
      <c r="R7059" s="2" t="inlineStr"/>
    </row>
    <row r="7060" ht="15" customHeight="1">
      <c r="A7060" t="inlineStr">
        <is>
          <t>A 22783-2023</t>
        </is>
      </c>
      <c r="B7060" s="1" t="n">
        <v>45072</v>
      </c>
      <c r="C7060" s="1" t="n">
        <v>45587</v>
      </c>
      <c r="D7060" t="inlineStr">
        <is>
          <t>GÄVLEBORGS LÄN</t>
        </is>
      </c>
      <c r="E7060" t="inlineStr">
        <is>
          <t>HOFORS</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22788-2023</t>
        </is>
      </c>
      <c r="B7061" s="1" t="n">
        <v>45072</v>
      </c>
      <c r="C7061" s="1" t="n">
        <v>45587</v>
      </c>
      <c r="D7061" t="inlineStr">
        <is>
          <t>GÄVLEBORGS LÄN</t>
        </is>
      </c>
      <c r="E7061" t="inlineStr">
        <is>
          <t>OVANÅKER</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22952-2023</t>
        </is>
      </c>
      <c r="B7062" s="1" t="n">
        <v>45072</v>
      </c>
      <c r="C7062" s="1" t="n">
        <v>45587</v>
      </c>
      <c r="D7062" t="inlineStr">
        <is>
          <t>GÄVLEBORGS LÄN</t>
        </is>
      </c>
      <c r="E7062" t="inlineStr">
        <is>
          <t>OCKELBO</t>
        </is>
      </c>
      <c r="G7062" t="n">
        <v>5.6</v>
      </c>
      <c r="H7062" t="n">
        <v>0</v>
      </c>
      <c r="I7062" t="n">
        <v>0</v>
      </c>
      <c r="J7062" t="n">
        <v>0</v>
      </c>
      <c r="K7062" t="n">
        <v>0</v>
      </c>
      <c r="L7062" t="n">
        <v>0</v>
      </c>
      <c r="M7062" t="n">
        <v>0</v>
      </c>
      <c r="N7062" t="n">
        <v>0</v>
      </c>
      <c r="O7062" t="n">
        <v>0</v>
      </c>
      <c r="P7062" t="n">
        <v>0</v>
      </c>
      <c r="Q7062" t="n">
        <v>0</v>
      </c>
      <c r="R7062" s="2" t="inlineStr"/>
    </row>
    <row r="7063" ht="15" customHeight="1">
      <c r="A7063" t="inlineStr">
        <is>
          <t>A 22979-2023</t>
        </is>
      </c>
      <c r="B7063" s="1" t="n">
        <v>45073</v>
      </c>
      <c r="C7063" s="1" t="n">
        <v>45587</v>
      </c>
      <c r="D7063" t="inlineStr">
        <is>
          <t>GÄVLEBORGS LÄN</t>
        </is>
      </c>
      <c r="E7063" t="inlineStr">
        <is>
          <t>LJUSDAL</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22797-2023</t>
        </is>
      </c>
      <c r="B7064" s="1" t="n">
        <v>45072</v>
      </c>
      <c r="C7064" s="1" t="n">
        <v>45587</v>
      </c>
      <c r="D7064" t="inlineStr">
        <is>
          <t>GÄVLEBORGS LÄN</t>
        </is>
      </c>
      <c r="E7064" t="inlineStr">
        <is>
          <t>OVANÅKER</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22843-2023</t>
        </is>
      </c>
      <c r="B7065" s="1" t="n">
        <v>45072</v>
      </c>
      <c r="C7065" s="1" t="n">
        <v>45587</v>
      </c>
      <c r="D7065" t="inlineStr">
        <is>
          <t>GÄVLEBORGS LÄN</t>
        </is>
      </c>
      <c r="E7065" t="inlineStr">
        <is>
          <t>SÖDERHAMN</t>
        </is>
      </c>
      <c r="F7065" t="inlineStr">
        <is>
          <t>Bergvik skog väst AB</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22891-2023</t>
        </is>
      </c>
      <c r="B7066" s="1" t="n">
        <v>45072</v>
      </c>
      <c r="C7066" s="1" t="n">
        <v>45587</v>
      </c>
      <c r="D7066" t="inlineStr">
        <is>
          <t>GÄVLEBORGS LÄN</t>
        </is>
      </c>
      <c r="E7066" t="inlineStr">
        <is>
          <t>BOLLNÄS</t>
        </is>
      </c>
      <c r="F7066" t="inlineStr">
        <is>
          <t>Bergvik skog väst AB</t>
        </is>
      </c>
      <c r="G7066" t="n">
        <v>8.699999999999999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22918-2023</t>
        </is>
      </c>
      <c r="B7067" s="1" t="n">
        <v>45072</v>
      </c>
      <c r="C7067" s="1" t="n">
        <v>45587</v>
      </c>
      <c r="D7067" t="inlineStr">
        <is>
          <t>GÄVLEBORGS LÄN</t>
        </is>
      </c>
      <c r="E7067" t="inlineStr">
        <is>
          <t>BOLLNÄS</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22945-2023</t>
        </is>
      </c>
      <c r="B7068" s="1" t="n">
        <v>45072</v>
      </c>
      <c r="C7068" s="1" t="n">
        <v>45587</v>
      </c>
      <c r="D7068" t="inlineStr">
        <is>
          <t>GÄVLEBORGS LÄN</t>
        </is>
      </c>
      <c r="E7068" t="inlineStr">
        <is>
          <t>HUDIKSVALL</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22862-2023</t>
        </is>
      </c>
      <c r="B7069" s="1" t="n">
        <v>45072</v>
      </c>
      <c r="C7069" s="1" t="n">
        <v>45587</v>
      </c>
      <c r="D7069" t="inlineStr">
        <is>
          <t>GÄVLEBORGS LÄN</t>
        </is>
      </c>
      <c r="E7069" t="inlineStr">
        <is>
          <t>SÖDERHAMN</t>
        </is>
      </c>
      <c r="F7069" t="inlineStr">
        <is>
          <t>Bergvik skog väst AB</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22867-2023</t>
        </is>
      </c>
      <c r="B7070" s="1" t="n">
        <v>45072</v>
      </c>
      <c r="C7070" s="1" t="n">
        <v>45587</v>
      </c>
      <c r="D7070" t="inlineStr">
        <is>
          <t>GÄVLEBORGS LÄN</t>
        </is>
      </c>
      <c r="E7070" t="inlineStr">
        <is>
          <t>LJUSDAL</t>
        </is>
      </c>
      <c r="F7070" t="inlineStr">
        <is>
          <t>Sveaskog</t>
        </is>
      </c>
      <c r="G7070" t="n">
        <v>18.1</v>
      </c>
      <c r="H7070" t="n">
        <v>0</v>
      </c>
      <c r="I7070" t="n">
        <v>0</v>
      </c>
      <c r="J7070" t="n">
        <v>0</v>
      </c>
      <c r="K7070" t="n">
        <v>0</v>
      </c>
      <c r="L7070" t="n">
        <v>0</v>
      </c>
      <c r="M7070" t="n">
        <v>0</v>
      </c>
      <c r="N7070" t="n">
        <v>0</v>
      </c>
      <c r="O7070" t="n">
        <v>0</v>
      </c>
      <c r="P7070" t="n">
        <v>0</v>
      </c>
      <c r="Q7070" t="n">
        <v>0</v>
      </c>
      <c r="R7070" s="2" t="inlineStr"/>
    </row>
    <row r="7071" ht="15" customHeight="1">
      <c r="A7071" t="inlineStr">
        <is>
          <t>A 22889-2023</t>
        </is>
      </c>
      <c r="B7071" s="1" t="n">
        <v>45072</v>
      </c>
      <c r="C7071" s="1" t="n">
        <v>45587</v>
      </c>
      <c r="D7071" t="inlineStr">
        <is>
          <t>GÄVLEBORGS LÄN</t>
        </is>
      </c>
      <c r="E7071" t="inlineStr">
        <is>
          <t>BOLLNÄS</t>
        </is>
      </c>
      <c r="F7071" t="inlineStr">
        <is>
          <t>Bergvik skog väst AB</t>
        </is>
      </c>
      <c r="G7071" t="n">
        <v>14.9</v>
      </c>
      <c r="H7071" t="n">
        <v>0</v>
      </c>
      <c r="I7071" t="n">
        <v>0</v>
      </c>
      <c r="J7071" t="n">
        <v>0</v>
      </c>
      <c r="K7071" t="n">
        <v>0</v>
      </c>
      <c r="L7071" t="n">
        <v>0</v>
      </c>
      <c r="M7071" t="n">
        <v>0</v>
      </c>
      <c r="N7071" t="n">
        <v>0</v>
      </c>
      <c r="O7071" t="n">
        <v>0</v>
      </c>
      <c r="P7071" t="n">
        <v>0</v>
      </c>
      <c r="Q7071" t="n">
        <v>0</v>
      </c>
      <c r="R7071" s="2" t="inlineStr"/>
    </row>
    <row r="7072" ht="15" customHeight="1">
      <c r="A7072" t="inlineStr">
        <is>
          <t>A 22980-2023</t>
        </is>
      </c>
      <c r="B7072" s="1" t="n">
        <v>45073</v>
      </c>
      <c r="C7072" s="1" t="n">
        <v>45587</v>
      </c>
      <c r="D7072" t="inlineStr">
        <is>
          <t>GÄVLEBORGS LÄN</t>
        </is>
      </c>
      <c r="E7072" t="inlineStr">
        <is>
          <t>LJUSDAL</t>
        </is>
      </c>
      <c r="G7072" t="n">
        <v>12.1</v>
      </c>
      <c r="H7072" t="n">
        <v>0</v>
      </c>
      <c r="I7072" t="n">
        <v>0</v>
      </c>
      <c r="J7072" t="n">
        <v>0</v>
      </c>
      <c r="K7072" t="n">
        <v>0</v>
      </c>
      <c r="L7072" t="n">
        <v>0</v>
      </c>
      <c r="M7072" t="n">
        <v>0</v>
      </c>
      <c r="N7072" t="n">
        <v>0</v>
      </c>
      <c r="O7072" t="n">
        <v>0</v>
      </c>
      <c r="P7072" t="n">
        <v>0</v>
      </c>
      <c r="Q7072" t="n">
        <v>0</v>
      </c>
      <c r="R7072" s="2" t="inlineStr"/>
    </row>
    <row r="7073" ht="15" customHeight="1">
      <c r="A7073" t="inlineStr">
        <is>
          <t>A 23006-2023</t>
        </is>
      </c>
      <c r="B7073" s="1" t="n">
        <v>45073</v>
      </c>
      <c r="C7073" s="1" t="n">
        <v>45587</v>
      </c>
      <c r="D7073" t="inlineStr">
        <is>
          <t>GÄVLEBORGS LÄN</t>
        </is>
      </c>
      <c r="E7073" t="inlineStr">
        <is>
          <t>OCKELBO</t>
        </is>
      </c>
      <c r="G7073" t="n">
        <v>3.7</v>
      </c>
      <c r="H7073" t="n">
        <v>0</v>
      </c>
      <c r="I7073" t="n">
        <v>0</v>
      </c>
      <c r="J7073" t="n">
        <v>0</v>
      </c>
      <c r="K7073" t="n">
        <v>0</v>
      </c>
      <c r="L7073" t="n">
        <v>0</v>
      </c>
      <c r="M7073" t="n">
        <v>0</v>
      </c>
      <c r="N7073" t="n">
        <v>0</v>
      </c>
      <c r="O7073" t="n">
        <v>0</v>
      </c>
      <c r="P7073" t="n">
        <v>0</v>
      </c>
      <c r="Q7073" t="n">
        <v>0</v>
      </c>
      <c r="R7073" s="2" t="inlineStr"/>
    </row>
    <row r="7074" ht="15" customHeight="1">
      <c r="A7074" t="inlineStr">
        <is>
          <t>A 23133-2023</t>
        </is>
      </c>
      <c r="B7074" s="1" t="n">
        <v>45075</v>
      </c>
      <c r="C7074" s="1" t="n">
        <v>45587</v>
      </c>
      <c r="D7074" t="inlineStr">
        <is>
          <t>GÄVLEBORGS LÄN</t>
        </is>
      </c>
      <c r="E7074" t="inlineStr">
        <is>
          <t>NORDANSTIG</t>
        </is>
      </c>
      <c r="F7074" t="inlineStr">
        <is>
          <t>Holmen skog AB</t>
        </is>
      </c>
      <c r="G7074" t="n">
        <v>13.3</v>
      </c>
      <c r="H7074" t="n">
        <v>0</v>
      </c>
      <c r="I7074" t="n">
        <v>0</v>
      </c>
      <c r="J7074" t="n">
        <v>0</v>
      </c>
      <c r="K7074" t="n">
        <v>0</v>
      </c>
      <c r="L7074" t="n">
        <v>0</v>
      </c>
      <c r="M7074" t="n">
        <v>0</v>
      </c>
      <c r="N7074" t="n">
        <v>0</v>
      </c>
      <c r="O7074" t="n">
        <v>0</v>
      </c>
      <c r="P7074" t="n">
        <v>0</v>
      </c>
      <c r="Q7074" t="n">
        <v>0</v>
      </c>
      <c r="R7074" s="2" t="inlineStr"/>
    </row>
    <row r="7075" ht="15" customHeight="1">
      <c r="A7075" t="inlineStr">
        <is>
          <t>A 23162-2023</t>
        </is>
      </c>
      <c r="B7075" s="1" t="n">
        <v>45075</v>
      </c>
      <c r="C7075" s="1" t="n">
        <v>45587</v>
      </c>
      <c r="D7075" t="inlineStr">
        <is>
          <t>GÄVLEBORGS LÄN</t>
        </is>
      </c>
      <c r="E7075" t="inlineStr">
        <is>
          <t>SANDVIKEN</t>
        </is>
      </c>
      <c r="F7075" t="inlineStr">
        <is>
          <t>Bergvik skog öst AB</t>
        </is>
      </c>
      <c r="G7075" t="n">
        <v>6.3</v>
      </c>
      <c r="H7075" t="n">
        <v>0</v>
      </c>
      <c r="I7075" t="n">
        <v>0</v>
      </c>
      <c r="J7075" t="n">
        <v>0</v>
      </c>
      <c r="K7075" t="n">
        <v>0</v>
      </c>
      <c r="L7075" t="n">
        <v>0</v>
      </c>
      <c r="M7075" t="n">
        <v>0</v>
      </c>
      <c r="N7075" t="n">
        <v>0</v>
      </c>
      <c r="O7075" t="n">
        <v>0</v>
      </c>
      <c r="P7075" t="n">
        <v>0</v>
      </c>
      <c r="Q7075" t="n">
        <v>0</v>
      </c>
      <c r="R7075" s="2" t="inlineStr"/>
    </row>
    <row r="7076" ht="15" customHeight="1">
      <c r="A7076" t="inlineStr">
        <is>
          <t>A 23219-2023</t>
        </is>
      </c>
      <c r="B7076" s="1" t="n">
        <v>45075</v>
      </c>
      <c r="C7076" s="1" t="n">
        <v>45587</v>
      </c>
      <c r="D7076" t="inlineStr">
        <is>
          <t>GÄVLEBORGS LÄN</t>
        </is>
      </c>
      <c r="E7076" t="inlineStr">
        <is>
          <t>HUDIKSVALL</t>
        </is>
      </c>
      <c r="F7076" t="inlineStr">
        <is>
          <t>Holmen skog AB</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23252-2023</t>
        </is>
      </c>
      <c r="B7077" s="1" t="n">
        <v>45075</v>
      </c>
      <c r="C7077" s="1" t="n">
        <v>45587</v>
      </c>
      <c r="D7077" t="inlineStr">
        <is>
          <t>GÄVLEBORGS LÄN</t>
        </is>
      </c>
      <c r="E7077" t="inlineStr">
        <is>
          <t>HUDIKSVALL</t>
        </is>
      </c>
      <c r="F7077" t="inlineStr">
        <is>
          <t>Holmen skog AB</t>
        </is>
      </c>
      <c r="G7077" t="n">
        <v>6.9</v>
      </c>
      <c r="H7077" t="n">
        <v>0</v>
      </c>
      <c r="I7077" t="n">
        <v>0</v>
      </c>
      <c r="J7077" t="n">
        <v>0</v>
      </c>
      <c r="K7077" t="n">
        <v>0</v>
      </c>
      <c r="L7077" t="n">
        <v>0</v>
      </c>
      <c r="M7077" t="n">
        <v>0</v>
      </c>
      <c r="N7077" t="n">
        <v>0</v>
      </c>
      <c r="O7077" t="n">
        <v>0</v>
      </c>
      <c r="P7077" t="n">
        <v>0</v>
      </c>
      <c r="Q7077" t="n">
        <v>0</v>
      </c>
      <c r="R7077" s="2" t="inlineStr"/>
    </row>
    <row r="7078" ht="15" customHeight="1">
      <c r="A7078" t="inlineStr">
        <is>
          <t>A 23085-2023</t>
        </is>
      </c>
      <c r="B7078" s="1" t="n">
        <v>45075</v>
      </c>
      <c r="C7078" s="1" t="n">
        <v>45587</v>
      </c>
      <c r="D7078" t="inlineStr">
        <is>
          <t>GÄVLEBORGS LÄN</t>
        </is>
      </c>
      <c r="E7078" t="inlineStr">
        <is>
          <t>SANDVIKEN</t>
        </is>
      </c>
      <c r="G7078" t="n">
        <v>8.300000000000001</v>
      </c>
      <c r="H7078" t="n">
        <v>0</v>
      </c>
      <c r="I7078" t="n">
        <v>0</v>
      </c>
      <c r="J7078" t="n">
        <v>0</v>
      </c>
      <c r="K7078" t="n">
        <v>0</v>
      </c>
      <c r="L7078" t="n">
        <v>0</v>
      </c>
      <c r="M7078" t="n">
        <v>0</v>
      </c>
      <c r="N7078" t="n">
        <v>0</v>
      </c>
      <c r="O7078" t="n">
        <v>0</v>
      </c>
      <c r="P7078" t="n">
        <v>0</v>
      </c>
      <c r="Q7078" t="n">
        <v>0</v>
      </c>
      <c r="R7078" s="2" t="inlineStr"/>
    </row>
    <row r="7079" ht="15" customHeight="1">
      <c r="A7079" t="inlineStr">
        <is>
          <t>A 23276-2023</t>
        </is>
      </c>
      <c r="B7079" s="1" t="n">
        <v>45076</v>
      </c>
      <c r="C7079" s="1" t="n">
        <v>45587</v>
      </c>
      <c r="D7079" t="inlineStr">
        <is>
          <t>GÄVLEBORGS LÄN</t>
        </is>
      </c>
      <c r="E7079" t="inlineStr">
        <is>
          <t>HUDIKSVALL</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23169-2023</t>
        </is>
      </c>
      <c r="B7080" s="1" t="n">
        <v>45075</v>
      </c>
      <c r="C7080" s="1" t="n">
        <v>45587</v>
      </c>
      <c r="D7080" t="inlineStr">
        <is>
          <t>GÄVLEBORGS LÄN</t>
        </is>
      </c>
      <c r="E7080" t="inlineStr">
        <is>
          <t>HUDIKSVALL</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23187-2023</t>
        </is>
      </c>
      <c r="B7081" s="1" t="n">
        <v>45075</v>
      </c>
      <c r="C7081" s="1" t="n">
        <v>45587</v>
      </c>
      <c r="D7081" t="inlineStr">
        <is>
          <t>GÄVLEBORGS LÄN</t>
        </is>
      </c>
      <c r="E7081" t="inlineStr">
        <is>
          <t>HUDIKSVALL</t>
        </is>
      </c>
      <c r="F7081" t="inlineStr">
        <is>
          <t>Kommuner</t>
        </is>
      </c>
      <c r="G7081" t="n">
        <v>0.3</v>
      </c>
      <c r="H7081" t="n">
        <v>0</v>
      </c>
      <c r="I7081" t="n">
        <v>0</v>
      </c>
      <c r="J7081" t="n">
        <v>0</v>
      </c>
      <c r="K7081" t="n">
        <v>0</v>
      </c>
      <c r="L7081" t="n">
        <v>0</v>
      </c>
      <c r="M7081" t="n">
        <v>0</v>
      </c>
      <c r="N7081" t="n">
        <v>0</v>
      </c>
      <c r="O7081" t="n">
        <v>0</v>
      </c>
      <c r="P7081" t="n">
        <v>0</v>
      </c>
      <c r="Q7081" t="n">
        <v>0</v>
      </c>
      <c r="R7081" s="2" t="inlineStr"/>
    </row>
    <row r="7082" ht="15" customHeight="1">
      <c r="A7082" t="inlineStr">
        <is>
          <t>A 23217-2023</t>
        </is>
      </c>
      <c r="B7082" s="1" t="n">
        <v>45075</v>
      </c>
      <c r="C7082" s="1" t="n">
        <v>45587</v>
      </c>
      <c r="D7082" t="inlineStr">
        <is>
          <t>GÄVLEBORGS LÄN</t>
        </is>
      </c>
      <c r="E7082" t="inlineStr">
        <is>
          <t>SANDVIKEN</t>
        </is>
      </c>
      <c r="F7082" t="inlineStr">
        <is>
          <t>Sveaskog</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23237-2023</t>
        </is>
      </c>
      <c r="B7083" s="1" t="n">
        <v>45075</v>
      </c>
      <c r="C7083" s="1" t="n">
        <v>45587</v>
      </c>
      <c r="D7083" t="inlineStr">
        <is>
          <t>GÄVLEBORGS LÄN</t>
        </is>
      </c>
      <c r="E7083" t="inlineStr">
        <is>
          <t>NORDANSTIG</t>
        </is>
      </c>
      <c r="F7083" t="inlineStr">
        <is>
          <t>Holmen skog AB</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23244-2023</t>
        </is>
      </c>
      <c r="B7084" s="1" t="n">
        <v>45075</v>
      </c>
      <c r="C7084" s="1" t="n">
        <v>45587</v>
      </c>
      <c r="D7084" t="inlineStr">
        <is>
          <t>GÄVLEBORGS LÄN</t>
        </is>
      </c>
      <c r="E7084" t="inlineStr">
        <is>
          <t>NORDANSTIG</t>
        </is>
      </c>
      <c r="F7084" t="inlineStr">
        <is>
          <t>Holmen skog AB</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23258-2023</t>
        </is>
      </c>
      <c r="B7085" s="1" t="n">
        <v>45075</v>
      </c>
      <c r="C7085" s="1" t="n">
        <v>45587</v>
      </c>
      <c r="D7085" t="inlineStr">
        <is>
          <t>GÄVLEBORGS LÄN</t>
        </is>
      </c>
      <c r="E7085" t="inlineStr">
        <is>
          <t>NORDANSTIG</t>
        </is>
      </c>
      <c r="F7085" t="inlineStr">
        <is>
          <t>Holmen skog AB</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23417-2023</t>
        </is>
      </c>
      <c r="B7086" s="1" t="n">
        <v>45076</v>
      </c>
      <c r="C7086" s="1" t="n">
        <v>45587</v>
      </c>
      <c r="D7086" t="inlineStr">
        <is>
          <t>GÄVLEBORGS LÄN</t>
        </is>
      </c>
      <c r="E7086" t="inlineStr">
        <is>
          <t>NORDANSTIG</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23431-2023</t>
        </is>
      </c>
      <c r="B7087" s="1" t="n">
        <v>45076</v>
      </c>
      <c r="C7087" s="1" t="n">
        <v>45587</v>
      </c>
      <c r="D7087" t="inlineStr">
        <is>
          <t>GÄVLEBORGS LÄN</t>
        </is>
      </c>
      <c r="E7087" t="inlineStr">
        <is>
          <t>NORDANSTIG</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23468-2023</t>
        </is>
      </c>
      <c r="B7088" s="1" t="n">
        <v>45076</v>
      </c>
      <c r="C7088" s="1" t="n">
        <v>45587</v>
      </c>
      <c r="D7088" t="inlineStr">
        <is>
          <t>GÄVLEBORGS LÄN</t>
        </is>
      </c>
      <c r="E7088" t="inlineStr">
        <is>
          <t>HUDIKSVALL</t>
        </is>
      </c>
      <c r="F7088" t="inlineStr">
        <is>
          <t>Holmen skog AB</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23365-2023</t>
        </is>
      </c>
      <c r="B7089" s="1" t="n">
        <v>45076</v>
      </c>
      <c r="C7089" s="1" t="n">
        <v>45587</v>
      </c>
      <c r="D7089" t="inlineStr">
        <is>
          <t>GÄVLEBORGS LÄN</t>
        </is>
      </c>
      <c r="E7089" t="inlineStr">
        <is>
          <t>HUDIKSVALL</t>
        </is>
      </c>
      <c r="F7089" t="inlineStr">
        <is>
          <t>Holmen skog AB</t>
        </is>
      </c>
      <c r="G7089" t="n">
        <v>7.3</v>
      </c>
      <c r="H7089" t="n">
        <v>0</v>
      </c>
      <c r="I7089" t="n">
        <v>0</v>
      </c>
      <c r="J7089" t="n">
        <v>0</v>
      </c>
      <c r="K7089" t="n">
        <v>0</v>
      </c>
      <c r="L7089" t="n">
        <v>0</v>
      </c>
      <c r="M7089" t="n">
        <v>0</v>
      </c>
      <c r="N7089" t="n">
        <v>0</v>
      </c>
      <c r="O7089" t="n">
        <v>0</v>
      </c>
      <c r="P7089" t="n">
        <v>0</v>
      </c>
      <c r="Q7089" t="n">
        <v>0</v>
      </c>
      <c r="R7089" s="2" t="inlineStr"/>
    </row>
    <row r="7090" ht="15" customHeight="1">
      <c r="A7090" t="inlineStr">
        <is>
          <t>A 24275-2023</t>
        </is>
      </c>
      <c r="B7090" s="1" t="n">
        <v>45076</v>
      </c>
      <c r="C7090" s="1" t="n">
        <v>45587</v>
      </c>
      <c r="D7090" t="inlineStr">
        <is>
          <t>GÄVLEBORGS LÄN</t>
        </is>
      </c>
      <c r="E7090" t="inlineStr">
        <is>
          <t>SANDVIKEN</t>
        </is>
      </c>
      <c r="G7090" t="n">
        <v>5.8</v>
      </c>
      <c r="H7090" t="n">
        <v>0</v>
      </c>
      <c r="I7090" t="n">
        <v>0</v>
      </c>
      <c r="J7090" t="n">
        <v>0</v>
      </c>
      <c r="K7090" t="n">
        <v>0</v>
      </c>
      <c r="L7090" t="n">
        <v>0</v>
      </c>
      <c r="M7090" t="n">
        <v>0</v>
      </c>
      <c r="N7090" t="n">
        <v>0</v>
      </c>
      <c r="O7090" t="n">
        <v>0</v>
      </c>
      <c r="P7090" t="n">
        <v>0</v>
      </c>
      <c r="Q7090" t="n">
        <v>0</v>
      </c>
      <c r="R7090" s="2" t="inlineStr"/>
    </row>
    <row r="7091" ht="15" customHeight="1">
      <c r="A7091" t="inlineStr">
        <is>
          <t>A 24227-2023</t>
        </is>
      </c>
      <c r="B7091" s="1" t="n">
        <v>45076</v>
      </c>
      <c r="C7091" s="1" t="n">
        <v>45587</v>
      </c>
      <c r="D7091" t="inlineStr">
        <is>
          <t>GÄVLEBORGS LÄN</t>
        </is>
      </c>
      <c r="E7091" t="inlineStr">
        <is>
          <t>SANDVIKEN</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23657-2023</t>
        </is>
      </c>
      <c r="B7092" s="1" t="n">
        <v>45077</v>
      </c>
      <c r="C7092" s="1" t="n">
        <v>45587</v>
      </c>
      <c r="D7092" t="inlineStr">
        <is>
          <t>GÄVLEBORGS LÄN</t>
        </is>
      </c>
      <c r="E7092" t="inlineStr">
        <is>
          <t>HUDIKSVALL</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23560-2023</t>
        </is>
      </c>
      <c r="B7093" s="1" t="n">
        <v>45077</v>
      </c>
      <c r="C7093" s="1" t="n">
        <v>45587</v>
      </c>
      <c r="D7093" t="inlineStr">
        <is>
          <t>GÄVLEBORGS LÄN</t>
        </is>
      </c>
      <c r="E7093" t="inlineStr">
        <is>
          <t>LJUSDAL</t>
        </is>
      </c>
      <c r="F7093" t="inlineStr">
        <is>
          <t>Allmännings- och besparingsskogar</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23711-2023</t>
        </is>
      </c>
      <c r="B7094" s="1" t="n">
        <v>45077</v>
      </c>
      <c r="C7094" s="1" t="n">
        <v>45587</v>
      </c>
      <c r="D7094" t="inlineStr">
        <is>
          <t>GÄVLEBORGS LÄN</t>
        </is>
      </c>
      <c r="E7094" t="inlineStr">
        <is>
          <t>LJUSDAL</t>
        </is>
      </c>
      <c r="G7094" t="n">
        <v>34.9</v>
      </c>
      <c r="H7094" t="n">
        <v>0</v>
      </c>
      <c r="I7094" t="n">
        <v>0</v>
      </c>
      <c r="J7094" t="n">
        <v>0</v>
      </c>
      <c r="K7094" t="n">
        <v>0</v>
      </c>
      <c r="L7094" t="n">
        <v>0</v>
      </c>
      <c r="M7094" t="n">
        <v>0</v>
      </c>
      <c r="N7094" t="n">
        <v>0</v>
      </c>
      <c r="O7094" t="n">
        <v>0</v>
      </c>
      <c r="P7094" t="n">
        <v>0</v>
      </c>
      <c r="Q7094" t="n">
        <v>0</v>
      </c>
      <c r="R7094" s="2" t="inlineStr"/>
    </row>
    <row r="7095" ht="15" customHeight="1">
      <c r="A7095" t="inlineStr">
        <is>
          <t>A 23784-2023</t>
        </is>
      </c>
      <c r="B7095" s="1" t="n">
        <v>45078</v>
      </c>
      <c r="C7095" s="1" t="n">
        <v>45587</v>
      </c>
      <c r="D7095" t="inlineStr">
        <is>
          <t>GÄVLEBORGS LÄN</t>
        </is>
      </c>
      <c r="E7095" t="inlineStr">
        <is>
          <t>HUDIKSVALL</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23792-2023</t>
        </is>
      </c>
      <c r="B7096" s="1" t="n">
        <v>45078</v>
      </c>
      <c r="C7096" s="1" t="n">
        <v>45587</v>
      </c>
      <c r="D7096" t="inlineStr">
        <is>
          <t>GÄVLEBORGS LÄN</t>
        </is>
      </c>
      <c r="E7096" t="inlineStr">
        <is>
          <t>HUDIKSVALL</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23846-2023</t>
        </is>
      </c>
      <c r="B7097" s="1" t="n">
        <v>45078</v>
      </c>
      <c r="C7097" s="1" t="n">
        <v>45587</v>
      </c>
      <c r="D7097" t="inlineStr">
        <is>
          <t>GÄVLEBORGS LÄN</t>
        </is>
      </c>
      <c r="E7097" t="inlineStr">
        <is>
          <t>LJUSDAL</t>
        </is>
      </c>
      <c r="F7097" t="inlineStr">
        <is>
          <t>Allmännings- och besparingsskogar</t>
        </is>
      </c>
      <c r="G7097" t="n">
        <v>6.8</v>
      </c>
      <c r="H7097" t="n">
        <v>0</v>
      </c>
      <c r="I7097" t="n">
        <v>0</v>
      </c>
      <c r="J7097" t="n">
        <v>0</v>
      </c>
      <c r="K7097" t="n">
        <v>0</v>
      </c>
      <c r="L7097" t="n">
        <v>0</v>
      </c>
      <c r="M7097" t="n">
        <v>0</v>
      </c>
      <c r="N7097" t="n">
        <v>0</v>
      </c>
      <c r="O7097" t="n">
        <v>0</v>
      </c>
      <c r="P7097" t="n">
        <v>0</v>
      </c>
      <c r="Q7097" t="n">
        <v>0</v>
      </c>
      <c r="R7097" s="2" t="inlineStr"/>
    </row>
    <row r="7098" ht="15" customHeight="1">
      <c r="A7098" t="inlineStr">
        <is>
          <t>A 23921-2023</t>
        </is>
      </c>
      <c r="B7098" s="1" t="n">
        <v>45078</v>
      </c>
      <c r="C7098" s="1" t="n">
        <v>45587</v>
      </c>
      <c r="D7098" t="inlineStr">
        <is>
          <t>GÄVLEBORGS LÄN</t>
        </is>
      </c>
      <c r="E7098" t="inlineStr">
        <is>
          <t>HUDIKSVALL</t>
        </is>
      </c>
      <c r="F7098" t="inlineStr">
        <is>
          <t>Holmen skog AB</t>
        </is>
      </c>
      <c r="G7098" t="n">
        <v>8.6</v>
      </c>
      <c r="H7098" t="n">
        <v>0</v>
      </c>
      <c r="I7098" t="n">
        <v>0</v>
      </c>
      <c r="J7098" t="n">
        <v>0</v>
      </c>
      <c r="K7098" t="n">
        <v>0</v>
      </c>
      <c r="L7098" t="n">
        <v>0</v>
      </c>
      <c r="M7098" t="n">
        <v>0</v>
      </c>
      <c r="N7098" t="n">
        <v>0</v>
      </c>
      <c r="O7098" t="n">
        <v>0</v>
      </c>
      <c r="P7098" t="n">
        <v>0</v>
      </c>
      <c r="Q7098" t="n">
        <v>0</v>
      </c>
      <c r="R7098" s="2" t="inlineStr"/>
    </row>
    <row r="7099" ht="15" customHeight="1">
      <c r="A7099" t="inlineStr">
        <is>
          <t>A 23787-2023</t>
        </is>
      </c>
      <c r="B7099" s="1" t="n">
        <v>45078</v>
      </c>
      <c r="C7099" s="1" t="n">
        <v>45587</v>
      </c>
      <c r="D7099" t="inlineStr">
        <is>
          <t>GÄVLEBORGS LÄN</t>
        </is>
      </c>
      <c r="E7099" t="inlineStr">
        <is>
          <t>HUDIKSVALL</t>
        </is>
      </c>
      <c r="G7099" t="n">
        <v>2.7</v>
      </c>
      <c r="H7099" t="n">
        <v>0</v>
      </c>
      <c r="I7099" t="n">
        <v>0</v>
      </c>
      <c r="J7099" t="n">
        <v>0</v>
      </c>
      <c r="K7099" t="n">
        <v>0</v>
      </c>
      <c r="L7099" t="n">
        <v>0</v>
      </c>
      <c r="M7099" t="n">
        <v>0</v>
      </c>
      <c r="N7099" t="n">
        <v>0</v>
      </c>
      <c r="O7099" t="n">
        <v>0</v>
      </c>
      <c r="P7099" t="n">
        <v>0</v>
      </c>
      <c r="Q7099" t="n">
        <v>0</v>
      </c>
      <c r="R7099" s="2" t="inlineStr"/>
      <c r="U7099">
        <f>HYPERLINK("https://klasma.github.io/Logging_2184/knärot/A 23787-2023 karta knärot.png", "A 23787-2023")</f>
        <v/>
      </c>
      <c r="V7099">
        <f>HYPERLINK("https://klasma.github.io/Logging_2184/klagomål/A 23787-2023 FSC-klagomål.docx", "A 23787-2023")</f>
        <v/>
      </c>
      <c r="W7099">
        <f>HYPERLINK("https://klasma.github.io/Logging_2184/klagomålsmail/A 23787-2023 FSC-klagomål mail.docx", "A 23787-2023")</f>
        <v/>
      </c>
      <c r="X7099">
        <f>HYPERLINK("https://klasma.github.io/Logging_2184/tillsyn/A 23787-2023 tillsynsbegäran.docx", "A 23787-2023")</f>
        <v/>
      </c>
      <c r="Y7099">
        <f>HYPERLINK("https://klasma.github.io/Logging_2184/tillsynsmail/A 23787-2023 tillsynsbegäran mail.docx", "A 23787-2023")</f>
        <v/>
      </c>
    </row>
    <row r="7100" ht="15" customHeight="1">
      <c r="A7100" t="inlineStr">
        <is>
          <t>A 23848-2023</t>
        </is>
      </c>
      <c r="B7100" s="1" t="n">
        <v>45078</v>
      </c>
      <c r="C7100" s="1" t="n">
        <v>45587</v>
      </c>
      <c r="D7100" t="inlineStr">
        <is>
          <t>GÄVLEBORGS LÄN</t>
        </is>
      </c>
      <c r="E7100" t="inlineStr">
        <is>
          <t>LJUSDAL</t>
        </is>
      </c>
      <c r="F7100" t="inlineStr">
        <is>
          <t>Allmännings- och besparingsskogar</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23881-2023</t>
        </is>
      </c>
      <c r="B7101" s="1" t="n">
        <v>45078</v>
      </c>
      <c r="C7101" s="1" t="n">
        <v>45587</v>
      </c>
      <c r="D7101" t="inlineStr">
        <is>
          <t>GÄVLEBORGS LÄN</t>
        </is>
      </c>
      <c r="E7101" t="inlineStr">
        <is>
          <t>BOLLNÄS</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23918-2023</t>
        </is>
      </c>
      <c r="B7102" s="1" t="n">
        <v>45078</v>
      </c>
      <c r="C7102" s="1" t="n">
        <v>45587</v>
      </c>
      <c r="D7102" t="inlineStr">
        <is>
          <t>GÄVLEBORGS LÄN</t>
        </is>
      </c>
      <c r="E7102" t="inlineStr">
        <is>
          <t>SÖDERHAMN</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23935-2023</t>
        </is>
      </c>
      <c r="B7103" s="1" t="n">
        <v>45078</v>
      </c>
      <c r="C7103" s="1" t="n">
        <v>45587</v>
      </c>
      <c r="D7103" t="inlineStr">
        <is>
          <t>GÄVLEBORGS LÄN</t>
        </is>
      </c>
      <c r="E7103" t="inlineStr">
        <is>
          <t>BOLLNÄS</t>
        </is>
      </c>
      <c r="F7103" t="inlineStr">
        <is>
          <t>Bergvik skog väst AB</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23947-2023</t>
        </is>
      </c>
      <c r="B7104" s="1" t="n">
        <v>45078</v>
      </c>
      <c r="C7104" s="1" t="n">
        <v>45587</v>
      </c>
      <c r="D7104" t="inlineStr">
        <is>
          <t>GÄVLEBORGS LÄN</t>
        </is>
      </c>
      <c r="E7104" t="inlineStr">
        <is>
          <t>BOLLNÄS</t>
        </is>
      </c>
      <c r="F7104" t="inlineStr">
        <is>
          <t>Bergvik skog väst AB</t>
        </is>
      </c>
      <c r="G7104" t="n">
        <v>12.6</v>
      </c>
      <c r="H7104" t="n">
        <v>0</v>
      </c>
      <c r="I7104" t="n">
        <v>0</v>
      </c>
      <c r="J7104" t="n">
        <v>0</v>
      </c>
      <c r="K7104" t="n">
        <v>0</v>
      </c>
      <c r="L7104" t="n">
        <v>0</v>
      </c>
      <c r="M7104" t="n">
        <v>0</v>
      </c>
      <c r="N7104" t="n">
        <v>0</v>
      </c>
      <c r="O7104" t="n">
        <v>0</v>
      </c>
      <c r="P7104" t="n">
        <v>0</v>
      </c>
      <c r="Q7104" t="n">
        <v>0</v>
      </c>
      <c r="R7104" s="2" t="inlineStr"/>
    </row>
    <row r="7105" ht="15" customHeight="1">
      <c r="A7105" t="inlineStr">
        <is>
          <t>A 23841-2023</t>
        </is>
      </c>
      <c r="B7105" s="1" t="n">
        <v>45078</v>
      </c>
      <c r="C7105" s="1" t="n">
        <v>45587</v>
      </c>
      <c r="D7105" t="inlineStr">
        <is>
          <t>GÄVLEBORGS LÄN</t>
        </is>
      </c>
      <c r="E7105" t="inlineStr">
        <is>
          <t>LJUSDAL</t>
        </is>
      </c>
      <c r="F7105" t="inlineStr">
        <is>
          <t>Allmännings- och besparingsskogar</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23928-2023</t>
        </is>
      </c>
      <c r="B7106" s="1" t="n">
        <v>45078</v>
      </c>
      <c r="C7106" s="1" t="n">
        <v>45587</v>
      </c>
      <c r="D7106" t="inlineStr">
        <is>
          <t>GÄVLEBORGS LÄN</t>
        </is>
      </c>
      <c r="E7106" t="inlineStr">
        <is>
          <t>HUDIKSVALL</t>
        </is>
      </c>
      <c r="F7106" t="inlineStr">
        <is>
          <t>Holmen skog AB</t>
        </is>
      </c>
      <c r="G7106" t="n">
        <v>5.7</v>
      </c>
      <c r="H7106" t="n">
        <v>0</v>
      </c>
      <c r="I7106" t="n">
        <v>0</v>
      </c>
      <c r="J7106" t="n">
        <v>0</v>
      </c>
      <c r="K7106" t="n">
        <v>0</v>
      </c>
      <c r="L7106" t="n">
        <v>0</v>
      </c>
      <c r="M7106" t="n">
        <v>0</v>
      </c>
      <c r="N7106" t="n">
        <v>0</v>
      </c>
      <c r="O7106" t="n">
        <v>0</v>
      </c>
      <c r="P7106" t="n">
        <v>0</v>
      </c>
      <c r="Q7106" t="n">
        <v>0</v>
      </c>
      <c r="R7106" s="2" t="inlineStr"/>
    </row>
    <row r="7107" ht="15" customHeight="1">
      <c r="A7107" t="inlineStr">
        <is>
          <t>A 23845-2023</t>
        </is>
      </c>
      <c r="B7107" s="1" t="n">
        <v>45078</v>
      </c>
      <c r="C7107" s="1" t="n">
        <v>45587</v>
      </c>
      <c r="D7107" t="inlineStr">
        <is>
          <t>GÄVLEBORGS LÄN</t>
        </is>
      </c>
      <c r="E7107" t="inlineStr">
        <is>
          <t>HUDIKSVALL</t>
        </is>
      </c>
      <c r="F7107" t="inlineStr">
        <is>
          <t>Holmen skog AB</t>
        </is>
      </c>
      <c r="G7107" t="n">
        <v>4.9</v>
      </c>
      <c r="H7107" t="n">
        <v>0</v>
      </c>
      <c r="I7107" t="n">
        <v>0</v>
      </c>
      <c r="J7107" t="n">
        <v>0</v>
      </c>
      <c r="K7107" t="n">
        <v>0</v>
      </c>
      <c r="L7107" t="n">
        <v>0</v>
      </c>
      <c r="M7107" t="n">
        <v>0</v>
      </c>
      <c r="N7107" t="n">
        <v>0</v>
      </c>
      <c r="O7107" t="n">
        <v>0</v>
      </c>
      <c r="P7107" t="n">
        <v>0</v>
      </c>
      <c r="Q7107" t="n">
        <v>0</v>
      </c>
      <c r="R7107" s="2" t="inlineStr"/>
    </row>
    <row r="7108" ht="15" customHeight="1">
      <c r="A7108" t="inlineStr">
        <is>
          <t>A 23853-2023</t>
        </is>
      </c>
      <c r="B7108" s="1" t="n">
        <v>45078</v>
      </c>
      <c r="C7108" s="1" t="n">
        <v>45587</v>
      </c>
      <c r="D7108" t="inlineStr">
        <is>
          <t>GÄVLEBORGS LÄN</t>
        </is>
      </c>
      <c r="E7108" t="inlineStr">
        <is>
          <t>LJUSDAL</t>
        </is>
      </c>
      <c r="F7108" t="inlineStr">
        <is>
          <t>Allmännings- och besparingsskogar</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23924-2023</t>
        </is>
      </c>
      <c r="B7109" s="1" t="n">
        <v>45078</v>
      </c>
      <c r="C7109" s="1" t="n">
        <v>45587</v>
      </c>
      <c r="D7109" t="inlineStr">
        <is>
          <t>GÄVLEBORGS LÄN</t>
        </is>
      </c>
      <c r="E7109" t="inlineStr">
        <is>
          <t>HUDIKSVALL</t>
        </is>
      </c>
      <c r="F7109" t="inlineStr">
        <is>
          <t>Holmen skog AB</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23930-2023</t>
        </is>
      </c>
      <c r="B7110" s="1" t="n">
        <v>45078</v>
      </c>
      <c r="C7110" s="1" t="n">
        <v>45587</v>
      </c>
      <c r="D7110" t="inlineStr">
        <is>
          <t>GÄVLEBORGS LÄN</t>
        </is>
      </c>
      <c r="E7110" t="inlineStr">
        <is>
          <t>LJUSDAL</t>
        </is>
      </c>
      <c r="G7110" t="n">
        <v>3.8</v>
      </c>
      <c r="H7110" t="n">
        <v>0</v>
      </c>
      <c r="I7110" t="n">
        <v>0</v>
      </c>
      <c r="J7110" t="n">
        <v>0</v>
      </c>
      <c r="K7110" t="n">
        <v>0</v>
      </c>
      <c r="L7110" t="n">
        <v>0</v>
      </c>
      <c r="M7110" t="n">
        <v>0</v>
      </c>
      <c r="N7110" t="n">
        <v>0</v>
      </c>
      <c r="O7110" t="n">
        <v>0</v>
      </c>
      <c r="P7110" t="n">
        <v>0</v>
      </c>
      <c r="Q7110" t="n">
        <v>0</v>
      </c>
      <c r="R7110" s="2" t="inlineStr"/>
    </row>
    <row r="7111" ht="15" customHeight="1">
      <c r="A7111" t="inlineStr">
        <is>
          <t>A 23961-2023</t>
        </is>
      </c>
      <c r="B7111" s="1" t="n">
        <v>45078</v>
      </c>
      <c r="C7111" s="1" t="n">
        <v>45587</v>
      </c>
      <c r="D7111" t="inlineStr">
        <is>
          <t>GÄVLEBORGS LÄN</t>
        </is>
      </c>
      <c r="E7111" t="inlineStr">
        <is>
          <t>LJUSDAL</t>
        </is>
      </c>
      <c r="G7111" t="n">
        <v>22.5</v>
      </c>
      <c r="H7111" t="n">
        <v>0</v>
      </c>
      <c r="I7111" t="n">
        <v>0</v>
      </c>
      <c r="J7111" t="n">
        <v>0</v>
      </c>
      <c r="K7111" t="n">
        <v>0</v>
      </c>
      <c r="L7111" t="n">
        <v>0</v>
      </c>
      <c r="M7111" t="n">
        <v>0</v>
      </c>
      <c r="N7111" t="n">
        <v>0</v>
      </c>
      <c r="O7111" t="n">
        <v>0</v>
      </c>
      <c r="P7111" t="n">
        <v>0</v>
      </c>
      <c r="Q7111" t="n">
        <v>0</v>
      </c>
      <c r="R7111" s="2" t="inlineStr"/>
    </row>
    <row r="7112" ht="15" customHeight="1">
      <c r="A7112" t="inlineStr">
        <is>
          <t>A 23980-2023</t>
        </is>
      </c>
      <c r="B7112" s="1" t="n">
        <v>45078</v>
      </c>
      <c r="C7112" s="1" t="n">
        <v>45587</v>
      </c>
      <c r="D7112" t="inlineStr">
        <is>
          <t>GÄVLEBORGS LÄN</t>
        </is>
      </c>
      <c r="E7112" t="inlineStr">
        <is>
          <t>NORDANSTIG</t>
        </is>
      </c>
      <c r="F7112" t="inlineStr">
        <is>
          <t>Kyrkan</t>
        </is>
      </c>
      <c r="G7112" t="n">
        <v>9.800000000000001</v>
      </c>
      <c r="H7112" t="n">
        <v>0</v>
      </c>
      <c r="I7112" t="n">
        <v>0</v>
      </c>
      <c r="J7112" t="n">
        <v>0</v>
      </c>
      <c r="K7112" t="n">
        <v>0</v>
      </c>
      <c r="L7112" t="n">
        <v>0</v>
      </c>
      <c r="M7112" t="n">
        <v>0</v>
      </c>
      <c r="N7112" t="n">
        <v>0</v>
      </c>
      <c r="O7112" t="n">
        <v>0</v>
      </c>
      <c r="P7112" t="n">
        <v>0</v>
      </c>
      <c r="Q7112" t="n">
        <v>0</v>
      </c>
      <c r="R7112" s="2" t="inlineStr"/>
    </row>
    <row r="7113" ht="15" customHeight="1">
      <c r="A7113" t="inlineStr">
        <is>
          <t>A 24081-2023</t>
        </is>
      </c>
      <c r="B7113" s="1" t="n">
        <v>45079</v>
      </c>
      <c r="C7113" s="1" t="n">
        <v>45587</v>
      </c>
      <c r="D7113" t="inlineStr">
        <is>
          <t>GÄVLEBORGS LÄN</t>
        </is>
      </c>
      <c r="E7113" t="inlineStr">
        <is>
          <t>OVANÅKER</t>
        </is>
      </c>
      <c r="G7113" t="n">
        <v>6</v>
      </c>
      <c r="H7113" t="n">
        <v>0</v>
      </c>
      <c r="I7113" t="n">
        <v>0</v>
      </c>
      <c r="J7113" t="n">
        <v>0</v>
      </c>
      <c r="K7113" t="n">
        <v>0</v>
      </c>
      <c r="L7113" t="n">
        <v>0</v>
      </c>
      <c r="M7113" t="n">
        <v>0</v>
      </c>
      <c r="N7113" t="n">
        <v>0</v>
      </c>
      <c r="O7113" t="n">
        <v>0</v>
      </c>
      <c r="P7113" t="n">
        <v>0</v>
      </c>
      <c r="Q7113" t="n">
        <v>0</v>
      </c>
      <c r="R7113" s="2" t="inlineStr"/>
    </row>
    <row r="7114" ht="15" customHeight="1">
      <c r="A7114" t="inlineStr">
        <is>
          <t>A 24086-2023</t>
        </is>
      </c>
      <c r="B7114" s="1" t="n">
        <v>45079</v>
      </c>
      <c r="C7114" s="1" t="n">
        <v>45587</v>
      </c>
      <c r="D7114" t="inlineStr">
        <is>
          <t>GÄVLEBORGS LÄN</t>
        </is>
      </c>
      <c r="E7114" t="inlineStr">
        <is>
          <t>OVANÅKER</t>
        </is>
      </c>
      <c r="F7114" t="inlineStr">
        <is>
          <t>Sveaskog</t>
        </is>
      </c>
      <c r="G7114" t="n">
        <v>5.1</v>
      </c>
      <c r="H7114" t="n">
        <v>0</v>
      </c>
      <c r="I7114" t="n">
        <v>0</v>
      </c>
      <c r="J7114" t="n">
        <v>0</v>
      </c>
      <c r="K7114" t="n">
        <v>0</v>
      </c>
      <c r="L7114" t="n">
        <v>0</v>
      </c>
      <c r="M7114" t="n">
        <v>0</v>
      </c>
      <c r="N7114" t="n">
        <v>0</v>
      </c>
      <c r="O7114" t="n">
        <v>0</v>
      </c>
      <c r="P7114" t="n">
        <v>0</v>
      </c>
      <c r="Q7114" t="n">
        <v>0</v>
      </c>
      <c r="R7114" s="2" t="inlineStr"/>
    </row>
    <row r="7115" ht="15" customHeight="1">
      <c r="A7115" t="inlineStr">
        <is>
          <t>A 24199-2023</t>
        </is>
      </c>
      <c r="B7115" s="1" t="n">
        <v>45079</v>
      </c>
      <c r="C7115" s="1" t="n">
        <v>45587</v>
      </c>
      <c r="D7115" t="inlineStr">
        <is>
          <t>GÄVLEBORGS LÄN</t>
        </is>
      </c>
      <c r="E7115" t="inlineStr">
        <is>
          <t>HUDIKSVALL</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24217-2023</t>
        </is>
      </c>
      <c r="B7116" s="1" t="n">
        <v>45079</v>
      </c>
      <c r="C7116" s="1" t="n">
        <v>45587</v>
      </c>
      <c r="D7116" t="inlineStr">
        <is>
          <t>GÄVLEBORGS LÄN</t>
        </is>
      </c>
      <c r="E7116" t="inlineStr">
        <is>
          <t>HUDIKSVALL</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24221-2023</t>
        </is>
      </c>
      <c r="B7117" s="1" t="n">
        <v>45079</v>
      </c>
      <c r="C7117" s="1" t="n">
        <v>45587</v>
      </c>
      <c r="D7117" t="inlineStr">
        <is>
          <t>GÄVLEBORGS LÄN</t>
        </is>
      </c>
      <c r="E7117" t="inlineStr">
        <is>
          <t>LJUSDAL</t>
        </is>
      </c>
      <c r="F7117" t="inlineStr">
        <is>
          <t>Sveaskog</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24082-2023</t>
        </is>
      </c>
      <c r="B7118" s="1" t="n">
        <v>45079</v>
      </c>
      <c r="C7118" s="1" t="n">
        <v>45587</v>
      </c>
      <c r="D7118" t="inlineStr">
        <is>
          <t>GÄVLEBORGS LÄN</t>
        </is>
      </c>
      <c r="E7118" t="inlineStr">
        <is>
          <t>OVANÅKER</t>
        </is>
      </c>
      <c r="F7118" t="inlineStr">
        <is>
          <t>Sveaskog</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24083-2023</t>
        </is>
      </c>
      <c r="B7119" s="1" t="n">
        <v>45079</v>
      </c>
      <c r="C7119" s="1" t="n">
        <v>45587</v>
      </c>
      <c r="D7119" t="inlineStr">
        <is>
          <t>GÄVLEBORGS LÄN</t>
        </is>
      </c>
      <c r="E7119" t="inlineStr">
        <is>
          <t>OVANÅKER</t>
        </is>
      </c>
      <c r="F7119" t="inlineStr">
        <is>
          <t>Sveaskog</t>
        </is>
      </c>
      <c r="G7119" t="n">
        <v>4.1</v>
      </c>
      <c r="H7119" t="n">
        <v>0</v>
      </c>
      <c r="I7119" t="n">
        <v>0</v>
      </c>
      <c r="J7119" t="n">
        <v>0</v>
      </c>
      <c r="K7119" t="n">
        <v>0</v>
      </c>
      <c r="L7119" t="n">
        <v>0</v>
      </c>
      <c r="M7119" t="n">
        <v>0</v>
      </c>
      <c r="N7119" t="n">
        <v>0</v>
      </c>
      <c r="O7119" t="n">
        <v>0</v>
      </c>
      <c r="P7119" t="n">
        <v>0</v>
      </c>
      <c r="Q7119" t="n">
        <v>0</v>
      </c>
      <c r="R7119" s="2" t="inlineStr"/>
    </row>
    <row r="7120" ht="15" customHeight="1">
      <c r="A7120" t="inlineStr">
        <is>
          <t>A 24088-2023</t>
        </is>
      </c>
      <c r="B7120" s="1" t="n">
        <v>45079</v>
      </c>
      <c r="C7120" s="1" t="n">
        <v>45587</v>
      </c>
      <c r="D7120" t="inlineStr">
        <is>
          <t>GÄVLEBORGS LÄN</t>
        </is>
      </c>
      <c r="E7120" t="inlineStr">
        <is>
          <t>HUDIKSVALL</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24092-2023</t>
        </is>
      </c>
      <c r="B7121" s="1" t="n">
        <v>45079</v>
      </c>
      <c r="C7121" s="1" t="n">
        <v>45587</v>
      </c>
      <c r="D7121" t="inlineStr">
        <is>
          <t>GÄVLEBORGS LÄN</t>
        </is>
      </c>
      <c r="E7121" t="inlineStr">
        <is>
          <t>HUDIKSVALL</t>
        </is>
      </c>
      <c r="F7121" t="inlineStr">
        <is>
          <t>Holmen skog AB</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24096-2023</t>
        </is>
      </c>
      <c r="B7122" s="1" t="n">
        <v>45079</v>
      </c>
      <c r="C7122" s="1" t="n">
        <v>45587</v>
      </c>
      <c r="D7122" t="inlineStr">
        <is>
          <t>GÄVLEBORGS LÄN</t>
        </is>
      </c>
      <c r="E7122" t="inlineStr">
        <is>
          <t>NORDANSTIG</t>
        </is>
      </c>
      <c r="F7122" t="inlineStr">
        <is>
          <t>Holmen skog AB</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24138-2023</t>
        </is>
      </c>
      <c r="B7123" s="1" t="n">
        <v>45079</v>
      </c>
      <c r="C7123" s="1" t="n">
        <v>45587</v>
      </c>
      <c r="D7123" t="inlineStr">
        <is>
          <t>GÄVLEBORGS LÄN</t>
        </is>
      </c>
      <c r="E7123" t="inlineStr">
        <is>
          <t>GÄVLE</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24153-2023</t>
        </is>
      </c>
      <c r="B7124" s="1" t="n">
        <v>45079</v>
      </c>
      <c r="C7124" s="1" t="n">
        <v>45587</v>
      </c>
      <c r="D7124" t="inlineStr">
        <is>
          <t>GÄVLEBORGS LÄN</t>
        </is>
      </c>
      <c r="E7124" t="inlineStr">
        <is>
          <t>SÖDERHAMN</t>
        </is>
      </c>
      <c r="G7124" t="n">
        <v>3.6</v>
      </c>
      <c r="H7124" t="n">
        <v>0</v>
      </c>
      <c r="I7124" t="n">
        <v>0</v>
      </c>
      <c r="J7124" t="n">
        <v>0</v>
      </c>
      <c r="K7124" t="n">
        <v>0</v>
      </c>
      <c r="L7124" t="n">
        <v>0</v>
      </c>
      <c r="M7124" t="n">
        <v>0</v>
      </c>
      <c r="N7124" t="n">
        <v>0</v>
      </c>
      <c r="O7124" t="n">
        <v>0</v>
      </c>
      <c r="P7124" t="n">
        <v>0</v>
      </c>
      <c r="Q7124" t="n">
        <v>0</v>
      </c>
      <c r="R7124" s="2" t="inlineStr"/>
    </row>
    <row r="7125" ht="15" customHeight="1">
      <c r="A7125" t="inlineStr">
        <is>
          <t>A 24106-2023</t>
        </is>
      </c>
      <c r="B7125" s="1" t="n">
        <v>45079</v>
      </c>
      <c r="C7125" s="1" t="n">
        <v>45587</v>
      </c>
      <c r="D7125" t="inlineStr">
        <is>
          <t>GÄVLEBORGS LÄN</t>
        </is>
      </c>
      <c r="E7125" t="inlineStr">
        <is>
          <t>NORDANSTIG</t>
        </is>
      </c>
      <c r="F7125" t="inlineStr">
        <is>
          <t>Holmen skog AB</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24201-2023</t>
        </is>
      </c>
      <c r="B7126" s="1" t="n">
        <v>45079</v>
      </c>
      <c r="C7126" s="1" t="n">
        <v>45587</v>
      </c>
      <c r="D7126" t="inlineStr">
        <is>
          <t>GÄVLEBORGS LÄN</t>
        </is>
      </c>
      <c r="E7126" t="inlineStr">
        <is>
          <t>HUDIKSVALL</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24205-2023</t>
        </is>
      </c>
      <c r="B7127" s="1" t="n">
        <v>45079</v>
      </c>
      <c r="C7127" s="1" t="n">
        <v>45587</v>
      </c>
      <c r="D7127" t="inlineStr">
        <is>
          <t>GÄVLEBORGS LÄN</t>
        </is>
      </c>
      <c r="E7127" t="inlineStr">
        <is>
          <t>HUDIKSVALL</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24209-2023</t>
        </is>
      </c>
      <c r="B7128" s="1" t="n">
        <v>45079</v>
      </c>
      <c r="C7128" s="1" t="n">
        <v>45587</v>
      </c>
      <c r="D7128" t="inlineStr">
        <is>
          <t>GÄVLEBORGS LÄN</t>
        </is>
      </c>
      <c r="E7128" t="inlineStr">
        <is>
          <t>HUDIKSVALL</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24223-2023</t>
        </is>
      </c>
      <c r="B7129" s="1" t="n">
        <v>45079</v>
      </c>
      <c r="C7129" s="1" t="n">
        <v>45587</v>
      </c>
      <c r="D7129" t="inlineStr">
        <is>
          <t>GÄVLEBORGS LÄN</t>
        </is>
      </c>
      <c r="E7129" t="inlineStr">
        <is>
          <t>HUDIKSVALL</t>
        </is>
      </c>
      <c r="G7129" t="n">
        <v>5.4</v>
      </c>
      <c r="H7129" t="n">
        <v>0</v>
      </c>
      <c r="I7129" t="n">
        <v>0</v>
      </c>
      <c r="J7129" t="n">
        <v>0</v>
      </c>
      <c r="K7129" t="n">
        <v>0</v>
      </c>
      <c r="L7129" t="n">
        <v>0</v>
      </c>
      <c r="M7129" t="n">
        <v>0</v>
      </c>
      <c r="N7129" t="n">
        <v>0</v>
      </c>
      <c r="O7129" t="n">
        <v>0</v>
      </c>
      <c r="P7129" t="n">
        <v>0</v>
      </c>
      <c r="Q7129" t="n">
        <v>0</v>
      </c>
      <c r="R7129" s="2" t="inlineStr"/>
    </row>
    <row r="7130" ht="15" customHeight="1">
      <c r="A7130" t="inlineStr">
        <is>
          <t>A 24242-2023</t>
        </is>
      </c>
      <c r="B7130" s="1" t="n">
        <v>45079</v>
      </c>
      <c r="C7130" s="1" t="n">
        <v>45587</v>
      </c>
      <c r="D7130" t="inlineStr">
        <is>
          <t>GÄVLEBORGS LÄN</t>
        </is>
      </c>
      <c r="E7130" t="inlineStr">
        <is>
          <t>NORDANSTIG</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24190-2023</t>
        </is>
      </c>
      <c r="B7131" s="1" t="n">
        <v>45079</v>
      </c>
      <c r="C7131" s="1" t="n">
        <v>45587</v>
      </c>
      <c r="D7131" t="inlineStr">
        <is>
          <t>GÄVLEBORGS LÄN</t>
        </is>
      </c>
      <c r="E7131" t="inlineStr">
        <is>
          <t>LJUSDAL</t>
        </is>
      </c>
      <c r="G7131" t="n">
        <v>5.9</v>
      </c>
      <c r="H7131" t="n">
        <v>0</v>
      </c>
      <c r="I7131" t="n">
        <v>0</v>
      </c>
      <c r="J7131" t="n">
        <v>0</v>
      </c>
      <c r="K7131" t="n">
        <v>0</v>
      </c>
      <c r="L7131" t="n">
        <v>0</v>
      </c>
      <c r="M7131" t="n">
        <v>0</v>
      </c>
      <c r="N7131" t="n">
        <v>0</v>
      </c>
      <c r="O7131" t="n">
        <v>0</v>
      </c>
      <c r="P7131" t="n">
        <v>0</v>
      </c>
      <c r="Q7131" t="n">
        <v>0</v>
      </c>
      <c r="R7131" s="2" t="inlineStr"/>
    </row>
    <row r="7132" ht="15" customHeight="1">
      <c r="A7132" t="inlineStr">
        <is>
          <t>A 24210-2023</t>
        </is>
      </c>
      <c r="B7132" s="1" t="n">
        <v>45079</v>
      </c>
      <c r="C7132" s="1" t="n">
        <v>45587</v>
      </c>
      <c r="D7132" t="inlineStr">
        <is>
          <t>GÄVLEBORGS LÄN</t>
        </is>
      </c>
      <c r="E7132" t="inlineStr">
        <is>
          <t>HUDIKSVALL</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24258-2023</t>
        </is>
      </c>
      <c r="B7133" s="1" t="n">
        <v>45079</v>
      </c>
      <c r="C7133" s="1" t="n">
        <v>45587</v>
      </c>
      <c r="D7133" t="inlineStr">
        <is>
          <t>GÄVLEBORGS LÄN</t>
        </is>
      </c>
      <c r="E7133" t="inlineStr">
        <is>
          <t>OVANÅKER</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24208-2023</t>
        </is>
      </c>
      <c r="B7134" s="1" t="n">
        <v>45079</v>
      </c>
      <c r="C7134" s="1" t="n">
        <v>45587</v>
      </c>
      <c r="D7134" t="inlineStr">
        <is>
          <t>GÄVLEBORGS LÄN</t>
        </is>
      </c>
      <c r="E7134" t="inlineStr">
        <is>
          <t>NORDANSTIG</t>
        </is>
      </c>
      <c r="F7134" t="inlineStr">
        <is>
          <t>Holmen skog AB</t>
        </is>
      </c>
      <c r="G7134" t="n">
        <v>8.800000000000001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24213-2023</t>
        </is>
      </c>
      <c r="B7135" s="1" t="n">
        <v>45079</v>
      </c>
      <c r="C7135" s="1" t="n">
        <v>45587</v>
      </c>
      <c r="D7135" t="inlineStr">
        <is>
          <t>GÄVLEBORGS LÄN</t>
        </is>
      </c>
      <c r="E7135" t="inlineStr">
        <is>
          <t>HUDIKSVALL</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24237-2023</t>
        </is>
      </c>
      <c r="B7136" s="1" t="n">
        <v>45079</v>
      </c>
      <c r="C7136" s="1" t="n">
        <v>45587</v>
      </c>
      <c r="D7136" t="inlineStr">
        <is>
          <t>GÄVLEBORGS LÄN</t>
        </is>
      </c>
      <c r="E7136" t="inlineStr">
        <is>
          <t>LJUSDAL</t>
        </is>
      </c>
      <c r="F7136" t="inlineStr">
        <is>
          <t>Sveaskog</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24480-2023</t>
        </is>
      </c>
      <c r="B7137" s="1" t="n">
        <v>45082</v>
      </c>
      <c r="C7137" s="1" t="n">
        <v>45587</v>
      </c>
      <c r="D7137" t="inlineStr">
        <is>
          <t>GÄVLEBORGS LÄN</t>
        </is>
      </c>
      <c r="E7137" t="inlineStr">
        <is>
          <t>GÄVLE</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24508-2023</t>
        </is>
      </c>
      <c r="B7138" s="1" t="n">
        <v>45082</v>
      </c>
      <c r="C7138" s="1" t="n">
        <v>45587</v>
      </c>
      <c r="D7138" t="inlineStr">
        <is>
          <t>GÄVLEBORGS LÄN</t>
        </is>
      </c>
      <c r="E7138" t="inlineStr">
        <is>
          <t>BOLLNÄS</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24372-2023</t>
        </is>
      </c>
      <c r="B7139" s="1" t="n">
        <v>45082</v>
      </c>
      <c r="C7139" s="1" t="n">
        <v>45587</v>
      </c>
      <c r="D7139" t="inlineStr">
        <is>
          <t>GÄVLEBORGS LÄN</t>
        </is>
      </c>
      <c r="E7139" t="inlineStr">
        <is>
          <t>HUDIKSVALL</t>
        </is>
      </c>
      <c r="G7139" t="n">
        <v>5.9</v>
      </c>
      <c r="H7139" t="n">
        <v>0</v>
      </c>
      <c r="I7139" t="n">
        <v>0</v>
      </c>
      <c r="J7139" t="n">
        <v>0</v>
      </c>
      <c r="K7139" t="n">
        <v>0</v>
      </c>
      <c r="L7139" t="n">
        <v>0</v>
      </c>
      <c r="M7139" t="n">
        <v>0</v>
      </c>
      <c r="N7139" t="n">
        <v>0</v>
      </c>
      <c r="O7139" t="n">
        <v>0</v>
      </c>
      <c r="P7139" t="n">
        <v>0</v>
      </c>
      <c r="Q7139" t="n">
        <v>0</v>
      </c>
      <c r="R7139" s="2" t="inlineStr"/>
    </row>
    <row r="7140" ht="15" customHeight="1">
      <c r="A7140" t="inlineStr">
        <is>
          <t>A 24465-2023</t>
        </is>
      </c>
      <c r="B7140" s="1" t="n">
        <v>45082</v>
      </c>
      <c r="C7140" s="1" t="n">
        <v>45587</v>
      </c>
      <c r="D7140" t="inlineStr">
        <is>
          <t>GÄVLEBORGS LÄN</t>
        </is>
      </c>
      <c r="E7140" t="inlineStr">
        <is>
          <t>SANDVIKEN</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24478-2023</t>
        </is>
      </c>
      <c r="B7141" s="1" t="n">
        <v>45082</v>
      </c>
      <c r="C7141" s="1" t="n">
        <v>45587</v>
      </c>
      <c r="D7141" t="inlineStr">
        <is>
          <t>GÄVLEBORGS LÄN</t>
        </is>
      </c>
      <c r="E7141" t="inlineStr">
        <is>
          <t>GÄVLE</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24412-2023</t>
        </is>
      </c>
      <c r="B7142" s="1" t="n">
        <v>45082</v>
      </c>
      <c r="C7142" s="1" t="n">
        <v>45587</v>
      </c>
      <c r="D7142" t="inlineStr">
        <is>
          <t>GÄVLEBORGS LÄN</t>
        </is>
      </c>
      <c r="E7142" t="inlineStr">
        <is>
          <t>HUDIKSVALL</t>
        </is>
      </c>
      <c r="F7142" t="inlineStr">
        <is>
          <t>Holmen skog AB</t>
        </is>
      </c>
      <c r="G7142" t="n">
        <v>8.800000000000001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24445-2023</t>
        </is>
      </c>
      <c r="B7143" s="1" t="n">
        <v>45082</v>
      </c>
      <c r="C7143" s="1" t="n">
        <v>45587</v>
      </c>
      <c r="D7143" t="inlineStr">
        <is>
          <t>GÄVLEBORGS LÄN</t>
        </is>
      </c>
      <c r="E7143" t="inlineStr">
        <is>
          <t>HUDIKSVALL</t>
        </is>
      </c>
      <c r="F7143" t="inlineStr">
        <is>
          <t>Holmen skog AB</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24472-2023</t>
        </is>
      </c>
      <c r="B7144" s="1" t="n">
        <v>45082</v>
      </c>
      <c r="C7144" s="1" t="n">
        <v>45587</v>
      </c>
      <c r="D7144" t="inlineStr">
        <is>
          <t>GÄVLEBORGS LÄN</t>
        </is>
      </c>
      <c r="E7144" t="inlineStr">
        <is>
          <t>BOLLNÄS</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24470-2023</t>
        </is>
      </c>
      <c r="B7145" s="1" t="n">
        <v>45082</v>
      </c>
      <c r="C7145" s="1" t="n">
        <v>45587</v>
      </c>
      <c r="D7145" t="inlineStr">
        <is>
          <t>GÄVLEBORGS LÄN</t>
        </is>
      </c>
      <c r="E7145" t="inlineStr">
        <is>
          <t>SANDVIKEN</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24516-2023</t>
        </is>
      </c>
      <c r="B7146" s="1" t="n">
        <v>45082</v>
      </c>
      <c r="C7146" s="1" t="n">
        <v>45587</v>
      </c>
      <c r="D7146" t="inlineStr">
        <is>
          <t>GÄVLEBORGS LÄN</t>
        </is>
      </c>
      <c r="E7146" t="inlineStr">
        <is>
          <t>BOLLNÄS</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24571-2023</t>
        </is>
      </c>
      <c r="B7147" s="1" t="n">
        <v>45083</v>
      </c>
      <c r="C7147" s="1" t="n">
        <v>45587</v>
      </c>
      <c r="D7147" t="inlineStr">
        <is>
          <t>GÄVLEBORGS LÄN</t>
        </is>
      </c>
      <c r="E7147" t="inlineStr">
        <is>
          <t>LJUSDAL</t>
        </is>
      </c>
      <c r="F7147" t="inlineStr">
        <is>
          <t>Allmännings- och besparingsskogar</t>
        </is>
      </c>
      <c r="G7147" t="n">
        <v>8.199999999999999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24646-2023</t>
        </is>
      </c>
      <c r="B7148" s="1" t="n">
        <v>45084</v>
      </c>
      <c r="C7148" s="1" t="n">
        <v>45587</v>
      </c>
      <c r="D7148" t="inlineStr">
        <is>
          <t>GÄVLEBORGS LÄN</t>
        </is>
      </c>
      <c r="E7148" t="inlineStr">
        <is>
          <t>HOFORS</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24654-2023</t>
        </is>
      </c>
      <c r="B7149" s="1" t="n">
        <v>45084</v>
      </c>
      <c r="C7149" s="1" t="n">
        <v>45587</v>
      </c>
      <c r="D7149" t="inlineStr">
        <is>
          <t>GÄVLEBORGS LÄN</t>
        </is>
      </c>
      <c r="E7149" t="inlineStr">
        <is>
          <t>LJUSDAL</t>
        </is>
      </c>
      <c r="F7149" t="inlineStr">
        <is>
          <t>Sveaskog</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24682-2023</t>
        </is>
      </c>
      <c r="B7150" s="1" t="n">
        <v>45084</v>
      </c>
      <c r="C7150" s="1" t="n">
        <v>45587</v>
      </c>
      <c r="D7150" t="inlineStr">
        <is>
          <t>GÄVLEBORGS LÄN</t>
        </is>
      </c>
      <c r="E7150" t="inlineStr">
        <is>
          <t>BOLLNÄS</t>
        </is>
      </c>
      <c r="F7150" t="inlineStr">
        <is>
          <t>Bergvik skog väst AB</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24723-2023</t>
        </is>
      </c>
      <c r="B7151" s="1" t="n">
        <v>45084</v>
      </c>
      <c r="C7151" s="1" t="n">
        <v>45587</v>
      </c>
      <c r="D7151" t="inlineStr">
        <is>
          <t>GÄVLEBORGS LÄN</t>
        </is>
      </c>
      <c r="E7151" t="inlineStr">
        <is>
          <t>OCKELBO</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24651-2023</t>
        </is>
      </c>
      <c r="B7152" s="1" t="n">
        <v>45084</v>
      </c>
      <c r="C7152" s="1" t="n">
        <v>45587</v>
      </c>
      <c r="D7152" t="inlineStr">
        <is>
          <t>GÄVLEBORGS LÄN</t>
        </is>
      </c>
      <c r="E7152" t="inlineStr">
        <is>
          <t>BOLLNÄS</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24745-2023</t>
        </is>
      </c>
      <c r="B7153" s="1" t="n">
        <v>45084</v>
      </c>
      <c r="C7153" s="1" t="n">
        <v>45587</v>
      </c>
      <c r="D7153" t="inlineStr">
        <is>
          <t>GÄVLEBORGS LÄN</t>
        </is>
      </c>
      <c r="E7153" t="inlineStr">
        <is>
          <t>BOLLNÄS</t>
        </is>
      </c>
      <c r="F7153" t="inlineStr">
        <is>
          <t>Bergvik skog väst AB</t>
        </is>
      </c>
      <c r="G7153" t="n">
        <v>4.4</v>
      </c>
      <c r="H7153" t="n">
        <v>0</v>
      </c>
      <c r="I7153" t="n">
        <v>0</v>
      </c>
      <c r="J7153" t="n">
        <v>0</v>
      </c>
      <c r="K7153" t="n">
        <v>0</v>
      </c>
      <c r="L7153" t="n">
        <v>0</v>
      </c>
      <c r="M7153" t="n">
        <v>0</v>
      </c>
      <c r="N7153" t="n">
        <v>0</v>
      </c>
      <c r="O7153" t="n">
        <v>0</v>
      </c>
      <c r="P7153" t="n">
        <v>0</v>
      </c>
      <c r="Q7153" t="n">
        <v>0</v>
      </c>
      <c r="R7153" s="2" t="inlineStr"/>
    </row>
    <row r="7154" ht="15" customHeight="1">
      <c r="A7154" t="inlineStr">
        <is>
          <t>A 24715-2023</t>
        </is>
      </c>
      <c r="B7154" s="1" t="n">
        <v>45084</v>
      </c>
      <c r="C7154" s="1" t="n">
        <v>45587</v>
      </c>
      <c r="D7154" t="inlineStr">
        <is>
          <t>GÄVLEBORGS LÄN</t>
        </is>
      </c>
      <c r="E7154" t="inlineStr">
        <is>
          <t>BOLLNÄS</t>
        </is>
      </c>
      <c r="F7154" t="inlineStr">
        <is>
          <t>Bergvik skog väst AB</t>
        </is>
      </c>
      <c r="G7154" t="n">
        <v>6.3</v>
      </c>
      <c r="H7154" t="n">
        <v>0</v>
      </c>
      <c r="I7154" t="n">
        <v>0</v>
      </c>
      <c r="J7154" t="n">
        <v>0</v>
      </c>
      <c r="K7154" t="n">
        <v>0</v>
      </c>
      <c r="L7154" t="n">
        <v>0</v>
      </c>
      <c r="M7154" t="n">
        <v>0</v>
      </c>
      <c r="N7154" t="n">
        <v>0</v>
      </c>
      <c r="O7154" t="n">
        <v>0</v>
      </c>
      <c r="P7154" t="n">
        <v>0</v>
      </c>
      <c r="Q7154" t="n">
        <v>0</v>
      </c>
      <c r="R7154" s="2" t="inlineStr"/>
    </row>
    <row r="7155" ht="15" customHeight="1">
      <c r="A7155" t="inlineStr">
        <is>
          <t>A 24720-2023</t>
        </is>
      </c>
      <c r="B7155" s="1" t="n">
        <v>45084</v>
      </c>
      <c r="C7155" s="1" t="n">
        <v>45587</v>
      </c>
      <c r="D7155" t="inlineStr">
        <is>
          <t>GÄVLEBORGS LÄN</t>
        </is>
      </c>
      <c r="E7155" t="inlineStr">
        <is>
          <t>GÄVLE</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24724-2023</t>
        </is>
      </c>
      <c r="B7156" s="1" t="n">
        <v>45084</v>
      </c>
      <c r="C7156" s="1" t="n">
        <v>45587</v>
      </c>
      <c r="D7156" t="inlineStr">
        <is>
          <t>GÄVLEBORGS LÄN</t>
        </is>
      </c>
      <c r="E7156" t="inlineStr">
        <is>
          <t>GÄVLE</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24618-2023</t>
        </is>
      </c>
      <c r="B7157" s="1" t="n">
        <v>45084</v>
      </c>
      <c r="C7157" s="1" t="n">
        <v>45587</v>
      </c>
      <c r="D7157" t="inlineStr">
        <is>
          <t>GÄVLEBORGS LÄN</t>
        </is>
      </c>
      <c r="E7157" t="inlineStr">
        <is>
          <t>GÄVLE</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24649-2023</t>
        </is>
      </c>
      <c r="B7158" s="1" t="n">
        <v>45084</v>
      </c>
      <c r="C7158" s="1" t="n">
        <v>45587</v>
      </c>
      <c r="D7158" t="inlineStr">
        <is>
          <t>GÄVLEBORGS LÄN</t>
        </is>
      </c>
      <c r="E7158" t="inlineStr">
        <is>
          <t>OCKELBO</t>
        </is>
      </c>
      <c r="G7158" t="n">
        <v>6.6</v>
      </c>
      <c r="H7158" t="n">
        <v>0</v>
      </c>
      <c r="I7158" t="n">
        <v>0</v>
      </c>
      <c r="J7158" t="n">
        <v>0</v>
      </c>
      <c r="K7158" t="n">
        <v>0</v>
      </c>
      <c r="L7158" t="n">
        <v>0</v>
      </c>
      <c r="M7158" t="n">
        <v>0</v>
      </c>
      <c r="N7158" t="n">
        <v>0</v>
      </c>
      <c r="O7158" t="n">
        <v>0</v>
      </c>
      <c r="P7158" t="n">
        <v>0</v>
      </c>
      <c r="Q7158" t="n">
        <v>0</v>
      </c>
      <c r="R7158" s="2" t="inlineStr"/>
    </row>
    <row r="7159" ht="15" customHeight="1">
      <c r="A7159" t="inlineStr">
        <is>
          <t>A 24653-2023</t>
        </is>
      </c>
      <c r="B7159" s="1" t="n">
        <v>45084</v>
      </c>
      <c r="C7159" s="1" t="n">
        <v>45587</v>
      </c>
      <c r="D7159" t="inlineStr">
        <is>
          <t>GÄVLEBORGS LÄN</t>
        </is>
      </c>
      <c r="E7159" t="inlineStr">
        <is>
          <t>BOLLNÄS</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24667-2023</t>
        </is>
      </c>
      <c r="B7160" s="1" t="n">
        <v>45084</v>
      </c>
      <c r="C7160" s="1" t="n">
        <v>45587</v>
      </c>
      <c r="D7160" t="inlineStr">
        <is>
          <t>GÄVLEBORGS LÄN</t>
        </is>
      </c>
      <c r="E7160" t="inlineStr">
        <is>
          <t>BOLLNÄS</t>
        </is>
      </c>
      <c r="F7160" t="inlineStr">
        <is>
          <t>Bergvik skog väst AB</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24722-2023</t>
        </is>
      </c>
      <c r="B7161" s="1" t="n">
        <v>45084</v>
      </c>
      <c r="C7161" s="1" t="n">
        <v>45587</v>
      </c>
      <c r="D7161" t="inlineStr">
        <is>
          <t>GÄVLEBORGS LÄN</t>
        </is>
      </c>
      <c r="E7161" t="inlineStr">
        <is>
          <t>BOLLNÄS</t>
        </is>
      </c>
      <c r="F7161" t="inlineStr">
        <is>
          <t>Bergvik skog väst AB</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24769-2023</t>
        </is>
      </c>
      <c r="B7162" s="1" t="n">
        <v>45084</v>
      </c>
      <c r="C7162" s="1" t="n">
        <v>45587</v>
      </c>
      <c r="D7162" t="inlineStr">
        <is>
          <t>GÄVLEBORGS LÄN</t>
        </is>
      </c>
      <c r="E7162" t="inlineStr">
        <is>
          <t>HOFORS</t>
        </is>
      </c>
      <c r="F7162" t="inlineStr">
        <is>
          <t>Sveaskog</t>
        </is>
      </c>
      <c r="G7162" t="n">
        <v>10.6</v>
      </c>
      <c r="H7162" t="n">
        <v>0</v>
      </c>
      <c r="I7162" t="n">
        <v>0</v>
      </c>
      <c r="J7162" t="n">
        <v>0</v>
      </c>
      <c r="K7162" t="n">
        <v>0</v>
      </c>
      <c r="L7162" t="n">
        <v>0</v>
      </c>
      <c r="M7162" t="n">
        <v>0</v>
      </c>
      <c r="N7162" t="n">
        <v>0</v>
      </c>
      <c r="O7162" t="n">
        <v>0</v>
      </c>
      <c r="P7162" t="n">
        <v>0</v>
      </c>
      <c r="Q7162" t="n">
        <v>0</v>
      </c>
      <c r="R7162" s="2" t="inlineStr"/>
    </row>
    <row r="7163" ht="15" customHeight="1">
      <c r="A7163" t="inlineStr">
        <is>
          <t>A 24764-2023</t>
        </is>
      </c>
      <c r="B7163" s="1" t="n">
        <v>45084</v>
      </c>
      <c r="C7163" s="1" t="n">
        <v>45587</v>
      </c>
      <c r="D7163" t="inlineStr">
        <is>
          <t>GÄVLEBORGS LÄN</t>
        </is>
      </c>
      <c r="E7163" t="inlineStr">
        <is>
          <t>HUDIKSVALL</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24772-2023</t>
        </is>
      </c>
      <c r="B7164" s="1" t="n">
        <v>45084</v>
      </c>
      <c r="C7164" s="1" t="n">
        <v>45587</v>
      </c>
      <c r="D7164" t="inlineStr">
        <is>
          <t>GÄVLEBORGS LÄN</t>
        </is>
      </c>
      <c r="E7164" t="inlineStr">
        <is>
          <t>HOFORS</t>
        </is>
      </c>
      <c r="F7164" t="inlineStr">
        <is>
          <t>Sveaskog</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24766-2023</t>
        </is>
      </c>
      <c r="B7165" s="1" t="n">
        <v>45084</v>
      </c>
      <c r="C7165" s="1" t="n">
        <v>45587</v>
      </c>
      <c r="D7165" t="inlineStr">
        <is>
          <t>GÄVLEBORGS LÄN</t>
        </is>
      </c>
      <c r="E7165" t="inlineStr">
        <is>
          <t>SÖDERHAMN</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24779-2023</t>
        </is>
      </c>
      <c r="B7166" s="1" t="n">
        <v>45084</v>
      </c>
      <c r="C7166" s="1" t="n">
        <v>45587</v>
      </c>
      <c r="D7166" t="inlineStr">
        <is>
          <t>GÄVLEBORGS LÄN</t>
        </is>
      </c>
      <c r="E7166" t="inlineStr">
        <is>
          <t>HUDIKSVALL</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24815-2023</t>
        </is>
      </c>
      <c r="B7167" s="1" t="n">
        <v>45084</v>
      </c>
      <c r="C7167" s="1" t="n">
        <v>45587</v>
      </c>
      <c r="D7167" t="inlineStr">
        <is>
          <t>GÄVLEBORGS LÄN</t>
        </is>
      </c>
      <c r="E7167" t="inlineStr">
        <is>
          <t>BOLLNÄS</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24890-2023</t>
        </is>
      </c>
      <c r="B7168" s="1" t="n">
        <v>45085</v>
      </c>
      <c r="C7168" s="1" t="n">
        <v>45587</v>
      </c>
      <c r="D7168" t="inlineStr">
        <is>
          <t>GÄVLEBORGS LÄN</t>
        </is>
      </c>
      <c r="E7168" t="inlineStr">
        <is>
          <t>HUDIKSVALL</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24885-2023</t>
        </is>
      </c>
      <c r="B7169" s="1" t="n">
        <v>45085</v>
      </c>
      <c r="C7169" s="1" t="n">
        <v>45587</v>
      </c>
      <c r="D7169" t="inlineStr">
        <is>
          <t>GÄVLEBORGS LÄN</t>
        </is>
      </c>
      <c r="E7169" t="inlineStr">
        <is>
          <t>HUDIKSVALL</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24919-2023</t>
        </is>
      </c>
      <c r="B7170" s="1" t="n">
        <v>45085</v>
      </c>
      <c r="C7170" s="1" t="n">
        <v>45587</v>
      </c>
      <c r="D7170" t="inlineStr">
        <is>
          <t>GÄVLEBORGS LÄN</t>
        </is>
      </c>
      <c r="E7170" t="inlineStr">
        <is>
          <t>GÄVLE</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24958-2023</t>
        </is>
      </c>
      <c r="B7171" s="1" t="n">
        <v>45085</v>
      </c>
      <c r="C7171" s="1" t="n">
        <v>45587</v>
      </c>
      <c r="D7171" t="inlineStr">
        <is>
          <t>GÄVLEBORGS LÄN</t>
        </is>
      </c>
      <c r="E7171" t="inlineStr">
        <is>
          <t>BOLLNÄS</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24989-2023</t>
        </is>
      </c>
      <c r="B7172" s="1" t="n">
        <v>45085</v>
      </c>
      <c r="C7172" s="1" t="n">
        <v>45587</v>
      </c>
      <c r="D7172" t="inlineStr">
        <is>
          <t>GÄVLEBORGS LÄN</t>
        </is>
      </c>
      <c r="E7172" t="inlineStr">
        <is>
          <t>HOFORS</t>
        </is>
      </c>
      <c r="F7172" t="inlineStr">
        <is>
          <t>Sveaskog</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24988-2023</t>
        </is>
      </c>
      <c r="B7173" s="1" t="n">
        <v>45085</v>
      </c>
      <c r="C7173" s="1" t="n">
        <v>45587</v>
      </c>
      <c r="D7173" t="inlineStr">
        <is>
          <t>GÄVLEBORGS LÄN</t>
        </is>
      </c>
      <c r="E7173" t="inlineStr">
        <is>
          <t>HOFORS</t>
        </is>
      </c>
      <c r="F7173" t="inlineStr">
        <is>
          <t>Sveaskog</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24992-2023</t>
        </is>
      </c>
      <c r="B7174" s="1" t="n">
        <v>45085</v>
      </c>
      <c r="C7174" s="1" t="n">
        <v>45587</v>
      </c>
      <c r="D7174" t="inlineStr">
        <is>
          <t>GÄVLEBORGS LÄN</t>
        </is>
      </c>
      <c r="E7174" t="inlineStr">
        <is>
          <t>SANDVIKEN</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25089-2023</t>
        </is>
      </c>
      <c r="B7175" s="1" t="n">
        <v>45086</v>
      </c>
      <c r="C7175" s="1" t="n">
        <v>45587</v>
      </c>
      <c r="D7175" t="inlineStr">
        <is>
          <t>GÄVLEBORGS LÄN</t>
        </is>
      </c>
      <c r="E7175" t="inlineStr">
        <is>
          <t>LJUSDAL</t>
        </is>
      </c>
      <c r="F7175" t="inlineStr">
        <is>
          <t>Bergvik skog väst AB</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25116-2023</t>
        </is>
      </c>
      <c r="B7176" s="1" t="n">
        <v>45086</v>
      </c>
      <c r="C7176" s="1" t="n">
        <v>45587</v>
      </c>
      <c r="D7176" t="inlineStr">
        <is>
          <t>GÄVLEBORGS LÄN</t>
        </is>
      </c>
      <c r="E7176" t="inlineStr">
        <is>
          <t>SANDVIKEN</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25224-2023</t>
        </is>
      </c>
      <c r="B7177" s="1" t="n">
        <v>45086</v>
      </c>
      <c r="C7177" s="1" t="n">
        <v>45587</v>
      </c>
      <c r="D7177" t="inlineStr">
        <is>
          <t>GÄVLEBORGS LÄN</t>
        </is>
      </c>
      <c r="E7177" t="inlineStr">
        <is>
          <t>SÖDERHAMN</t>
        </is>
      </c>
      <c r="G7177" t="n">
        <v>9.9</v>
      </c>
      <c r="H7177" t="n">
        <v>0</v>
      </c>
      <c r="I7177" t="n">
        <v>0</v>
      </c>
      <c r="J7177" t="n">
        <v>0</v>
      </c>
      <c r="K7177" t="n">
        <v>0</v>
      </c>
      <c r="L7177" t="n">
        <v>0</v>
      </c>
      <c r="M7177" t="n">
        <v>0</v>
      </c>
      <c r="N7177" t="n">
        <v>0</v>
      </c>
      <c r="O7177" t="n">
        <v>0</v>
      </c>
      <c r="P7177" t="n">
        <v>0</v>
      </c>
      <c r="Q7177" t="n">
        <v>0</v>
      </c>
      <c r="R7177" s="2" t="inlineStr"/>
    </row>
    <row r="7178" ht="15" customHeight="1">
      <c r="A7178" t="inlineStr">
        <is>
          <t>A 25252-2023</t>
        </is>
      </c>
      <c r="B7178" s="1" t="n">
        <v>45086</v>
      </c>
      <c r="C7178" s="1" t="n">
        <v>45587</v>
      </c>
      <c r="D7178" t="inlineStr">
        <is>
          <t>GÄVLEBORGS LÄN</t>
        </is>
      </c>
      <c r="E7178" t="inlineStr">
        <is>
          <t>LJUSDAL</t>
        </is>
      </c>
      <c r="F7178" t="inlineStr">
        <is>
          <t>Sveaskog</t>
        </is>
      </c>
      <c r="G7178" t="n">
        <v>9.699999999999999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25071-2023</t>
        </is>
      </c>
      <c r="B7179" s="1" t="n">
        <v>45086</v>
      </c>
      <c r="C7179" s="1" t="n">
        <v>45587</v>
      </c>
      <c r="D7179" t="inlineStr">
        <is>
          <t>GÄVLEBORGS LÄN</t>
        </is>
      </c>
      <c r="E7179" t="inlineStr">
        <is>
          <t>GÄVLE</t>
        </is>
      </c>
      <c r="F7179" t="inlineStr">
        <is>
          <t>Kyrkan</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25081-2023</t>
        </is>
      </c>
      <c r="B7180" s="1" t="n">
        <v>45086</v>
      </c>
      <c r="C7180" s="1" t="n">
        <v>45587</v>
      </c>
      <c r="D7180" t="inlineStr">
        <is>
          <t>GÄVLEBORGS LÄN</t>
        </is>
      </c>
      <c r="E7180" t="inlineStr">
        <is>
          <t>OVANÅKER</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25084-2023</t>
        </is>
      </c>
      <c r="B7181" s="1" t="n">
        <v>45086</v>
      </c>
      <c r="C7181" s="1" t="n">
        <v>45587</v>
      </c>
      <c r="D7181" t="inlineStr">
        <is>
          <t>GÄVLEBORGS LÄN</t>
        </is>
      </c>
      <c r="E7181" t="inlineStr">
        <is>
          <t>NORDANSTIG</t>
        </is>
      </c>
      <c r="F7181" t="inlineStr">
        <is>
          <t>Holmen skog AB</t>
        </is>
      </c>
      <c r="G7181" t="n">
        <v>4.9</v>
      </c>
      <c r="H7181" t="n">
        <v>0</v>
      </c>
      <c r="I7181" t="n">
        <v>0</v>
      </c>
      <c r="J7181" t="n">
        <v>0</v>
      </c>
      <c r="K7181" t="n">
        <v>0</v>
      </c>
      <c r="L7181" t="n">
        <v>0</v>
      </c>
      <c r="M7181" t="n">
        <v>0</v>
      </c>
      <c r="N7181" t="n">
        <v>0</v>
      </c>
      <c r="O7181" t="n">
        <v>0</v>
      </c>
      <c r="P7181" t="n">
        <v>0</v>
      </c>
      <c r="Q7181" t="n">
        <v>0</v>
      </c>
      <c r="R7181" s="2" t="inlineStr"/>
    </row>
    <row r="7182" ht="15" customHeight="1">
      <c r="A7182" t="inlineStr">
        <is>
          <t>A 25112-2023</t>
        </is>
      </c>
      <c r="B7182" s="1" t="n">
        <v>45086</v>
      </c>
      <c r="C7182" s="1" t="n">
        <v>45587</v>
      </c>
      <c r="D7182" t="inlineStr">
        <is>
          <t>GÄVLEBORGS LÄN</t>
        </is>
      </c>
      <c r="E7182" t="inlineStr">
        <is>
          <t>LJUSDAL</t>
        </is>
      </c>
      <c r="F7182" t="inlineStr">
        <is>
          <t>Bergvik skog väst AB</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25185-2023</t>
        </is>
      </c>
      <c r="B7183" s="1" t="n">
        <v>45086</v>
      </c>
      <c r="C7183" s="1" t="n">
        <v>45587</v>
      </c>
      <c r="D7183" t="inlineStr">
        <is>
          <t>GÄVLEBORGS LÄN</t>
        </is>
      </c>
      <c r="E7183" t="inlineStr">
        <is>
          <t>GÄVLE</t>
        </is>
      </c>
      <c r="F7183" t="inlineStr">
        <is>
          <t>Bergvik skog öst AB</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25091-2023</t>
        </is>
      </c>
      <c r="B7184" s="1" t="n">
        <v>45086</v>
      </c>
      <c r="C7184" s="1" t="n">
        <v>45587</v>
      </c>
      <c r="D7184" t="inlineStr">
        <is>
          <t>GÄVLEBORGS LÄN</t>
        </is>
      </c>
      <c r="E7184" t="inlineStr">
        <is>
          <t>LJUSDAL</t>
        </is>
      </c>
      <c r="F7184" t="inlineStr">
        <is>
          <t>Bergvik skog väst AB</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25107-2023</t>
        </is>
      </c>
      <c r="B7185" s="1" t="n">
        <v>45086</v>
      </c>
      <c r="C7185" s="1" t="n">
        <v>45587</v>
      </c>
      <c r="D7185" t="inlineStr">
        <is>
          <t>GÄVLEBORGS LÄN</t>
        </is>
      </c>
      <c r="E7185" t="inlineStr">
        <is>
          <t>OCKELBO</t>
        </is>
      </c>
      <c r="F7185" t="inlineStr">
        <is>
          <t>Kyrkan</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25190-2023</t>
        </is>
      </c>
      <c r="B7186" s="1" t="n">
        <v>45086</v>
      </c>
      <c r="C7186" s="1" t="n">
        <v>45587</v>
      </c>
      <c r="D7186" t="inlineStr">
        <is>
          <t>GÄVLEBORGS LÄN</t>
        </is>
      </c>
      <c r="E7186" t="inlineStr">
        <is>
          <t>OVANÅKER</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25294-2023</t>
        </is>
      </c>
      <c r="B7187" s="1" t="n">
        <v>45086</v>
      </c>
      <c r="C7187" s="1" t="n">
        <v>45587</v>
      </c>
      <c r="D7187" t="inlineStr">
        <is>
          <t>GÄVLEBORGS LÄN</t>
        </is>
      </c>
      <c r="E7187" t="inlineStr">
        <is>
          <t>NORDANSTIG</t>
        </is>
      </c>
      <c r="F7187" t="inlineStr">
        <is>
          <t>Holmen skog AB</t>
        </is>
      </c>
      <c r="G7187" t="n">
        <v>7.8</v>
      </c>
      <c r="H7187" t="n">
        <v>0</v>
      </c>
      <c r="I7187" t="n">
        <v>0</v>
      </c>
      <c r="J7187" t="n">
        <v>0</v>
      </c>
      <c r="K7187" t="n">
        <v>0</v>
      </c>
      <c r="L7187" t="n">
        <v>0</v>
      </c>
      <c r="M7187" t="n">
        <v>0</v>
      </c>
      <c r="N7187" t="n">
        <v>0</v>
      </c>
      <c r="O7187" t="n">
        <v>0</v>
      </c>
      <c r="P7187" t="n">
        <v>0</v>
      </c>
      <c r="Q7187" t="n">
        <v>0</v>
      </c>
      <c r="R7187" s="2" t="inlineStr"/>
    </row>
    <row r="7188" ht="15" customHeight="1">
      <c r="A7188" t="inlineStr">
        <is>
          <t>A 25101-2023</t>
        </is>
      </c>
      <c r="B7188" s="1" t="n">
        <v>45086</v>
      </c>
      <c r="C7188" s="1" t="n">
        <v>45587</v>
      </c>
      <c r="D7188" t="inlineStr">
        <is>
          <t>GÄVLEBORGS LÄN</t>
        </is>
      </c>
      <c r="E7188" t="inlineStr">
        <is>
          <t>OVANÅKER</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25132-2023</t>
        </is>
      </c>
      <c r="B7189" s="1" t="n">
        <v>45086</v>
      </c>
      <c r="C7189" s="1" t="n">
        <v>45587</v>
      </c>
      <c r="D7189" t="inlineStr">
        <is>
          <t>GÄVLEBORGS LÄN</t>
        </is>
      </c>
      <c r="E7189" t="inlineStr">
        <is>
          <t>SÖDERHAMN</t>
        </is>
      </c>
      <c r="F7189" t="inlineStr">
        <is>
          <t>Bergvik skog väst AB</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25162-2023</t>
        </is>
      </c>
      <c r="B7190" s="1" t="n">
        <v>45086</v>
      </c>
      <c r="C7190" s="1" t="n">
        <v>45587</v>
      </c>
      <c r="D7190" t="inlineStr">
        <is>
          <t>GÄVLEBORGS LÄN</t>
        </is>
      </c>
      <c r="E7190" t="inlineStr">
        <is>
          <t>OVANÅKER</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25177-2023</t>
        </is>
      </c>
      <c r="B7191" s="1" t="n">
        <v>45086</v>
      </c>
      <c r="C7191" s="1" t="n">
        <v>45587</v>
      </c>
      <c r="D7191" t="inlineStr">
        <is>
          <t>GÄVLEBORGS LÄN</t>
        </is>
      </c>
      <c r="E7191" t="inlineStr">
        <is>
          <t>BOLLNÄS</t>
        </is>
      </c>
      <c r="F7191" t="inlineStr">
        <is>
          <t>Sveaskog</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25187-2023</t>
        </is>
      </c>
      <c r="B7192" s="1" t="n">
        <v>45086</v>
      </c>
      <c r="C7192" s="1" t="n">
        <v>45587</v>
      </c>
      <c r="D7192" t="inlineStr">
        <is>
          <t>GÄVLEBORGS LÄN</t>
        </is>
      </c>
      <c r="E7192" t="inlineStr">
        <is>
          <t>OVANÅKER</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25353-2023</t>
        </is>
      </c>
      <c r="B7193" s="1" t="n">
        <v>45088</v>
      </c>
      <c r="C7193" s="1" t="n">
        <v>45587</v>
      </c>
      <c r="D7193" t="inlineStr">
        <is>
          <t>GÄVLEBORGS LÄN</t>
        </is>
      </c>
      <c r="E7193" t="inlineStr">
        <is>
          <t>LJUSDAL</t>
        </is>
      </c>
      <c r="F7193" t="inlineStr">
        <is>
          <t>SCA</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25354-2023</t>
        </is>
      </c>
      <c r="B7194" s="1" t="n">
        <v>45088</v>
      </c>
      <c r="C7194" s="1" t="n">
        <v>45587</v>
      </c>
      <c r="D7194" t="inlineStr">
        <is>
          <t>GÄVLEBORGS LÄN</t>
        </is>
      </c>
      <c r="E7194" t="inlineStr">
        <is>
          <t>LJUSDAL</t>
        </is>
      </c>
      <c r="F7194" t="inlineStr">
        <is>
          <t>SCA</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25357-2023</t>
        </is>
      </c>
      <c r="B7195" s="1" t="n">
        <v>45088</v>
      </c>
      <c r="C7195" s="1" t="n">
        <v>45587</v>
      </c>
      <c r="D7195" t="inlineStr">
        <is>
          <t>GÄVLEBORGS LÄN</t>
        </is>
      </c>
      <c r="E7195" t="inlineStr">
        <is>
          <t>SANDVIKEN</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25356-2023</t>
        </is>
      </c>
      <c r="B7196" s="1" t="n">
        <v>45088</v>
      </c>
      <c r="C7196" s="1" t="n">
        <v>45587</v>
      </c>
      <c r="D7196" t="inlineStr">
        <is>
          <t>GÄVLEBORGS LÄN</t>
        </is>
      </c>
      <c r="E7196" t="inlineStr">
        <is>
          <t>SANDVIKEN</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25398-2023</t>
        </is>
      </c>
      <c r="B7197" s="1" t="n">
        <v>45089</v>
      </c>
      <c r="C7197" s="1" t="n">
        <v>45587</v>
      </c>
      <c r="D7197" t="inlineStr">
        <is>
          <t>GÄVLEBORGS LÄN</t>
        </is>
      </c>
      <c r="E7197" t="inlineStr">
        <is>
          <t>LJUSDAL</t>
        </is>
      </c>
      <c r="F7197" t="inlineStr">
        <is>
          <t>Allmännings- och besparingsskogar</t>
        </is>
      </c>
      <c r="G7197" t="n">
        <v>24.7</v>
      </c>
      <c r="H7197" t="n">
        <v>0</v>
      </c>
      <c r="I7197" t="n">
        <v>0</v>
      </c>
      <c r="J7197" t="n">
        <v>0</v>
      </c>
      <c r="K7197" t="n">
        <v>0</v>
      </c>
      <c r="L7197" t="n">
        <v>0</v>
      </c>
      <c r="M7197" t="n">
        <v>0</v>
      </c>
      <c r="N7197" t="n">
        <v>0</v>
      </c>
      <c r="O7197" t="n">
        <v>0</v>
      </c>
      <c r="P7197" t="n">
        <v>0</v>
      </c>
      <c r="Q7197" t="n">
        <v>0</v>
      </c>
      <c r="R7197" s="2" t="inlineStr"/>
    </row>
    <row r="7198" ht="15" customHeight="1">
      <c r="A7198" t="inlineStr">
        <is>
          <t>A 25479-2023</t>
        </is>
      </c>
      <c r="B7198" s="1" t="n">
        <v>45089</v>
      </c>
      <c r="C7198" s="1" t="n">
        <v>45587</v>
      </c>
      <c r="D7198" t="inlineStr">
        <is>
          <t>GÄVLEBORGS LÄN</t>
        </is>
      </c>
      <c r="E7198" t="inlineStr">
        <is>
          <t>SANDVIKEN</t>
        </is>
      </c>
      <c r="G7198" t="n">
        <v>4.1</v>
      </c>
      <c r="H7198" t="n">
        <v>0</v>
      </c>
      <c r="I7198" t="n">
        <v>0</v>
      </c>
      <c r="J7198" t="n">
        <v>0</v>
      </c>
      <c r="K7198" t="n">
        <v>0</v>
      </c>
      <c r="L7198" t="n">
        <v>0</v>
      </c>
      <c r="M7198" t="n">
        <v>0</v>
      </c>
      <c r="N7198" t="n">
        <v>0</v>
      </c>
      <c r="O7198" t="n">
        <v>0</v>
      </c>
      <c r="P7198" t="n">
        <v>0</v>
      </c>
      <c r="Q7198" t="n">
        <v>0</v>
      </c>
      <c r="R7198" s="2" t="inlineStr"/>
    </row>
    <row r="7199" ht="15" customHeight="1">
      <c r="A7199" t="inlineStr">
        <is>
          <t>A 25377-2023</t>
        </is>
      </c>
      <c r="B7199" s="1" t="n">
        <v>45089</v>
      </c>
      <c r="C7199" s="1" t="n">
        <v>45587</v>
      </c>
      <c r="D7199" t="inlineStr">
        <is>
          <t>GÄVLEBORGS LÄN</t>
        </is>
      </c>
      <c r="E7199" t="inlineStr">
        <is>
          <t>HUDIKSVALL</t>
        </is>
      </c>
      <c r="F7199" t="inlineStr">
        <is>
          <t>Holmen skog AB</t>
        </is>
      </c>
      <c r="G7199" t="n">
        <v>4.1</v>
      </c>
      <c r="H7199" t="n">
        <v>0</v>
      </c>
      <c r="I7199" t="n">
        <v>0</v>
      </c>
      <c r="J7199" t="n">
        <v>0</v>
      </c>
      <c r="K7199" t="n">
        <v>0</v>
      </c>
      <c r="L7199" t="n">
        <v>0</v>
      </c>
      <c r="M7199" t="n">
        <v>0</v>
      </c>
      <c r="N7199" t="n">
        <v>0</v>
      </c>
      <c r="O7199" t="n">
        <v>0</v>
      </c>
      <c r="P7199" t="n">
        <v>0</v>
      </c>
      <c r="Q7199" t="n">
        <v>0</v>
      </c>
      <c r="R7199" s="2" t="inlineStr"/>
    </row>
    <row r="7200" ht="15" customHeight="1">
      <c r="A7200" t="inlineStr">
        <is>
          <t>A 25415-2023</t>
        </is>
      </c>
      <c r="B7200" s="1" t="n">
        <v>45089</v>
      </c>
      <c r="C7200" s="1" t="n">
        <v>45587</v>
      </c>
      <c r="D7200" t="inlineStr">
        <is>
          <t>GÄVLEBORGS LÄN</t>
        </is>
      </c>
      <c r="E7200" t="inlineStr">
        <is>
          <t>LJUSDAL</t>
        </is>
      </c>
      <c r="F7200" t="inlineStr">
        <is>
          <t>Allmännings- och besparingsskogar</t>
        </is>
      </c>
      <c r="G7200" t="n">
        <v>6.8</v>
      </c>
      <c r="H7200" t="n">
        <v>0</v>
      </c>
      <c r="I7200" t="n">
        <v>0</v>
      </c>
      <c r="J7200" t="n">
        <v>0</v>
      </c>
      <c r="K7200" t="n">
        <v>0</v>
      </c>
      <c r="L7200" t="n">
        <v>0</v>
      </c>
      <c r="M7200" t="n">
        <v>0</v>
      </c>
      <c r="N7200" t="n">
        <v>0</v>
      </c>
      <c r="O7200" t="n">
        <v>0</v>
      </c>
      <c r="P7200" t="n">
        <v>0</v>
      </c>
      <c r="Q7200" t="n">
        <v>0</v>
      </c>
      <c r="R7200" s="2" t="inlineStr"/>
    </row>
    <row r="7201" ht="15" customHeight="1">
      <c r="A7201" t="inlineStr">
        <is>
          <t>A 25610-2023</t>
        </is>
      </c>
      <c r="B7201" s="1" t="n">
        <v>45089</v>
      </c>
      <c r="C7201" s="1" t="n">
        <v>45587</v>
      </c>
      <c r="D7201" t="inlineStr">
        <is>
          <t>GÄVLEBORGS LÄN</t>
        </is>
      </c>
      <c r="E7201" t="inlineStr">
        <is>
          <t>BOLLNÄS</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25466-2023</t>
        </is>
      </c>
      <c r="B7202" s="1" t="n">
        <v>45089</v>
      </c>
      <c r="C7202" s="1" t="n">
        <v>45587</v>
      </c>
      <c r="D7202" t="inlineStr">
        <is>
          <t>GÄVLEBORGS LÄN</t>
        </is>
      </c>
      <c r="E7202" t="inlineStr">
        <is>
          <t>GÄVLE</t>
        </is>
      </c>
      <c r="G7202" t="n">
        <v>5.5</v>
      </c>
      <c r="H7202" t="n">
        <v>0</v>
      </c>
      <c r="I7202" t="n">
        <v>0</v>
      </c>
      <c r="J7202" t="n">
        <v>0</v>
      </c>
      <c r="K7202" t="n">
        <v>0</v>
      </c>
      <c r="L7202" t="n">
        <v>0</v>
      </c>
      <c r="M7202" t="n">
        <v>0</v>
      </c>
      <c r="N7202" t="n">
        <v>0</v>
      </c>
      <c r="O7202" t="n">
        <v>0</v>
      </c>
      <c r="P7202" t="n">
        <v>0</v>
      </c>
      <c r="Q7202" t="n">
        <v>0</v>
      </c>
      <c r="R7202" s="2" t="inlineStr"/>
    </row>
    <row r="7203" ht="15" customHeight="1">
      <c r="A7203" t="inlineStr">
        <is>
          <t>A 25465-2023</t>
        </is>
      </c>
      <c r="B7203" s="1" t="n">
        <v>45089</v>
      </c>
      <c r="C7203" s="1" t="n">
        <v>45587</v>
      </c>
      <c r="D7203" t="inlineStr">
        <is>
          <t>GÄVLEBORGS LÄN</t>
        </is>
      </c>
      <c r="E7203" t="inlineStr">
        <is>
          <t>SÖDERHAMN</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25532-2023</t>
        </is>
      </c>
      <c r="B7204" s="1" t="n">
        <v>45089</v>
      </c>
      <c r="C7204" s="1" t="n">
        <v>45587</v>
      </c>
      <c r="D7204" t="inlineStr">
        <is>
          <t>GÄVLEBORGS LÄN</t>
        </is>
      </c>
      <c r="E7204" t="inlineStr">
        <is>
          <t>GÄVLE</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25545-2023</t>
        </is>
      </c>
      <c r="B7205" s="1" t="n">
        <v>45089</v>
      </c>
      <c r="C7205" s="1" t="n">
        <v>45587</v>
      </c>
      <c r="D7205" t="inlineStr">
        <is>
          <t>GÄVLEBORGS LÄN</t>
        </is>
      </c>
      <c r="E7205" t="inlineStr">
        <is>
          <t>BOLLNÄS</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25607-2023</t>
        </is>
      </c>
      <c r="B7206" s="1" t="n">
        <v>45089</v>
      </c>
      <c r="C7206" s="1" t="n">
        <v>45587</v>
      </c>
      <c r="D7206" t="inlineStr">
        <is>
          <t>GÄVLEBORGS LÄN</t>
        </is>
      </c>
      <c r="E7206" t="inlineStr">
        <is>
          <t>GÄVLE</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25564-2023</t>
        </is>
      </c>
      <c r="B7207" s="1" t="n">
        <v>45089</v>
      </c>
      <c r="C7207" s="1" t="n">
        <v>45587</v>
      </c>
      <c r="D7207" t="inlineStr">
        <is>
          <t>GÄVLEBORGS LÄN</t>
        </is>
      </c>
      <c r="E7207" t="inlineStr">
        <is>
          <t>LJUSDAL</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25631-2023</t>
        </is>
      </c>
      <c r="B7208" s="1" t="n">
        <v>45089</v>
      </c>
      <c r="C7208" s="1" t="n">
        <v>45587</v>
      </c>
      <c r="D7208" t="inlineStr">
        <is>
          <t>GÄVLEBORGS LÄN</t>
        </is>
      </c>
      <c r="E7208" t="inlineStr">
        <is>
          <t>NORDANSTIG</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25645-2023</t>
        </is>
      </c>
      <c r="B7209" s="1" t="n">
        <v>45089</v>
      </c>
      <c r="C7209" s="1" t="n">
        <v>45587</v>
      </c>
      <c r="D7209" t="inlineStr">
        <is>
          <t>GÄVLEBORGS LÄN</t>
        </is>
      </c>
      <c r="E7209" t="inlineStr">
        <is>
          <t>GÄVLE</t>
        </is>
      </c>
      <c r="F7209" t="inlineStr">
        <is>
          <t>Bergvik skog öst AB</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25665-2023</t>
        </is>
      </c>
      <c r="B7210" s="1" t="n">
        <v>45089</v>
      </c>
      <c r="C7210" s="1" t="n">
        <v>45587</v>
      </c>
      <c r="D7210" t="inlineStr">
        <is>
          <t>GÄVLEBORGS LÄN</t>
        </is>
      </c>
      <c r="E7210" t="inlineStr">
        <is>
          <t>NORDANSTIG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25664-2023</t>
        </is>
      </c>
      <c r="B7211" s="1" t="n">
        <v>45090</v>
      </c>
      <c r="C7211" s="1" t="n">
        <v>45587</v>
      </c>
      <c r="D7211" t="inlineStr">
        <is>
          <t>GÄVLEBORGS LÄN</t>
        </is>
      </c>
      <c r="E7211" t="inlineStr">
        <is>
          <t>NORDANSTIG</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25646-2023</t>
        </is>
      </c>
      <c r="B7212" s="1" t="n">
        <v>45089</v>
      </c>
      <c r="C7212" s="1" t="n">
        <v>45587</v>
      </c>
      <c r="D7212" t="inlineStr">
        <is>
          <t>GÄVLEBORGS LÄN</t>
        </is>
      </c>
      <c r="E7212" t="inlineStr">
        <is>
          <t>GÄVLE</t>
        </is>
      </c>
      <c r="F7212" t="inlineStr">
        <is>
          <t>Bergvik skog öst AB</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25650-2023</t>
        </is>
      </c>
      <c r="B7213" s="1" t="n">
        <v>45089</v>
      </c>
      <c r="C7213" s="1" t="n">
        <v>45587</v>
      </c>
      <c r="D7213" t="inlineStr">
        <is>
          <t>GÄVLEBORGS LÄN</t>
        </is>
      </c>
      <c r="E7213" t="inlineStr">
        <is>
          <t>GÄVLE</t>
        </is>
      </c>
      <c r="F7213" t="inlineStr">
        <is>
          <t>Bergvik skog öst AB</t>
        </is>
      </c>
      <c r="G7213" t="n">
        <v>4</v>
      </c>
      <c r="H7213" t="n">
        <v>0</v>
      </c>
      <c r="I7213" t="n">
        <v>0</v>
      </c>
      <c r="J7213" t="n">
        <v>0</v>
      </c>
      <c r="K7213" t="n">
        <v>0</v>
      </c>
      <c r="L7213" t="n">
        <v>0</v>
      </c>
      <c r="M7213" t="n">
        <v>0</v>
      </c>
      <c r="N7213" t="n">
        <v>0</v>
      </c>
      <c r="O7213" t="n">
        <v>0</v>
      </c>
      <c r="P7213" t="n">
        <v>0</v>
      </c>
      <c r="Q7213" t="n">
        <v>0</v>
      </c>
      <c r="R7213" s="2" t="inlineStr"/>
    </row>
    <row r="7214" ht="15" customHeight="1">
      <c r="A7214" t="inlineStr">
        <is>
          <t>A 25660-2023</t>
        </is>
      </c>
      <c r="B7214" s="1" t="n">
        <v>45089</v>
      </c>
      <c r="C7214" s="1" t="n">
        <v>45587</v>
      </c>
      <c r="D7214" t="inlineStr">
        <is>
          <t>GÄVLEBORGS LÄN</t>
        </is>
      </c>
      <c r="E7214" t="inlineStr">
        <is>
          <t>SÖDERHAMN</t>
        </is>
      </c>
      <c r="G7214" t="n">
        <v>3.3</v>
      </c>
      <c r="H7214" t="n">
        <v>0</v>
      </c>
      <c r="I7214" t="n">
        <v>0</v>
      </c>
      <c r="J7214" t="n">
        <v>0</v>
      </c>
      <c r="K7214" t="n">
        <v>0</v>
      </c>
      <c r="L7214" t="n">
        <v>0</v>
      </c>
      <c r="M7214" t="n">
        <v>0</v>
      </c>
      <c r="N7214" t="n">
        <v>0</v>
      </c>
      <c r="O7214" t="n">
        <v>0</v>
      </c>
      <c r="P7214" t="n">
        <v>0</v>
      </c>
      <c r="Q7214" t="n">
        <v>0</v>
      </c>
      <c r="R7214" s="2" t="inlineStr"/>
    </row>
    <row r="7215" ht="15" customHeight="1">
      <c r="A7215" t="inlineStr">
        <is>
          <t>A 25668-2023</t>
        </is>
      </c>
      <c r="B7215" s="1" t="n">
        <v>45090</v>
      </c>
      <c r="C7215" s="1" t="n">
        <v>45587</v>
      </c>
      <c r="D7215" t="inlineStr">
        <is>
          <t>GÄVLEBORGS LÄN</t>
        </is>
      </c>
      <c r="E7215" t="inlineStr">
        <is>
          <t>LJUSDAL</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25812-2023</t>
        </is>
      </c>
      <c r="B7216" s="1" t="n">
        <v>45090</v>
      </c>
      <c r="C7216" s="1" t="n">
        <v>45587</v>
      </c>
      <c r="D7216" t="inlineStr">
        <is>
          <t>GÄVLEBORGS LÄN</t>
        </is>
      </c>
      <c r="E7216" t="inlineStr">
        <is>
          <t>GÄVLE</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25822-2023</t>
        </is>
      </c>
      <c r="B7217" s="1" t="n">
        <v>45090</v>
      </c>
      <c r="C7217" s="1" t="n">
        <v>45587</v>
      </c>
      <c r="D7217" t="inlineStr">
        <is>
          <t>GÄVLEBORGS LÄN</t>
        </is>
      </c>
      <c r="E7217" t="inlineStr">
        <is>
          <t>LJUSDAL</t>
        </is>
      </c>
      <c r="F7217" t="inlineStr">
        <is>
          <t>Allmännings- och besparingsskogar</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25877-2023</t>
        </is>
      </c>
      <c r="B7218" s="1" t="n">
        <v>45090</v>
      </c>
      <c r="C7218" s="1" t="n">
        <v>45587</v>
      </c>
      <c r="D7218" t="inlineStr">
        <is>
          <t>GÄVLEBORGS LÄN</t>
        </is>
      </c>
      <c r="E7218" t="inlineStr">
        <is>
          <t>BOLLNÄS</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25788-2023</t>
        </is>
      </c>
      <c r="B7219" s="1" t="n">
        <v>45090</v>
      </c>
      <c r="C7219" s="1" t="n">
        <v>45587</v>
      </c>
      <c r="D7219" t="inlineStr">
        <is>
          <t>GÄVLEBORGS LÄN</t>
        </is>
      </c>
      <c r="E7219" t="inlineStr">
        <is>
          <t>OVANÅKER</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25792-2023</t>
        </is>
      </c>
      <c r="B7220" s="1" t="n">
        <v>45090</v>
      </c>
      <c r="C7220" s="1" t="n">
        <v>45587</v>
      </c>
      <c r="D7220" t="inlineStr">
        <is>
          <t>GÄVLEBORGS LÄN</t>
        </is>
      </c>
      <c r="E7220" t="inlineStr">
        <is>
          <t>BOLLNÄS</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25867-2023</t>
        </is>
      </c>
      <c r="B7221" s="1" t="n">
        <v>45090</v>
      </c>
      <c r="C7221" s="1" t="n">
        <v>45587</v>
      </c>
      <c r="D7221" t="inlineStr">
        <is>
          <t>GÄVLEBORGS LÄN</t>
        </is>
      </c>
      <c r="E7221" t="inlineStr">
        <is>
          <t>SÖDERHAMN</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25873-2023</t>
        </is>
      </c>
      <c r="B7222" s="1" t="n">
        <v>45090</v>
      </c>
      <c r="C7222" s="1" t="n">
        <v>45587</v>
      </c>
      <c r="D7222" t="inlineStr">
        <is>
          <t>GÄVLEBORGS LÄN</t>
        </is>
      </c>
      <c r="E7222" t="inlineStr">
        <is>
          <t>BOLLNÄS</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25886-2023</t>
        </is>
      </c>
      <c r="B7223" s="1" t="n">
        <v>45090</v>
      </c>
      <c r="C7223" s="1" t="n">
        <v>45587</v>
      </c>
      <c r="D7223" t="inlineStr">
        <is>
          <t>GÄVLEBORGS LÄN</t>
        </is>
      </c>
      <c r="E7223" t="inlineStr">
        <is>
          <t>BOLLNÄS</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25893-2023</t>
        </is>
      </c>
      <c r="B7224" s="1" t="n">
        <v>45090</v>
      </c>
      <c r="C7224" s="1" t="n">
        <v>45587</v>
      </c>
      <c r="D7224" t="inlineStr">
        <is>
          <t>GÄVLEBORGS LÄN</t>
        </is>
      </c>
      <c r="E7224" t="inlineStr">
        <is>
          <t>BOLLNÄS</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25864-2023</t>
        </is>
      </c>
      <c r="B7225" s="1" t="n">
        <v>45090</v>
      </c>
      <c r="C7225" s="1" t="n">
        <v>45587</v>
      </c>
      <c r="D7225" t="inlineStr">
        <is>
          <t>GÄVLEBORGS LÄN</t>
        </is>
      </c>
      <c r="E7225" t="inlineStr">
        <is>
          <t>BOLLNÄS</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25991-2023</t>
        </is>
      </c>
      <c r="B7226" s="1" t="n">
        <v>45091</v>
      </c>
      <c r="C7226" s="1" t="n">
        <v>45587</v>
      </c>
      <c r="D7226" t="inlineStr">
        <is>
          <t>GÄVLEBORGS LÄN</t>
        </is>
      </c>
      <c r="E7226" t="inlineStr">
        <is>
          <t>LJUSDAL</t>
        </is>
      </c>
      <c r="G7226" t="n">
        <v>9.5</v>
      </c>
      <c r="H7226" t="n">
        <v>0</v>
      </c>
      <c r="I7226" t="n">
        <v>0</v>
      </c>
      <c r="J7226" t="n">
        <v>0</v>
      </c>
      <c r="K7226" t="n">
        <v>0</v>
      </c>
      <c r="L7226" t="n">
        <v>0</v>
      </c>
      <c r="M7226" t="n">
        <v>0</v>
      </c>
      <c r="N7226" t="n">
        <v>0</v>
      </c>
      <c r="O7226" t="n">
        <v>0</v>
      </c>
      <c r="P7226" t="n">
        <v>0</v>
      </c>
      <c r="Q7226" t="n">
        <v>0</v>
      </c>
      <c r="R7226" s="2" t="inlineStr"/>
    </row>
    <row r="7227" ht="15" customHeight="1">
      <c r="A7227" t="inlineStr">
        <is>
          <t>A 25995-2023</t>
        </is>
      </c>
      <c r="B7227" s="1" t="n">
        <v>45091</v>
      </c>
      <c r="C7227" s="1" t="n">
        <v>45587</v>
      </c>
      <c r="D7227" t="inlineStr">
        <is>
          <t>GÄVLEBORGS LÄN</t>
        </is>
      </c>
      <c r="E7227" t="inlineStr">
        <is>
          <t>SÖDERHAMN</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25929-2023</t>
        </is>
      </c>
      <c r="B7228" s="1" t="n">
        <v>45090</v>
      </c>
      <c r="C7228" s="1" t="n">
        <v>45587</v>
      </c>
      <c r="D7228" t="inlineStr">
        <is>
          <t>GÄVLEBORGS LÄN</t>
        </is>
      </c>
      <c r="E7228" t="inlineStr">
        <is>
          <t>LJUSDAL</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26015-2023</t>
        </is>
      </c>
      <c r="B7229" s="1" t="n">
        <v>45090</v>
      </c>
      <c r="C7229" s="1" t="n">
        <v>45587</v>
      </c>
      <c r="D7229" t="inlineStr">
        <is>
          <t>GÄVLEBORGS LÄN</t>
        </is>
      </c>
      <c r="E7229" t="inlineStr">
        <is>
          <t>SÖDERHAMN</t>
        </is>
      </c>
      <c r="G7229" t="n">
        <v>18.7</v>
      </c>
      <c r="H7229" t="n">
        <v>0</v>
      </c>
      <c r="I7229" t="n">
        <v>0</v>
      </c>
      <c r="J7229" t="n">
        <v>0</v>
      </c>
      <c r="K7229" t="n">
        <v>0</v>
      </c>
      <c r="L7229" t="n">
        <v>0</v>
      </c>
      <c r="M7229" t="n">
        <v>0</v>
      </c>
      <c r="N7229" t="n">
        <v>0</v>
      </c>
      <c r="O7229" t="n">
        <v>0</v>
      </c>
      <c r="P7229" t="n">
        <v>0</v>
      </c>
      <c r="Q7229" t="n">
        <v>0</v>
      </c>
      <c r="R7229" s="2" t="inlineStr"/>
    </row>
    <row r="7230" ht="15" customHeight="1">
      <c r="A7230" t="inlineStr">
        <is>
          <t>A 25992-2023</t>
        </is>
      </c>
      <c r="B7230" s="1" t="n">
        <v>45090</v>
      </c>
      <c r="C7230" s="1" t="n">
        <v>45587</v>
      </c>
      <c r="D7230" t="inlineStr">
        <is>
          <t>GÄVLEBORGS LÄN</t>
        </is>
      </c>
      <c r="E7230" t="inlineStr">
        <is>
          <t>LJUSDAL</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25782-2023</t>
        </is>
      </c>
      <c r="B7231" s="1" t="n">
        <v>45090</v>
      </c>
      <c r="C7231" s="1" t="n">
        <v>45587</v>
      </c>
      <c r="D7231" t="inlineStr">
        <is>
          <t>GÄVLEBORGS LÄN</t>
        </is>
      </c>
      <c r="E7231" t="inlineStr">
        <is>
          <t>BOLLNÄS</t>
        </is>
      </c>
      <c r="G7231" t="n">
        <v>16.9</v>
      </c>
      <c r="H7231" t="n">
        <v>0</v>
      </c>
      <c r="I7231" t="n">
        <v>0</v>
      </c>
      <c r="J7231" t="n">
        <v>0</v>
      </c>
      <c r="K7231" t="n">
        <v>0</v>
      </c>
      <c r="L7231" t="n">
        <v>0</v>
      </c>
      <c r="M7231" t="n">
        <v>0</v>
      </c>
      <c r="N7231" t="n">
        <v>0</v>
      </c>
      <c r="O7231" t="n">
        <v>0</v>
      </c>
      <c r="P7231" t="n">
        <v>0</v>
      </c>
      <c r="Q7231" t="n">
        <v>0</v>
      </c>
      <c r="R7231" s="2" t="inlineStr"/>
    </row>
    <row r="7232" ht="15" customHeight="1">
      <c r="A7232" t="inlineStr">
        <is>
          <t>A 25810-2023</t>
        </is>
      </c>
      <c r="B7232" s="1" t="n">
        <v>45090</v>
      </c>
      <c r="C7232" s="1" t="n">
        <v>45587</v>
      </c>
      <c r="D7232" t="inlineStr">
        <is>
          <t>GÄVLEBORGS LÄN</t>
        </is>
      </c>
      <c r="E7232" t="inlineStr">
        <is>
          <t>GÄVLE</t>
        </is>
      </c>
      <c r="G7232" t="n">
        <v>3.7</v>
      </c>
      <c r="H7232" t="n">
        <v>0</v>
      </c>
      <c r="I7232" t="n">
        <v>0</v>
      </c>
      <c r="J7232" t="n">
        <v>0</v>
      </c>
      <c r="K7232" t="n">
        <v>0</v>
      </c>
      <c r="L7232" t="n">
        <v>0</v>
      </c>
      <c r="M7232" t="n">
        <v>0</v>
      </c>
      <c r="N7232" t="n">
        <v>0</v>
      </c>
      <c r="O7232" t="n">
        <v>0</v>
      </c>
      <c r="P7232" t="n">
        <v>0</v>
      </c>
      <c r="Q7232" t="n">
        <v>0</v>
      </c>
      <c r="R7232" s="2" t="inlineStr"/>
    </row>
    <row r="7233" ht="15" customHeight="1">
      <c r="A7233" t="inlineStr">
        <is>
          <t>A 25814-2023</t>
        </is>
      </c>
      <c r="B7233" s="1" t="n">
        <v>45090</v>
      </c>
      <c r="C7233" s="1" t="n">
        <v>45587</v>
      </c>
      <c r="D7233" t="inlineStr">
        <is>
          <t>GÄVLEBORGS LÄN</t>
        </is>
      </c>
      <c r="E7233" t="inlineStr">
        <is>
          <t>GÄVLE</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25863-2023</t>
        </is>
      </c>
      <c r="B7234" s="1" t="n">
        <v>45090</v>
      </c>
      <c r="C7234" s="1" t="n">
        <v>45587</v>
      </c>
      <c r="D7234" t="inlineStr">
        <is>
          <t>GÄVLEBORGS LÄN</t>
        </is>
      </c>
      <c r="E7234" t="inlineStr">
        <is>
          <t>BOLLNÄS</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25946-2023</t>
        </is>
      </c>
      <c r="B7235" s="1" t="n">
        <v>45090</v>
      </c>
      <c r="C7235" s="1" t="n">
        <v>45587</v>
      </c>
      <c r="D7235" t="inlineStr">
        <is>
          <t>GÄVLEBORGS LÄN</t>
        </is>
      </c>
      <c r="E7235" t="inlineStr">
        <is>
          <t>NORDANSTIG</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26281-2023</t>
        </is>
      </c>
      <c r="B7236" s="1" t="n">
        <v>45091</v>
      </c>
      <c r="C7236" s="1" t="n">
        <v>45587</v>
      </c>
      <c r="D7236" t="inlineStr">
        <is>
          <t>GÄVLEBORGS LÄN</t>
        </is>
      </c>
      <c r="E7236" t="inlineStr">
        <is>
          <t>OCKELBO</t>
        </is>
      </c>
      <c r="F7236" t="inlineStr">
        <is>
          <t>Bergvik skog väst AB</t>
        </is>
      </c>
      <c r="G7236" t="n">
        <v>8.5</v>
      </c>
      <c r="H7236" t="n">
        <v>0</v>
      </c>
      <c r="I7236" t="n">
        <v>0</v>
      </c>
      <c r="J7236" t="n">
        <v>0</v>
      </c>
      <c r="K7236" t="n">
        <v>0</v>
      </c>
      <c r="L7236" t="n">
        <v>0</v>
      </c>
      <c r="M7236" t="n">
        <v>0</v>
      </c>
      <c r="N7236" t="n">
        <v>0</v>
      </c>
      <c r="O7236" t="n">
        <v>0</v>
      </c>
      <c r="P7236" t="n">
        <v>0</v>
      </c>
      <c r="Q7236" t="n">
        <v>0</v>
      </c>
      <c r="R7236" s="2" t="inlineStr"/>
    </row>
    <row r="7237" ht="15" customHeight="1">
      <c r="A7237" t="inlineStr">
        <is>
          <t>A 26264-2023</t>
        </is>
      </c>
      <c r="B7237" s="1" t="n">
        <v>45091</v>
      </c>
      <c r="C7237" s="1" t="n">
        <v>45587</v>
      </c>
      <c r="D7237" t="inlineStr">
        <is>
          <t>GÄVLEBORGS LÄN</t>
        </is>
      </c>
      <c r="E7237" t="inlineStr">
        <is>
          <t>LJUSDAL</t>
        </is>
      </c>
      <c r="G7237" t="n">
        <v>6.3</v>
      </c>
      <c r="H7237" t="n">
        <v>0</v>
      </c>
      <c r="I7237" t="n">
        <v>0</v>
      </c>
      <c r="J7237" t="n">
        <v>0</v>
      </c>
      <c r="K7237" t="n">
        <v>0</v>
      </c>
      <c r="L7237" t="n">
        <v>0</v>
      </c>
      <c r="M7237" t="n">
        <v>0</v>
      </c>
      <c r="N7237" t="n">
        <v>0</v>
      </c>
      <c r="O7237" t="n">
        <v>0</v>
      </c>
      <c r="P7237" t="n">
        <v>0</v>
      </c>
      <c r="Q7237" t="n">
        <v>0</v>
      </c>
      <c r="R7237" s="2" t="inlineStr"/>
    </row>
    <row r="7238" ht="15" customHeight="1">
      <c r="A7238" t="inlineStr">
        <is>
          <t>A 26200-2023</t>
        </is>
      </c>
      <c r="B7238" s="1" t="n">
        <v>45091</v>
      </c>
      <c r="C7238" s="1" t="n">
        <v>45587</v>
      </c>
      <c r="D7238" t="inlineStr">
        <is>
          <t>GÄVLEBORGS LÄN</t>
        </is>
      </c>
      <c r="E7238" t="inlineStr">
        <is>
          <t>OVANÅKER</t>
        </is>
      </c>
      <c r="F7238" t="inlineStr">
        <is>
          <t>Bergvik skog väst AB</t>
        </is>
      </c>
      <c r="G7238" t="n">
        <v>7.2</v>
      </c>
      <c r="H7238" t="n">
        <v>0</v>
      </c>
      <c r="I7238" t="n">
        <v>0</v>
      </c>
      <c r="J7238" t="n">
        <v>0</v>
      </c>
      <c r="K7238" t="n">
        <v>0</v>
      </c>
      <c r="L7238" t="n">
        <v>0</v>
      </c>
      <c r="M7238" t="n">
        <v>0</v>
      </c>
      <c r="N7238" t="n">
        <v>0</v>
      </c>
      <c r="O7238" t="n">
        <v>0</v>
      </c>
      <c r="P7238" t="n">
        <v>0</v>
      </c>
      <c r="Q7238" t="n">
        <v>0</v>
      </c>
      <c r="R7238" s="2" t="inlineStr"/>
    </row>
    <row r="7239" ht="15" customHeight="1">
      <c r="A7239" t="inlineStr">
        <is>
          <t>A 26188-2023</t>
        </is>
      </c>
      <c r="B7239" s="1" t="n">
        <v>45091</v>
      </c>
      <c r="C7239" s="1" t="n">
        <v>45587</v>
      </c>
      <c r="D7239" t="inlineStr">
        <is>
          <t>GÄVLEBORGS LÄN</t>
        </is>
      </c>
      <c r="E7239" t="inlineStr">
        <is>
          <t>OVANÅKER</t>
        </is>
      </c>
      <c r="F7239" t="inlineStr">
        <is>
          <t>Bergvik skog väst AB</t>
        </is>
      </c>
      <c r="G7239" t="n">
        <v>5.3</v>
      </c>
      <c r="H7239" t="n">
        <v>0</v>
      </c>
      <c r="I7239" t="n">
        <v>0</v>
      </c>
      <c r="J7239" t="n">
        <v>0</v>
      </c>
      <c r="K7239" t="n">
        <v>0</v>
      </c>
      <c r="L7239" t="n">
        <v>0</v>
      </c>
      <c r="M7239" t="n">
        <v>0</v>
      </c>
      <c r="N7239" t="n">
        <v>0</v>
      </c>
      <c r="O7239" t="n">
        <v>0</v>
      </c>
      <c r="P7239" t="n">
        <v>0</v>
      </c>
      <c r="Q7239" t="n">
        <v>0</v>
      </c>
      <c r="R7239" s="2" t="inlineStr"/>
    </row>
    <row r="7240" ht="15" customHeight="1">
      <c r="A7240" t="inlineStr">
        <is>
          <t>A 26184-2023</t>
        </is>
      </c>
      <c r="B7240" s="1" t="n">
        <v>45091</v>
      </c>
      <c r="C7240" s="1" t="n">
        <v>45587</v>
      </c>
      <c r="D7240" t="inlineStr">
        <is>
          <t>GÄVLEBORGS LÄN</t>
        </is>
      </c>
      <c r="E7240" t="inlineStr">
        <is>
          <t>LJUSDAL</t>
        </is>
      </c>
      <c r="F7240" t="inlineStr">
        <is>
          <t>Sveaskog</t>
        </is>
      </c>
      <c r="G7240" t="n">
        <v>11.8</v>
      </c>
      <c r="H7240" t="n">
        <v>0</v>
      </c>
      <c r="I7240" t="n">
        <v>0</v>
      </c>
      <c r="J7240" t="n">
        <v>0</v>
      </c>
      <c r="K7240" t="n">
        <v>0</v>
      </c>
      <c r="L7240" t="n">
        <v>0</v>
      </c>
      <c r="M7240" t="n">
        <v>0</v>
      </c>
      <c r="N7240" t="n">
        <v>0</v>
      </c>
      <c r="O7240" t="n">
        <v>0</v>
      </c>
      <c r="P7240" t="n">
        <v>0</v>
      </c>
      <c r="Q7240" t="n">
        <v>0</v>
      </c>
      <c r="R7240" s="2" t="inlineStr"/>
    </row>
    <row r="7241" ht="15" customHeight="1">
      <c r="A7241" t="inlineStr">
        <is>
          <t>A 26195-2023</t>
        </is>
      </c>
      <c r="B7241" s="1" t="n">
        <v>45091</v>
      </c>
      <c r="C7241" s="1" t="n">
        <v>45587</v>
      </c>
      <c r="D7241" t="inlineStr">
        <is>
          <t>GÄVLEBORGS LÄN</t>
        </is>
      </c>
      <c r="E7241" t="inlineStr">
        <is>
          <t>OVANÅKER</t>
        </is>
      </c>
      <c r="F7241" t="inlineStr">
        <is>
          <t>Bergvik skog väst AB</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26190-2023</t>
        </is>
      </c>
      <c r="B7242" s="1" t="n">
        <v>45091</v>
      </c>
      <c r="C7242" s="1" t="n">
        <v>45587</v>
      </c>
      <c r="D7242" t="inlineStr">
        <is>
          <t>GÄVLEBORGS LÄN</t>
        </is>
      </c>
      <c r="E7242" t="inlineStr">
        <is>
          <t>OVANÅKER</t>
        </is>
      </c>
      <c r="F7242" t="inlineStr">
        <is>
          <t>Bergvik skog väst AB</t>
        </is>
      </c>
      <c r="G7242" t="n">
        <v>4.5</v>
      </c>
      <c r="H7242" t="n">
        <v>0</v>
      </c>
      <c r="I7242" t="n">
        <v>0</v>
      </c>
      <c r="J7242" t="n">
        <v>0</v>
      </c>
      <c r="K7242" t="n">
        <v>0</v>
      </c>
      <c r="L7242" t="n">
        <v>0</v>
      </c>
      <c r="M7242" t="n">
        <v>0</v>
      </c>
      <c r="N7242" t="n">
        <v>0</v>
      </c>
      <c r="O7242" t="n">
        <v>0</v>
      </c>
      <c r="P7242" t="n">
        <v>0</v>
      </c>
      <c r="Q7242" t="n">
        <v>0</v>
      </c>
      <c r="R7242" s="2" t="inlineStr"/>
    </row>
    <row r="7243" ht="15" customHeight="1">
      <c r="A7243" t="inlineStr">
        <is>
          <t>A 26186-2023</t>
        </is>
      </c>
      <c r="B7243" s="1" t="n">
        <v>45091</v>
      </c>
      <c r="C7243" s="1" t="n">
        <v>45587</v>
      </c>
      <c r="D7243" t="inlineStr">
        <is>
          <t>GÄVLEBORGS LÄN</t>
        </is>
      </c>
      <c r="E7243" t="inlineStr">
        <is>
          <t>LJUSDAL</t>
        </is>
      </c>
      <c r="F7243" t="inlineStr">
        <is>
          <t>Sveaskog</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26181-2023</t>
        </is>
      </c>
      <c r="B7244" s="1" t="n">
        <v>45091</v>
      </c>
      <c r="C7244" s="1" t="n">
        <v>45587</v>
      </c>
      <c r="D7244" t="inlineStr">
        <is>
          <t>GÄVLEBORGS LÄN</t>
        </is>
      </c>
      <c r="E7244" t="inlineStr">
        <is>
          <t>LJUSDAL</t>
        </is>
      </c>
      <c r="F7244" t="inlineStr">
        <is>
          <t>Sveaskog</t>
        </is>
      </c>
      <c r="G7244" t="n">
        <v>6.8</v>
      </c>
      <c r="H7244" t="n">
        <v>0</v>
      </c>
      <c r="I7244" t="n">
        <v>0</v>
      </c>
      <c r="J7244" t="n">
        <v>0</v>
      </c>
      <c r="K7244" t="n">
        <v>0</v>
      </c>
      <c r="L7244" t="n">
        <v>0</v>
      </c>
      <c r="M7244" t="n">
        <v>0</v>
      </c>
      <c r="N7244" t="n">
        <v>0</v>
      </c>
      <c r="O7244" t="n">
        <v>0</v>
      </c>
      <c r="P7244" t="n">
        <v>0</v>
      </c>
      <c r="Q7244" t="n">
        <v>0</v>
      </c>
      <c r="R7244" s="2" t="inlineStr"/>
    </row>
    <row r="7245" ht="15" customHeight="1">
      <c r="A7245" t="inlineStr">
        <is>
          <t>A 26076-2023</t>
        </is>
      </c>
      <c r="B7245" s="1" t="n">
        <v>45091</v>
      </c>
      <c r="C7245" s="1" t="n">
        <v>45587</v>
      </c>
      <c r="D7245" t="inlineStr">
        <is>
          <t>GÄVLEBORGS LÄN</t>
        </is>
      </c>
      <c r="E7245" t="inlineStr">
        <is>
          <t>OVANÅKER</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26185-2023</t>
        </is>
      </c>
      <c r="B7246" s="1" t="n">
        <v>45091</v>
      </c>
      <c r="C7246" s="1" t="n">
        <v>45587</v>
      </c>
      <c r="D7246" t="inlineStr">
        <is>
          <t>GÄVLEBORGS LÄN</t>
        </is>
      </c>
      <c r="E7246" t="inlineStr">
        <is>
          <t>LJUSDAL</t>
        </is>
      </c>
      <c r="F7246" t="inlineStr">
        <is>
          <t>Sveaskog</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26180-2023</t>
        </is>
      </c>
      <c r="B7247" s="1" t="n">
        <v>45091</v>
      </c>
      <c r="C7247" s="1" t="n">
        <v>45587</v>
      </c>
      <c r="D7247" t="inlineStr">
        <is>
          <t>GÄVLEBORGS LÄN</t>
        </is>
      </c>
      <c r="E7247" t="inlineStr">
        <is>
          <t>LJUSDAL</t>
        </is>
      </c>
      <c r="F7247" t="inlineStr">
        <is>
          <t>Sveaskog</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26126-2023</t>
        </is>
      </c>
      <c r="B7248" s="1" t="n">
        <v>45091</v>
      </c>
      <c r="C7248" s="1" t="n">
        <v>45587</v>
      </c>
      <c r="D7248" t="inlineStr">
        <is>
          <t>GÄVLEBORGS LÄN</t>
        </is>
      </c>
      <c r="E7248" t="inlineStr">
        <is>
          <t>BOLLNÄS</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26109-2023</t>
        </is>
      </c>
      <c r="B7249" s="1" t="n">
        <v>45091</v>
      </c>
      <c r="C7249" s="1" t="n">
        <v>45587</v>
      </c>
      <c r="D7249" t="inlineStr">
        <is>
          <t>GÄVLEBORGS LÄN</t>
        </is>
      </c>
      <c r="E7249" t="inlineStr">
        <is>
          <t>LJUSDAL</t>
        </is>
      </c>
      <c r="G7249" t="n">
        <v>9.4</v>
      </c>
      <c r="H7249" t="n">
        <v>0</v>
      </c>
      <c r="I7249" t="n">
        <v>0</v>
      </c>
      <c r="J7249" t="n">
        <v>0</v>
      </c>
      <c r="K7249" t="n">
        <v>0</v>
      </c>
      <c r="L7249" t="n">
        <v>0</v>
      </c>
      <c r="M7249" t="n">
        <v>0</v>
      </c>
      <c r="N7249" t="n">
        <v>0</v>
      </c>
      <c r="O7249" t="n">
        <v>0</v>
      </c>
      <c r="P7249" t="n">
        <v>0</v>
      </c>
      <c r="Q7249" t="n">
        <v>0</v>
      </c>
      <c r="R7249" s="2" t="inlineStr"/>
    </row>
    <row r="7250" ht="15" customHeight="1">
      <c r="A7250" t="inlineStr">
        <is>
          <t>A 26377-2023</t>
        </is>
      </c>
      <c r="B7250" s="1" t="n">
        <v>45092</v>
      </c>
      <c r="C7250" s="1" t="n">
        <v>45587</v>
      </c>
      <c r="D7250" t="inlineStr">
        <is>
          <t>GÄVLEBORGS LÄN</t>
        </is>
      </c>
      <c r="E7250" t="inlineStr">
        <is>
          <t>BOLLNÄS</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26456-2023</t>
        </is>
      </c>
      <c r="B7251" s="1" t="n">
        <v>45092</v>
      </c>
      <c r="C7251" s="1" t="n">
        <v>45587</v>
      </c>
      <c r="D7251" t="inlineStr">
        <is>
          <t>GÄVLEBORGS LÄN</t>
        </is>
      </c>
      <c r="E7251" t="inlineStr">
        <is>
          <t>HUDIKSVALL</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26518-2023</t>
        </is>
      </c>
      <c r="B7252" s="1" t="n">
        <v>45092</v>
      </c>
      <c r="C7252" s="1" t="n">
        <v>45587</v>
      </c>
      <c r="D7252" t="inlineStr">
        <is>
          <t>GÄVLEBORGS LÄN</t>
        </is>
      </c>
      <c r="E7252" t="inlineStr">
        <is>
          <t>OVANÅKER</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26523-2023</t>
        </is>
      </c>
      <c r="B7253" s="1" t="n">
        <v>45092</v>
      </c>
      <c r="C7253" s="1" t="n">
        <v>45587</v>
      </c>
      <c r="D7253" t="inlineStr">
        <is>
          <t>GÄVLEBORGS LÄN</t>
        </is>
      </c>
      <c r="E7253" t="inlineStr">
        <is>
          <t>LJUSDAL</t>
        </is>
      </c>
      <c r="F7253" t="inlineStr">
        <is>
          <t>Sveaskog</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26527-2023</t>
        </is>
      </c>
      <c r="B7254" s="1" t="n">
        <v>45092</v>
      </c>
      <c r="C7254" s="1" t="n">
        <v>45587</v>
      </c>
      <c r="D7254" t="inlineStr">
        <is>
          <t>GÄVLEBORGS LÄN</t>
        </is>
      </c>
      <c r="E7254" t="inlineStr">
        <is>
          <t>LJUSDAL</t>
        </is>
      </c>
      <c r="F7254" t="inlineStr">
        <is>
          <t>Sveaskog</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26531-2023</t>
        </is>
      </c>
      <c r="B7255" s="1" t="n">
        <v>45092</v>
      </c>
      <c r="C7255" s="1" t="n">
        <v>45587</v>
      </c>
      <c r="D7255" t="inlineStr">
        <is>
          <t>GÄVLEBORGS LÄN</t>
        </is>
      </c>
      <c r="E7255" t="inlineStr">
        <is>
          <t>BOLLNÄS</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26539-2023</t>
        </is>
      </c>
      <c r="B7256" s="1" t="n">
        <v>45092</v>
      </c>
      <c r="C7256" s="1" t="n">
        <v>45587</v>
      </c>
      <c r="D7256" t="inlineStr">
        <is>
          <t>GÄVLEBORGS LÄN</t>
        </is>
      </c>
      <c r="E7256" t="inlineStr">
        <is>
          <t>LJUSDAL</t>
        </is>
      </c>
      <c r="F7256" t="inlineStr">
        <is>
          <t>Sveaskog</t>
        </is>
      </c>
      <c r="G7256" t="n">
        <v>11.4</v>
      </c>
      <c r="H7256" t="n">
        <v>0</v>
      </c>
      <c r="I7256" t="n">
        <v>0</v>
      </c>
      <c r="J7256" t="n">
        <v>0</v>
      </c>
      <c r="K7256" t="n">
        <v>0</v>
      </c>
      <c r="L7256" t="n">
        <v>0</v>
      </c>
      <c r="M7256" t="n">
        <v>0</v>
      </c>
      <c r="N7256" t="n">
        <v>0</v>
      </c>
      <c r="O7256" t="n">
        <v>0</v>
      </c>
      <c r="P7256" t="n">
        <v>0</v>
      </c>
      <c r="Q7256" t="n">
        <v>0</v>
      </c>
      <c r="R7256" s="2" t="inlineStr"/>
    </row>
    <row r="7257" ht="15" customHeight="1">
      <c r="A7257" t="inlineStr">
        <is>
          <t>A 26619-2023</t>
        </is>
      </c>
      <c r="B7257" s="1" t="n">
        <v>45092</v>
      </c>
      <c r="C7257" s="1" t="n">
        <v>45587</v>
      </c>
      <c r="D7257" t="inlineStr">
        <is>
          <t>GÄVLEBORGS LÄN</t>
        </is>
      </c>
      <c r="E7257" t="inlineStr">
        <is>
          <t>LJUSDAL</t>
        </is>
      </c>
      <c r="F7257" t="inlineStr">
        <is>
          <t>Sveaskog</t>
        </is>
      </c>
      <c r="G7257" t="n">
        <v>11.3</v>
      </c>
      <c r="H7257" t="n">
        <v>0</v>
      </c>
      <c r="I7257" t="n">
        <v>0</v>
      </c>
      <c r="J7257" t="n">
        <v>0</v>
      </c>
      <c r="K7257" t="n">
        <v>0</v>
      </c>
      <c r="L7257" t="n">
        <v>0</v>
      </c>
      <c r="M7257" t="n">
        <v>0</v>
      </c>
      <c r="N7257" t="n">
        <v>0</v>
      </c>
      <c r="O7257" t="n">
        <v>0</v>
      </c>
      <c r="P7257" t="n">
        <v>0</v>
      </c>
      <c r="Q7257" t="n">
        <v>0</v>
      </c>
      <c r="R7257" s="2" t="inlineStr"/>
    </row>
    <row r="7258" ht="15" customHeight="1">
      <c r="A7258" t="inlineStr">
        <is>
          <t>A 26436-2023</t>
        </is>
      </c>
      <c r="B7258" s="1" t="n">
        <v>45092</v>
      </c>
      <c r="C7258" s="1" t="n">
        <v>45587</v>
      </c>
      <c r="D7258" t="inlineStr">
        <is>
          <t>GÄVLEBORGS LÄN</t>
        </is>
      </c>
      <c r="E7258" t="inlineStr">
        <is>
          <t>LJUSDAL</t>
        </is>
      </c>
      <c r="F7258" t="inlineStr">
        <is>
          <t>Bergvik skog väst AB</t>
        </is>
      </c>
      <c r="G7258" t="n">
        <v>20.2</v>
      </c>
      <c r="H7258" t="n">
        <v>0</v>
      </c>
      <c r="I7258" t="n">
        <v>0</v>
      </c>
      <c r="J7258" t="n">
        <v>0</v>
      </c>
      <c r="K7258" t="n">
        <v>0</v>
      </c>
      <c r="L7258" t="n">
        <v>0</v>
      </c>
      <c r="M7258" t="n">
        <v>0</v>
      </c>
      <c r="N7258" t="n">
        <v>0</v>
      </c>
      <c r="O7258" t="n">
        <v>0</v>
      </c>
      <c r="P7258" t="n">
        <v>0</v>
      </c>
      <c r="Q7258" t="n">
        <v>0</v>
      </c>
      <c r="R7258" s="2" t="inlineStr"/>
    </row>
    <row r="7259" ht="15" customHeight="1">
      <c r="A7259" t="inlineStr">
        <is>
          <t>A 26467-2023</t>
        </is>
      </c>
      <c r="B7259" s="1" t="n">
        <v>45092</v>
      </c>
      <c r="C7259" s="1" t="n">
        <v>45587</v>
      </c>
      <c r="D7259" t="inlineStr">
        <is>
          <t>GÄVLEBORGS LÄN</t>
        </is>
      </c>
      <c r="E7259" t="inlineStr">
        <is>
          <t>OVANÅKER</t>
        </is>
      </c>
      <c r="F7259" t="inlineStr">
        <is>
          <t>Bergvik skog väst AB</t>
        </is>
      </c>
      <c r="G7259" t="n">
        <v>7.8</v>
      </c>
      <c r="H7259" t="n">
        <v>0</v>
      </c>
      <c r="I7259" t="n">
        <v>0</v>
      </c>
      <c r="J7259" t="n">
        <v>0</v>
      </c>
      <c r="K7259" t="n">
        <v>0</v>
      </c>
      <c r="L7259" t="n">
        <v>0</v>
      </c>
      <c r="M7259" t="n">
        <v>0</v>
      </c>
      <c r="N7259" t="n">
        <v>0</v>
      </c>
      <c r="O7259" t="n">
        <v>0</v>
      </c>
      <c r="P7259" t="n">
        <v>0</v>
      </c>
      <c r="Q7259" t="n">
        <v>0</v>
      </c>
      <c r="R7259" s="2" t="inlineStr"/>
    </row>
    <row r="7260" ht="15" customHeight="1">
      <c r="A7260" t="inlineStr">
        <is>
          <t>A 26491-2023</t>
        </is>
      </c>
      <c r="B7260" s="1" t="n">
        <v>45092</v>
      </c>
      <c r="C7260" s="1" t="n">
        <v>45587</v>
      </c>
      <c r="D7260" t="inlineStr">
        <is>
          <t>GÄVLEBORGS LÄN</t>
        </is>
      </c>
      <c r="E7260" t="inlineStr">
        <is>
          <t>LJUSDAL</t>
        </is>
      </c>
      <c r="F7260" t="inlineStr">
        <is>
          <t>Sveaskog</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26379-2023</t>
        </is>
      </c>
      <c r="B7261" s="1" t="n">
        <v>45092</v>
      </c>
      <c r="C7261" s="1" t="n">
        <v>45587</v>
      </c>
      <c r="D7261" t="inlineStr">
        <is>
          <t>GÄVLEBORGS LÄN</t>
        </is>
      </c>
      <c r="E7261" t="inlineStr">
        <is>
          <t>OVANÅKER</t>
        </is>
      </c>
      <c r="F7261" t="inlineStr">
        <is>
          <t>Bergvik skog väst AB</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26399-2023</t>
        </is>
      </c>
      <c r="B7262" s="1" t="n">
        <v>45092</v>
      </c>
      <c r="C7262" s="1" t="n">
        <v>45587</v>
      </c>
      <c r="D7262" t="inlineStr">
        <is>
          <t>GÄVLEBORGS LÄN</t>
        </is>
      </c>
      <c r="E7262" t="inlineStr">
        <is>
          <t>OVANÅKER</t>
        </is>
      </c>
      <c r="F7262" t="inlineStr">
        <is>
          <t>Bergvik skog väst AB</t>
        </is>
      </c>
      <c r="G7262" t="n">
        <v>40.2</v>
      </c>
      <c r="H7262" t="n">
        <v>0</v>
      </c>
      <c r="I7262" t="n">
        <v>0</v>
      </c>
      <c r="J7262" t="n">
        <v>0</v>
      </c>
      <c r="K7262" t="n">
        <v>0</v>
      </c>
      <c r="L7262" t="n">
        <v>0</v>
      </c>
      <c r="M7262" t="n">
        <v>0</v>
      </c>
      <c r="N7262" t="n">
        <v>0</v>
      </c>
      <c r="O7262" t="n">
        <v>0</v>
      </c>
      <c r="P7262" t="n">
        <v>0</v>
      </c>
      <c r="Q7262" t="n">
        <v>0</v>
      </c>
      <c r="R7262" s="2" t="inlineStr"/>
    </row>
    <row r="7263" ht="15" customHeight="1">
      <c r="A7263" t="inlineStr">
        <is>
          <t>A 26413-2023</t>
        </is>
      </c>
      <c r="B7263" s="1" t="n">
        <v>45092</v>
      </c>
      <c r="C7263" s="1" t="n">
        <v>45587</v>
      </c>
      <c r="D7263" t="inlineStr">
        <is>
          <t>GÄVLEBORGS LÄN</t>
        </is>
      </c>
      <c r="E7263" t="inlineStr">
        <is>
          <t>SANDVIKEN</t>
        </is>
      </c>
      <c r="G7263" t="n">
        <v>4.8</v>
      </c>
      <c r="H7263" t="n">
        <v>0</v>
      </c>
      <c r="I7263" t="n">
        <v>0</v>
      </c>
      <c r="J7263" t="n">
        <v>0</v>
      </c>
      <c r="K7263" t="n">
        <v>0</v>
      </c>
      <c r="L7263" t="n">
        <v>0</v>
      </c>
      <c r="M7263" t="n">
        <v>0</v>
      </c>
      <c r="N7263" t="n">
        <v>0</v>
      </c>
      <c r="O7263" t="n">
        <v>0</v>
      </c>
      <c r="P7263" t="n">
        <v>0</v>
      </c>
      <c r="Q7263" t="n">
        <v>0</v>
      </c>
      <c r="R7263" s="2" t="inlineStr"/>
    </row>
    <row r="7264" ht="15" customHeight="1">
      <c r="A7264" t="inlineStr">
        <is>
          <t>A 26458-2023</t>
        </is>
      </c>
      <c r="B7264" s="1" t="n">
        <v>45092</v>
      </c>
      <c r="C7264" s="1" t="n">
        <v>45587</v>
      </c>
      <c r="D7264" t="inlineStr">
        <is>
          <t>GÄVLEBORGS LÄN</t>
        </is>
      </c>
      <c r="E7264" t="inlineStr">
        <is>
          <t>HUDIKSVALL</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26503-2023</t>
        </is>
      </c>
      <c r="B7265" s="1" t="n">
        <v>45092</v>
      </c>
      <c r="C7265" s="1" t="n">
        <v>45587</v>
      </c>
      <c r="D7265" t="inlineStr">
        <is>
          <t>GÄVLEBORGS LÄN</t>
        </is>
      </c>
      <c r="E7265" t="inlineStr">
        <is>
          <t>LJUSDAL</t>
        </is>
      </c>
      <c r="F7265" t="inlineStr">
        <is>
          <t>Sveaskog</t>
        </is>
      </c>
      <c r="G7265" t="n">
        <v>8.199999999999999</v>
      </c>
      <c r="H7265" t="n">
        <v>0</v>
      </c>
      <c r="I7265" t="n">
        <v>0</v>
      </c>
      <c r="J7265" t="n">
        <v>0</v>
      </c>
      <c r="K7265" t="n">
        <v>0</v>
      </c>
      <c r="L7265" t="n">
        <v>0</v>
      </c>
      <c r="M7265" t="n">
        <v>0</v>
      </c>
      <c r="N7265" t="n">
        <v>0</v>
      </c>
      <c r="O7265" t="n">
        <v>0</v>
      </c>
      <c r="P7265" t="n">
        <v>0</v>
      </c>
      <c r="Q7265" t="n">
        <v>0</v>
      </c>
      <c r="R7265" s="2" t="inlineStr"/>
    </row>
    <row r="7266" ht="15" customHeight="1">
      <c r="A7266" t="inlineStr">
        <is>
          <t>A 26463-2023</t>
        </is>
      </c>
      <c r="B7266" s="1" t="n">
        <v>45092</v>
      </c>
      <c r="C7266" s="1" t="n">
        <v>45587</v>
      </c>
      <c r="D7266" t="inlineStr">
        <is>
          <t>GÄVLEBORGS LÄN</t>
        </is>
      </c>
      <c r="E7266" t="inlineStr">
        <is>
          <t>OVANÅKER</t>
        </is>
      </c>
      <c r="F7266" t="inlineStr">
        <is>
          <t>Bergvik skog väst AB</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26470-2023</t>
        </is>
      </c>
      <c r="B7267" s="1" t="n">
        <v>45092</v>
      </c>
      <c r="C7267" s="1" t="n">
        <v>45587</v>
      </c>
      <c r="D7267" t="inlineStr">
        <is>
          <t>GÄVLEBORGS LÄN</t>
        </is>
      </c>
      <c r="E7267" t="inlineStr">
        <is>
          <t>OVANÅKER</t>
        </is>
      </c>
      <c r="F7267" t="inlineStr">
        <is>
          <t>Bergvik skog väst AB</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26479-2023</t>
        </is>
      </c>
      <c r="B7268" s="1" t="n">
        <v>45092</v>
      </c>
      <c r="C7268" s="1" t="n">
        <v>45587</v>
      </c>
      <c r="D7268" t="inlineStr">
        <is>
          <t>GÄVLEBORGS LÄN</t>
        </is>
      </c>
      <c r="E7268" t="inlineStr">
        <is>
          <t>LJUSDAL</t>
        </is>
      </c>
      <c r="F7268" t="inlineStr">
        <is>
          <t>Sveaskog</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26484-2023</t>
        </is>
      </c>
      <c r="B7269" s="1" t="n">
        <v>45092</v>
      </c>
      <c r="C7269" s="1" t="n">
        <v>45587</v>
      </c>
      <c r="D7269" t="inlineStr">
        <is>
          <t>GÄVLEBORGS LÄN</t>
        </is>
      </c>
      <c r="E7269" t="inlineStr">
        <is>
          <t>LJUSDAL</t>
        </is>
      </c>
      <c r="F7269" t="inlineStr">
        <is>
          <t>Sveaskog</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26525-2023</t>
        </is>
      </c>
      <c r="B7270" s="1" t="n">
        <v>45092</v>
      </c>
      <c r="C7270" s="1" t="n">
        <v>45587</v>
      </c>
      <c r="D7270" t="inlineStr">
        <is>
          <t>GÄVLEBORGS LÄN</t>
        </is>
      </c>
      <c r="E7270" t="inlineStr">
        <is>
          <t>LJUSDAL</t>
        </is>
      </c>
      <c r="F7270" t="inlineStr">
        <is>
          <t>Sveaskog</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26502-2023</t>
        </is>
      </c>
      <c r="B7271" s="1" t="n">
        <v>45092</v>
      </c>
      <c r="C7271" s="1" t="n">
        <v>45587</v>
      </c>
      <c r="D7271" t="inlineStr">
        <is>
          <t>GÄVLEBORGS LÄN</t>
        </is>
      </c>
      <c r="E7271" t="inlineStr">
        <is>
          <t>LJUSDAL</t>
        </is>
      </c>
      <c r="F7271" t="inlineStr">
        <is>
          <t>Sveaskog</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26506-2023</t>
        </is>
      </c>
      <c r="B7272" s="1" t="n">
        <v>45092</v>
      </c>
      <c r="C7272" s="1" t="n">
        <v>45587</v>
      </c>
      <c r="D7272" t="inlineStr">
        <is>
          <t>GÄVLEBORGS LÄN</t>
        </is>
      </c>
      <c r="E7272" t="inlineStr">
        <is>
          <t>LJUSDAL</t>
        </is>
      </c>
      <c r="F7272" t="inlineStr">
        <is>
          <t>Sveaskog</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26510-2023</t>
        </is>
      </c>
      <c r="B7273" s="1" t="n">
        <v>45092</v>
      </c>
      <c r="C7273" s="1" t="n">
        <v>45587</v>
      </c>
      <c r="D7273" t="inlineStr">
        <is>
          <t>GÄVLEBORGS LÄN</t>
        </is>
      </c>
      <c r="E7273" t="inlineStr">
        <is>
          <t>LJUSDAL</t>
        </is>
      </c>
      <c r="F7273" t="inlineStr">
        <is>
          <t>Sveaskog</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26524-2023</t>
        </is>
      </c>
      <c r="B7274" s="1" t="n">
        <v>45092</v>
      </c>
      <c r="C7274" s="1" t="n">
        <v>45587</v>
      </c>
      <c r="D7274" t="inlineStr">
        <is>
          <t>GÄVLEBORGS LÄN</t>
        </is>
      </c>
      <c r="E7274" t="inlineStr">
        <is>
          <t>LJUSDAL</t>
        </is>
      </c>
      <c r="F7274" t="inlineStr">
        <is>
          <t>Sveaskog</t>
        </is>
      </c>
      <c r="G7274" t="n">
        <v>4.5</v>
      </c>
      <c r="H7274" t="n">
        <v>0</v>
      </c>
      <c r="I7274" t="n">
        <v>0</v>
      </c>
      <c r="J7274" t="n">
        <v>0</v>
      </c>
      <c r="K7274" t="n">
        <v>0</v>
      </c>
      <c r="L7274" t="n">
        <v>0</v>
      </c>
      <c r="M7274" t="n">
        <v>0</v>
      </c>
      <c r="N7274" t="n">
        <v>0</v>
      </c>
      <c r="O7274" t="n">
        <v>0</v>
      </c>
      <c r="P7274" t="n">
        <v>0</v>
      </c>
      <c r="Q7274" t="n">
        <v>0</v>
      </c>
      <c r="R7274" s="2" t="inlineStr"/>
    </row>
    <row r="7275" ht="15" customHeight="1">
      <c r="A7275" t="inlineStr">
        <is>
          <t>A 26611-2023</t>
        </is>
      </c>
      <c r="B7275" s="1" t="n">
        <v>45092</v>
      </c>
      <c r="C7275" s="1" t="n">
        <v>45587</v>
      </c>
      <c r="D7275" t="inlineStr">
        <is>
          <t>GÄVLEBORGS LÄN</t>
        </is>
      </c>
      <c r="E7275" t="inlineStr">
        <is>
          <t>LJUSDAL</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26621-2023</t>
        </is>
      </c>
      <c r="B7276" s="1" t="n">
        <v>45092</v>
      </c>
      <c r="C7276" s="1" t="n">
        <v>45587</v>
      </c>
      <c r="D7276" t="inlineStr">
        <is>
          <t>GÄVLEBORGS LÄN</t>
        </is>
      </c>
      <c r="E7276" t="inlineStr">
        <is>
          <t>LJUSDAL</t>
        </is>
      </c>
      <c r="F7276" t="inlineStr">
        <is>
          <t>Sveaskog</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26625-2023</t>
        </is>
      </c>
      <c r="B7277" s="1" t="n">
        <v>45092</v>
      </c>
      <c r="C7277" s="1" t="n">
        <v>45587</v>
      </c>
      <c r="D7277" t="inlineStr">
        <is>
          <t>GÄVLEBORGS LÄN</t>
        </is>
      </c>
      <c r="E7277" t="inlineStr">
        <is>
          <t>LJUSDAL</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26653-2023</t>
        </is>
      </c>
      <c r="B7278" s="1" t="n">
        <v>45093</v>
      </c>
      <c r="C7278" s="1" t="n">
        <v>45587</v>
      </c>
      <c r="D7278" t="inlineStr">
        <is>
          <t>GÄVLEBORGS LÄN</t>
        </is>
      </c>
      <c r="E7278" t="inlineStr">
        <is>
          <t>LJUSDAL</t>
        </is>
      </c>
      <c r="F7278" t="inlineStr">
        <is>
          <t>SCA</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26669-2023</t>
        </is>
      </c>
      <c r="B7279" s="1" t="n">
        <v>45093</v>
      </c>
      <c r="C7279" s="1" t="n">
        <v>45587</v>
      </c>
      <c r="D7279" t="inlineStr">
        <is>
          <t>GÄVLEBORGS LÄN</t>
        </is>
      </c>
      <c r="E7279" t="inlineStr">
        <is>
          <t>LJUSDAL</t>
        </is>
      </c>
      <c r="F7279" t="inlineStr">
        <is>
          <t>Bergvik skog väst AB</t>
        </is>
      </c>
      <c r="G7279" t="n">
        <v>22.6</v>
      </c>
      <c r="H7279" t="n">
        <v>0</v>
      </c>
      <c r="I7279" t="n">
        <v>0</v>
      </c>
      <c r="J7279" t="n">
        <v>0</v>
      </c>
      <c r="K7279" t="n">
        <v>0</v>
      </c>
      <c r="L7279" t="n">
        <v>0</v>
      </c>
      <c r="M7279" t="n">
        <v>0</v>
      </c>
      <c r="N7279" t="n">
        <v>0</v>
      </c>
      <c r="O7279" t="n">
        <v>0</v>
      </c>
      <c r="P7279" t="n">
        <v>0</v>
      </c>
      <c r="Q7279" t="n">
        <v>0</v>
      </c>
      <c r="R7279" s="2" t="inlineStr"/>
    </row>
    <row r="7280" ht="15" customHeight="1">
      <c r="A7280" t="inlineStr">
        <is>
          <t>A 26630-2023</t>
        </is>
      </c>
      <c r="B7280" s="1" t="n">
        <v>45092</v>
      </c>
      <c r="C7280" s="1" t="n">
        <v>45587</v>
      </c>
      <c r="D7280" t="inlineStr">
        <is>
          <t>GÄVLEBORGS LÄN</t>
        </is>
      </c>
      <c r="E7280" t="inlineStr">
        <is>
          <t>OCKELBO</t>
        </is>
      </c>
      <c r="G7280" t="n">
        <v>8</v>
      </c>
      <c r="H7280" t="n">
        <v>0</v>
      </c>
      <c r="I7280" t="n">
        <v>0</v>
      </c>
      <c r="J7280" t="n">
        <v>0</v>
      </c>
      <c r="K7280" t="n">
        <v>0</v>
      </c>
      <c r="L7280" t="n">
        <v>0</v>
      </c>
      <c r="M7280" t="n">
        <v>0</v>
      </c>
      <c r="N7280" t="n">
        <v>0</v>
      </c>
      <c r="O7280" t="n">
        <v>0</v>
      </c>
      <c r="P7280" t="n">
        <v>0</v>
      </c>
      <c r="Q7280" t="n">
        <v>0</v>
      </c>
      <c r="R7280" s="2" t="inlineStr"/>
    </row>
    <row r="7281" ht="15" customHeight="1">
      <c r="A7281" t="inlineStr">
        <is>
          <t>A 26667-2023</t>
        </is>
      </c>
      <c r="B7281" s="1" t="n">
        <v>45093</v>
      </c>
      <c r="C7281" s="1" t="n">
        <v>45587</v>
      </c>
      <c r="D7281" t="inlineStr">
        <is>
          <t>GÄVLEBORGS LÄN</t>
        </is>
      </c>
      <c r="E7281" t="inlineStr">
        <is>
          <t>LJUSDAL</t>
        </is>
      </c>
      <c r="F7281" t="inlineStr">
        <is>
          <t>Bergvik skog väst AB</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26643-2023</t>
        </is>
      </c>
      <c r="B7282" s="1" t="n">
        <v>45092</v>
      </c>
      <c r="C7282" s="1" t="n">
        <v>45587</v>
      </c>
      <c r="D7282" t="inlineStr">
        <is>
          <t>GÄVLEBORGS LÄN</t>
        </is>
      </c>
      <c r="E7282" t="inlineStr">
        <is>
          <t>OCKELBO</t>
        </is>
      </c>
      <c r="G7282" t="n">
        <v>9.6</v>
      </c>
      <c r="H7282" t="n">
        <v>0</v>
      </c>
      <c r="I7282" t="n">
        <v>0</v>
      </c>
      <c r="J7282" t="n">
        <v>0</v>
      </c>
      <c r="K7282" t="n">
        <v>0</v>
      </c>
      <c r="L7282" t="n">
        <v>0</v>
      </c>
      <c r="M7282" t="n">
        <v>0</v>
      </c>
      <c r="N7282" t="n">
        <v>0</v>
      </c>
      <c r="O7282" t="n">
        <v>0</v>
      </c>
      <c r="P7282" t="n">
        <v>0</v>
      </c>
      <c r="Q7282" t="n">
        <v>0</v>
      </c>
      <c r="R7282" s="2" t="inlineStr"/>
    </row>
    <row r="7283" ht="15" customHeight="1">
      <c r="A7283" t="inlineStr">
        <is>
          <t>A 26668-2023</t>
        </is>
      </c>
      <c r="B7283" s="1" t="n">
        <v>45093</v>
      </c>
      <c r="C7283" s="1" t="n">
        <v>45587</v>
      </c>
      <c r="D7283" t="inlineStr">
        <is>
          <t>GÄVLEBORGS LÄN</t>
        </is>
      </c>
      <c r="E7283" t="inlineStr">
        <is>
          <t>LJUSDAL</t>
        </is>
      </c>
      <c r="F7283" t="inlineStr">
        <is>
          <t>Bergvik skog väst AB</t>
        </is>
      </c>
      <c r="G7283" t="n">
        <v>19.4</v>
      </c>
      <c r="H7283" t="n">
        <v>0</v>
      </c>
      <c r="I7283" t="n">
        <v>0</v>
      </c>
      <c r="J7283" t="n">
        <v>0</v>
      </c>
      <c r="K7283" t="n">
        <v>0</v>
      </c>
      <c r="L7283" t="n">
        <v>0</v>
      </c>
      <c r="M7283" t="n">
        <v>0</v>
      </c>
      <c r="N7283" t="n">
        <v>0</v>
      </c>
      <c r="O7283" t="n">
        <v>0</v>
      </c>
      <c r="P7283" t="n">
        <v>0</v>
      </c>
      <c r="Q7283" t="n">
        <v>0</v>
      </c>
      <c r="R7283" s="2" t="inlineStr"/>
    </row>
    <row r="7284" ht="15" customHeight="1">
      <c r="A7284" t="inlineStr">
        <is>
          <t>A 26654-2023</t>
        </is>
      </c>
      <c r="B7284" s="1" t="n">
        <v>45093</v>
      </c>
      <c r="C7284" s="1" t="n">
        <v>45587</v>
      </c>
      <c r="D7284" t="inlineStr">
        <is>
          <t>GÄVLEBORGS LÄN</t>
        </is>
      </c>
      <c r="E7284" t="inlineStr">
        <is>
          <t>LJUSDAL</t>
        </is>
      </c>
      <c r="F7284" t="inlineStr">
        <is>
          <t>SCA</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26781-2023</t>
        </is>
      </c>
      <c r="B7285" s="1" t="n">
        <v>45093</v>
      </c>
      <c r="C7285" s="1" t="n">
        <v>45587</v>
      </c>
      <c r="D7285" t="inlineStr">
        <is>
          <t>GÄVLEBORGS LÄN</t>
        </is>
      </c>
      <c r="E7285" t="inlineStr">
        <is>
          <t>LJUSDAL</t>
        </is>
      </c>
      <c r="F7285" t="inlineStr">
        <is>
          <t>Sveaskog</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26782-2023</t>
        </is>
      </c>
      <c r="B7286" s="1" t="n">
        <v>45093</v>
      </c>
      <c r="C7286" s="1" t="n">
        <v>45587</v>
      </c>
      <c r="D7286" t="inlineStr">
        <is>
          <t>GÄVLEBORGS LÄN</t>
        </is>
      </c>
      <c r="E7286" t="inlineStr">
        <is>
          <t>SÖDERHAMN</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26795-2023</t>
        </is>
      </c>
      <c r="B7287" s="1" t="n">
        <v>45093</v>
      </c>
      <c r="C7287" s="1" t="n">
        <v>45587</v>
      </c>
      <c r="D7287" t="inlineStr">
        <is>
          <t>GÄVLEBORGS LÄN</t>
        </is>
      </c>
      <c r="E7287" t="inlineStr">
        <is>
          <t>SÖDERHAMN</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26854-2023</t>
        </is>
      </c>
      <c r="B7288" s="1" t="n">
        <v>45093</v>
      </c>
      <c r="C7288" s="1" t="n">
        <v>45587</v>
      </c>
      <c r="D7288" t="inlineStr">
        <is>
          <t>GÄVLEBORGS LÄN</t>
        </is>
      </c>
      <c r="E7288" t="inlineStr">
        <is>
          <t>BOLLNÄS</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26874-2023</t>
        </is>
      </c>
      <c r="B7289" s="1" t="n">
        <v>45093</v>
      </c>
      <c r="C7289" s="1" t="n">
        <v>45587</v>
      </c>
      <c r="D7289" t="inlineStr">
        <is>
          <t>GÄVLEBORGS LÄN</t>
        </is>
      </c>
      <c r="E7289" t="inlineStr">
        <is>
          <t>HUDIKSVALL</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26894-2023</t>
        </is>
      </c>
      <c r="B7290" s="1" t="n">
        <v>45093</v>
      </c>
      <c r="C7290" s="1" t="n">
        <v>45587</v>
      </c>
      <c r="D7290" t="inlineStr">
        <is>
          <t>GÄVLEBORGS LÄN</t>
        </is>
      </c>
      <c r="E7290" t="inlineStr">
        <is>
          <t>LJUSDAL</t>
        </is>
      </c>
      <c r="F7290" t="inlineStr">
        <is>
          <t>Holmen skog AB</t>
        </is>
      </c>
      <c r="G7290" t="n">
        <v>10</v>
      </c>
      <c r="H7290" t="n">
        <v>0</v>
      </c>
      <c r="I7290" t="n">
        <v>0</v>
      </c>
      <c r="J7290" t="n">
        <v>0</v>
      </c>
      <c r="K7290" t="n">
        <v>0</v>
      </c>
      <c r="L7290" t="n">
        <v>0</v>
      </c>
      <c r="M7290" t="n">
        <v>0</v>
      </c>
      <c r="N7290" t="n">
        <v>0</v>
      </c>
      <c r="O7290" t="n">
        <v>0</v>
      </c>
      <c r="P7290" t="n">
        <v>0</v>
      </c>
      <c r="Q7290" t="n">
        <v>0</v>
      </c>
      <c r="R7290" s="2" t="inlineStr"/>
    </row>
    <row r="7291" ht="15" customHeight="1">
      <c r="A7291" t="inlineStr">
        <is>
          <t>A 26785-2023</t>
        </is>
      </c>
      <c r="B7291" s="1" t="n">
        <v>45093</v>
      </c>
      <c r="C7291" s="1" t="n">
        <v>45587</v>
      </c>
      <c r="D7291" t="inlineStr">
        <is>
          <t>GÄVLEBORGS LÄN</t>
        </is>
      </c>
      <c r="E7291" t="inlineStr">
        <is>
          <t>LJUSDAL</t>
        </is>
      </c>
      <c r="F7291" t="inlineStr">
        <is>
          <t>Sveaskog</t>
        </is>
      </c>
      <c r="G7291" t="n">
        <v>18.6</v>
      </c>
      <c r="H7291" t="n">
        <v>0</v>
      </c>
      <c r="I7291" t="n">
        <v>0</v>
      </c>
      <c r="J7291" t="n">
        <v>0</v>
      </c>
      <c r="K7291" t="n">
        <v>0</v>
      </c>
      <c r="L7291" t="n">
        <v>0</v>
      </c>
      <c r="M7291" t="n">
        <v>0</v>
      </c>
      <c r="N7291" t="n">
        <v>0</v>
      </c>
      <c r="O7291" t="n">
        <v>0</v>
      </c>
      <c r="P7291" t="n">
        <v>0</v>
      </c>
      <c r="Q7291" t="n">
        <v>0</v>
      </c>
      <c r="R7291" s="2" t="inlineStr"/>
    </row>
    <row r="7292" ht="15" customHeight="1">
      <c r="A7292" t="inlineStr">
        <is>
          <t>A 26861-2023</t>
        </is>
      </c>
      <c r="B7292" s="1" t="n">
        <v>45093</v>
      </c>
      <c r="C7292" s="1" t="n">
        <v>45587</v>
      </c>
      <c r="D7292" t="inlineStr">
        <is>
          <t>GÄVLEBORGS LÄN</t>
        </is>
      </c>
      <c r="E7292" t="inlineStr">
        <is>
          <t>LJUSDAL</t>
        </is>
      </c>
      <c r="F7292" t="inlineStr">
        <is>
          <t>Sveaskog</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26860-2023</t>
        </is>
      </c>
      <c r="B7293" s="1" t="n">
        <v>45093</v>
      </c>
      <c r="C7293" s="1" t="n">
        <v>45587</v>
      </c>
      <c r="D7293" t="inlineStr">
        <is>
          <t>GÄVLEBORGS LÄN</t>
        </is>
      </c>
      <c r="E7293" t="inlineStr">
        <is>
          <t>LJUSDAL</t>
        </is>
      </c>
      <c r="F7293" t="inlineStr">
        <is>
          <t>Sveaskog</t>
        </is>
      </c>
      <c r="G7293" t="n">
        <v>5.8</v>
      </c>
      <c r="H7293" t="n">
        <v>0</v>
      </c>
      <c r="I7293" t="n">
        <v>0</v>
      </c>
      <c r="J7293" t="n">
        <v>0</v>
      </c>
      <c r="K7293" t="n">
        <v>0</v>
      </c>
      <c r="L7293" t="n">
        <v>0</v>
      </c>
      <c r="M7293" t="n">
        <v>0</v>
      </c>
      <c r="N7293" t="n">
        <v>0</v>
      </c>
      <c r="O7293" t="n">
        <v>0</v>
      </c>
      <c r="P7293" t="n">
        <v>0</v>
      </c>
      <c r="Q7293" t="n">
        <v>0</v>
      </c>
      <c r="R7293" s="2" t="inlineStr"/>
    </row>
    <row r="7294" ht="15" customHeight="1">
      <c r="A7294" t="inlineStr">
        <is>
          <t>A 26801-2023</t>
        </is>
      </c>
      <c r="B7294" s="1" t="n">
        <v>45093</v>
      </c>
      <c r="C7294" s="1" t="n">
        <v>45587</v>
      </c>
      <c r="D7294" t="inlineStr">
        <is>
          <t>GÄVLEBORGS LÄN</t>
        </is>
      </c>
      <c r="E7294" t="inlineStr">
        <is>
          <t>SÖDERHAMN</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26822-2023</t>
        </is>
      </c>
      <c r="B7295" s="1" t="n">
        <v>45093</v>
      </c>
      <c r="C7295" s="1" t="n">
        <v>45587</v>
      </c>
      <c r="D7295" t="inlineStr">
        <is>
          <t>GÄVLEBORGS LÄN</t>
        </is>
      </c>
      <c r="E7295" t="inlineStr">
        <is>
          <t>BOLLNÄS</t>
        </is>
      </c>
      <c r="G7295" t="n">
        <v>8.800000000000001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26827-2023</t>
        </is>
      </c>
      <c r="B7296" s="1" t="n">
        <v>45093</v>
      </c>
      <c r="C7296" s="1" t="n">
        <v>45587</v>
      </c>
      <c r="D7296" t="inlineStr">
        <is>
          <t>GÄVLEBORGS LÄN</t>
        </is>
      </c>
      <c r="E7296" t="inlineStr">
        <is>
          <t>LJUSDAL</t>
        </is>
      </c>
      <c r="F7296" t="inlineStr">
        <is>
          <t>Sveaskog</t>
        </is>
      </c>
      <c r="G7296" t="n">
        <v>11.1</v>
      </c>
      <c r="H7296" t="n">
        <v>0</v>
      </c>
      <c r="I7296" t="n">
        <v>0</v>
      </c>
      <c r="J7296" t="n">
        <v>0</v>
      </c>
      <c r="K7296" t="n">
        <v>0</v>
      </c>
      <c r="L7296" t="n">
        <v>0</v>
      </c>
      <c r="M7296" t="n">
        <v>0</v>
      </c>
      <c r="N7296" t="n">
        <v>0</v>
      </c>
      <c r="O7296" t="n">
        <v>0</v>
      </c>
      <c r="P7296" t="n">
        <v>0</v>
      </c>
      <c r="Q7296" t="n">
        <v>0</v>
      </c>
      <c r="R7296" s="2" t="inlineStr"/>
    </row>
    <row r="7297" ht="15" customHeight="1">
      <c r="A7297" t="inlineStr">
        <is>
          <t>A 26851-2023</t>
        </is>
      </c>
      <c r="B7297" s="1" t="n">
        <v>45093</v>
      </c>
      <c r="C7297" s="1" t="n">
        <v>45587</v>
      </c>
      <c r="D7297" t="inlineStr">
        <is>
          <t>GÄVLEBORGS LÄN</t>
        </is>
      </c>
      <c r="E7297" t="inlineStr">
        <is>
          <t>BOLLNÄS</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26918-2023</t>
        </is>
      </c>
      <c r="B7298" s="1" t="n">
        <v>45093</v>
      </c>
      <c r="C7298" s="1" t="n">
        <v>45587</v>
      </c>
      <c r="D7298" t="inlineStr">
        <is>
          <t>GÄVLEBORGS LÄN</t>
        </is>
      </c>
      <c r="E7298" t="inlineStr">
        <is>
          <t>SÖDERHAMN</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26930-2023</t>
        </is>
      </c>
      <c r="B7299" s="1" t="n">
        <v>45093</v>
      </c>
      <c r="C7299" s="1" t="n">
        <v>45587</v>
      </c>
      <c r="D7299" t="inlineStr">
        <is>
          <t>GÄVLEBORGS LÄN</t>
        </is>
      </c>
      <c r="E7299" t="inlineStr">
        <is>
          <t>SÖDERHAMN</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26947-2023</t>
        </is>
      </c>
      <c r="B7300" s="1" t="n">
        <v>45093</v>
      </c>
      <c r="C7300" s="1" t="n">
        <v>45587</v>
      </c>
      <c r="D7300" t="inlineStr">
        <is>
          <t>GÄVLEBORGS LÄN</t>
        </is>
      </c>
      <c r="E7300" t="inlineStr">
        <is>
          <t>SÖDERHAMN</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26936-2023</t>
        </is>
      </c>
      <c r="B7301" s="1" t="n">
        <v>45093</v>
      </c>
      <c r="C7301" s="1" t="n">
        <v>45587</v>
      </c>
      <c r="D7301" t="inlineStr">
        <is>
          <t>GÄVLEBORGS LÄN</t>
        </is>
      </c>
      <c r="E7301" t="inlineStr">
        <is>
          <t>SÖDERHAMN</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26958-2023</t>
        </is>
      </c>
      <c r="B7302" s="1" t="n">
        <v>45093</v>
      </c>
      <c r="C7302" s="1" t="n">
        <v>45587</v>
      </c>
      <c r="D7302" t="inlineStr">
        <is>
          <t>GÄVLEBORGS LÄN</t>
        </is>
      </c>
      <c r="E7302" t="inlineStr">
        <is>
          <t>HUDIKSVALL</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27012-2023</t>
        </is>
      </c>
      <c r="B7303" s="1" t="n">
        <v>45094</v>
      </c>
      <c r="C7303" s="1" t="n">
        <v>45587</v>
      </c>
      <c r="D7303" t="inlineStr">
        <is>
          <t>GÄVLEBORGS LÄN</t>
        </is>
      </c>
      <c r="E7303" t="inlineStr">
        <is>
          <t>LJUSDAL</t>
        </is>
      </c>
      <c r="G7303" t="n">
        <v>7.6</v>
      </c>
      <c r="H7303" t="n">
        <v>0</v>
      </c>
      <c r="I7303" t="n">
        <v>0</v>
      </c>
      <c r="J7303" t="n">
        <v>0</v>
      </c>
      <c r="K7303" t="n">
        <v>0</v>
      </c>
      <c r="L7303" t="n">
        <v>0</v>
      </c>
      <c r="M7303" t="n">
        <v>0</v>
      </c>
      <c r="N7303" t="n">
        <v>0</v>
      </c>
      <c r="O7303" t="n">
        <v>0</v>
      </c>
      <c r="P7303" t="n">
        <v>0</v>
      </c>
      <c r="Q7303" t="n">
        <v>0</v>
      </c>
      <c r="R7303" s="2" t="inlineStr"/>
    </row>
    <row r="7304" ht="15" customHeight="1">
      <c r="A7304" t="inlineStr">
        <is>
          <t>A 27006-2023</t>
        </is>
      </c>
      <c r="B7304" s="1" t="n">
        <v>45094</v>
      </c>
      <c r="C7304" s="1" t="n">
        <v>45587</v>
      </c>
      <c r="D7304" t="inlineStr">
        <is>
          <t>GÄVLEBORGS LÄN</t>
        </is>
      </c>
      <c r="E7304" t="inlineStr">
        <is>
          <t>SANDVIKEN</t>
        </is>
      </c>
      <c r="F7304" t="inlineStr">
        <is>
          <t>Bergvik skog öst AB</t>
        </is>
      </c>
      <c r="G7304" t="n">
        <v>9.5</v>
      </c>
      <c r="H7304" t="n">
        <v>0</v>
      </c>
      <c r="I7304" t="n">
        <v>0</v>
      </c>
      <c r="J7304" t="n">
        <v>0</v>
      </c>
      <c r="K7304" t="n">
        <v>0</v>
      </c>
      <c r="L7304" t="n">
        <v>0</v>
      </c>
      <c r="M7304" t="n">
        <v>0</v>
      </c>
      <c r="N7304" t="n">
        <v>0</v>
      </c>
      <c r="O7304" t="n">
        <v>0</v>
      </c>
      <c r="P7304" t="n">
        <v>0</v>
      </c>
      <c r="Q7304" t="n">
        <v>0</v>
      </c>
      <c r="R7304" s="2" t="inlineStr"/>
    </row>
    <row r="7305" ht="15" customHeight="1">
      <c r="A7305" t="inlineStr">
        <is>
          <t>A 27005-2023</t>
        </is>
      </c>
      <c r="B7305" s="1" t="n">
        <v>45094</v>
      </c>
      <c r="C7305" s="1" t="n">
        <v>45587</v>
      </c>
      <c r="D7305" t="inlineStr">
        <is>
          <t>GÄVLEBORGS LÄN</t>
        </is>
      </c>
      <c r="E7305" t="inlineStr">
        <is>
          <t>SANDVIKEN</t>
        </is>
      </c>
      <c r="F7305" t="inlineStr">
        <is>
          <t>Bergvik skog öst AB</t>
        </is>
      </c>
      <c r="G7305" t="n">
        <v>11.3</v>
      </c>
      <c r="H7305" t="n">
        <v>0</v>
      </c>
      <c r="I7305" t="n">
        <v>0</v>
      </c>
      <c r="J7305" t="n">
        <v>0</v>
      </c>
      <c r="K7305" t="n">
        <v>0</v>
      </c>
      <c r="L7305" t="n">
        <v>0</v>
      </c>
      <c r="M7305" t="n">
        <v>0</v>
      </c>
      <c r="N7305" t="n">
        <v>0</v>
      </c>
      <c r="O7305" t="n">
        <v>0</v>
      </c>
      <c r="P7305" t="n">
        <v>0</v>
      </c>
      <c r="Q7305" t="n">
        <v>0</v>
      </c>
      <c r="R7305" s="2" t="inlineStr"/>
    </row>
    <row r="7306" ht="15" customHeight="1">
      <c r="A7306" t="inlineStr">
        <is>
          <t>A 27089-2023</t>
        </is>
      </c>
      <c r="B7306" s="1" t="n">
        <v>45096</v>
      </c>
      <c r="C7306" s="1" t="n">
        <v>45587</v>
      </c>
      <c r="D7306" t="inlineStr">
        <is>
          <t>GÄVLEBORGS LÄN</t>
        </is>
      </c>
      <c r="E7306" t="inlineStr">
        <is>
          <t>GÄVLE</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27144-2023</t>
        </is>
      </c>
      <c r="B7307" s="1" t="n">
        <v>45096</v>
      </c>
      <c r="C7307" s="1" t="n">
        <v>45587</v>
      </c>
      <c r="D7307" t="inlineStr">
        <is>
          <t>GÄVLEBORGS LÄN</t>
        </is>
      </c>
      <c r="E7307" t="inlineStr">
        <is>
          <t>SÖDERHAMN</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27194-2023</t>
        </is>
      </c>
      <c r="B7308" s="1" t="n">
        <v>45096</v>
      </c>
      <c r="C7308" s="1" t="n">
        <v>45587</v>
      </c>
      <c r="D7308" t="inlineStr">
        <is>
          <t>GÄVLEBORGS LÄN</t>
        </is>
      </c>
      <c r="E7308" t="inlineStr">
        <is>
          <t>OVANÅKER</t>
        </is>
      </c>
      <c r="F7308" t="inlineStr">
        <is>
          <t>Bergvik skog väst AB</t>
        </is>
      </c>
      <c r="G7308" t="n">
        <v>7.5</v>
      </c>
      <c r="H7308" t="n">
        <v>0</v>
      </c>
      <c r="I7308" t="n">
        <v>0</v>
      </c>
      <c r="J7308" t="n">
        <v>0</v>
      </c>
      <c r="K7308" t="n">
        <v>0</v>
      </c>
      <c r="L7308" t="n">
        <v>0</v>
      </c>
      <c r="M7308" t="n">
        <v>0</v>
      </c>
      <c r="N7308" t="n">
        <v>0</v>
      </c>
      <c r="O7308" t="n">
        <v>0</v>
      </c>
      <c r="P7308" t="n">
        <v>0</v>
      </c>
      <c r="Q7308" t="n">
        <v>0</v>
      </c>
      <c r="R7308" s="2" t="inlineStr"/>
    </row>
    <row r="7309" ht="15" customHeight="1">
      <c r="A7309" t="inlineStr">
        <is>
          <t>A 27203-2023</t>
        </is>
      </c>
      <c r="B7309" s="1" t="n">
        <v>45096</v>
      </c>
      <c r="C7309" s="1" t="n">
        <v>45587</v>
      </c>
      <c r="D7309" t="inlineStr">
        <is>
          <t>GÄVLEBORGS LÄN</t>
        </is>
      </c>
      <c r="E7309" t="inlineStr">
        <is>
          <t>OVANÅKER</t>
        </is>
      </c>
      <c r="F7309" t="inlineStr">
        <is>
          <t>Bergvik skog väst AB</t>
        </is>
      </c>
      <c r="G7309" t="n">
        <v>7.8</v>
      </c>
      <c r="H7309" t="n">
        <v>0</v>
      </c>
      <c r="I7309" t="n">
        <v>0</v>
      </c>
      <c r="J7309" t="n">
        <v>0</v>
      </c>
      <c r="K7309" t="n">
        <v>0</v>
      </c>
      <c r="L7309" t="n">
        <v>0</v>
      </c>
      <c r="M7309" t="n">
        <v>0</v>
      </c>
      <c r="N7309" t="n">
        <v>0</v>
      </c>
      <c r="O7309" t="n">
        <v>0</v>
      </c>
      <c r="P7309" t="n">
        <v>0</v>
      </c>
      <c r="Q7309" t="n">
        <v>0</v>
      </c>
      <c r="R7309" s="2" t="inlineStr"/>
    </row>
    <row r="7310" ht="15" customHeight="1">
      <c r="A7310" t="inlineStr">
        <is>
          <t>A 27113-2023</t>
        </is>
      </c>
      <c r="B7310" s="1" t="n">
        <v>45096</v>
      </c>
      <c r="C7310" s="1" t="n">
        <v>45587</v>
      </c>
      <c r="D7310" t="inlineStr">
        <is>
          <t>GÄVLEBORGS LÄN</t>
        </is>
      </c>
      <c r="E7310" t="inlineStr">
        <is>
          <t>OVANÅKER</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27127-2023</t>
        </is>
      </c>
      <c r="B7311" s="1" t="n">
        <v>45096</v>
      </c>
      <c r="C7311" s="1" t="n">
        <v>45587</v>
      </c>
      <c r="D7311" t="inlineStr">
        <is>
          <t>GÄVLEBORGS LÄN</t>
        </is>
      </c>
      <c r="E7311" t="inlineStr">
        <is>
          <t>OCKELBO</t>
        </is>
      </c>
      <c r="F7311" t="inlineStr">
        <is>
          <t>Bergvik skog väst AB</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27151-2023</t>
        </is>
      </c>
      <c r="B7312" s="1" t="n">
        <v>45096</v>
      </c>
      <c r="C7312" s="1" t="n">
        <v>45587</v>
      </c>
      <c r="D7312" t="inlineStr">
        <is>
          <t>GÄVLEBORGS LÄN</t>
        </is>
      </c>
      <c r="E7312" t="inlineStr">
        <is>
          <t>SÖDERHAMN</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27155-2023</t>
        </is>
      </c>
      <c r="B7313" s="1" t="n">
        <v>45096</v>
      </c>
      <c r="C7313" s="1" t="n">
        <v>45587</v>
      </c>
      <c r="D7313" t="inlineStr">
        <is>
          <t>GÄVLEBORGS LÄN</t>
        </is>
      </c>
      <c r="E7313" t="inlineStr">
        <is>
          <t>SÖDERHAMN</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27179-2023</t>
        </is>
      </c>
      <c r="B7314" s="1" t="n">
        <v>45096</v>
      </c>
      <c r="C7314" s="1" t="n">
        <v>45587</v>
      </c>
      <c r="D7314" t="inlineStr">
        <is>
          <t>GÄVLEBORGS LÄN</t>
        </is>
      </c>
      <c r="E7314" t="inlineStr">
        <is>
          <t>BOLLNÄS</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27174-2023</t>
        </is>
      </c>
      <c r="B7315" s="1" t="n">
        <v>45096</v>
      </c>
      <c r="C7315" s="1" t="n">
        <v>45587</v>
      </c>
      <c r="D7315" t="inlineStr">
        <is>
          <t>GÄVLEBORGS LÄN</t>
        </is>
      </c>
      <c r="E7315" t="inlineStr">
        <is>
          <t>SANDVIKEN</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27192-2023</t>
        </is>
      </c>
      <c r="B7316" s="1" t="n">
        <v>45096</v>
      </c>
      <c r="C7316" s="1" t="n">
        <v>45587</v>
      </c>
      <c r="D7316" t="inlineStr">
        <is>
          <t>GÄVLEBORGS LÄN</t>
        </is>
      </c>
      <c r="E7316" t="inlineStr">
        <is>
          <t>SÖDERHAMN</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27202-2023</t>
        </is>
      </c>
      <c r="B7317" s="1" t="n">
        <v>45096</v>
      </c>
      <c r="C7317" s="1" t="n">
        <v>45587</v>
      </c>
      <c r="D7317" t="inlineStr">
        <is>
          <t>GÄVLEBORGS LÄN</t>
        </is>
      </c>
      <c r="E7317" t="inlineStr">
        <is>
          <t>HUDIKSVALL</t>
        </is>
      </c>
      <c r="F7317" t="inlineStr">
        <is>
          <t>Naturvårdsverket</t>
        </is>
      </c>
      <c r="G7317" t="n">
        <v>8.9</v>
      </c>
      <c r="H7317" t="n">
        <v>0</v>
      </c>
      <c r="I7317" t="n">
        <v>0</v>
      </c>
      <c r="J7317" t="n">
        <v>0</v>
      </c>
      <c r="K7317" t="n">
        <v>0</v>
      </c>
      <c r="L7317" t="n">
        <v>0</v>
      </c>
      <c r="M7317" t="n">
        <v>0</v>
      </c>
      <c r="N7317" t="n">
        <v>0</v>
      </c>
      <c r="O7317" t="n">
        <v>0</v>
      </c>
      <c r="P7317" t="n">
        <v>0</v>
      </c>
      <c r="Q7317" t="n">
        <v>0</v>
      </c>
      <c r="R7317" s="2" t="inlineStr"/>
    </row>
    <row r="7318" ht="15" customHeight="1">
      <c r="A7318" t="inlineStr">
        <is>
          <t>A 27100-2023</t>
        </is>
      </c>
      <c r="B7318" s="1" t="n">
        <v>45096</v>
      </c>
      <c r="C7318" s="1" t="n">
        <v>45587</v>
      </c>
      <c r="D7318" t="inlineStr">
        <is>
          <t>GÄVLEBORGS LÄN</t>
        </is>
      </c>
      <c r="E7318" t="inlineStr">
        <is>
          <t>OVANÅKER</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27161-2023</t>
        </is>
      </c>
      <c r="B7319" s="1" t="n">
        <v>45096</v>
      </c>
      <c r="C7319" s="1" t="n">
        <v>45587</v>
      </c>
      <c r="D7319" t="inlineStr">
        <is>
          <t>GÄVLEBORGS LÄN</t>
        </is>
      </c>
      <c r="E7319" t="inlineStr">
        <is>
          <t>BOLLNÄS</t>
        </is>
      </c>
      <c r="F7319" t="inlineStr">
        <is>
          <t>Bergvik skog väst AB</t>
        </is>
      </c>
      <c r="G7319" t="n">
        <v>15.5</v>
      </c>
      <c r="H7319" t="n">
        <v>0</v>
      </c>
      <c r="I7319" t="n">
        <v>0</v>
      </c>
      <c r="J7319" t="n">
        <v>0</v>
      </c>
      <c r="K7319" t="n">
        <v>0</v>
      </c>
      <c r="L7319" t="n">
        <v>0</v>
      </c>
      <c r="M7319" t="n">
        <v>0</v>
      </c>
      <c r="N7319" t="n">
        <v>0</v>
      </c>
      <c r="O7319" t="n">
        <v>0</v>
      </c>
      <c r="P7319" t="n">
        <v>0</v>
      </c>
      <c r="Q7319" t="n">
        <v>0</v>
      </c>
      <c r="R7319" s="2" t="inlineStr"/>
    </row>
    <row r="7320" ht="15" customHeight="1">
      <c r="A7320" t="inlineStr">
        <is>
          <t>A 27165-2023</t>
        </is>
      </c>
      <c r="B7320" s="1" t="n">
        <v>45096</v>
      </c>
      <c r="C7320" s="1" t="n">
        <v>45587</v>
      </c>
      <c r="D7320" t="inlineStr">
        <is>
          <t>GÄVLEBORGS LÄN</t>
        </is>
      </c>
      <c r="E7320" t="inlineStr">
        <is>
          <t>BOLLNÄS</t>
        </is>
      </c>
      <c r="F7320" t="inlineStr">
        <is>
          <t>Bergvik skog väst AB</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27169-2023</t>
        </is>
      </c>
      <c r="B7321" s="1" t="n">
        <v>45096</v>
      </c>
      <c r="C7321" s="1" t="n">
        <v>45587</v>
      </c>
      <c r="D7321" t="inlineStr">
        <is>
          <t>GÄVLEBORGS LÄN</t>
        </is>
      </c>
      <c r="E7321" t="inlineStr">
        <is>
          <t>BOLLNÄS</t>
        </is>
      </c>
      <c r="F7321" t="inlineStr">
        <is>
          <t>Bergvik skog väst AB</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27204-2023</t>
        </is>
      </c>
      <c r="B7322" s="1" t="n">
        <v>45096</v>
      </c>
      <c r="C7322" s="1" t="n">
        <v>45587</v>
      </c>
      <c r="D7322" t="inlineStr">
        <is>
          <t>GÄVLEBORGS LÄN</t>
        </is>
      </c>
      <c r="E7322" t="inlineStr">
        <is>
          <t>HUDIKSVALL</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27289-2023</t>
        </is>
      </c>
      <c r="B7323" s="1" t="n">
        <v>45096</v>
      </c>
      <c r="C7323" s="1" t="n">
        <v>45587</v>
      </c>
      <c r="D7323" t="inlineStr">
        <is>
          <t>GÄVLEBORGS LÄN</t>
        </is>
      </c>
      <c r="E7323" t="inlineStr">
        <is>
          <t>HUDIKSVALL</t>
        </is>
      </c>
      <c r="G7323" t="n">
        <v>5.4</v>
      </c>
      <c r="H7323" t="n">
        <v>0</v>
      </c>
      <c r="I7323" t="n">
        <v>0</v>
      </c>
      <c r="J7323" t="n">
        <v>0</v>
      </c>
      <c r="K7323" t="n">
        <v>0</v>
      </c>
      <c r="L7323" t="n">
        <v>0</v>
      </c>
      <c r="M7323" t="n">
        <v>0</v>
      </c>
      <c r="N7323" t="n">
        <v>0</v>
      </c>
      <c r="O7323" t="n">
        <v>0</v>
      </c>
      <c r="P7323" t="n">
        <v>0</v>
      </c>
      <c r="Q7323" t="n">
        <v>0</v>
      </c>
      <c r="R7323" s="2" t="inlineStr"/>
    </row>
    <row r="7324" ht="15" customHeight="1">
      <c r="A7324" t="inlineStr">
        <is>
          <t>A 27324-2023</t>
        </is>
      </c>
      <c r="B7324" s="1" t="n">
        <v>45096</v>
      </c>
      <c r="C7324" s="1" t="n">
        <v>45587</v>
      </c>
      <c r="D7324" t="inlineStr">
        <is>
          <t>GÄVLEBORGS LÄN</t>
        </is>
      </c>
      <c r="E7324" t="inlineStr">
        <is>
          <t>OVANÅKER</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27337-2023</t>
        </is>
      </c>
      <c r="B7325" s="1" t="n">
        <v>45096</v>
      </c>
      <c r="C7325" s="1" t="n">
        <v>45587</v>
      </c>
      <c r="D7325" t="inlineStr">
        <is>
          <t>GÄVLEBORGS LÄN</t>
        </is>
      </c>
      <c r="E7325" t="inlineStr">
        <is>
          <t>SANDVIKEN</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27302-2023</t>
        </is>
      </c>
      <c r="B7326" s="1" t="n">
        <v>45096</v>
      </c>
      <c r="C7326" s="1" t="n">
        <v>45587</v>
      </c>
      <c r="D7326" t="inlineStr">
        <is>
          <t>GÄVLEBORGS LÄN</t>
        </is>
      </c>
      <c r="E7326" t="inlineStr">
        <is>
          <t>HUDIKSVALL</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27320-2023</t>
        </is>
      </c>
      <c r="B7327" s="1" t="n">
        <v>45096</v>
      </c>
      <c r="C7327" s="1" t="n">
        <v>45587</v>
      </c>
      <c r="D7327" t="inlineStr">
        <is>
          <t>GÄVLEBORGS LÄN</t>
        </is>
      </c>
      <c r="E7327" t="inlineStr">
        <is>
          <t>OVANÅKER</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27296-2023</t>
        </is>
      </c>
      <c r="B7328" s="1" t="n">
        <v>45096</v>
      </c>
      <c r="C7328" s="1" t="n">
        <v>45587</v>
      </c>
      <c r="D7328" t="inlineStr">
        <is>
          <t>GÄVLEBORGS LÄN</t>
        </is>
      </c>
      <c r="E7328" t="inlineStr">
        <is>
          <t>HUDIKSVALL</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28163-2023</t>
        </is>
      </c>
      <c r="B7329" s="1" t="n">
        <v>45096</v>
      </c>
      <c r="C7329" s="1" t="n">
        <v>45587</v>
      </c>
      <c r="D7329" t="inlineStr">
        <is>
          <t>GÄVLEBORGS LÄN</t>
        </is>
      </c>
      <c r="E7329" t="inlineStr">
        <is>
          <t>SANDVIKEN</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27423-2023</t>
        </is>
      </c>
      <c r="B7330" s="1" t="n">
        <v>45097</v>
      </c>
      <c r="C7330" s="1" t="n">
        <v>45587</v>
      </c>
      <c r="D7330" t="inlineStr">
        <is>
          <t>GÄVLEBORGS LÄN</t>
        </is>
      </c>
      <c r="E7330" t="inlineStr">
        <is>
          <t>SANDVIKEN</t>
        </is>
      </c>
      <c r="F7330" t="inlineStr">
        <is>
          <t>Kommuner</t>
        </is>
      </c>
      <c r="G7330" t="n">
        <v>18.9</v>
      </c>
      <c r="H7330" t="n">
        <v>0</v>
      </c>
      <c r="I7330" t="n">
        <v>0</v>
      </c>
      <c r="J7330" t="n">
        <v>0</v>
      </c>
      <c r="K7330" t="n">
        <v>0</v>
      </c>
      <c r="L7330" t="n">
        <v>0</v>
      </c>
      <c r="M7330" t="n">
        <v>0</v>
      </c>
      <c r="N7330" t="n">
        <v>0</v>
      </c>
      <c r="O7330" t="n">
        <v>0</v>
      </c>
      <c r="P7330" t="n">
        <v>0</v>
      </c>
      <c r="Q7330" t="n">
        <v>0</v>
      </c>
      <c r="R7330" s="2" t="inlineStr"/>
    </row>
    <row r="7331" ht="15" customHeight="1">
      <c r="A7331" t="inlineStr">
        <is>
          <t>A 27547-2023</t>
        </is>
      </c>
      <c r="B7331" s="1" t="n">
        <v>45097</v>
      </c>
      <c r="C7331" s="1" t="n">
        <v>45587</v>
      </c>
      <c r="D7331" t="inlineStr">
        <is>
          <t>GÄVLEBORGS LÄN</t>
        </is>
      </c>
      <c r="E7331" t="inlineStr">
        <is>
          <t>BOLLNÄS</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27397-2023</t>
        </is>
      </c>
      <c r="B7332" s="1" t="n">
        <v>45097</v>
      </c>
      <c r="C7332" s="1" t="n">
        <v>45587</v>
      </c>
      <c r="D7332" t="inlineStr">
        <is>
          <t>GÄVLEBORGS LÄN</t>
        </is>
      </c>
      <c r="E7332" t="inlineStr">
        <is>
          <t>SÖDERHAMN</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27460-2023</t>
        </is>
      </c>
      <c r="B7333" s="1" t="n">
        <v>45097</v>
      </c>
      <c r="C7333" s="1" t="n">
        <v>45587</v>
      </c>
      <c r="D7333" t="inlineStr">
        <is>
          <t>GÄVLEBORGS LÄN</t>
        </is>
      </c>
      <c r="E7333" t="inlineStr">
        <is>
          <t>LJUSDAL</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27497-2023</t>
        </is>
      </c>
      <c r="B7334" s="1" t="n">
        <v>45097</v>
      </c>
      <c r="C7334" s="1" t="n">
        <v>45587</v>
      </c>
      <c r="D7334" t="inlineStr">
        <is>
          <t>GÄVLEBORGS LÄN</t>
        </is>
      </c>
      <c r="E7334" t="inlineStr">
        <is>
          <t>LJUSDAL</t>
        </is>
      </c>
      <c r="F7334" t="inlineStr">
        <is>
          <t>Bergvik skog väst AB</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27590-2023</t>
        </is>
      </c>
      <c r="B7335" s="1" t="n">
        <v>45097</v>
      </c>
      <c r="C7335" s="1" t="n">
        <v>45587</v>
      </c>
      <c r="D7335" t="inlineStr">
        <is>
          <t>GÄVLEBORGS LÄN</t>
        </is>
      </c>
      <c r="E7335" t="inlineStr">
        <is>
          <t>BOLLNÄS</t>
        </is>
      </c>
      <c r="G7335" t="n">
        <v>3.8</v>
      </c>
      <c r="H7335" t="n">
        <v>0</v>
      </c>
      <c r="I7335" t="n">
        <v>0</v>
      </c>
      <c r="J7335" t="n">
        <v>0</v>
      </c>
      <c r="K7335" t="n">
        <v>0</v>
      </c>
      <c r="L7335" t="n">
        <v>0</v>
      </c>
      <c r="M7335" t="n">
        <v>0</v>
      </c>
      <c r="N7335" t="n">
        <v>0</v>
      </c>
      <c r="O7335" t="n">
        <v>0</v>
      </c>
      <c r="P7335" t="n">
        <v>0</v>
      </c>
      <c r="Q7335" t="n">
        <v>0</v>
      </c>
      <c r="R7335" s="2" t="inlineStr"/>
    </row>
    <row r="7336" ht="15" customHeight="1">
      <c r="A7336" t="inlineStr">
        <is>
          <t>A 27564-2023</t>
        </is>
      </c>
      <c r="B7336" s="1" t="n">
        <v>45097</v>
      </c>
      <c r="C7336" s="1" t="n">
        <v>45587</v>
      </c>
      <c r="D7336" t="inlineStr">
        <is>
          <t>GÄVLEBORGS LÄN</t>
        </is>
      </c>
      <c r="E7336" t="inlineStr">
        <is>
          <t>LJUSDAL</t>
        </is>
      </c>
      <c r="F7336" t="inlineStr">
        <is>
          <t>Holmen skog AB</t>
        </is>
      </c>
      <c r="G7336" t="n">
        <v>9.4</v>
      </c>
      <c r="H7336" t="n">
        <v>0</v>
      </c>
      <c r="I7336" t="n">
        <v>0</v>
      </c>
      <c r="J7336" t="n">
        <v>0</v>
      </c>
      <c r="K7336" t="n">
        <v>0</v>
      </c>
      <c r="L7336" t="n">
        <v>0</v>
      </c>
      <c r="M7336" t="n">
        <v>0</v>
      </c>
      <c r="N7336" t="n">
        <v>0</v>
      </c>
      <c r="O7336" t="n">
        <v>0</v>
      </c>
      <c r="P7336" t="n">
        <v>0</v>
      </c>
      <c r="Q7336" t="n">
        <v>0</v>
      </c>
      <c r="R7336" s="2" t="inlineStr"/>
    </row>
    <row r="7337" ht="15" customHeight="1">
      <c r="A7337" t="inlineStr">
        <is>
          <t>A 27490-2023</t>
        </is>
      </c>
      <c r="B7337" s="1" t="n">
        <v>45097</v>
      </c>
      <c r="C7337" s="1" t="n">
        <v>45587</v>
      </c>
      <c r="D7337" t="inlineStr">
        <is>
          <t>GÄVLEBORGS LÄN</t>
        </is>
      </c>
      <c r="E7337" t="inlineStr">
        <is>
          <t>LJUSDAL</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27512-2023</t>
        </is>
      </c>
      <c r="B7338" s="1" t="n">
        <v>45097</v>
      </c>
      <c r="C7338" s="1" t="n">
        <v>45587</v>
      </c>
      <c r="D7338" t="inlineStr">
        <is>
          <t>GÄVLEBORGS LÄN</t>
        </is>
      </c>
      <c r="E7338" t="inlineStr">
        <is>
          <t>LJUSDAL</t>
        </is>
      </c>
      <c r="F7338" t="inlineStr">
        <is>
          <t>Holmen skog AB</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27578-2023</t>
        </is>
      </c>
      <c r="B7339" s="1" t="n">
        <v>45097</v>
      </c>
      <c r="C7339" s="1" t="n">
        <v>45587</v>
      </c>
      <c r="D7339" t="inlineStr">
        <is>
          <t>GÄVLEBORGS LÄN</t>
        </is>
      </c>
      <c r="E7339" t="inlineStr">
        <is>
          <t>BOLLNÄS</t>
        </is>
      </c>
      <c r="G7339" t="n">
        <v>6.1</v>
      </c>
      <c r="H7339" t="n">
        <v>0</v>
      </c>
      <c r="I7339" t="n">
        <v>0</v>
      </c>
      <c r="J7339" t="n">
        <v>0</v>
      </c>
      <c r="K7339" t="n">
        <v>0</v>
      </c>
      <c r="L7339" t="n">
        <v>0</v>
      </c>
      <c r="M7339" t="n">
        <v>0</v>
      </c>
      <c r="N7339" t="n">
        <v>0</v>
      </c>
      <c r="O7339" t="n">
        <v>0</v>
      </c>
      <c r="P7339" t="n">
        <v>0</v>
      </c>
      <c r="Q7339" t="n">
        <v>0</v>
      </c>
      <c r="R7339" s="2" t="inlineStr"/>
    </row>
    <row r="7340" ht="15" customHeight="1">
      <c r="A7340" t="inlineStr">
        <is>
          <t>A 27583-2023</t>
        </is>
      </c>
      <c r="B7340" s="1" t="n">
        <v>45097</v>
      </c>
      <c r="C7340" s="1" t="n">
        <v>45587</v>
      </c>
      <c r="D7340" t="inlineStr">
        <is>
          <t>GÄVLEBORGS LÄN</t>
        </is>
      </c>
      <c r="E7340" t="inlineStr">
        <is>
          <t>HOFORS</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27605-2023</t>
        </is>
      </c>
      <c r="B7341" s="1" t="n">
        <v>45097</v>
      </c>
      <c r="C7341" s="1" t="n">
        <v>45587</v>
      </c>
      <c r="D7341" t="inlineStr">
        <is>
          <t>GÄVLEBORGS LÄN</t>
        </is>
      </c>
      <c r="E7341" t="inlineStr">
        <is>
          <t>OCKELBO</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27475-2023</t>
        </is>
      </c>
      <c r="B7342" s="1" t="n">
        <v>45097</v>
      </c>
      <c r="C7342" s="1" t="n">
        <v>45587</v>
      </c>
      <c r="D7342" t="inlineStr">
        <is>
          <t>GÄVLEBORGS LÄN</t>
        </is>
      </c>
      <c r="E7342" t="inlineStr">
        <is>
          <t>HUDIKSVALL</t>
        </is>
      </c>
      <c r="F7342" t="inlineStr">
        <is>
          <t>Holmen skog AB</t>
        </is>
      </c>
      <c r="G7342" t="n">
        <v>14.6</v>
      </c>
      <c r="H7342" t="n">
        <v>0</v>
      </c>
      <c r="I7342" t="n">
        <v>0</v>
      </c>
      <c r="J7342" t="n">
        <v>0</v>
      </c>
      <c r="K7342" t="n">
        <v>0</v>
      </c>
      <c r="L7342" t="n">
        <v>0</v>
      </c>
      <c r="M7342" t="n">
        <v>0</v>
      </c>
      <c r="N7342" t="n">
        <v>0</v>
      </c>
      <c r="O7342" t="n">
        <v>0</v>
      </c>
      <c r="P7342" t="n">
        <v>0</v>
      </c>
      <c r="Q7342" t="n">
        <v>0</v>
      </c>
      <c r="R7342" s="2" t="inlineStr"/>
    </row>
    <row r="7343" ht="15" customHeight="1">
      <c r="A7343" t="inlineStr">
        <is>
          <t>A 27558-2023</t>
        </is>
      </c>
      <c r="B7343" s="1" t="n">
        <v>45097</v>
      </c>
      <c r="C7343" s="1" t="n">
        <v>45587</v>
      </c>
      <c r="D7343" t="inlineStr">
        <is>
          <t>GÄVLEBORGS LÄN</t>
        </is>
      </c>
      <c r="E7343" t="inlineStr">
        <is>
          <t>BOLLNÄS</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27742-2023</t>
        </is>
      </c>
      <c r="B7344" s="1" t="n">
        <v>45098</v>
      </c>
      <c r="C7344" s="1" t="n">
        <v>45587</v>
      </c>
      <c r="D7344" t="inlineStr">
        <is>
          <t>GÄVLEBORGS LÄN</t>
        </is>
      </c>
      <c r="E7344" t="inlineStr">
        <is>
          <t>GÄVLE</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27710-2023</t>
        </is>
      </c>
      <c r="B7345" s="1" t="n">
        <v>45098</v>
      </c>
      <c r="C7345" s="1" t="n">
        <v>45587</v>
      </c>
      <c r="D7345" t="inlineStr">
        <is>
          <t>GÄVLEBORGS LÄN</t>
        </is>
      </c>
      <c r="E7345" t="inlineStr">
        <is>
          <t>HUDIKSVALL</t>
        </is>
      </c>
      <c r="F7345" t="inlineStr">
        <is>
          <t>Kommuner</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27718-2023</t>
        </is>
      </c>
      <c r="B7346" s="1" t="n">
        <v>45098</v>
      </c>
      <c r="C7346" s="1" t="n">
        <v>45587</v>
      </c>
      <c r="D7346" t="inlineStr">
        <is>
          <t>GÄVLEBORGS LÄN</t>
        </is>
      </c>
      <c r="E7346" t="inlineStr">
        <is>
          <t>LJUSDAL</t>
        </is>
      </c>
      <c r="F7346" t="inlineStr">
        <is>
          <t>Holmen skog AB</t>
        </is>
      </c>
      <c r="G7346" t="n">
        <v>23.3</v>
      </c>
      <c r="H7346" t="n">
        <v>0</v>
      </c>
      <c r="I7346" t="n">
        <v>0</v>
      </c>
      <c r="J7346" t="n">
        <v>0</v>
      </c>
      <c r="K7346" t="n">
        <v>0</v>
      </c>
      <c r="L7346" t="n">
        <v>0</v>
      </c>
      <c r="M7346" t="n">
        <v>0</v>
      </c>
      <c r="N7346" t="n">
        <v>0</v>
      </c>
      <c r="O7346" t="n">
        <v>0</v>
      </c>
      <c r="P7346" t="n">
        <v>0</v>
      </c>
      <c r="Q7346" t="n">
        <v>0</v>
      </c>
      <c r="R7346" s="2" t="inlineStr"/>
    </row>
    <row r="7347" ht="15" customHeight="1">
      <c r="A7347" t="inlineStr">
        <is>
          <t>A 27761-2023</t>
        </is>
      </c>
      <c r="B7347" s="1" t="n">
        <v>45098</v>
      </c>
      <c r="C7347" s="1" t="n">
        <v>45587</v>
      </c>
      <c r="D7347" t="inlineStr">
        <is>
          <t>GÄVLEBORGS LÄN</t>
        </is>
      </c>
      <c r="E7347" t="inlineStr">
        <is>
          <t>BOLLNÄS</t>
        </is>
      </c>
      <c r="F7347" t="inlineStr">
        <is>
          <t>Kyrkan</t>
        </is>
      </c>
      <c r="G7347" t="n">
        <v>13.7</v>
      </c>
      <c r="H7347" t="n">
        <v>0</v>
      </c>
      <c r="I7347" t="n">
        <v>0</v>
      </c>
      <c r="J7347" t="n">
        <v>0</v>
      </c>
      <c r="K7347" t="n">
        <v>0</v>
      </c>
      <c r="L7347" t="n">
        <v>0</v>
      </c>
      <c r="M7347" t="n">
        <v>0</v>
      </c>
      <c r="N7347" t="n">
        <v>0</v>
      </c>
      <c r="O7347" t="n">
        <v>0</v>
      </c>
      <c r="P7347" t="n">
        <v>0</v>
      </c>
      <c r="Q7347" t="n">
        <v>0</v>
      </c>
      <c r="R7347" s="2" t="inlineStr"/>
    </row>
    <row r="7348" ht="15" customHeight="1">
      <c r="A7348" t="inlineStr">
        <is>
          <t>A 27795-2023</t>
        </is>
      </c>
      <c r="B7348" s="1" t="n">
        <v>45098</v>
      </c>
      <c r="C7348" s="1" t="n">
        <v>45587</v>
      </c>
      <c r="D7348" t="inlineStr">
        <is>
          <t>GÄVLEBORGS LÄN</t>
        </is>
      </c>
      <c r="E7348" t="inlineStr">
        <is>
          <t>BOLLNÄS</t>
        </is>
      </c>
      <c r="F7348" t="inlineStr">
        <is>
          <t>Bergvik skog väst AB</t>
        </is>
      </c>
      <c r="G7348" t="n">
        <v>6.6</v>
      </c>
      <c r="H7348" t="n">
        <v>0</v>
      </c>
      <c r="I7348" t="n">
        <v>0</v>
      </c>
      <c r="J7348" t="n">
        <v>0</v>
      </c>
      <c r="K7348" t="n">
        <v>0</v>
      </c>
      <c r="L7348" t="n">
        <v>0</v>
      </c>
      <c r="M7348" t="n">
        <v>0</v>
      </c>
      <c r="N7348" t="n">
        <v>0</v>
      </c>
      <c r="O7348" t="n">
        <v>0</v>
      </c>
      <c r="P7348" t="n">
        <v>0</v>
      </c>
      <c r="Q7348" t="n">
        <v>0</v>
      </c>
      <c r="R7348" s="2" t="inlineStr"/>
    </row>
    <row r="7349" ht="15" customHeight="1">
      <c r="A7349" t="inlineStr">
        <is>
          <t>A 27793-2023</t>
        </is>
      </c>
      <c r="B7349" s="1" t="n">
        <v>45098</v>
      </c>
      <c r="C7349" s="1" t="n">
        <v>45587</v>
      </c>
      <c r="D7349" t="inlineStr">
        <is>
          <t>GÄVLEBORGS LÄN</t>
        </is>
      </c>
      <c r="E7349" t="inlineStr">
        <is>
          <t>BOLLNÄS</t>
        </is>
      </c>
      <c r="F7349" t="inlineStr">
        <is>
          <t>Bergvik skog väst AB</t>
        </is>
      </c>
      <c r="G7349" t="n">
        <v>4.8</v>
      </c>
      <c r="H7349" t="n">
        <v>0</v>
      </c>
      <c r="I7349" t="n">
        <v>0</v>
      </c>
      <c r="J7349" t="n">
        <v>0</v>
      </c>
      <c r="K7349" t="n">
        <v>0</v>
      </c>
      <c r="L7349" t="n">
        <v>0</v>
      </c>
      <c r="M7349" t="n">
        <v>0</v>
      </c>
      <c r="N7349" t="n">
        <v>0</v>
      </c>
      <c r="O7349" t="n">
        <v>0</v>
      </c>
      <c r="P7349" t="n">
        <v>0</v>
      </c>
      <c r="Q7349" t="n">
        <v>0</v>
      </c>
      <c r="R7349" s="2" t="inlineStr"/>
    </row>
    <row r="7350" ht="15" customHeight="1">
      <c r="A7350" t="inlineStr">
        <is>
          <t>A 27817-2023</t>
        </is>
      </c>
      <c r="B7350" s="1" t="n">
        <v>45098</v>
      </c>
      <c r="C7350" s="1" t="n">
        <v>45587</v>
      </c>
      <c r="D7350" t="inlineStr">
        <is>
          <t>GÄVLEBORGS LÄN</t>
        </is>
      </c>
      <c r="E7350" t="inlineStr">
        <is>
          <t>HUDIKSVALL</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27862-2023</t>
        </is>
      </c>
      <c r="B7351" s="1" t="n">
        <v>45098</v>
      </c>
      <c r="C7351" s="1" t="n">
        <v>45587</v>
      </c>
      <c r="D7351" t="inlineStr">
        <is>
          <t>GÄVLEBORGS LÄN</t>
        </is>
      </c>
      <c r="E7351" t="inlineStr">
        <is>
          <t>SÖDERHAMN</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27866-2023</t>
        </is>
      </c>
      <c r="B7352" s="1" t="n">
        <v>45098</v>
      </c>
      <c r="C7352" s="1" t="n">
        <v>45587</v>
      </c>
      <c r="D7352" t="inlineStr">
        <is>
          <t>GÄVLEBORGS LÄN</t>
        </is>
      </c>
      <c r="E7352" t="inlineStr">
        <is>
          <t>HUDIKSVALL</t>
        </is>
      </c>
      <c r="G7352" t="n">
        <v>0.1</v>
      </c>
      <c r="H7352" t="n">
        <v>0</v>
      </c>
      <c r="I7352" t="n">
        <v>0</v>
      </c>
      <c r="J7352" t="n">
        <v>0</v>
      </c>
      <c r="K7352" t="n">
        <v>0</v>
      </c>
      <c r="L7352" t="n">
        <v>0</v>
      </c>
      <c r="M7352" t="n">
        <v>0</v>
      </c>
      <c r="N7352" t="n">
        <v>0</v>
      </c>
      <c r="O7352" t="n">
        <v>0</v>
      </c>
      <c r="P7352" t="n">
        <v>0</v>
      </c>
      <c r="Q7352" t="n">
        <v>0</v>
      </c>
      <c r="R7352" s="2" t="inlineStr"/>
    </row>
    <row r="7353" ht="15" customHeight="1">
      <c r="A7353" t="inlineStr">
        <is>
          <t>A 27995-2023</t>
        </is>
      </c>
      <c r="B7353" s="1" t="n">
        <v>45098</v>
      </c>
      <c r="C7353" s="1" t="n">
        <v>45587</v>
      </c>
      <c r="D7353" t="inlineStr">
        <is>
          <t>GÄVLEBORGS LÄN</t>
        </is>
      </c>
      <c r="E7353" t="inlineStr">
        <is>
          <t>SANDVIKEN</t>
        </is>
      </c>
      <c r="F7353" t="inlineStr">
        <is>
          <t>Bergvik skog öst AB</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27988-2023</t>
        </is>
      </c>
      <c r="B7354" s="1" t="n">
        <v>45098</v>
      </c>
      <c r="C7354" s="1" t="n">
        <v>45587</v>
      </c>
      <c r="D7354" t="inlineStr">
        <is>
          <t>GÄVLEBORGS LÄN</t>
        </is>
      </c>
      <c r="E7354" t="inlineStr">
        <is>
          <t>SANDVIKEN</t>
        </is>
      </c>
      <c r="F7354" t="inlineStr">
        <is>
          <t>Bergvik skog öst AB</t>
        </is>
      </c>
      <c r="G7354" t="n">
        <v>7.2</v>
      </c>
      <c r="H7354" t="n">
        <v>0</v>
      </c>
      <c r="I7354" t="n">
        <v>0</v>
      </c>
      <c r="J7354" t="n">
        <v>0</v>
      </c>
      <c r="K7354" t="n">
        <v>0</v>
      </c>
      <c r="L7354" t="n">
        <v>0</v>
      </c>
      <c r="M7354" t="n">
        <v>0</v>
      </c>
      <c r="N7354" t="n">
        <v>0</v>
      </c>
      <c r="O7354" t="n">
        <v>0</v>
      </c>
      <c r="P7354" t="n">
        <v>0</v>
      </c>
      <c r="Q7354" t="n">
        <v>0</v>
      </c>
      <c r="R7354" s="2" t="inlineStr"/>
    </row>
    <row r="7355" ht="15" customHeight="1">
      <c r="A7355" t="inlineStr">
        <is>
          <t>A 27984-2023</t>
        </is>
      </c>
      <c r="B7355" s="1" t="n">
        <v>45098</v>
      </c>
      <c r="C7355" s="1" t="n">
        <v>45587</v>
      </c>
      <c r="D7355" t="inlineStr">
        <is>
          <t>GÄVLEBORGS LÄN</t>
        </is>
      </c>
      <c r="E7355" t="inlineStr">
        <is>
          <t>SANDVIKEN</t>
        </is>
      </c>
      <c r="F7355" t="inlineStr">
        <is>
          <t>Bergvik skog öst AB</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28037-2023</t>
        </is>
      </c>
      <c r="B7356" s="1" t="n">
        <v>45099</v>
      </c>
      <c r="C7356" s="1" t="n">
        <v>45587</v>
      </c>
      <c r="D7356" t="inlineStr">
        <is>
          <t>GÄVLEBORGS LÄN</t>
        </is>
      </c>
      <c r="E7356" t="inlineStr">
        <is>
          <t>SANDVIKEN</t>
        </is>
      </c>
      <c r="F7356" t="inlineStr">
        <is>
          <t>Bergvik skog öst AB</t>
        </is>
      </c>
      <c r="G7356" t="n">
        <v>4.7</v>
      </c>
      <c r="H7356" t="n">
        <v>0</v>
      </c>
      <c r="I7356" t="n">
        <v>0</v>
      </c>
      <c r="J7356" t="n">
        <v>0</v>
      </c>
      <c r="K7356" t="n">
        <v>0</v>
      </c>
      <c r="L7356" t="n">
        <v>0</v>
      </c>
      <c r="M7356" t="n">
        <v>0</v>
      </c>
      <c r="N7356" t="n">
        <v>0</v>
      </c>
      <c r="O7356" t="n">
        <v>0</v>
      </c>
      <c r="P7356" t="n">
        <v>0</v>
      </c>
      <c r="Q7356" t="n">
        <v>0</v>
      </c>
      <c r="R7356" s="2" t="inlineStr"/>
    </row>
    <row r="7357" ht="15" customHeight="1">
      <c r="A7357" t="inlineStr">
        <is>
          <t>A 28041-2023</t>
        </is>
      </c>
      <c r="B7357" s="1" t="n">
        <v>45099</v>
      </c>
      <c r="C7357" s="1" t="n">
        <v>45587</v>
      </c>
      <c r="D7357" t="inlineStr">
        <is>
          <t>GÄVLEBORGS LÄN</t>
        </is>
      </c>
      <c r="E7357" t="inlineStr">
        <is>
          <t>BOLLNÄS</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28040-2023</t>
        </is>
      </c>
      <c r="B7358" s="1" t="n">
        <v>45099</v>
      </c>
      <c r="C7358" s="1" t="n">
        <v>45587</v>
      </c>
      <c r="D7358" t="inlineStr">
        <is>
          <t>GÄVLEBORGS LÄN</t>
        </is>
      </c>
      <c r="E7358" t="inlineStr">
        <is>
          <t>HUDIKSVALL</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28063-2023</t>
        </is>
      </c>
      <c r="B7359" s="1" t="n">
        <v>45099</v>
      </c>
      <c r="C7359" s="1" t="n">
        <v>45587</v>
      </c>
      <c r="D7359" t="inlineStr">
        <is>
          <t>GÄVLEBORGS LÄN</t>
        </is>
      </c>
      <c r="E7359" t="inlineStr">
        <is>
          <t>SANDVIKEN</t>
        </is>
      </c>
      <c r="G7359" t="n">
        <v>8.1</v>
      </c>
      <c r="H7359" t="n">
        <v>0</v>
      </c>
      <c r="I7359" t="n">
        <v>0</v>
      </c>
      <c r="J7359" t="n">
        <v>0</v>
      </c>
      <c r="K7359" t="n">
        <v>0</v>
      </c>
      <c r="L7359" t="n">
        <v>0</v>
      </c>
      <c r="M7359" t="n">
        <v>0</v>
      </c>
      <c r="N7359" t="n">
        <v>0</v>
      </c>
      <c r="O7359" t="n">
        <v>0</v>
      </c>
      <c r="P7359" t="n">
        <v>0</v>
      </c>
      <c r="Q7359" t="n">
        <v>0</v>
      </c>
      <c r="R7359" s="2" t="inlineStr"/>
    </row>
    <row r="7360" ht="15" customHeight="1">
      <c r="A7360" t="inlineStr">
        <is>
          <t>A 28114-2023</t>
        </is>
      </c>
      <c r="B7360" s="1" t="n">
        <v>45099</v>
      </c>
      <c r="C7360" s="1" t="n">
        <v>45587</v>
      </c>
      <c r="D7360" t="inlineStr">
        <is>
          <t>GÄVLEBORGS LÄN</t>
        </is>
      </c>
      <c r="E7360" t="inlineStr">
        <is>
          <t>LJUSDAL</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28058-2023</t>
        </is>
      </c>
      <c r="B7361" s="1" t="n">
        <v>45099</v>
      </c>
      <c r="C7361" s="1" t="n">
        <v>45587</v>
      </c>
      <c r="D7361" t="inlineStr">
        <is>
          <t>GÄVLEBORGS LÄN</t>
        </is>
      </c>
      <c r="E7361" t="inlineStr">
        <is>
          <t>HOFORS</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28179-2023</t>
        </is>
      </c>
      <c r="B7362" s="1" t="n">
        <v>45099</v>
      </c>
      <c r="C7362" s="1" t="n">
        <v>45587</v>
      </c>
      <c r="D7362" t="inlineStr">
        <is>
          <t>GÄVLEBORGS LÄN</t>
        </is>
      </c>
      <c r="E7362" t="inlineStr">
        <is>
          <t>BOLLNÄS</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28085-2023</t>
        </is>
      </c>
      <c r="B7363" s="1" t="n">
        <v>45099</v>
      </c>
      <c r="C7363" s="1" t="n">
        <v>45587</v>
      </c>
      <c r="D7363" t="inlineStr">
        <is>
          <t>GÄVLEBORGS LÄN</t>
        </is>
      </c>
      <c r="E7363" t="inlineStr">
        <is>
          <t>OVANÅKER</t>
        </is>
      </c>
      <c r="F7363" t="inlineStr">
        <is>
          <t>Bergvik skog väst AB</t>
        </is>
      </c>
      <c r="G7363" t="n">
        <v>6</v>
      </c>
      <c r="H7363" t="n">
        <v>0</v>
      </c>
      <c r="I7363" t="n">
        <v>0</v>
      </c>
      <c r="J7363" t="n">
        <v>0</v>
      </c>
      <c r="K7363" t="n">
        <v>0</v>
      </c>
      <c r="L7363" t="n">
        <v>0</v>
      </c>
      <c r="M7363" t="n">
        <v>0</v>
      </c>
      <c r="N7363" t="n">
        <v>0</v>
      </c>
      <c r="O7363" t="n">
        <v>0</v>
      </c>
      <c r="P7363" t="n">
        <v>0</v>
      </c>
      <c r="Q7363" t="n">
        <v>0</v>
      </c>
      <c r="R7363" s="2" t="inlineStr"/>
    </row>
    <row r="7364" ht="15" customHeight="1">
      <c r="A7364" t="inlineStr">
        <is>
          <t>A 28117-2023</t>
        </is>
      </c>
      <c r="B7364" s="1" t="n">
        <v>45099</v>
      </c>
      <c r="C7364" s="1" t="n">
        <v>45587</v>
      </c>
      <c r="D7364" t="inlineStr">
        <is>
          <t>GÄVLEBORGS LÄN</t>
        </is>
      </c>
      <c r="E7364" t="inlineStr">
        <is>
          <t>OVANÅKER</t>
        </is>
      </c>
      <c r="F7364" t="inlineStr">
        <is>
          <t>Bergvik skog väst AB</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28102-2023</t>
        </is>
      </c>
      <c r="B7365" s="1" t="n">
        <v>45099</v>
      </c>
      <c r="C7365" s="1" t="n">
        <v>45587</v>
      </c>
      <c r="D7365" t="inlineStr">
        <is>
          <t>GÄVLEBORGS LÄN</t>
        </is>
      </c>
      <c r="E7365" t="inlineStr">
        <is>
          <t>OVANÅKER</t>
        </is>
      </c>
      <c r="F7365" t="inlineStr">
        <is>
          <t>Bergvik skog väst AB</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28240-2023</t>
        </is>
      </c>
      <c r="B7366" s="1" t="n">
        <v>45099</v>
      </c>
      <c r="C7366" s="1" t="n">
        <v>45587</v>
      </c>
      <c r="D7366" t="inlineStr">
        <is>
          <t>GÄVLEBORGS LÄN</t>
        </is>
      </c>
      <c r="E7366" t="inlineStr">
        <is>
          <t>LJUSDAL</t>
        </is>
      </c>
      <c r="F7366" t="inlineStr">
        <is>
          <t>Holmen skog AB</t>
        </is>
      </c>
      <c r="G7366" t="n">
        <v>5.8</v>
      </c>
      <c r="H7366" t="n">
        <v>0</v>
      </c>
      <c r="I7366" t="n">
        <v>0</v>
      </c>
      <c r="J7366" t="n">
        <v>0</v>
      </c>
      <c r="K7366" t="n">
        <v>0</v>
      </c>
      <c r="L7366" t="n">
        <v>0</v>
      </c>
      <c r="M7366" t="n">
        <v>0</v>
      </c>
      <c r="N7366" t="n">
        <v>0</v>
      </c>
      <c r="O7366" t="n">
        <v>0</v>
      </c>
      <c r="P7366" t="n">
        <v>0</v>
      </c>
      <c r="Q7366" t="n">
        <v>0</v>
      </c>
      <c r="R7366" s="2" t="inlineStr"/>
    </row>
    <row r="7367" ht="15" customHeight="1">
      <c r="A7367" t="inlineStr">
        <is>
          <t>A 28197-2023</t>
        </is>
      </c>
      <c r="B7367" s="1" t="n">
        <v>45099</v>
      </c>
      <c r="C7367" s="1" t="n">
        <v>45587</v>
      </c>
      <c r="D7367" t="inlineStr">
        <is>
          <t>GÄVLEBORGS LÄN</t>
        </is>
      </c>
      <c r="E7367" t="inlineStr">
        <is>
          <t>SÖDERHAMN</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28200-2023</t>
        </is>
      </c>
      <c r="B7368" s="1" t="n">
        <v>45099</v>
      </c>
      <c r="C7368" s="1" t="n">
        <v>45587</v>
      </c>
      <c r="D7368" t="inlineStr">
        <is>
          <t>GÄVLEBORGS LÄN</t>
        </is>
      </c>
      <c r="E7368" t="inlineStr">
        <is>
          <t>SÖDERHAMN</t>
        </is>
      </c>
      <c r="G7368" t="n">
        <v>4.6</v>
      </c>
      <c r="H7368" t="n">
        <v>0</v>
      </c>
      <c r="I7368" t="n">
        <v>0</v>
      </c>
      <c r="J7368" t="n">
        <v>0</v>
      </c>
      <c r="K7368" t="n">
        <v>0</v>
      </c>
      <c r="L7368" t="n">
        <v>0</v>
      </c>
      <c r="M7368" t="n">
        <v>0</v>
      </c>
      <c r="N7368" t="n">
        <v>0</v>
      </c>
      <c r="O7368" t="n">
        <v>0</v>
      </c>
      <c r="P7368" t="n">
        <v>0</v>
      </c>
      <c r="Q7368" t="n">
        <v>0</v>
      </c>
      <c r="R7368" s="2" t="inlineStr"/>
    </row>
    <row r="7369" ht="15" customHeight="1">
      <c r="A7369" t="inlineStr">
        <is>
          <t>A 28205-2023</t>
        </is>
      </c>
      <c r="B7369" s="1" t="n">
        <v>45099</v>
      </c>
      <c r="C7369" s="1" t="n">
        <v>45587</v>
      </c>
      <c r="D7369" t="inlineStr">
        <is>
          <t>GÄVLEBORGS LÄN</t>
        </is>
      </c>
      <c r="E7369" t="inlineStr">
        <is>
          <t>SÖDERHAMN</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28110-2023</t>
        </is>
      </c>
      <c r="B7370" s="1" t="n">
        <v>45099</v>
      </c>
      <c r="C7370" s="1" t="n">
        <v>45587</v>
      </c>
      <c r="D7370" t="inlineStr">
        <is>
          <t>GÄVLEBORGS LÄN</t>
        </is>
      </c>
      <c r="E7370" t="inlineStr">
        <is>
          <t>OVANÅKER</t>
        </is>
      </c>
      <c r="F7370" t="inlineStr">
        <is>
          <t>Bergvik skog väst AB</t>
        </is>
      </c>
      <c r="G7370" t="n">
        <v>8.5</v>
      </c>
      <c r="H7370" t="n">
        <v>0</v>
      </c>
      <c r="I7370" t="n">
        <v>0</v>
      </c>
      <c r="J7370" t="n">
        <v>0</v>
      </c>
      <c r="K7370" t="n">
        <v>0</v>
      </c>
      <c r="L7370" t="n">
        <v>0</v>
      </c>
      <c r="M7370" t="n">
        <v>0</v>
      </c>
      <c r="N7370" t="n">
        <v>0</v>
      </c>
      <c r="O7370" t="n">
        <v>0</v>
      </c>
      <c r="P7370" t="n">
        <v>0</v>
      </c>
      <c r="Q7370" t="n">
        <v>0</v>
      </c>
      <c r="R7370" s="2" t="inlineStr"/>
    </row>
    <row r="7371" ht="15" customHeight="1">
      <c r="A7371" t="inlineStr">
        <is>
          <t>A 28115-2023</t>
        </is>
      </c>
      <c r="B7371" s="1" t="n">
        <v>45099</v>
      </c>
      <c r="C7371" s="1" t="n">
        <v>45587</v>
      </c>
      <c r="D7371" t="inlineStr">
        <is>
          <t>GÄVLEBORGS LÄN</t>
        </is>
      </c>
      <c r="E7371" t="inlineStr">
        <is>
          <t>HUDIKSVALL</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28248-2023</t>
        </is>
      </c>
      <c r="B7372" s="1" t="n">
        <v>45099</v>
      </c>
      <c r="C7372" s="1" t="n">
        <v>45587</v>
      </c>
      <c r="D7372" t="inlineStr">
        <is>
          <t>GÄVLEBORGS LÄN</t>
        </is>
      </c>
      <c r="E7372" t="inlineStr">
        <is>
          <t>LJUSDAL</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28174-2023</t>
        </is>
      </c>
      <c r="B7373" s="1" t="n">
        <v>45099</v>
      </c>
      <c r="C7373" s="1" t="n">
        <v>45587</v>
      </c>
      <c r="D7373" t="inlineStr">
        <is>
          <t>GÄVLEBORGS LÄN</t>
        </is>
      </c>
      <c r="E7373" t="inlineStr">
        <is>
          <t>HUDIKSVALL</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28180-2023</t>
        </is>
      </c>
      <c r="B7374" s="1" t="n">
        <v>45099</v>
      </c>
      <c r="C7374" s="1" t="n">
        <v>45587</v>
      </c>
      <c r="D7374" t="inlineStr">
        <is>
          <t>GÄVLEBORGS LÄN</t>
        </is>
      </c>
      <c r="E7374" t="inlineStr">
        <is>
          <t>SÖDERHAMN</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28246-2023</t>
        </is>
      </c>
      <c r="B7375" s="1" t="n">
        <v>45099</v>
      </c>
      <c r="C7375" s="1" t="n">
        <v>45587</v>
      </c>
      <c r="D7375" t="inlineStr">
        <is>
          <t>GÄVLEBORGS LÄN</t>
        </is>
      </c>
      <c r="E7375" t="inlineStr">
        <is>
          <t>LJUSDAL</t>
        </is>
      </c>
      <c r="G7375" t="n">
        <v>8.4</v>
      </c>
      <c r="H7375" t="n">
        <v>0</v>
      </c>
      <c r="I7375" t="n">
        <v>0</v>
      </c>
      <c r="J7375" t="n">
        <v>0</v>
      </c>
      <c r="K7375" t="n">
        <v>0</v>
      </c>
      <c r="L7375" t="n">
        <v>0</v>
      </c>
      <c r="M7375" t="n">
        <v>0</v>
      </c>
      <c r="N7375" t="n">
        <v>0</v>
      </c>
      <c r="O7375" t="n">
        <v>0</v>
      </c>
      <c r="P7375" t="n">
        <v>0</v>
      </c>
      <c r="Q7375" t="n">
        <v>0</v>
      </c>
      <c r="R7375" s="2" t="inlineStr"/>
    </row>
    <row r="7376" ht="15" customHeight="1">
      <c r="A7376" t="inlineStr">
        <is>
          <t>A 28272-2023</t>
        </is>
      </c>
      <c r="B7376" s="1" t="n">
        <v>45099</v>
      </c>
      <c r="C7376" s="1" t="n">
        <v>45587</v>
      </c>
      <c r="D7376" t="inlineStr">
        <is>
          <t>GÄVLEBORGS LÄN</t>
        </is>
      </c>
      <c r="E7376" t="inlineStr">
        <is>
          <t>LJUSDAL</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28303-2023</t>
        </is>
      </c>
      <c r="B7377" s="1" t="n">
        <v>45099</v>
      </c>
      <c r="C7377" s="1" t="n">
        <v>45587</v>
      </c>
      <c r="D7377" t="inlineStr">
        <is>
          <t>GÄVLEBORGS LÄN</t>
        </is>
      </c>
      <c r="E7377" t="inlineStr">
        <is>
          <t>LJUSDAL</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28284-2023</t>
        </is>
      </c>
      <c r="B7378" s="1" t="n">
        <v>45099</v>
      </c>
      <c r="C7378" s="1" t="n">
        <v>45587</v>
      </c>
      <c r="D7378" t="inlineStr">
        <is>
          <t>GÄVLEBORGS LÄN</t>
        </is>
      </c>
      <c r="E7378" t="inlineStr">
        <is>
          <t>SÖDERHAMN</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28293-2023</t>
        </is>
      </c>
      <c r="B7379" s="1" t="n">
        <v>45099</v>
      </c>
      <c r="C7379" s="1" t="n">
        <v>45587</v>
      </c>
      <c r="D7379" t="inlineStr">
        <is>
          <t>GÄVLEBORGS LÄN</t>
        </is>
      </c>
      <c r="E7379" t="inlineStr">
        <is>
          <t>LJUSDAL</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28298-2023</t>
        </is>
      </c>
      <c r="B7380" s="1" t="n">
        <v>45099</v>
      </c>
      <c r="C7380" s="1" t="n">
        <v>45587</v>
      </c>
      <c r="D7380" t="inlineStr">
        <is>
          <t>GÄVLEBORGS LÄN</t>
        </is>
      </c>
      <c r="E7380" t="inlineStr">
        <is>
          <t>LJUSDAL</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28302-2023</t>
        </is>
      </c>
      <c r="B7381" s="1" t="n">
        <v>45099</v>
      </c>
      <c r="C7381" s="1" t="n">
        <v>45587</v>
      </c>
      <c r="D7381" t="inlineStr">
        <is>
          <t>GÄVLEBORGS LÄN</t>
        </is>
      </c>
      <c r="E7381" t="inlineStr">
        <is>
          <t>LJUSDAL</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28306-2023</t>
        </is>
      </c>
      <c r="B7382" s="1" t="n">
        <v>45099</v>
      </c>
      <c r="C7382" s="1" t="n">
        <v>45587</v>
      </c>
      <c r="D7382" t="inlineStr">
        <is>
          <t>GÄVLEBORGS LÄN</t>
        </is>
      </c>
      <c r="E7382" t="inlineStr">
        <is>
          <t>LJUSDAL</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28301-2023</t>
        </is>
      </c>
      <c r="B7383" s="1" t="n">
        <v>45099</v>
      </c>
      <c r="C7383" s="1" t="n">
        <v>45587</v>
      </c>
      <c r="D7383" t="inlineStr">
        <is>
          <t>GÄVLEBORGS LÄN</t>
        </is>
      </c>
      <c r="E7383" t="inlineStr">
        <is>
          <t>LJUSDAL</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28305-2023</t>
        </is>
      </c>
      <c r="B7384" s="1" t="n">
        <v>45099</v>
      </c>
      <c r="C7384" s="1" t="n">
        <v>45587</v>
      </c>
      <c r="D7384" t="inlineStr">
        <is>
          <t>GÄVLEBORGS LÄN</t>
        </is>
      </c>
      <c r="E7384" t="inlineStr">
        <is>
          <t>LJUSDAL</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28320-2023</t>
        </is>
      </c>
      <c r="B7385" s="1" t="n">
        <v>45099</v>
      </c>
      <c r="C7385" s="1" t="n">
        <v>45587</v>
      </c>
      <c r="D7385" t="inlineStr">
        <is>
          <t>GÄVLEBORGS LÄN</t>
        </is>
      </c>
      <c r="E7385" t="inlineStr">
        <is>
          <t>BOLLNÄS</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28270-2023</t>
        </is>
      </c>
      <c r="B7386" s="1" t="n">
        <v>45099</v>
      </c>
      <c r="C7386" s="1" t="n">
        <v>45587</v>
      </c>
      <c r="D7386" t="inlineStr">
        <is>
          <t>GÄVLEBORGS LÄN</t>
        </is>
      </c>
      <c r="E7386" t="inlineStr">
        <is>
          <t>NORDANSTIG</t>
        </is>
      </c>
      <c r="F7386" t="inlineStr">
        <is>
          <t>Holmen skog AB</t>
        </is>
      </c>
      <c r="G7386" t="n">
        <v>22.3</v>
      </c>
      <c r="H7386" t="n">
        <v>0</v>
      </c>
      <c r="I7386" t="n">
        <v>0</v>
      </c>
      <c r="J7386" t="n">
        <v>0</v>
      </c>
      <c r="K7386" t="n">
        <v>0</v>
      </c>
      <c r="L7386" t="n">
        <v>0</v>
      </c>
      <c r="M7386" t="n">
        <v>0</v>
      </c>
      <c r="N7386" t="n">
        <v>0</v>
      </c>
      <c r="O7386" t="n">
        <v>0</v>
      </c>
      <c r="P7386" t="n">
        <v>0</v>
      </c>
      <c r="Q7386" t="n">
        <v>0</v>
      </c>
      <c r="R7386" s="2" t="inlineStr"/>
    </row>
    <row r="7387" ht="15" customHeight="1">
      <c r="A7387" t="inlineStr">
        <is>
          <t>A 28314-2023</t>
        </is>
      </c>
      <c r="B7387" s="1" t="n">
        <v>45099</v>
      </c>
      <c r="C7387" s="1" t="n">
        <v>45587</v>
      </c>
      <c r="D7387" t="inlineStr">
        <is>
          <t>GÄVLEBORGS LÄN</t>
        </is>
      </c>
      <c r="E7387" t="inlineStr">
        <is>
          <t>BOLLNÄS</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28319-2023</t>
        </is>
      </c>
      <c r="B7388" s="1" t="n">
        <v>45099</v>
      </c>
      <c r="C7388" s="1" t="n">
        <v>45587</v>
      </c>
      <c r="D7388" t="inlineStr">
        <is>
          <t>GÄVLEBORGS LÄN</t>
        </is>
      </c>
      <c r="E7388" t="inlineStr">
        <is>
          <t>NORDANSTIG</t>
        </is>
      </c>
      <c r="F7388" t="inlineStr">
        <is>
          <t>Holmen skog AB</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28339-2023</t>
        </is>
      </c>
      <c r="B7389" s="1" t="n">
        <v>45099</v>
      </c>
      <c r="C7389" s="1" t="n">
        <v>45587</v>
      </c>
      <c r="D7389" t="inlineStr">
        <is>
          <t>GÄVLEBORGS LÄN</t>
        </is>
      </c>
      <c r="E7389" t="inlineStr">
        <is>
          <t>LJUSDAL</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28347-2023</t>
        </is>
      </c>
      <c r="B7390" s="1" t="n">
        <v>45099</v>
      </c>
      <c r="C7390" s="1" t="n">
        <v>45587</v>
      </c>
      <c r="D7390" t="inlineStr">
        <is>
          <t>GÄVLEBORGS LÄN</t>
        </is>
      </c>
      <c r="E7390" t="inlineStr">
        <is>
          <t>LJUSDAL</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29807-2023</t>
        </is>
      </c>
      <c r="B7391" s="1" t="n">
        <v>45099</v>
      </c>
      <c r="C7391" s="1" t="n">
        <v>45587</v>
      </c>
      <c r="D7391" t="inlineStr">
        <is>
          <t>GÄVLEBORGS LÄN</t>
        </is>
      </c>
      <c r="E7391" t="inlineStr">
        <is>
          <t>LJUSDAL</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28300-2023</t>
        </is>
      </c>
      <c r="B7392" s="1" t="n">
        <v>45099</v>
      </c>
      <c r="C7392" s="1" t="n">
        <v>45587</v>
      </c>
      <c r="D7392" t="inlineStr">
        <is>
          <t>GÄVLEBORGS LÄN</t>
        </is>
      </c>
      <c r="E7392" t="inlineStr">
        <is>
          <t>LJUSDAL</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28304-2023</t>
        </is>
      </c>
      <c r="B7393" s="1" t="n">
        <v>45099</v>
      </c>
      <c r="C7393" s="1" t="n">
        <v>45587</v>
      </c>
      <c r="D7393" t="inlineStr">
        <is>
          <t>GÄVLEBORGS LÄN</t>
        </is>
      </c>
      <c r="E7393" t="inlineStr">
        <is>
          <t>LJUSDAL</t>
        </is>
      </c>
      <c r="G7393" t="n">
        <v>4.7</v>
      </c>
      <c r="H7393" t="n">
        <v>0</v>
      </c>
      <c r="I7393" t="n">
        <v>0</v>
      </c>
      <c r="J7393" t="n">
        <v>0</v>
      </c>
      <c r="K7393" t="n">
        <v>0</v>
      </c>
      <c r="L7393" t="n">
        <v>0</v>
      </c>
      <c r="M7393" t="n">
        <v>0</v>
      </c>
      <c r="N7393" t="n">
        <v>0</v>
      </c>
      <c r="O7393" t="n">
        <v>0</v>
      </c>
      <c r="P7393" t="n">
        <v>0</v>
      </c>
      <c r="Q7393" t="n">
        <v>0</v>
      </c>
      <c r="R7393" s="2" t="inlineStr"/>
    </row>
    <row r="7394" ht="15" customHeight="1">
      <c r="A7394" t="inlineStr">
        <is>
          <t>A 28346-2023</t>
        </is>
      </c>
      <c r="B7394" s="1" t="n">
        <v>45099</v>
      </c>
      <c r="C7394" s="1" t="n">
        <v>45587</v>
      </c>
      <c r="D7394" t="inlineStr">
        <is>
          <t>GÄVLEBORGS LÄN</t>
        </is>
      </c>
      <c r="E7394" t="inlineStr">
        <is>
          <t>LJUSDAL</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29841-2023</t>
        </is>
      </c>
      <c r="B7395" s="1" t="n">
        <v>45099</v>
      </c>
      <c r="C7395" s="1" t="n">
        <v>45587</v>
      </c>
      <c r="D7395" t="inlineStr">
        <is>
          <t>GÄVLEBORGS LÄN</t>
        </is>
      </c>
      <c r="E7395" t="inlineStr">
        <is>
          <t>LJUSDAL</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29831-2023</t>
        </is>
      </c>
      <c r="B7396" s="1" t="n">
        <v>45099</v>
      </c>
      <c r="C7396" s="1" t="n">
        <v>45587</v>
      </c>
      <c r="D7396" t="inlineStr">
        <is>
          <t>GÄVLEBORGS LÄN</t>
        </is>
      </c>
      <c r="E7396" t="inlineStr">
        <is>
          <t>LJUSDAL</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29845-2023</t>
        </is>
      </c>
      <c r="B7397" s="1" t="n">
        <v>45099</v>
      </c>
      <c r="C7397" s="1" t="n">
        <v>45587</v>
      </c>
      <c r="D7397" t="inlineStr">
        <is>
          <t>GÄVLEBORGS LÄN</t>
        </is>
      </c>
      <c r="E7397" t="inlineStr">
        <is>
          <t>LJUSDAL</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28418-2023</t>
        </is>
      </c>
      <c r="B7398" s="1" t="n">
        <v>45102</v>
      </c>
      <c r="C7398" s="1" t="n">
        <v>45587</v>
      </c>
      <c r="D7398" t="inlineStr">
        <is>
          <t>GÄVLEBORGS LÄN</t>
        </is>
      </c>
      <c r="E7398" t="inlineStr">
        <is>
          <t>OVANÅKER</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28419-2023</t>
        </is>
      </c>
      <c r="B7399" s="1" t="n">
        <v>45102</v>
      </c>
      <c r="C7399" s="1" t="n">
        <v>45587</v>
      </c>
      <c r="D7399" t="inlineStr">
        <is>
          <t>GÄVLEBORGS LÄN</t>
        </is>
      </c>
      <c r="E7399" t="inlineStr">
        <is>
          <t>OVANÅKER</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28475-2023</t>
        </is>
      </c>
      <c r="B7400" s="1" t="n">
        <v>45103</v>
      </c>
      <c r="C7400" s="1" t="n">
        <v>45587</v>
      </c>
      <c r="D7400" t="inlineStr">
        <is>
          <t>GÄVLEBORGS LÄN</t>
        </is>
      </c>
      <c r="E7400" t="inlineStr">
        <is>
          <t>OVANÅKER</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28487-2023</t>
        </is>
      </c>
      <c r="B7401" s="1" t="n">
        <v>45103</v>
      </c>
      <c r="C7401" s="1" t="n">
        <v>45587</v>
      </c>
      <c r="D7401" t="inlineStr">
        <is>
          <t>GÄVLEBORGS LÄN</t>
        </is>
      </c>
      <c r="E7401" t="inlineStr">
        <is>
          <t>OCKELBO</t>
        </is>
      </c>
      <c r="G7401" t="n">
        <v>10.8</v>
      </c>
      <c r="H7401" t="n">
        <v>0</v>
      </c>
      <c r="I7401" t="n">
        <v>0</v>
      </c>
      <c r="J7401" t="n">
        <v>0</v>
      </c>
      <c r="K7401" t="n">
        <v>0</v>
      </c>
      <c r="L7401" t="n">
        <v>0</v>
      </c>
      <c r="M7401" t="n">
        <v>0</v>
      </c>
      <c r="N7401" t="n">
        <v>0</v>
      </c>
      <c r="O7401" t="n">
        <v>0</v>
      </c>
      <c r="P7401" t="n">
        <v>0</v>
      </c>
      <c r="Q7401" t="n">
        <v>0</v>
      </c>
      <c r="R7401" s="2" t="inlineStr"/>
    </row>
    <row r="7402" ht="15" customHeight="1">
      <c r="A7402" t="inlineStr">
        <is>
          <t>A 28453-2023</t>
        </is>
      </c>
      <c r="B7402" s="1" t="n">
        <v>45103</v>
      </c>
      <c r="C7402" s="1" t="n">
        <v>45587</v>
      </c>
      <c r="D7402" t="inlineStr">
        <is>
          <t>GÄVLEBORGS LÄN</t>
        </is>
      </c>
      <c r="E7402" t="inlineStr">
        <is>
          <t>OVANÅKER</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28523-2023</t>
        </is>
      </c>
      <c r="B7403" s="1" t="n">
        <v>45103</v>
      </c>
      <c r="C7403" s="1" t="n">
        <v>45587</v>
      </c>
      <c r="D7403" t="inlineStr">
        <is>
          <t>GÄVLEBORGS LÄN</t>
        </is>
      </c>
      <c r="E7403" t="inlineStr">
        <is>
          <t>BOLLNÄS</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28563-2023</t>
        </is>
      </c>
      <c r="B7404" s="1" t="n">
        <v>45103</v>
      </c>
      <c r="C7404" s="1" t="n">
        <v>45587</v>
      </c>
      <c r="D7404" t="inlineStr">
        <is>
          <t>GÄVLEBORGS LÄN</t>
        </is>
      </c>
      <c r="E7404" t="inlineStr">
        <is>
          <t>BOLLNÄS</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28622-2023</t>
        </is>
      </c>
      <c r="B7405" s="1" t="n">
        <v>45103</v>
      </c>
      <c r="C7405" s="1" t="n">
        <v>45587</v>
      </c>
      <c r="D7405" t="inlineStr">
        <is>
          <t>GÄVLEBORGS LÄN</t>
        </is>
      </c>
      <c r="E7405" t="inlineStr">
        <is>
          <t>HUDIKSVALL</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28631-2023</t>
        </is>
      </c>
      <c r="B7406" s="1" t="n">
        <v>45103</v>
      </c>
      <c r="C7406" s="1" t="n">
        <v>45587</v>
      </c>
      <c r="D7406" t="inlineStr">
        <is>
          <t>GÄVLEBORGS LÄN</t>
        </is>
      </c>
      <c r="E7406" t="inlineStr">
        <is>
          <t>LJUSDAL</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28604-2023</t>
        </is>
      </c>
      <c r="B7407" s="1" t="n">
        <v>45103</v>
      </c>
      <c r="C7407" s="1" t="n">
        <v>45587</v>
      </c>
      <c r="D7407" t="inlineStr">
        <is>
          <t>GÄVLEBORGS LÄN</t>
        </is>
      </c>
      <c r="E7407" t="inlineStr">
        <is>
          <t>OVANÅKER</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28697-2023</t>
        </is>
      </c>
      <c r="B7408" s="1" t="n">
        <v>45103</v>
      </c>
      <c r="C7408" s="1" t="n">
        <v>45587</v>
      </c>
      <c r="D7408" t="inlineStr">
        <is>
          <t>GÄVLEBORGS LÄN</t>
        </is>
      </c>
      <c r="E7408" t="inlineStr">
        <is>
          <t>NORDANSTIG</t>
        </is>
      </c>
      <c r="F7408" t="inlineStr">
        <is>
          <t>Holmen skog AB</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28687-2023</t>
        </is>
      </c>
      <c r="B7409" s="1" t="n">
        <v>45103</v>
      </c>
      <c r="C7409" s="1" t="n">
        <v>45587</v>
      </c>
      <c r="D7409" t="inlineStr">
        <is>
          <t>GÄVLEBORGS LÄN</t>
        </is>
      </c>
      <c r="E7409" t="inlineStr">
        <is>
          <t>OVANÅKER</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28712-2023</t>
        </is>
      </c>
      <c r="B7410" s="1" t="n">
        <v>45103</v>
      </c>
      <c r="C7410" s="1" t="n">
        <v>45587</v>
      </c>
      <c r="D7410" t="inlineStr">
        <is>
          <t>GÄVLEBORGS LÄN</t>
        </is>
      </c>
      <c r="E7410" t="inlineStr">
        <is>
          <t>LJUSDAL</t>
        </is>
      </c>
      <c r="F7410" t="inlineStr">
        <is>
          <t>Holmen skog AB</t>
        </is>
      </c>
      <c r="G7410" t="n">
        <v>5.4</v>
      </c>
      <c r="H7410" t="n">
        <v>0</v>
      </c>
      <c r="I7410" t="n">
        <v>0</v>
      </c>
      <c r="J7410" t="n">
        <v>0</v>
      </c>
      <c r="K7410" t="n">
        <v>0</v>
      </c>
      <c r="L7410" t="n">
        <v>0</v>
      </c>
      <c r="M7410" t="n">
        <v>0</v>
      </c>
      <c r="N7410" t="n">
        <v>0</v>
      </c>
      <c r="O7410" t="n">
        <v>0</v>
      </c>
      <c r="P7410" t="n">
        <v>0</v>
      </c>
      <c r="Q7410" t="n">
        <v>0</v>
      </c>
      <c r="R7410" s="2" t="inlineStr"/>
    </row>
    <row r="7411" ht="15" customHeight="1">
      <c r="A7411" t="inlineStr">
        <is>
          <t>A 28593-2023</t>
        </is>
      </c>
      <c r="B7411" s="1" t="n">
        <v>45103</v>
      </c>
      <c r="C7411" s="1" t="n">
        <v>45587</v>
      </c>
      <c r="D7411" t="inlineStr">
        <is>
          <t>GÄVLEBORGS LÄN</t>
        </is>
      </c>
      <c r="E7411" t="inlineStr">
        <is>
          <t>BOLLNÄS</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28606-2023</t>
        </is>
      </c>
      <c r="B7412" s="1" t="n">
        <v>45103</v>
      </c>
      <c r="C7412" s="1" t="n">
        <v>45587</v>
      </c>
      <c r="D7412" t="inlineStr">
        <is>
          <t>GÄVLEBORGS LÄN</t>
        </is>
      </c>
      <c r="E7412" t="inlineStr">
        <is>
          <t>OVANÅKER</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28626-2023</t>
        </is>
      </c>
      <c r="B7413" s="1" t="n">
        <v>45103</v>
      </c>
      <c r="C7413" s="1" t="n">
        <v>45587</v>
      </c>
      <c r="D7413" t="inlineStr">
        <is>
          <t>GÄVLEBORGS LÄN</t>
        </is>
      </c>
      <c r="E7413" t="inlineStr">
        <is>
          <t>HUDIKSVALL</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28657-2023</t>
        </is>
      </c>
      <c r="B7414" s="1" t="n">
        <v>45103</v>
      </c>
      <c r="C7414" s="1" t="n">
        <v>45587</v>
      </c>
      <c r="D7414" t="inlineStr">
        <is>
          <t>GÄVLEBORGS LÄN</t>
        </is>
      </c>
      <c r="E7414" t="inlineStr">
        <is>
          <t>NORDANSTIG</t>
        </is>
      </c>
      <c r="F7414" t="inlineStr">
        <is>
          <t>Holmen skog AB</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28675-2023</t>
        </is>
      </c>
      <c r="B7415" s="1" t="n">
        <v>45103</v>
      </c>
      <c r="C7415" s="1" t="n">
        <v>45587</v>
      </c>
      <c r="D7415" t="inlineStr">
        <is>
          <t>GÄVLEBORGS LÄN</t>
        </is>
      </c>
      <c r="E7415" t="inlineStr">
        <is>
          <t>GÄVLE</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28680-2023</t>
        </is>
      </c>
      <c r="B7416" s="1" t="n">
        <v>45103</v>
      </c>
      <c r="C7416" s="1" t="n">
        <v>45587</v>
      </c>
      <c r="D7416" t="inlineStr">
        <is>
          <t>GÄVLEBORGS LÄN</t>
        </is>
      </c>
      <c r="E7416" t="inlineStr">
        <is>
          <t>NORDANSTIG</t>
        </is>
      </c>
      <c r="F7416" t="inlineStr">
        <is>
          <t>Holmen skog AB</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28690-2023</t>
        </is>
      </c>
      <c r="B7417" s="1" t="n">
        <v>45103</v>
      </c>
      <c r="C7417" s="1" t="n">
        <v>45587</v>
      </c>
      <c r="D7417" t="inlineStr">
        <is>
          <t>GÄVLEBORGS LÄN</t>
        </is>
      </c>
      <c r="E7417" t="inlineStr">
        <is>
          <t>NORDANSTIG</t>
        </is>
      </c>
      <c r="F7417" t="inlineStr">
        <is>
          <t>Holmen skog AB</t>
        </is>
      </c>
      <c r="G7417" t="n">
        <v>21.8</v>
      </c>
      <c r="H7417" t="n">
        <v>0</v>
      </c>
      <c r="I7417" t="n">
        <v>0</v>
      </c>
      <c r="J7417" t="n">
        <v>0</v>
      </c>
      <c r="K7417" t="n">
        <v>0</v>
      </c>
      <c r="L7417" t="n">
        <v>0</v>
      </c>
      <c r="M7417" t="n">
        <v>0</v>
      </c>
      <c r="N7417" t="n">
        <v>0</v>
      </c>
      <c r="O7417" t="n">
        <v>0</v>
      </c>
      <c r="P7417" t="n">
        <v>0</v>
      </c>
      <c r="Q7417" t="n">
        <v>0</v>
      </c>
      <c r="R7417" s="2" t="inlineStr"/>
    </row>
    <row r="7418" ht="15" customHeight="1">
      <c r="A7418" t="inlineStr">
        <is>
          <t>A 31317-2023</t>
        </is>
      </c>
      <c r="B7418" s="1" t="n">
        <v>45103</v>
      </c>
      <c r="C7418" s="1" t="n">
        <v>45587</v>
      </c>
      <c r="D7418" t="inlineStr">
        <is>
          <t>GÄVLEBORGS LÄN</t>
        </is>
      </c>
      <c r="E7418" t="inlineStr">
        <is>
          <t>SANDVIKEN</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28771-2023</t>
        </is>
      </c>
      <c r="B7419" s="1" t="n">
        <v>45104</v>
      </c>
      <c r="C7419" s="1" t="n">
        <v>45587</v>
      </c>
      <c r="D7419" t="inlineStr">
        <is>
          <t>GÄVLEBORGS LÄN</t>
        </is>
      </c>
      <c r="E7419" t="inlineStr">
        <is>
          <t>BOLLNÄS</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28797-2023</t>
        </is>
      </c>
      <c r="B7420" s="1" t="n">
        <v>45104</v>
      </c>
      <c r="C7420" s="1" t="n">
        <v>45587</v>
      </c>
      <c r="D7420" t="inlineStr">
        <is>
          <t>GÄVLEBORGS LÄN</t>
        </is>
      </c>
      <c r="E7420" t="inlineStr">
        <is>
          <t>GÄVLE</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28826-2023</t>
        </is>
      </c>
      <c r="B7421" s="1" t="n">
        <v>45104</v>
      </c>
      <c r="C7421" s="1" t="n">
        <v>45587</v>
      </c>
      <c r="D7421" t="inlineStr">
        <is>
          <t>GÄVLEBORGS LÄN</t>
        </is>
      </c>
      <c r="E7421" t="inlineStr">
        <is>
          <t>NORDANSTIG</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28865-2023</t>
        </is>
      </c>
      <c r="B7422" s="1" t="n">
        <v>45104</v>
      </c>
      <c r="C7422" s="1" t="n">
        <v>45587</v>
      </c>
      <c r="D7422" t="inlineStr">
        <is>
          <t>GÄVLEBORGS LÄN</t>
        </is>
      </c>
      <c r="E7422" t="inlineStr">
        <is>
          <t>LJUSDAL</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28891-2023</t>
        </is>
      </c>
      <c r="B7423" s="1" t="n">
        <v>45104</v>
      </c>
      <c r="C7423" s="1" t="n">
        <v>45587</v>
      </c>
      <c r="D7423" t="inlineStr">
        <is>
          <t>GÄVLEBORGS LÄN</t>
        </is>
      </c>
      <c r="E7423" t="inlineStr">
        <is>
          <t>LJUSDAL</t>
        </is>
      </c>
      <c r="G7423" t="n">
        <v>8.300000000000001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28944-2023</t>
        </is>
      </c>
      <c r="B7424" s="1" t="n">
        <v>45104</v>
      </c>
      <c r="C7424" s="1" t="n">
        <v>45587</v>
      </c>
      <c r="D7424" t="inlineStr">
        <is>
          <t>GÄVLEBORGS LÄN</t>
        </is>
      </c>
      <c r="E7424" t="inlineStr">
        <is>
          <t>LJUSDAL</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31319-2023</t>
        </is>
      </c>
      <c r="B7425" s="1" t="n">
        <v>45104</v>
      </c>
      <c r="C7425" s="1" t="n">
        <v>45587</v>
      </c>
      <c r="D7425" t="inlineStr">
        <is>
          <t>GÄVLEBORGS LÄN</t>
        </is>
      </c>
      <c r="E7425" t="inlineStr">
        <is>
          <t>SANDVIKEN</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28770-2023</t>
        </is>
      </c>
      <c r="B7426" s="1" t="n">
        <v>45104</v>
      </c>
      <c r="C7426" s="1" t="n">
        <v>45587</v>
      </c>
      <c r="D7426" t="inlineStr">
        <is>
          <t>GÄVLEBORGS LÄN</t>
        </is>
      </c>
      <c r="E7426" t="inlineStr">
        <is>
          <t>BOLLNÄS</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28812-2023</t>
        </is>
      </c>
      <c r="B7427" s="1" t="n">
        <v>45104</v>
      </c>
      <c r="C7427" s="1" t="n">
        <v>45587</v>
      </c>
      <c r="D7427" t="inlineStr">
        <is>
          <t>GÄVLEBORGS LÄN</t>
        </is>
      </c>
      <c r="E7427" t="inlineStr">
        <is>
          <t>GÄVLE</t>
        </is>
      </c>
      <c r="F7427" t="inlineStr">
        <is>
          <t>Bergvik skog öst AB</t>
        </is>
      </c>
      <c r="G7427" t="n">
        <v>17.4</v>
      </c>
      <c r="H7427" t="n">
        <v>0</v>
      </c>
      <c r="I7427" t="n">
        <v>0</v>
      </c>
      <c r="J7427" t="n">
        <v>0</v>
      </c>
      <c r="K7427" t="n">
        <v>0</v>
      </c>
      <c r="L7427" t="n">
        <v>0</v>
      </c>
      <c r="M7427" t="n">
        <v>0</v>
      </c>
      <c r="N7427" t="n">
        <v>0</v>
      </c>
      <c r="O7427" t="n">
        <v>0</v>
      </c>
      <c r="P7427" t="n">
        <v>0</v>
      </c>
      <c r="Q7427" t="n">
        <v>0</v>
      </c>
      <c r="R7427" s="2" t="inlineStr"/>
    </row>
    <row r="7428" ht="15" customHeight="1">
      <c r="A7428" t="inlineStr">
        <is>
          <t>A 28927-2023</t>
        </is>
      </c>
      <c r="B7428" s="1" t="n">
        <v>45104</v>
      </c>
      <c r="C7428" s="1" t="n">
        <v>45587</v>
      </c>
      <c r="D7428" t="inlineStr">
        <is>
          <t>GÄVLEBORGS LÄN</t>
        </is>
      </c>
      <c r="E7428" t="inlineStr">
        <is>
          <t>LJUSDAL</t>
        </is>
      </c>
      <c r="F7428" t="inlineStr">
        <is>
          <t>Holmen skog AB</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28971-2023</t>
        </is>
      </c>
      <c r="B7429" s="1" t="n">
        <v>45104</v>
      </c>
      <c r="C7429" s="1" t="n">
        <v>45587</v>
      </c>
      <c r="D7429" t="inlineStr">
        <is>
          <t>GÄVLEBORGS LÄN</t>
        </is>
      </c>
      <c r="E7429" t="inlineStr">
        <is>
          <t>SANDVIKEN</t>
        </is>
      </c>
      <c r="F7429" t="inlineStr">
        <is>
          <t>Bergvik skog öst AB</t>
        </is>
      </c>
      <c r="G7429" t="n">
        <v>3.9</v>
      </c>
      <c r="H7429" t="n">
        <v>0</v>
      </c>
      <c r="I7429" t="n">
        <v>0</v>
      </c>
      <c r="J7429" t="n">
        <v>0</v>
      </c>
      <c r="K7429" t="n">
        <v>0</v>
      </c>
      <c r="L7429" t="n">
        <v>0</v>
      </c>
      <c r="M7429" t="n">
        <v>0</v>
      </c>
      <c r="N7429" t="n">
        <v>0</v>
      </c>
      <c r="O7429" t="n">
        <v>0</v>
      </c>
      <c r="P7429" t="n">
        <v>0</v>
      </c>
      <c r="Q7429" t="n">
        <v>0</v>
      </c>
      <c r="R7429" s="2" t="inlineStr"/>
    </row>
    <row r="7430" ht="15" customHeight="1">
      <c r="A7430" t="inlineStr">
        <is>
          <t>A 29014-2023</t>
        </is>
      </c>
      <c r="B7430" s="1" t="n">
        <v>45104</v>
      </c>
      <c r="C7430" s="1" t="n">
        <v>45587</v>
      </c>
      <c r="D7430" t="inlineStr">
        <is>
          <t>GÄVLEBORGS LÄN</t>
        </is>
      </c>
      <c r="E7430" t="inlineStr">
        <is>
          <t>GÄVLE</t>
        </is>
      </c>
      <c r="F7430" t="inlineStr">
        <is>
          <t>Bergvik skog öst AB</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31331-2023</t>
        </is>
      </c>
      <c r="B7431" s="1" t="n">
        <v>45104</v>
      </c>
      <c r="C7431" s="1" t="n">
        <v>45587</v>
      </c>
      <c r="D7431" t="inlineStr">
        <is>
          <t>GÄVLEBORGS LÄN</t>
        </is>
      </c>
      <c r="E7431" t="inlineStr">
        <is>
          <t>SANDVIKEN</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28853-2023</t>
        </is>
      </c>
      <c r="B7432" s="1" t="n">
        <v>45104</v>
      </c>
      <c r="C7432" s="1" t="n">
        <v>45587</v>
      </c>
      <c r="D7432" t="inlineStr">
        <is>
          <t>GÄVLEBORGS LÄN</t>
        </is>
      </c>
      <c r="E7432" t="inlineStr">
        <is>
          <t>LJUSDAL</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28892-2023</t>
        </is>
      </c>
      <c r="B7433" s="1" t="n">
        <v>45104</v>
      </c>
      <c r="C7433" s="1" t="n">
        <v>45587</v>
      </c>
      <c r="D7433" t="inlineStr">
        <is>
          <t>GÄVLEBORGS LÄN</t>
        </is>
      </c>
      <c r="E7433" t="inlineStr">
        <is>
          <t>LJUSDAL</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28905-2023</t>
        </is>
      </c>
      <c r="B7434" s="1" t="n">
        <v>45104</v>
      </c>
      <c r="C7434" s="1" t="n">
        <v>45587</v>
      </c>
      <c r="D7434" t="inlineStr">
        <is>
          <t>GÄVLEBORGS LÄN</t>
        </is>
      </c>
      <c r="E7434" t="inlineStr">
        <is>
          <t>GÄVLE</t>
        </is>
      </c>
      <c r="F7434" t="inlineStr">
        <is>
          <t>Bergvik skog väst AB</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28945-2023</t>
        </is>
      </c>
      <c r="B7435" s="1" t="n">
        <v>45104</v>
      </c>
      <c r="C7435" s="1" t="n">
        <v>45587</v>
      </c>
      <c r="D7435" t="inlineStr">
        <is>
          <t>GÄVLEBORGS LÄN</t>
        </is>
      </c>
      <c r="E7435" t="inlineStr">
        <is>
          <t>SANDVIKEN</t>
        </is>
      </c>
      <c r="F7435" t="inlineStr">
        <is>
          <t>Bergvik skog öst AB</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29016-2023</t>
        </is>
      </c>
      <c r="B7436" s="1" t="n">
        <v>45104</v>
      </c>
      <c r="C7436" s="1" t="n">
        <v>45587</v>
      </c>
      <c r="D7436" t="inlineStr">
        <is>
          <t>GÄVLEBORGS LÄN</t>
        </is>
      </c>
      <c r="E7436" t="inlineStr">
        <is>
          <t>GÄVLE</t>
        </is>
      </c>
      <c r="F7436" t="inlineStr">
        <is>
          <t>Bergvik skog öst AB</t>
        </is>
      </c>
      <c r="G7436" t="n">
        <v>6.8</v>
      </c>
      <c r="H7436" t="n">
        <v>0</v>
      </c>
      <c r="I7436" t="n">
        <v>0</v>
      </c>
      <c r="J7436" t="n">
        <v>0</v>
      </c>
      <c r="K7436" t="n">
        <v>0</v>
      </c>
      <c r="L7436" t="n">
        <v>0</v>
      </c>
      <c r="M7436" t="n">
        <v>0</v>
      </c>
      <c r="N7436" t="n">
        <v>0</v>
      </c>
      <c r="O7436" t="n">
        <v>0</v>
      </c>
      <c r="P7436" t="n">
        <v>0</v>
      </c>
      <c r="Q7436" t="n">
        <v>0</v>
      </c>
      <c r="R7436" s="2" t="inlineStr"/>
    </row>
    <row r="7437" ht="15" customHeight="1">
      <c r="A7437" t="inlineStr">
        <is>
          <t>A 31324-2023</t>
        </is>
      </c>
      <c r="B7437" s="1" t="n">
        <v>45104</v>
      </c>
      <c r="C7437" s="1" t="n">
        <v>45587</v>
      </c>
      <c r="D7437" t="inlineStr">
        <is>
          <t>GÄVLEBORGS LÄN</t>
        </is>
      </c>
      <c r="E7437" t="inlineStr">
        <is>
          <t>SANDVIKEN</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29159-2023</t>
        </is>
      </c>
      <c r="B7438" s="1" t="n">
        <v>45105</v>
      </c>
      <c r="C7438" s="1" t="n">
        <v>45587</v>
      </c>
      <c r="D7438" t="inlineStr">
        <is>
          <t>GÄVLEBORGS LÄN</t>
        </is>
      </c>
      <c r="E7438" t="inlineStr">
        <is>
          <t>BOLLNÄS</t>
        </is>
      </c>
      <c r="F7438" t="inlineStr">
        <is>
          <t>Bergvik skog väst AB</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29132-2023</t>
        </is>
      </c>
      <c r="B7439" s="1" t="n">
        <v>45105</v>
      </c>
      <c r="C7439" s="1" t="n">
        <v>45587</v>
      </c>
      <c r="D7439" t="inlineStr">
        <is>
          <t>GÄVLEBORGS LÄN</t>
        </is>
      </c>
      <c r="E7439" t="inlineStr">
        <is>
          <t>OCKELBO</t>
        </is>
      </c>
      <c r="G7439" t="n">
        <v>14.5</v>
      </c>
      <c r="H7439" t="n">
        <v>0</v>
      </c>
      <c r="I7439" t="n">
        <v>0</v>
      </c>
      <c r="J7439" t="n">
        <v>0</v>
      </c>
      <c r="K7439" t="n">
        <v>0</v>
      </c>
      <c r="L7439" t="n">
        <v>0</v>
      </c>
      <c r="M7439" t="n">
        <v>0</v>
      </c>
      <c r="N7439" t="n">
        <v>0</v>
      </c>
      <c r="O7439" t="n">
        <v>0</v>
      </c>
      <c r="P7439" t="n">
        <v>0</v>
      </c>
      <c r="Q7439" t="n">
        <v>0</v>
      </c>
      <c r="R7439" s="2" t="inlineStr"/>
    </row>
    <row r="7440" ht="15" customHeight="1">
      <c r="A7440" t="inlineStr">
        <is>
          <t>A 29205-2023</t>
        </is>
      </c>
      <c r="B7440" s="1" t="n">
        <v>45105</v>
      </c>
      <c r="C7440" s="1" t="n">
        <v>45587</v>
      </c>
      <c r="D7440" t="inlineStr">
        <is>
          <t>GÄVLEBORGS LÄN</t>
        </is>
      </c>
      <c r="E7440" t="inlineStr">
        <is>
          <t>LJUSDAL</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29156-2023</t>
        </is>
      </c>
      <c r="B7441" s="1" t="n">
        <v>45105</v>
      </c>
      <c r="C7441" s="1" t="n">
        <v>45587</v>
      </c>
      <c r="D7441" t="inlineStr">
        <is>
          <t>GÄVLEBORGS LÄN</t>
        </is>
      </c>
      <c r="E7441" t="inlineStr">
        <is>
          <t>HUDIKSVALL</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29239-2023</t>
        </is>
      </c>
      <c r="B7442" s="1" t="n">
        <v>45105</v>
      </c>
      <c r="C7442" s="1" t="n">
        <v>45587</v>
      </c>
      <c r="D7442" t="inlineStr">
        <is>
          <t>GÄVLEBORGS LÄN</t>
        </is>
      </c>
      <c r="E7442" t="inlineStr">
        <is>
          <t>LJUSDAL</t>
        </is>
      </c>
      <c r="F7442" t="inlineStr">
        <is>
          <t>Sveaskog</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29238-2023</t>
        </is>
      </c>
      <c r="B7443" s="1" t="n">
        <v>45105</v>
      </c>
      <c r="C7443" s="1" t="n">
        <v>45587</v>
      </c>
      <c r="D7443" t="inlineStr">
        <is>
          <t>GÄVLEBORGS LÄN</t>
        </is>
      </c>
      <c r="E7443" t="inlineStr">
        <is>
          <t>LJUSDAL</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29260-2023</t>
        </is>
      </c>
      <c r="B7444" s="1" t="n">
        <v>45105</v>
      </c>
      <c r="C7444" s="1" t="n">
        <v>45587</v>
      </c>
      <c r="D7444" t="inlineStr">
        <is>
          <t>GÄVLEBORGS LÄN</t>
        </is>
      </c>
      <c r="E7444" t="inlineStr">
        <is>
          <t>LJUSDAL</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29268-2023</t>
        </is>
      </c>
      <c r="B7445" s="1" t="n">
        <v>45105</v>
      </c>
      <c r="C7445" s="1" t="n">
        <v>45587</v>
      </c>
      <c r="D7445" t="inlineStr">
        <is>
          <t>GÄVLEBORGS LÄN</t>
        </is>
      </c>
      <c r="E7445" t="inlineStr">
        <is>
          <t>NORDANSTIG</t>
        </is>
      </c>
      <c r="G7445" t="n">
        <v>6.7</v>
      </c>
      <c r="H7445" t="n">
        <v>0</v>
      </c>
      <c r="I7445" t="n">
        <v>0</v>
      </c>
      <c r="J7445" t="n">
        <v>0</v>
      </c>
      <c r="K7445" t="n">
        <v>0</v>
      </c>
      <c r="L7445" t="n">
        <v>0</v>
      </c>
      <c r="M7445" t="n">
        <v>0</v>
      </c>
      <c r="N7445" t="n">
        <v>0</v>
      </c>
      <c r="O7445" t="n">
        <v>0</v>
      </c>
      <c r="P7445" t="n">
        <v>0</v>
      </c>
      <c r="Q7445" t="n">
        <v>0</v>
      </c>
      <c r="R7445" s="2" t="inlineStr"/>
    </row>
    <row r="7446" ht="15" customHeight="1">
      <c r="A7446" t="inlineStr">
        <is>
          <t>A 29153-2023</t>
        </is>
      </c>
      <c r="B7446" s="1" t="n">
        <v>45105</v>
      </c>
      <c r="C7446" s="1" t="n">
        <v>45587</v>
      </c>
      <c r="D7446" t="inlineStr">
        <is>
          <t>GÄVLEBORGS LÄN</t>
        </is>
      </c>
      <c r="E7446" t="inlineStr">
        <is>
          <t>HUDIKSVALL</t>
        </is>
      </c>
      <c r="G7446" t="n">
        <v>10.3</v>
      </c>
      <c r="H7446" t="n">
        <v>0</v>
      </c>
      <c r="I7446" t="n">
        <v>0</v>
      </c>
      <c r="J7446" t="n">
        <v>0</v>
      </c>
      <c r="K7446" t="n">
        <v>0</v>
      </c>
      <c r="L7446" t="n">
        <v>0</v>
      </c>
      <c r="M7446" t="n">
        <v>0</v>
      </c>
      <c r="N7446" t="n">
        <v>0</v>
      </c>
      <c r="O7446" t="n">
        <v>0</v>
      </c>
      <c r="P7446" t="n">
        <v>0</v>
      </c>
      <c r="Q7446" t="n">
        <v>0</v>
      </c>
      <c r="R7446" s="2" t="inlineStr"/>
    </row>
    <row r="7447" ht="15" customHeight="1">
      <c r="A7447" t="inlineStr">
        <is>
          <t>A 29424-2023</t>
        </is>
      </c>
      <c r="B7447" s="1" t="n">
        <v>45106</v>
      </c>
      <c r="C7447" s="1" t="n">
        <v>45587</v>
      </c>
      <c r="D7447" t="inlineStr">
        <is>
          <t>GÄVLEBORGS LÄN</t>
        </is>
      </c>
      <c r="E7447" t="inlineStr">
        <is>
          <t>OCKELBO</t>
        </is>
      </c>
      <c r="F7447" t="inlineStr">
        <is>
          <t>Bergvik skog väst AB</t>
        </is>
      </c>
      <c r="G7447" t="n">
        <v>8.9</v>
      </c>
      <c r="H7447" t="n">
        <v>0</v>
      </c>
      <c r="I7447" t="n">
        <v>0</v>
      </c>
      <c r="J7447" t="n">
        <v>0</v>
      </c>
      <c r="K7447" t="n">
        <v>0</v>
      </c>
      <c r="L7447" t="n">
        <v>0</v>
      </c>
      <c r="M7447" t="n">
        <v>0</v>
      </c>
      <c r="N7447" t="n">
        <v>0</v>
      </c>
      <c r="O7447" t="n">
        <v>0</v>
      </c>
      <c r="P7447" t="n">
        <v>0</v>
      </c>
      <c r="Q7447" t="n">
        <v>0</v>
      </c>
      <c r="R7447" s="2" t="inlineStr"/>
    </row>
    <row r="7448" ht="15" customHeight="1">
      <c r="A7448" t="inlineStr">
        <is>
          <t>A 29386-2023</t>
        </is>
      </c>
      <c r="B7448" s="1" t="n">
        <v>45106</v>
      </c>
      <c r="C7448" s="1" t="n">
        <v>45587</v>
      </c>
      <c r="D7448" t="inlineStr">
        <is>
          <t>GÄVLEBORGS LÄN</t>
        </is>
      </c>
      <c r="E7448" t="inlineStr">
        <is>
          <t>OVANÅKER</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29489-2023</t>
        </is>
      </c>
      <c r="B7449" s="1" t="n">
        <v>45106</v>
      </c>
      <c r="C7449" s="1" t="n">
        <v>45587</v>
      </c>
      <c r="D7449" t="inlineStr">
        <is>
          <t>GÄVLEBORGS LÄN</t>
        </is>
      </c>
      <c r="E7449" t="inlineStr">
        <is>
          <t>OCKELBO</t>
        </is>
      </c>
      <c r="F7449" t="inlineStr">
        <is>
          <t>Bergvik skog väst AB</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29507-2023</t>
        </is>
      </c>
      <c r="B7450" s="1" t="n">
        <v>45106</v>
      </c>
      <c r="C7450" s="1" t="n">
        <v>45587</v>
      </c>
      <c r="D7450" t="inlineStr">
        <is>
          <t>GÄVLEBORGS LÄN</t>
        </is>
      </c>
      <c r="E7450" t="inlineStr">
        <is>
          <t>OCKELBO</t>
        </is>
      </c>
      <c r="F7450" t="inlineStr">
        <is>
          <t>Bergvik skog väst AB</t>
        </is>
      </c>
      <c r="G7450" t="n">
        <v>4.9</v>
      </c>
      <c r="H7450" t="n">
        <v>0</v>
      </c>
      <c r="I7450" t="n">
        <v>0</v>
      </c>
      <c r="J7450" t="n">
        <v>0</v>
      </c>
      <c r="K7450" t="n">
        <v>0</v>
      </c>
      <c r="L7450" t="n">
        <v>0</v>
      </c>
      <c r="M7450" t="n">
        <v>0</v>
      </c>
      <c r="N7450" t="n">
        <v>0</v>
      </c>
      <c r="O7450" t="n">
        <v>0</v>
      </c>
      <c r="P7450" t="n">
        <v>0</v>
      </c>
      <c r="Q7450" t="n">
        <v>0</v>
      </c>
      <c r="R7450" s="2" t="inlineStr"/>
    </row>
    <row r="7451" ht="15" customHeight="1">
      <c r="A7451" t="inlineStr">
        <is>
          <t>A 29380-2023</t>
        </is>
      </c>
      <c r="B7451" s="1" t="n">
        <v>45106</v>
      </c>
      <c r="C7451" s="1" t="n">
        <v>45587</v>
      </c>
      <c r="D7451" t="inlineStr">
        <is>
          <t>GÄVLEBORGS LÄN</t>
        </is>
      </c>
      <c r="E7451" t="inlineStr">
        <is>
          <t>OVANÅKER</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29494-2023</t>
        </is>
      </c>
      <c r="B7452" s="1" t="n">
        <v>45106</v>
      </c>
      <c r="C7452" s="1" t="n">
        <v>45587</v>
      </c>
      <c r="D7452" t="inlineStr">
        <is>
          <t>GÄVLEBORGS LÄN</t>
        </is>
      </c>
      <c r="E7452" t="inlineStr">
        <is>
          <t>LJUSDAL</t>
        </is>
      </c>
      <c r="G7452" t="n">
        <v>7.1</v>
      </c>
      <c r="H7452" t="n">
        <v>0</v>
      </c>
      <c r="I7452" t="n">
        <v>0</v>
      </c>
      <c r="J7452" t="n">
        <v>0</v>
      </c>
      <c r="K7452" t="n">
        <v>0</v>
      </c>
      <c r="L7452" t="n">
        <v>0</v>
      </c>
      <c r="M7452" t="n">
        <v>0</v>
      </c>
      <c r="N7452" t="n">
        <v>0</v>
      </c>
      <c r="O7452" t="n">
        <v>0</v>
      </c>
      <c r="P7452" t="n">
        <v>0</v>
      </c>
      <c r="Q7452" t="n">
        <v>0</v>
      </c>
      <c r="R7452" s="2" t="inlineStr"/>
    </row>
    <row r="7453" ht="15" customHeight="1">
      <c r="A7453" t="inlineStr">
        <is>
          <t>A 29511-2023</t>
        </is>
      </c>
      <c r="B7453" s="1" t="n">
        <v>45106</v>
      </c>
      <c r="C7453" s="1" t="n">
        <v>45587</v>
      </c>
      <c r="D7453" t="inlineStr">
        <is>
          <t>GÄVLEBORGS LÄN</t>
        </is>
      </c>
      <c r="E7453" t="inlineStr">
        <is>
          <t>OCKELBO</t>
        </is>
      </c>
      <c r="F7453" t="inlineStr">
        <is>
          <t>Bergvik skog väst AB</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29439-2023</t>
        </is>
      </c>
      <c r="B7454" s="1" t="n">
        <v>45106</v>
      </c>
      <c r="C7454" s="1" t="n">
        <v>45587</v>
      </c>
      <c r="D7454" t="inlineStr">
        <is>
          <t>GÄVLEBORGS LÄN</t>
        </is>
      </c>
      <c r="E7454" t="inlineStr">
        <is>
          <t>LJUSDAL</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29488-2023</t>
        </is>
      </c>
      <c r="B7455" s="1" t="n">
        <v>45106</v>
      </c>
      <c r="C7455" s="1" t="n">
        <v>45587</v>
      </c>
      <c r="D7455" t="inlineStr">
        <is>
          <t>GÄVLEBORGS LÄN</t>
        </is>
      </c>
      <c r="E7455" t="inlineStr">
        <is>
          <t>HUDIKSVALL</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29505-2023</t>
        </is>
      </c>
      <c r="B7456" s="1" t="n">
        <v>45106</v>
      </c>
      <c r="C7456" s="1" t="n">
        <v>45587</v>
      </c>
      <c r="D7456" t="inlineStr">
        <is>
          <t>GÄVLEBORGS LÄN</t>
        </is>
      </c>
      <c r="E7456" t="inlineStr">
        <is>
          <t>LJUSDAL</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29534-2023</t>
        </is>
      </c>
      <c r="B7457" s="1" t="n">
        <v>45106</v>
      </c>
      <c r="C7457" s="1" t="n">
        <v>45587</v>
      </c>
      <c r="D7457" t="inlineStr">
        <is>
          <t>GÄVLEBORGS LÄN</t>
        </is>
      </c>
      <c r="E7457" t="inlineStr">
        <is>
          <t>OCKELBO</t>
        </is>
      </c>
      <c r="F7457" t="inlineStr">
        <is>
          <t>Bergvik skog väst AB</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29562-2023</t>
        </is>
      </c>
      <c r="B7458" s="1" t="n">
        <v>45106</v>
      </c>
      <c r="C7458" s="1" t="n">
        <v>45587</v>
      </c>
      <c r="D7458" t="inlineStr">
        <is>
          <t>GÄVLEBORGS LÄN</t>
        </is>
      </c>
      <c r="E7458" t="inlineStr">
        <is>
          <t>NORDANSTIG</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29592-2023</t>
        </is>
      </c>
      <c r="B7459" s="1" t="n">
        <v>45106</v>
      </c>
      <c r="C7459" s="1" t="n">
        <v>45587</v>
      </c>
      <c r="D7459" t="inlineStr">
        <is>
          <t>GÄVLEBORGS LÄN</t>
        </is>
      </c>
      <c r="E7459" t="inlineStr">
        <is>
          <t>HUDIKSVALL</t>
        </is>
      </c>
      <c r="G7459" t="n">
        <v>5.1</v>
      </c>
      <c r="H7459" t="n">
        <v>0</v>
      </c>
      <c r="I7459" t="n">
        <v>0</v>
      </c>
      <c r="J7459" t="n">
        <v>0</v>
      </c>
      <c r="K7459" t="n">
        <v>0</v>
      </c>
      <c r="L7459" t="n">
        <v>0</v>
      </c>
      <c r="M7459" t="n">
        <v>0</v>
      </c>
      <c r="N7459" t="n">
        <v>0</v>
      </c>
      <c r="O7459" t="n">
        <v>0</v>
      </c>
      <c r="P7459" t="n">
        <v>0</v>
      </c>
      <c r="Q7459" t="n">
        <v>0</v>
      </c>
      <c r="R7459" s="2" t="inlineStr"/>
    </row>
    <row r="7460" ht="15" customHeight="1">
      <c r="A7460" t="inlineStr">
        <is>
          <t>A 29565-2023</t>
        </is>
      </c>
      <c r="B7460" s="1" t="n">
        <v>45106</v>
      </c>
      <c r="C7460" s="1" t="n">
        <v>45587</v>
      </c>
      <c r="D7460" t="inlineStr">
        <is>
          <t>GÄVLEBORGS LÄN</t>
        </is>
      </c>
      <c r="E7460" t="inlineStr">
        <is>
          <t>NORDANSTIG</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29569-2023</t>
        </is>
      </c>
      <c r="B7461" s="1" t="n">
        <v>45106</v>
      </c>
      <c r="C7461" s="1" t="n">
        <v>45587</v>
      </c>
      <c r="D7461" t="inlineStr">
        <is>
          <t>GÄVLEBORGS LÄN</t>
        </is>
      </c>
      <c r="E7461" t="inlineStr">
        <is>
          <t>NORDANSTIG</t>
        </is>
      </c>
      <c r="G7461" t="n">
        <v>4.3</v>
      </c>
      <c r="H7461" t="n">
        <v>0</v>
      </c>
      <c r="I7461" t="n">
        <v>0</v>
      </c>
      <c r="J7461" t="n">
        <v>0</v>
      </c>
      <c r="K7461" t="n">
        <v>0</v>
      </c>
      <c r="L7461" t="n">
        <v>0</v>
      </c>
      <c r="M7461" t="n">
        <v>0</v>
      </c>
      <c r="N7461" t="n">
        <v>0</v>
      </c>
      <c r="O7461" t="n">
        <v>0</v>
      </c>
      <c r="P7461" t="n">
        <v>0</v>
      </c>
      <c r="Q7461" t="n">
        <v>0</v>
      </c>
      <c r="R7461" s="2" t="inlineStr"/>
    </row>
    <row r="7462" ht="15" customHeight="1">
      <c r="A7462" t="inlineStr">
        <is>
          <t>A 29478-2023</t>
        </is>
      </c>
      <c r="B7462" s="1" t="n">
        <v>45106</v>
      </c>
      <c r="C7462" s="1" t="n">
        <v>45587</v>
      </c>
      <c r="D7462" t="inlineStr">
        <is>
          <t>GÄVLEBORGS LÄN</t>
        </is>
      </c>
      <c r="E7462" t="inlineStr">
        <is>
          <t>HUDIKSVALL</t>
        </is>
      </c>
      <c r="G7462" t="n">
        <v>9.6</v>
      </c>
      <c r="H7462" t="n">
        <v>0</v>
      </c>
      <c r="I7462" t="n">
        <v>0</v>
      </c>
      <c r="J7462" t="n">
        <v>0</v>
      </c>
      <c r="K7462" t="n">
        <v>0</v>
      </c>
      <c r="L7462" t="n">
        <v>0</v>
      </c>
      <c r="M7462" t="n">
        <v>0</v>
      </c>
      <c r="N7462" t="n">
        <v>0</v>
      </c>
      <c r="O7462" t="n">
        <v>0</v>
      </c>
      <c r="P7462" t="n">
        <v>0</v>
      </c>
      <c r="Q7462" t="n">
        <v>0</v>
      </c>
      <c r="R7462" s="2" t="inlineStr"/>
    </row>
    <row r="7463" ht="15" customHeight="1">
      <c r="A7463" t="inlineStr">
        <is>
          <t>A 31866-2023</t>
        </is>
      </c>
      <c r="B7463" s="1" t="n">
        <v>45106</v>
      </c>
      <c r="C7463" s="1" t="n">
        <v>45587</v>
      </c>
      <c r="D7463" t="inlineStr">
        <is>
          <t>GÄVLEBORGS LÄN</t>
        </is>
      </c>
      <c r="E7463" t="inlineStr">
        <is>
          <t>GÄVLE</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29672-2023</t>
        </is>
      </c>
      <c r="B7464" s="1" t="n">
        <v>45107</v>
      </c>
      <c r="C7464" s="1" t="n">
        <v>45587</v>
      </c>
      <c r="D7464" t="inlineStr">
        <is>
          <t>GÄVLEBORGS LÄN</t>
        </is>
      </c>
      <c r="E7464" t="inlineStr">
        <is>
          <t>BOLLNÄS</t>
        </is>
      </c>
      <c r="F7464" t="inlineStr">
        <is>
          <t>Sveaskog</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29662-2023</t>
        </is>
      </c>
      <c r="B7465" s="1" t="n">
        <v>45107</v>
      </c>
      <c r="C7465" s="1" t="n">
        <v>45587</v>
      </c>
      <c r="D7465" t="inlineStr">
        <is>
          <t>GÄVLEBORGS LÄN</t>
        </is>
      </c>
      <c r="E7465" t="inlineStr">
        <is>
          <t>OCKELBO</t>
        </is>
      </c>
      <c r="F7465" t="inlineStr">
        <is>
          <t>Bergvik skog väst AB</t>
        </is>
      </c>
      <c r="G7465" t="n">
        <v>10</v>
      </c>
      <c r="H7465" t="n">
        <v>0</v>
      </c>
      <c r="I7465" t="n">
        <v>0</v>
      </c>
      <c r="J7465" t="n">
        <v>0</v>
      </c>
      <c r="K7465" t="n">
        <v>0</v>
      </c>
      <c r="L7465" t="n">
        <v>0</v>
      </c>
      <c r="M7465" t="n">
        <v>0</v>
      </c>
      <c r="N7465" t="n">
        <v>0</v>
      </c>
      <c r="O7465" t="n">
        <v>0</v>
      </c>
      <c r="P7465" t="n">
        <v>0</v>
      </c>
      <c r="Q7465" t="n">
        <v>0</v>
      </c>
      <c r="R7465" s="2" t="inlineStr"/>
    </row>
    <row r="7466" ht="15" customHeight="1">
      <c r="A7466" t="inlineStr">
        <is>
          <t>A 29713-2023</t>
        </is>
      </c>
      <c r="B7466" s="1" t="n">
        <v>45107</v>
      </c>
      <c r="C7466" s="1" t="n">
        <v>45587</v>
      </c>
      <c r="D7466" t="inlineStr">
        <is>
          <t>GÄVLEBORGS LÄN</t>
        </is>
      </c>
      <c r="E7466" t="inlineStr">
        <is>
          <t>OCKELBO</t>
        </is>
      </c>
      <c r="F7466" t="inlineStr">
        <is>
          <t>Bergvik skog väst AB</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29708-2023</t>
        </is>
      </c>
      <c r="B7467" s="1" t="n">
        <v>45107</v>
      </c>
      <c r="C7467" s="1" t="n">
        <v>45587</v>
      </c>
      <c r="D7467" t="inlineStr">
        <is>
          <t>GÄVLEBORGS LÄN</t>
        </is>
      </c>
      <c r="E7467" t="inlineStr">
        <is>
          <t>BOLLNÄS</t>
        </is>
      </c>
      <c r="F7467" t="inlineStr">
        <is>
          <t>Sveaskog</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29725-2023</t>
        </is>
      </c>
      <c r="B7468" s="1" t="n">
        <v>45107</v>
      </c>
      <c r="C7468" s="1" t="n">
        <v>45587</v>
      </c>
      <c r="D7468" t="inlineStr">
        <is>
          <t>GÄVLEBORGS LÄN</t>
        </is>
      </c>
      <c r="E7468" t="inlineStr">
        <is>
          <t>LJUSDAL</t>
        </is>
      </c>
      <c r="F7468" t="inlineStr">
        <is>
          <t>Holmen skog AB</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29769-2023</t>
        </is>
      </c>
      <c r="B7469" s="1" t="n">
        <v>45107</v>
      </c>
      <c r="C7469" s="1" t="n">
        <v>45587</v>
      </c>
      <c r="D7469" t="inlineStr">
        <is>
          <t>GÄVLEBORGS LÄN</t>
        </is>
      </c>
      <c r="E7469" t="inlineStr">
        <is>
          <t>BOLLNÄS</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29773-2023</t>
        </is>
      </c>
      <c r="B7470" s="1" t="n">
        <v>45107</v>
      </c>
      <c r="C7470" s="1" t="n">
        <v>45587</v>
      </c>
      <c r="D7470" t="inlineStr">
        <is>
          <t>GÄVLEBORGS LÄN</t>
        </is>
      </c>
      <c r="E7470" t="inlineStr">
        <is>
          <t>BOLLNÄS</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29813-2023</t>
        </is>
      </c>
      <c r="B7471" s="1" t="n">
        <v>45107</v>
      </c>
      <c r="C7471" s="1" t="n">
        <v>45587</v>
      </c>
      <c r="D7471" t="inlineStr">
        <is>
          <t>GÄVLEBORGS LÄN</t>
        </is>
      </c>
      <c r="E7471" t="inlineStr">
        <is>
          <t>SÖDERHAMN</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29678-2023</t>
        </is>
      </c>
      <c r="B7472" s="1" t="n">
        <v>45107</v>
      </c>
      <c r="C7472" s="1" t="n">
        <v>45587</v>
      </c>
      <c r="D7472" t="inlineStr">
        <is>
          <t>GÄVLEBORGS LÄN</t>
        </is>
      </c>
      <c r="E7472" t="inlineStr">
        <is>
          <t>OCKELBO</t>
        </is>
      </c>
      <c r="F7472" t="inlineStr">
        <is>
          <t>Bergvik skog väst AB</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29687-2023</t>
        </is>
      </c>
      <c r="B7473" s="1" t="n">
        <v>45107</v>
      </c>
      <c r="C7473" s="1" t="n">
        <v>45587</v>
      </c>
      <c r="D7473" t="inlineStr">
        <is>
          <t>GÄVLEBORGS LÄN</t>
        </is>
      </c>
      <c r="E7473" t="inlineStr">
        <is>
          <t>OCKELBO</t>
        </is>
      </c>
      <c r="F7473" t="inlineStr">
        <is>
          <t>Bergvik skog väst AB</t>
        </is>
      </c>
      <c r="G7473" t="n">
        <v>3.2</v>
      </c>
      <c r="H7473" t="n">
        <v>0</v>
      </c>
      <c r="I7473" t="n">
        <v>0</v>
      </c>
      <c r="J7473" t="n">
        <v>0</v>
      </c>
      <c r="K7473" t="n">
        <v>0</v>
      </c>
      <c r="L7473" t="n">
        <v>0</v>
      </c>
      <c r="M7473" t="n">
        <v>0</v>
      </c>
      <c r="N7473" t="n">
        <v>0</v>
      </c>
      <c r="O7473" t="n">
        <v>0</v>
      </c>
      <c r="P7473" t="n">
        <v>0</v>
      </c>
      <c r="Q7473" t="n">
        <v>0</v>
      </c>
      <c r="R7473" s="2" t="inlineStr"/>
    </row>
    <row r="7474" ht="15" customHeight="1">
      <c r="A7474" t="inlineStr">
        <is>
          <t>A 29699-2023</t>
        </is>
      </c>
      <c r="B7474" s="1" t="n">
        <v>45107</v>
      </c>
      <c r="C7474" s="1" t="n">
        <v>45587</v>
      </c>
      <c r="D7474" t="inlineStr">
        <is>
          <t>GÄVLEBORGS LÄN</t>
        </is>
      </c>
      <c r="E7474" t="inlineStr">
        <is>
          <t>GÄVLE</t>
        </is>
      </c>
      <c r="F7474" t="inlineStr">
        <is>
          <t>Kyrkan</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29711-2023</t>
        </is>
      </c>
      <c r="B7475" s="1" t="n">
        <v>45107</v>
      </c>
      <c r="C7475" s="1" t="n">
        <v>45587</v>
      </c>
      <c r="D7475" t="inlineStr">
        <is>
          <t>GÄVLEBORGS LÄN</t>
        </is>
      </c>
      <c r="E7475" t="inlineStr">
        <is>
          <t>HUDIKSVALL</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29715-2023</t>
        </is>
      </c>
      <c r="B7476" s="1" t="n">
        <v>45107</v>
      </c>
      <c r="C7476" s="1" t="n">
        <v>45587</v>
      </c>
      <c r="D7476" t="inlineStr">
        <is>
          <t>GÄVLEBORGS LÄN</t>
        </is>
      </c>
      <c r="E7476" t="inlineStr">
        <is>
          <t>OCKELBO</t>
        </is>
      </c>
      <c r="F7476" t="inlineStr">
        <is>
          <t>Bergvik skog väst AB</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29723-2023</t>
        </is>
      </c>
      <c r="B7477" s="1" t="n">
        <v>45107</v>
      </c>
      <c r="C7477" s="1" t="n">
        <v>45587</v>
      </c>
      <c r="D7477" t="inlineStr">
        <is>
          <t>GÄVLEBORGS LÄN</t>
        </is>
      </c>
      <c r="E7477" t="inlineStr">
        <is>
          <t>HUDIKSVALL</t>
        </is>
      </c>
      <c r="G7477" t="n">
        <v>6.2</v>
      </c>
      <c r="H7477" t="n">
        <v>0</v>
      </c>
      <c r="I7477" t="n">
        <v>0</v>
      </c>
      <c r="J7477" t="n">
        <v>0</v>
      </c>
      <c r="K7477" t="n">
        <v>0</v>
      </c>
      <c r="L7477" t="n">
        <v>0</v>
      </c>
      <c r="M7477" t="n">
        <v>0</v>
      </c>
      <c r="N7477" t="n">
        <v>0</v>
      </c>
      <c r="O7477" t="n">
        <v>0</v>
      </c>
      <c r="P7477" t="n">
        <v>0</v>
      </c>
      <c r="Q7477" t="n">
        <v>0</v>
      </c>
      <c r="R7477" s="2" t="inlineStr"/>
    </row>
    <row r="7478" ht="15" customHeight="1">
      <c r="A7478" t="inlineStr">
        <is>
          <t>A 29790-2023</t>
        </is>
      </c>
      <c r="B7478" s="1" t="n">
        <v>45107</v>
      </c>
      <c r="C7478" s="1" t="n">
        <v>45587</v>
      </c>
      <c r="D7478" t="inlineStr">
        <is>
          <t>GÄVLEBORGS LÄN</t>
        </is>
      </c>
      <c r="E7478" t="inlineStr">
        <is>
          <t>LJUSDAL</t>
        </is>
      </c>
      <c r="G7478" t="n">
        <v>4.8</v>
      </c>
      <c r="H7478" t="n">
        <v>0</v>
      </c>
      <c r="I7478" t="n">
        <v>0</v>
      </c>
      <c r="J7478" t="n">
        <v>0</v>
      </c>
      <c r="K7478" t="n">
        <v>0</v>
      </c>
      <c r="L7478" t="n">
        <v>0</v>
      </c>
      <c r="M7478" t="n">
        <v>0</v>
      </c>
      <c r="N7478" t="n">
        <v>0</v>
      </c>
      <c r="O7478" t="n">
        <v>0</v>
      </c>
      <c r="P7478" t="n">
        <v>0</v>
      </c>
      <c r="Q7478" t="n">
        <v>0</v>
      </c>
      <c r="R7478" s="2" t="inlineStr"/>
    </row>
    <row r="7479" ht="15" customHeight="1">
      <c r="A7479" t="inlineStr">
        <is>
          <t>A 29802-2023</t>
        </is>
      </c>
      <c r="B7479" s="1" t="n">
        <v>45107</v>
      </c>
      <c r="C7479" s="1" t="n">
        <v>45587</v>
      </c>
      <c r="D7479" t="inlineStr">
        <is>
          <t>GÄVLEBORGS LÄN</t>
        </is>
      </c>
      <c r="E7479" t="inlineStr">
        <is>
          <t>SÖDERHAMN</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29811-2023</t>
        </is>
      </c>
      <c r="B7480" s="1" t="n">
        <v>45107</v>
      </c>
      <c r="C7480" s="1" t="n">
        <v>45587</v>
      </c>
      <c r="D7480" t="inlineStr">
        <is>
          <t>GÄVLEBORGS LÄN</t>
        </is>
      </c>
      <c r="E7480" t="inlineStr">
        <is>
          <t>BOLLNÄS</t>
        </is>
      </c>
      <c r="G7480" t="n">
        <v>9.1</v>
      </c>
      <c r="H7480" t="n">
        <v>0</v>
      </c>
      <c r="I7480" t="n">
        <v>0</v>
      </c>
      <c r="J7480" t="n">
        <v>0</v>
      </c>
      <c r="K7480" t="n">
        <v>0</v>
      </c>
      <c r="L7480" t="n">
        <v>0</v>
      </c>
      <c r="M7480" t="n">
        <v>0</v>
      </c>
      <c r="N7480" t="n">
        <v>0</v>
      </c>
      <c r="O7480" t="n">
        <v>0</v>
      </c>
      <c r="P7480" t="n">
        <v>0</v>
      </c>
      <c r="Q7480" t="n">
        <v>0</v>
      </c>
      <c r="R7480" s="2" t="inlineStr"/>
    </row>
    <row r="7481" ht="15" customHeight="1">
      <c r="A7481" t="inlineStr">
        <is>
          <t>A 29840-2023</t>
        </is>
      </c>
      <c r="B7481" s="1" t="n">
        <v>45107</v>
      </c>
      <c r="C7481" s="1" t="n">
        <v>45587</v>
      </c>
      <c r="D7481" t="inlineStr">
        <is>
          <t>GÄVLEBORGS LÄN</t>
        </is>
      </c>
      <c r="E7481" t="inlineStr">
        <is>
          <t>GÄVLE</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29885-2023</t>
        </is>
      </c>
      <c r="B7482" s="1" t="n">
        <v>45107</v>
      </c>
      <c r="C7482" s="1" t="n">
        <v>45587</v>
      </c>
      <c r="D7482" t="inlineStr">
        <is>
          <t>GÄVLEBORGS LÄN</t>
        </is>
      </c>
      <c r="E7482" t="inlineStr">
        <is>
          <t>OCKELBO</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29910-2023</t>
        </is>
      </c>
      <c r="B7483" s="1" t="n">
        <v>45107</v>
      </c>
      <c r="C7483" s="1" t="n">
        <v>45587</v>
      </c>
      <c r="D7483" t="inlineStr">
        <is>
          <t>GÄVLEBORGS LÄN</t>
        </is>
      </c>
      <c r="E7483" t="inlineStr">
        <is>
          <t>LJUSDAL</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29660-2023</t>
        </is>
      </c>
      <c r="B7484" s="1" t="n">
        <v>45107</v>
      </c>
      <c r="C7484" s="1" t="n">
        <v>45587</v>
      </c>
      <c r="D7484" t="inlineStr">
        <is>
          <t>GÄVLEBORGS LÄN</t>
        </is>
      </c>
      <c r="E7484" t="inlineStr">
        <is>
          <t>OCKELBO</t>
        </is>
      </c>
      <c r="F7484" t="inlineStr">
        <is>
          <t>Bergvik skog väst AB</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29669-2023</t>
        </is>
      </c>
      <c r="B7485" s="1" t="n">
        <v>45107</v>
      </c>
      <c r="C7485" s="1" t="n">
        <v>45587</v>
      </c>
      <c r="D7485" t="inlineStr">
        <is>
          <t>GÄVLEBORGS LÄN</t>
        </is>
      </c>
      <c r="E7485" t="inlineStr">
        <is>
          <t>BOLLNÄS</t>
        </is>
      </c>
      <c r="F7485" t="inlineStr">
        <is>
          <t>Bergvik skog väst AB</t>
        </is>
      </c>
      <c r="G7485" t="n">
        <v>4</v>
      </c>
      <c r="H7485" t="n">
        <v>0</v>
      </c>
      <c r="I7485" t="n">
        <v>0</v>
      </c>
      <c r="J7485" t="n">
        <v>0</v>
      </c>
      <c r="K7485" t="n">
        <v>0</v>
      </c>
      <c r="L7485" t="n">
        <v>0</v>
      </c>
      <c r="M7485" t="n">
        <v>0</v>
      </c>
      <c r="N7485" t="n">
        <v>0</v>
      </c>
      <c r="O7485" t="n">
        <v>0</v>
      </c>
      <c r="P7485" t="n">
        <v>0</v>
      </c>
      <c r="Q7485" t="n">
        <v>0</v>
      </c>
      <c r="R7485" s="2" t="inlineStr"/>
    </row>
    <row r="7486" ht="15" customHeight="1">
      <c r="A7486" t="inlineStr">
        <is>
          <t>A 29686-2023</t>
        </is>
      </c>
      <c r="B7486" s="1" t="n">
        <v>45107</v>
      </c>
      <c r="C7486" s="1" t="n">
        <v>45587</v>
      </c>
      <c r="D7486" t="inlineStr">
        <is>
          <t>GÄVLEBORGS LÄN</t>
        </is>
      </c>
      <c r="E7486" t="inlineStr">
        <is>
          <t>LJUSDAL</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29690-2023</t>
        </is>
      </c>
      <c r="B7487" s="1" t="n">
        <v>45107</v>
      </c>
      <c r="C7487" s="1" t="n">
        <v>45587</v>
      </c>
      <c r="D7487" t="inlineStr">
        <is>
          <t>GÄVLEBORGS LÄN</t>
        </is>
      </c>
      <c r="E7487" t="inlineStr">
        <is>
          <t>BOLLNÄS</t>
        </is>
      </c>
      <c r="F7487" t="inlineStr">
        <is>
          <t>Sveaskog</t>
        </is>
      </c>
      <c r="G7487" t="n">
        <v>4.4</v>
      </c>
      <c r="H7487" t="n">
        <v>0</v>
      </c>
      <c r="I7487" t="n">
        <v>0</v>
      </c>
      <c r="J7487" t="n">
        <v>0</v>
      </c>
      <c r="K7487" t="n">
        <v>0</v>
      </c>
      <c r="L7487" t="n">
        <v>0</v>
      </c>
      <c r="M7487" t="n">
        <v>0</v>
      </c>
      <c r="N7487" t="n">
        <v>0</v>
      </c>
      <c r="O7487" t="n">
        <v>0</v>
      </c>
      <c r="P7487" t="n">
        <v>0</v>
      </c>
      <c r="Q7487" t="n">
        <v>0</v>
      </c>
      <c r="R7487" s="2" t="inlineStr"/>
    </row>
    <row r="7488" ht="15" customHeight="1">
      <c r="A7488" t="inlineStr">
        <is>
          <t>A 29702-2023</t>
        </is>
      </c>
      <c r="B7488" s="1" t="n">
        <v>45107</v>
      </c>
      <c r="C7488" s="1" t="n">
        <v>45587</v>
      </c>
      <c r="D7488" t="inlineStr">
        <is>
          <t>GÄVLEBORGS LÄN</t>
        </is>
      </c>
      <c r="E7488" t="inlineStr">
        <is>
          <t>HUDIKSVALL</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29748-2023</t>
        </is>
      </c>
      <c r="B7489" s="1" t="n">
        <v>45107</v>
      </c>
      <c r="C7489" s="1" t="n">
        <v>45587</v>
      </c>
      <c r="D7489" t="inlineStr">
        <is>
          <t>GÄVLEBORGS LÄN</t>
        </is>
      </c>
      <c r="E7489" t="inlineStr">
        <is>
          <t>BOLLNÄS</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29761-2023</t>
        </is>
      </c>
      <c r="B7490" s="1" t="n">
        <v>45107</v>
      </c>
      <c r="C7490" s="1" t="n">
        <v>45587</v>
      </c>
      <c r="D7490" t="inlineStr">
        <is>
          <t>GÄVLEBORGS LÄN</t>
        </is>
      </c>
      <c r="E7490" t="inlineStr">
        <is>
          <t>BOLLNÄS</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29765-2023</t>
        </is>
      </c>
      <c r="B7491" s="1" t="n">
        <v>45107</v>
      </c>
      <c r="C7491" s="1" t="n">
        <v>45587</v>
      </c>
      <c r="D7491" t="inlineStr">
        <is>
          <t>GÄVLEBORGS LÄN</t>
        </is>
      </c>
      <c r="E7491" t="inlineStr">
        <is>
          <t>BOLLNÄS</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29797-2023</t>
        </is>
      </c>
      <c r="B7492" s="1" t="n">
        <v>45107</v>
      </c>
      <c r="C7492" s="1" t="n">
        <v>45587</v>
      </c>
      <c r="D7492" t="inlineStr">
        <is>
          <t>GÄVLEBORGS LÄN</t>
        </is>
      </c>
      <c r="E7492" t="inlineStr">
        <is>
          <t>BOLLNÄS</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29801-2023</t>
        </is>
      </c>
      <c r="B7493" s="1" t="n">
        <v>45107</v>
      </c>
      <c r="C7493" s="1" t="n">
        <v>45587</v>
      </c>
      <c r="D7493" t="inlineStr">
        <is>
          <t>GÄVLEBORGS LÄN</t>
        </is>
      </c>
      <c r="E7493" t="inlineStr">
        <is>
          <t>LJUSDAL</t>
        </is>
      </c>
      <c r="F7493" t="inlineStr">
        <is>
          <t>Holmen skog AB</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29818-2023</t>
        </is>
      </c>
      <c r="B7494" s="1" t="n">
        <v>45107</v>
      </c>
      <c r="C7494" s="1" t="n">
        <v>45587</v>
      </c>
      <c r="D7494" t="inlineStr">
        <is>
          <t>GÄVLEBORGS LÄN</t>
        </is>
      </c>
      <c r="E7494" t="inlineStr">
        <is>
          <t>SÖDERHAMN</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29712-2023</t>
        </is>
      </c>
      <c r="B7495" s="1" t="n">
        <v>45107</v>
      </c>
      <c r="C7495" s="1" t="n">
        <v>45587</v>
      </c>
      <c r="D7495" t="inlineStr">
        <is>
          <t>GÄVLEBORGS LÄN</t>
        </is>
      </c>
      <c r="E7495" t="inlineStr">
        <is>
          <t>BOLLNÄS</t>
        </is>
      </c>
      <c r="F7495" t="inlineStr">
        <is>
          <t>Sveaskog</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29716-2023</t>
        </is>
      </c>
      <c r="B7496" s="1" t="n">
        <v>45107</v>
      </c>
      <c r="C7496" s="1" t="n">
        <v>45587</v>
      </c>
      <c r="D7496" t="inlineStr">
        <is>
          <t>GÄVLEBORGS LÄN</t>
        </is>
      </c>
      <c r="E7496" t="inlineStr">
        <is>
          <t>BOLLNÄS</t>
        </is>
      </c>
      <c r="F7496" t="inlineStr">
        <is>
          <t>Sveaskog</t>
        </is>
      </c>
      <c r="G7496" t="n">
        <v>7.3</v>
      </c>
      <c r="H7496" t="n">
        <v>0</v>
      </c>
      <c r="I7496" t="n">
        <v>0</v>
      </c>
      <c r="J7496" t="n">
        <v>0</v>
      </c>
      <c r="K7496" t="n">
        <v>0</v>
      </c>
      <c r="L7496" t="n">
        <v>0</v>
      </c>
      <c r="M7496" t="n">
        <v>0</v>
      </c>
      <c r="N7496" t="n">
        <v>0</v>
      </c>
      <c r="O7496" t="n">
        <v>0</v>
      </c>
      <c r="P7496" t="n">
        <v>0</v>
      </c>
      <c r="Q7496" t="n">
        <v>0</v>
      </c>
      <c r="R7496" s="2" t="inlineStr"/>
    </row>
    <row r="7497" ht="15" customHeight="1">
      <c r="A7497" t="inlineStr">
        <is>
          <t>A 29720-2023</t>
        </is>
      </c>
      <c r="B7497" s="1" t="n">
        <v>45107</v>
      </c>
      <c r="C7497" s="1" t="n">
        <v>45587</v>
      </c>
      <c r="D7497" t="inlineStr">
        <is>
          <t>GÄVLEBORGS LÄN</t>
        </is>
      </c>
      <c r="E7497" t="inlineStr">
        <is>
          <t>BOLLNÄS</t>
        </is>
      </c>
      <c r="G7497" t="n">
        <v>10.3</v>
      </c>
      <c r="H7497" t="n">
        <v>0</v>
      </c>
      <c r="I7497" t="n">
        <v>0</v>
      </c>
      <c r="J7497" t="n">
        <v>0</v>
      </c>
      <c r="K7497" t="n">
        <v>0</v>
      </c>
      <c r="L7497" t="n">
        <v>0</v>
      </c>
      <c r="M7497" t="n">
        <v>0</v>
      </c>
      <c r="N7497" t="n">
        <v>0</v>
      </c>
      <c r="O7497" t="n">
        <v>0</v>
      </c>
      <c r="P7497" t="n">
        <v>0</v>
      </c>
      <c r="Q7497" t="n">
        <v>0</v>
      </c>
      <c r="R7497" s="2" t="inlineStr"/>
    </row>
    <row r="7498" ht="15" customHeight="1">
      <c r="A7498" t="inlineStr">
        <is>
          <t>A 29768-2023</t>
        </is>
      </c>
      <c r="B7498" s="1" t="n">
        <v>45107</v>
      </c>
      <c r="C7498" s="1" t="n">
        <v>45587</v>
      </c>
      <c r="D7498" t="inlineStr">
        <is>
          <t>GÄVLEBORGS LÄN</t>
        </is>
      </c>
      <c r="E7498" t="inlineStr">
        <is>
          <t>OCKELBO</t>
        </is>
      </c>
      <c r="F7498" t="inlineStr">
        <is>
          <t>Bergvik skog väst AB</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29812-2023</t>
        </is>
      </c>
      <c r="B7499" s="1" t="n">
        <v>45107</v>
      </c>
      <c r="C7499" s="1" t="n">
        <v>45587</v>
      </c>
      <c r="D7499" t="inlineStr">
        <is>
          <t>GÄVLEBORGS LÄN</t>
        </is>
      </c>
      <c r="E7499" t="inlineStr">
        <is>
          <t>SÖDERHAMN</t>
        </is>
      </c>
      <c r="G7499" t="n">
        <v>7.4</v>
      </c>
      <c r="H7499" t="n">
        <v>0</v>
      </c>
      <c r="I7499" t="n">
        <v>0</v>
      </c>
      <c r="J7499" t="n">
        <v>0</v>
      </c>
      <c r="K7499" t="n">
        <v>0</v>
      </c>
      <c r="L7499" t="n">
        <v>0</v>
      </c>
      <c r="M7499" t="n">
        <v>0</v>
      </c>
      <c r="N7499" t="n">
        <v>0</v>
      </c>
      <c r="O7499" t="n">
        <v>0</v>
      </c>
      <c r="P7499" t="n">
        <v>0</v>
      </c>
      <c r="Q7499" t="n">
        <v>0</v>
      </c>
      <c r="R7499" s="2" t="inlineStr"/>
    </row>
    <row r="7500" ht="15" customHeight="1">
      <c r="A7500" t="inlineStr">
        <is>
          <t>A 29816-2023</t>
        </is>
      </c>
      <c r="B7500" s="1" t="n">
        <v>45107</v>
      </c>
      <c r="C7500" s="1" t="n">
        <v>45587</v>
      </c>
      <c r="D7500" t="inlineStr">
        <is>
          <t>GÄVLEBORGS LÄN</t>
        </is>
      </c>
      <c r="E7500" t="inlineStr">
        <is>
          <t>OCKELBO</t>
        </is>
      </c>
      <c r="F7500" t="inlineStr">
        <is>
          <t>Bergvik skog väst AB</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29837-2023</t>
        </is>
      </c>
      <c r="B7501" s="1" t="n">
        <v>45107</v>
      </c>
      <c r="C7501" s="1" t="n">
        <v>45587</v>
      </c>
      <c r="D7501" t="inlineStr">
        <is>
          <t>GÄVLEBORGS LÄN</t>
        </is>
      </c>
      <c r="E7501" t="inlineStr">
        <is>
          <t>LJUSDAL</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29862-2023</t>
        </is>
      </c>
      <c r="B7502" s="1" t="n">
        <v>45107</v>
      </c>
      <c r="C7502" s="1" t="n">
        <v>45587</v>
      </c>
      <c r="D7502" t="inlineStr">
        <is>
          <t>GÄVLEBORGS LÄN</t>
        </is>
      </c>
      <c r="E7502" t="inlineStr">
        <is>
          <t>GÄVLE</t>
        </is>
      </c>
      <c r="G7502" t="n">
        <v>4.2</v>
      </c>
      <c r="H7502" t="n">
        <v>0</v>
      </c>
      <c r="I7502" t="n">
        <v>0</v>
      </c>
      <c r="J7502" t="n">
        <v>0</v>
      </c>
      <c r="K7502" t="n">
        <v>0</v>
      </c>
      <c r="L7502" t="n">
        <v>0</v>
      </c>
      <c r="M7502" t="n">
        <v>0</v>
      </c>
      <c r="N7502" t="n">
        <v>0</v>
      </c>
      <c r="O7502" t="n">
        <v>0</v>
      </c>
      <c r="P7502" t="n">
        <v>0</v>
      </c>
      <c r="Q7502" t="n">
        <v>0</v>
      </c>
      <c r="R7502" s="2" t="inlineStr"/>
    </row>
    <row r="7503" ht="15" customHeight="1">
      <c r="A7503" t="inlineStr">
        <is>
          <t>A 29928-2023</t>
        </is>
      </c>
      <c r="B7503" s="1" t="n">
        <v>45107</v>
      </c>
      <c r="C7503" s="1" t="n">
        <v>45587</v>
      </c>
      <c r="D7503" t="inlineStr">
        <is>
          <t>GÄVLEBORGS LÄN</t>
        </is>
      </c>
      <c r="E7503" t="inlineStr">
        <is>
          <t>LJUSDAL</t>
        </is>
      </c>
      <c r="F7503" t="inlineStr">
        <is>
          <t>Sveaskog</t>
        </is>
      </c>
      <c r="G7503" t="n">
        <v>24.2</v>
      </c>
      <c r="H7503" t="n">
        <v>0</v>
      </c>
      <c r="I7503" t="n">
        <v>0</v>
      </c>
      <c r="J7503" t="n">
        <v>0</v>
      </c>
      <c r="K7503" t="n">
        <v>0</v>
      </c>
      <c r="L7503" t="n">
        <v>0</v>
      </c>
      <c r="M7503" t="n">
        <v>0</v>
      </c>
      <c r="N7503" t="n">
        <v>0</v>
      </c>
      <c r="O7503" t="n">
        <v>0</v>
      </c>
      <c r="P7503" t="n">
        <v>0</v>
      </c>
      <c r="Q7503" t="n">
        <v>0</v>
      </c>
      <c r="R7503" s="2" t="inlineStr"/>
    </row>
    <row r="7504" ht="15" customHeight="1">
      <c r="A7504" t="inlineStr">
        <is>
          <t>A 29931-2023</t>
        </is>
      </c>
      <c r="B7504" s="1" t="n">
        <v>45107</v>
      </c>
      <c r="C7504" s="1" t="n">
        <v>45587</v>
      </c>
      <c r="D7504" t="inlineStr">
        <is>
          <t>GÄVLEBORGS LÄN</t>
        </is>
      </c>
      <c r="E7504" t="inlineStr">
        <is>
          <t>LJUSDAL</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32287-2023</t>
        </is>
      </c>
      <c r="B7505" s="1" t="n">
        <v>45107</v>
      </c>
      <c r="C7505" s="1" t="n">
        <v>45587</v>
      </c>
      <c r="D7505" t="inlineStr">
        <is>
          <t>GÄVLEBORGS LÄN</t>
        </is>
      </c>
      <c r="E7505" t="inlineStr">
        <is>
          <t>LJUSDAL</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32293-2023</t>
        </is>
      </c>
      <c r="B7506" s="1" t="n">
        <v>45107</v>
      </c>
      <c r="C7506" s="1" t="n">
        <v>45587</v>
      </c>
      <c r="D7506" t="inlineStr">
        <is>
          <t>GÄVLEBORGS LÄN</t>
        </is>
      </c>
      <c r="E7506" t="inlineStr">
        <is>
          <t>LJUSDAL</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32289-2023</t>
        </is>
      </c>
      <c r="B7507" s="1" t="n">
        <v>45107</v>
      </c>
      <c r="C7507" s="1" t="n">
        <v>45587</v>
      </c>
      <c r="D7507" t="inlineStr">
        <is>
          <t>GÄVLEBORGS LÄN</t>
        </is>
      </c>
      <c r="E7507" t="inlineStr">
        <is>
          <t>LJUSDAL</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32294-2023</t>
        </is>
      </c>
      <c r="B7508" s="1" t="n">
        <v>45107</v>
      </c>
      <c r="C7508" s="1" t="n">
        <v>45587</v>
      </c>
      <c r="D7508" t="inlineStr">
        <is>
          <t>GÄVLEBORGS LÄN</t>
        </is>
      </c>
      <c r="E7508" t="inlineStr">
        <is>
          <t>LJUSDAL</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29980-2023</t>
        </is>
      </c>
      <c r="B7509" s="1" t="n">
        <v>45108</v>
      </c>
      <c r="C7509" s="1" t="n">
        <v>45587</v>
      </c>
      <c r="D7509" t="inlineStr">
        <is>
          <t>GÄVLEBORGS LÄN</t>
        </is>
      </c>
      <c r="E7509" t="inlineStr">
        <is>
          <t>SÖDERHAMN</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29982-2023</t>
        </is>
      </c>
      <c r="B7510" s="1" t="n">
        <v>45109</v>
      </c>
      <c r="C7510" s="1" t="n">
        <v>45587</v>
      </c>
      <c r="D7510" t="inlineStr">
        <is>
          <t>GÄVLEBORGS LÄN</t>
        </is>
      </c>
      <c r="E7510" t="inlineStr">
        <is>
          <t>SÖDERHAMN</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29981-2023</t>
        </is>
      </c>
      <c r="B7511" s="1" t="n">
        <v>45109</v>
      </c>
      <c r="C7511" s="1" t="n">
        <v>45587</v>
      </c>
      <c r="D7511" t="inlineStr">
        <is>
          <t>GÄVLEBORGS LÄN</t>
        </is>
      </c>
      <c r="E7511" t="inlineStr">
        <is>
          <t>SÖDERHAMN</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29979-2023</t>
        </is>
      </c>
      <c r="B7512" s="1" t="n">
        <v>45108</v>
      </c>
      <c r="C7512" s="1" t="n">
        <v>45587</v>
      </c>
      <c r="D7512" t="inlineStr">
        <is>
          <t>GÄVLEBORGS LÄN</t>
        </is>
      </c>
      <c r="E7512" t="inlineStr">
        <is>
          <t>SÖDERHAMN</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29983-2023</t>
        </is>
      </c>
      <c r="B7513" s="1" t="n">
        <v>45109</v>
      </c>
      <c r="C7513" s="1" t="n">
        <v>45587</v>
      </c>
      <c r="D7513" t="inlineStr">
        <is>
          <t>GÄVLEBORGS LÄN</t>
        </is>
      </c>
      <c r="E7513" t="inlineStr">
        <is>
          <t>SÖDERHAMN</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30009-2023</t>
        </is>
      </c>
      <c r="B7514" s="1" t="n">
        <v>45109</v>
      </c>
      <c r="C7514" s="1" t="n">
        <v>45587</v>
      </c>
      <c r="D7514" t="inlineStr">
        <is>
          <t>GÄVLEBORGS LÄN</t>
        </is>
      </c>
      <c r="E7514" t="inlineStr">
        <is>
          <t>OCKELBO</t>
        </is>
      </c>
      <c r="G7514" t="n">
        <v>4.8</v>
      </c>
      <c r="H7514" t="n">
        <v>0</v>
      </c>
      <c r="I7514" t="n">
        <v>0</v>
      </c>
      <c r="J7514" t="n">
        <v>0</v>
      </c>
      <c r="K7514" t="n">
        <v>0</v>
      </c>
      <c r="L7514" t="n">
        <v>0</v>
      </c>
      <c r="M7514" t="n">
        <v>0</v>
      </c>
      <c r="N7514" t="n">
        <v>0</v>
      </c>
      <c r="O7514" t="n">
        <v>0</v>
      </c>
      <c r="P7514" t="n">
        <v>0</v>
      </c>
      <c r="Q7514" t="n">
        <v>0</v>
      </c>
      <c r="R7514" s="2" t="inlineStr"/>
    </row>
    <row r="7515" ht="15" customHeight="1">
      <c r="A7515" t="inlineStr">
        <is>
          <t>A 30011-2023</t>
        </is>
      </c>
      <c r="B7515" s="1" t="n">
        <v>45109</v>
      </c>
      <c r="C7515" s="1" t="n">
        <v>45587</v>
      </c>
      <c r="D7515" t="inlineStr">
        <is>
          <t>GÄVLEBORGS LÄN</t>
        </is>
      </c>
      <c r="E7515" t="inlineStr">
        <is>
          <t>OCKELBO</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30067-2023</t>
        </is>
      </c>
      <c r="B7516" s="1" t="n">
        <v>45110</v>
      </c>
      <c r="C7516" s="1" t="n">
        <v>45587</v>
      </c>
      <c r="D7516" t="inlineStr">
        <is>
          <t>GÄVLEBORGS LÄN</t>
        </is>
      </c>
      <c r="E7516" t="inlineStr">
        <is>
          <t>BOLLNÄS</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30061-2023</t>
        </is>
      </c>
      <c r="B7517" s="1" t="n">
        <v>45110</v>
      </c>
      <c r="C7517" s="1" t="n">
        <v>45587</v>
      </c>
      <c r="D7517" t="inlineStr">
        <is>
          <t>GÄVLEBORGS LÄN</t>
        </is>
      </c>
      <c r="E7517" t="inlineStr">
        <is>
          <t>LJUSDAL</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30117-2023</t>
        </is>
      </c>
      <c r="B7518" s="1" t="n">
        <v>45110</v>
      </c>
      <c r="C7518" s="1" t="n">
        <v>45587</v>
      </c>
      <c r="D7518" t="inlineStr">
        <is>
          <t>GÄVLEBORGS LÄN</t>
        </is>
      </c>
      <c r="E7518" t="inlineStr">
        <is>
          <t>HUDIKSVALL</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30224-2023</t>
        </is>
      </c>
      <c r="B7519" s="1" t="n">
        <v>45110</v>
      </c>
      <c r="C7519" s="1" t="n">
        <v>45587</v>
      </c>
      <c r="D7519" t="inlineStr">
        <is>
          <t>GÄVLEBORGS LÄN</t>
        </is>
      </c>
      <c r="E7519" t="inlineStr">
        <is>
          <t>BOLLNÄS</t>
        </is>
      </c>
      <c r="G7519" t="n">
        <v>5.2</v>
      </c>
      <c r="H7519" t="n">
        <v>0</v>
      </c>
      <c r="I7519" t="n">
        <v>0</v>
      </c>
      <c r="J7519" t="n">
        <v>0</v>
      </c>
      <c r="K7519" t="n">
        <v>0</v>
      </c>
      <c r="L7519" t="n">
        <v>0</v>
      </c>
      <c r="M7519" t="n">
        <v>0</v>
      </c>
      <c r="N7519" t="n">
        <v>0</v>
      </c>
      <c r="O7519" t="n">
        <v>0</v>
      </c>
      <c r="P7519" t="n">
        <v>0</v>
      </c>
      <c r="Q7519" t="n">
        <v>0</v>
      </c>
      <c r="R7519" s="2" t="inlineStr"/>
    </row>
    <row r="7520" ht="15" customHeight="1">
      <c r="A7520" t="inlineStr">
        <is>
          <t>A 30228-2023</t>
        </is>
      </c>
      <c r="B7520" s="1" t="n">
        <v>45110</v>
      </c>
      <c r="C7520" s="1" t="n">
        <v>45587</v>
      </c>
      <c r="D7520" t="inlineStr">
        <is>
          <t>GÄVLEBORGS LÄN</t>
        </is>
      </c>
      <c r="E7520" t="inlineStr">
        <is>
          <t>SANDVIKEN</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30034-2023</t>
        </is>
      </c>
      <c r="B7521" s="1" t="n">
        <v>45110</v>
      </c>
      <c r="C7521" s="1" t="n">
        <v>45587</v>
      </c>
      <c r="D7521" t="inlineStr">
        <is>
          <t>GÄVLEBORGS LÄN</t>
        </is>
      </c>
      <c r="E7521" t="inlineStr">
        <is>
          <t>HUDIKSVALL</t>
        </is>
      </c>
      <c r="G7521" t="n">
        <v>6</v>
      </c>
      <c r="H7521" t="n">
        <v>0</v>
      </c>
      <c r="I7521" t="n">
        <v>0</v>
      </c>
      <c r="J7521" t="n">
        <v>0</v>
      </c>
      <c r="K7521" t="n">
        <v>0</v>
      </c>
      <c r="L7521" t="n">
        <v>0</v>
      </c>
      <c r="M7521" t="n">
        <v>0</v>
      </c>
      <c r="N7521" t="n">
        <v>0</v>
      </c>
      <c r="O7521" t="n">
        <v>0</v>
      </c>
      <c r="P7521" t="n">
        <v>0</v>
      </c>
      <c r="Q7521" t="n">
        <v>0</v>
      </c>
      <c r="R7521" s="2" t="inlineStr"/>
    </row>
    <row r="7522" ht="15" customHeight="1">
      <c r="A7522" t="inlineStr">
        <is>
          <t>A 30122-2023</t>
        </is>
      </c>
      <c r="B7522" s="1" t="n">
        <v>45110</v>
      </c>
      <c r="C7522" s="1" t="n">
        <v>45587</v>
      </c>
      <c r="D7522" t="inlineStr">
        <is>
          <t>GÄVLEBORGS LÄN</t>
        </is>
      </c>
      <c r="E7522" t="inlineStr">
        <is>
          <t>HUDIKSVALL</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30200-2023</t>
        </is>
      </c>
      <c r="B7523" s="1" t="n">
        <v>45110</v>
      </c>
      <c r="C7523" s="1" t="n">
        <v>45587</v>
      </c>
      <c r="D7523" t="inlineStr">
        <is>
          <t>GÄVLEBORGS LÄN</t>
        </is>
      </c>
      <c r="E7523" t="inlineStr">
        <is>
          <t>BOLLNÄS</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30168-2023</t>
        </is>
      </c>
      <c r="B7524" s="1" t="n">
        <v>45110</v>
      </c>
      <c r="C7524" s="1" t="n">
        <v>45587</v>
      </c>
      <c r="D7524" t="inlineStr">
        <is>
          <t>GÄVLEBORGS LÄN</t>
        </is>
      </c>
      <c r="E7524" t="inlineStr">
        <is>
          <t>HUDIKSVALL</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30240-2023</t>
        </is>
      </c>
      <c r="B7525" s="1" t="n">
        <v>45110</v>
      </c>
      <c r="C7525" s="1" t="n">
        <v>45587</v>
      </c>
      <c r="D7525" t="inlineStr">
        <is>
          <t>GÄVLEBORGS LÄN</t>
        </is>
      </c>
      <c r="E7525" t="inlineStr">
        <is>
          <t>LJUSDAL</t>
        </is>
      </c>
      <c r="F7525" t="inlineStr">
        <is>
          <t>Sveaskog</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30476-2023</t>
        </is>
      </c>
      <c r="B7526" s="1" t="n">
        <v>45111</v>
      </c>
      <c r="C7526" s="1" t="n">
        <v>45587</v>
      </c>
      <c r="D7526" t="inlineStr">
        <is>
          <t>GÄVLEBORGS LÄN</t>
        </is>
      </c>
      <c r="E7526" t="inlineStr">
        <is>
          <t>LJUSDAL</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30454-2023</t>
        </is>
      </c>
      <c r="B7527" s="1" t="n">
        <v>45111</v>
      </c>
      <c r="C7527" s="1" t="n">
        <v>45587</v>
      </c>
      <c r="D7527" t="inlineStr">
        <is>
          <t>GÄVLEBORGS LÄN</t>
        </is>
      </c>
      <c r="E7527" t="inlineStr">
        <is>
          <t>LJUSDAL</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30502-2023</t>
        </is>
      </c>
      <c r="B7528" s="1" t="n">
        <v>45111</v>
      </c>
      <c r="C7528" s="1" t="n">
        <v>45587</v>
      </c>
      <c r="D7528" t="inlineStr">
        <is>
          <t>GÄVLEBORGS LÄN</t>
        </is>
      </c>
      <c r="E7528" t="inlineStr">
        <is>
          <t>OVANÅKER</t>
        </is>
      </c>
      <c r="G7528" t="n">
        <v>4.5</v>
      </c>
      <c r="H7528" t="n">
        <v>0</v>
      </c>
      <c r="I7528" t="n">
        <v>0</v>
      </c>
      <c r="J7528" t="n">
        <v>0</v>
      </c>
      <c r="K7528" t="n">
        <v>0</v>
      </c>
      <c r="L7528" t="n">
        <v>0</v>
      </c>
      <c r="M7528" t="n">
        <v>0</v>
      </c>
      <c r="N7528" t="n">
        <v>0</v>
      </c>
      <c r="O7528" t="n">
        <v>0</v>
      </c>
      <c r="P7528" t="n">
        <v>0</v>
      </c>
      <c r="Q7528" t="n">
        <v>0</v>
      </c>
      <c r="R7528" s="2" t="inlineStr"/>
    </row>
    <row r="7529" ht="15" customHeight="1">
      <c r="A7529" t="inlineStr">
        <is>
          <t>A 30507-2023</t>
        </is>
      </c>
      <c r="B7529" s="1" t="n">
        <v>45111</v>
      </c>
      <c r="C7529" s="1" t="n">
        <v>45587</v>
      </c>
      <c r="D7529" t="inlineStr">
        <is>
          <t>GÄVLEBORGS LÄN</t>
        </is>
      </c>
      <c r="E7529" t="inlineStr">
        <is>
          <t>OVANÅKER</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30520-2023</t>
        </is>
      </c>
      <c r="B7530" s="1" t="n">
        <v>45111</v>
      </c>
      <c r="C7530" s="1" t="n">
        <v>45587</v>
      </c>
      <c r="D7530" t="inlineStr">
        <is>
          <t>GÄVLEBORGS LÄN</t>
        </is>
      </c>
      <c r="E7530" t="inlineStr">
        <is>
          <t>OVANÅKER</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30539-2023</t>
        </is>
      </c>
      <c r="B7531" s="1" t="n">
        <v>45111</v>
      </c>
      <c r="C7531" s="1" t="n">
        <v>45587</v>
      </c>
      <c r="D7531" t="inlineStr">
        <is>
          <t>GÄVLEBORGS LÄN</t>
        </is>
      </c>
      <c r="E7531" t="inlineStr">
        <is>
          <t>SÖDERHAMN</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30331-2023</t>
        </is>
      </c>
      <c r="B7532" s="1" t="n">
        <v>45111</v>
      </c>
      <c r="C7532" s="1" t="n">
        <v>45587</v>
      </c>
      <c r="D7532" t="inlineStr">
        <is>
          <t>GÄVLEBORGS LÄN</t>
        </is>
      </c>
      <c r="E7532" t="inlineStr">
        <is>
          <t>OVANÅKER</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30335-2023</t>
        </is>
      </c>
      <c r="B7533" s="1" t="n">
        <v>45111</v>
      </c>
      <c r="C7533" s="1" t="n">
        <v>45587</v>
      </c>
      <c r="D7533" t="inlineStr">
        <is>
          <t>GÄVLEBORGS LÄN</t>
        </is>
      </c>
      <c r="E7533" t="inlineStr">
        <is>
          <t>OVANÅKER</t>
        </is>
      </c>
      <c r="G7533" t="n">
        <v>4.9</v>
      </c>
      <c r="H7533" t="n">
        <v>0</v>
      </c>
      <c r="I7533" t="n">
        <v>0</v>
      </c>
      <c r="J7533" t="n">
        <v>0</v>
      </c>
      <c r="K7533" t="n">
        <v>0</v>
      </c>
      <c r="L7533" t="n">
        <v>0</v>
      </c>
      <c r="M7533" t="n">
        <v>0</v>
      </c>
      <c r="N7533" t="n">
        <v>0</v>
      </c>
      <c r="O7533" t="n">
        <v>0</v>
      </c>
      <c r="P7533" t="n">
        <v>0</v>
      </c>
      <c r="Q7533" t="n">
        <v>0</v>
      </c>
      <c r="R7533" s="2" t="inlineStr"/>
    </row>
    <row r="7534" ht="15" customHeight="1">
      <c r="A7534" t="inlineStr">
        <is>
          <t>A 30463-2023</t>
        </is>
      </c>
      <c r="B7534" s="1" t="n">
        <v>45111</v>
      </c>
      <c r="C7534" s="1" t="n">
        <v>45587</v>
      </c>
      <c r="D7534" t="inlineStr">
        <is>
          <t>GÄVLEBORGS LÄN</t>
        </is>
      </c>
      <c r="E7534" t="inlineStr">
        <is>
          <t>OVANÅKER</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30375-2023</t>
        </is>
      </c>
      <c r="B7535" s="1" t="n">
        <v>45111</v>
      </c>
      <c r="C7535" s="1" t="n">
        <v>45587</v>
      </c>
      <c r="D7535" t="inlineStr">
        <is>
          <t>GÄVLEBORGS LÄN</t>
        </is>
      </c>
      <c r="E7535" t="inlineStr">
        <is>
          <t>HUDIKSVALL</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30396-2023</t>
        </is>
      </c>
      <c r="B7536" s="1" t="n">
        <v>45111</v>
      </c>
      <c r="C7536" s="1" t="n">
        <v>45587</v>
      </c>
      <c r="D7536" t="inlineStr">
        <is>
          <t>GÄVLEBORGS LÄN</t>
        </is>
      </c>
      <c r="E7536" t="inlineStr">
        <is>
          <t>HUDIKSVALL</t>
        </is>
      </c>
      <c r="G7536" t="n">
        <v>8.800000000000001</v>
      </c>
      <c r="H7536" t="n">
        <v>0</v>
      </c>
      <c r="I7536" t="n">
        <v>0</v>
      </c>
      <c r="J7536" t="n">
        <v>0</v>
      </c>
      <c r="K7536" t="n">
        <v>0</v>
      </c>
      <c r="L7536" t="n">
        <v>0</v>
      </c>
      <c r="M7536" t="n">
        <v>0</v>
      </c>
      <c r="N7536" t="n">
        <v>0</v>
      </c>
      <c r="O7536" t="n">
        <v>0</v>
      </c>
      <c r="P7536" t="n">
        <v>0</v>
      </c>
      <c r="Q7536" t="n">
        <v>0</v>
      </c>
      <c r="R7536" s="2" t="inlineStr"/>
    </row>
    <row r="7537" ht="15" customHeight="1">
      <c r="A7537" t="inlineStr">
        <is>
          <t>A 30418-2023</t>
        </is>
      </c>
      <c r="B7537" s="1" t="n">
        <v>45111</v>
      </c>
      <c r="C7537" s="1" t="n">
        <v>45587</v>
      </c>
      <c r="D7537" t="inlineStr">
        <is>
          <t>GÄVLEBORGS LÄN</t>
        </is>
      </c>
      <c r="E7537" t="inlineStr">
        <is>
          <t>OCKELBO</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30422-2023</t>
        </is>
      </c>
      <c r="B7538" s="1" t="n">
        <v>45111</v>
      </c>
      <c r="C7538" s="1" t="n">
        <v>45587</v>
      </c>
      <c r="D7538" t="inlineStr">
        <is>
          <t>GÄVLEBORGS LÄN</t>
        </is>
      </c>
      <c r="E7538" t="inlineStr">
        <is>
          <t>OCKELBO</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30398-2023</t>
        </is>
      </c>
      <c r="B7539" s="1" t="n">
        <v>45111</v>
      </c>
      <c r="C7539" s="1" t="n">
        <v>45587</v>
      </c>
      <c r="D7539" t="inlineStr">
        <is>
          <t>GÄVLEBORGS LÄN</t>
        </is>
      </c>
      <c r="E7539" t="inlineStr">
        <is>
          <t>HUDIKSVALL</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30407-2023</t>
        </is>
      </c>
      <c r="B7540" s="1" t="n">
        <v>45111</v>
      </c>
      <c r="C7540" s="1" t="n">
        <v>45587</v>
      </c>
      <c r="D7540" t="inlineStr">
        <is>
          <t>GÄVLEBORGS LÄN</t>
        </is>
      </c>
      <c r="E7540" t="inlineStr">
        <is>
          <t>SÖDERHAMN</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30416-2023</t>
        </is>
      </c>
      <c r="B7541" s="1" t="n">
        <v>45111</v>
      </c>
      <c r="C7541" s="1" t="n">
        <v>45587</v>
      </c>
      <c r="D7541" t="inlineStr">
        <is>
          <t>GÄVLEBORGS LÄN</t>
        </is>
      </c>
      <c r="E7541" t="inlineStr">
        <is>
          <t>LJUSDAL</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30349-2023</t>
        </is>
      </c>
      <c r="B7542" s="1" t="n">
        <v>45111</v>
      </c>
      <c r="C7542" s="1" t="n">
        <v>45587</v>
      </c>
      <c r="D7542" t="inlineStr">
        <is>
          <t>GÄVLEBORGS LÄN</t>
        </is>
      </c>
      <c r="E7542" t="inlineStr">
        <is>
          <t>OCKELBO</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30371-2023</t>
        </is>
      </c>
      <c r="B7543" s="1" t="n">
        <v>45111</v>
      </c>
      <c r="C7543" s="1" t="n">
        <v>45587</v>
      </c>
      <c r="D7543" t="inlineStr">
        <is>
          <t>GÄVLEBORGS LÄN</t>
        </is>
      </c>
      <c r="E7543" t="inlineStr">
        <is>
          <t>SÖDERHAMN</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30562-2023</t>
        </is>
      </c>
      <c r="B7544" s="1" t="n">
        <v>45111</v>
      </c>
      <c r="C7544" s="1" t="n">
        <v>45587</v>
      </c>
      <c r="D7544" t="inlineStr">
        <is>
          <t>GÄVLEBORGS LÄN</t>
        </is>
      </c>
      <c r="E7544" t="inlineStr">
        <is>
          <t>HUDIKSVALL</t>
        </is>
      </c>
      <c r="G7544" t="n">
        <v>11.5</v>
      </c>
      <c r="H7544" t="n">
        <v>0</v>
      </c>
      <c r="I7544" t="n">
        <v>0</v>
      </c>
      <c r="J7544" t="n">
        <v>0</v>
      </c>
      <c r="K7544" t="n">
        <v>0</v>
      </c>
      <c r="L7544" t="n">
        <v>0</v>
      </c>
      <c r="M7544" t="n">
        <v>0</v>
      </c>
      <c r="N7544" t="n">
        <v>0</v>
      </c>
      <c r="O7544" t="n">
        <v>0</v>
      </c>
      <c r="P7544" t="n">
        <v>0</v>
      </c>
      <c r="Q7544" t="n">
        <v>0</v>
      </c>
      <c r="R7544" s="2" t="inlineStr"/>
    </row>
    <row r="7545" ht="15" customHeight="1">
      <c r="A7545" t="inlineStr">
        <is>
          <t>A 30564-2023</t>
        </is>
      </c>
      <c r="B7545" s="1" t="n">
        <v>45112</v>
      </c>
      <c r="C7545" s="1" t="n">
        <v>45587</v>
      </c>
      <c r="D7545" t="inlineStr">
        <is>
          <t>GÄVLEBORGS LÄN</t>
        </is>
      </c>
      <c r="E7545" t="inlineStr">
        <is>
          <t>HUDIKSVALL</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30619-2023</t>
        </is>
      </c>
      <c r="B7546" s="1" t="n">
        <v>45112</v>
      </c>
      <c r="C7546" s="1" t="n">
        <v>45587</v>
      </c>
      <c r="D7546" t="inlineStr">
        <is>
          <t>GÄVLEBORGS LÄN</t>
        </is>
      </c>
      <c r="E7546" t="inlineStr">
        <is>
          <t>LJUSDAL</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30735-2023</t>
        </is>
      </c>
      <c r="B7547" s="1" t="n">
        <v>45112</v>
      </c>
      <c r="C7547" s="1" t="n">
        <v>45587</v>
      </c>
      <c r="D7547" t="inlineStr">
        <is>
          <t>GÄVLEBORGS LÄN</t>
        </is>
      </c>
      <c r="E7547" t="inlineStr">
        <is>
          <t>BOLLNÄS</t>
        </is>
      </c>
      <c r="F7547" t="inlineStr">
        <is>
          <t>Holmen skog AB</t>
        </is>
      </c>
      <c r="G7547" t="n">
        <v>5.6</v>
      </c>
      <c r="H7547" t="n">
        <v>0</v>
      </c>
      <c r="I7547" t="n">
        <v>0</v>
      </c>
      <c r="J7547" t="n">
        <v>0</v>
      </c>
      <c r="K7547" t="n">
        <v>0</v>
      </c>
      <c r="L7547" t="n">
        <v>0</v>
      </c>
      <c r="M7547" t="n">
        <v>0</v>
      </c>
      <c r="N7547" t="n">
        <v>0</v>
      </c>
      <c r="O7547" t="n">
        <v>0</v>
      </c>
      <c r="P7547" t="n">
        <v>0</v>
      </c>
      <c r="Q7547" t="n">
        <v>0</v>
      </c>
      <c r="R7547" s="2" t="inlineStr"/>
    </row>
    <row r="7548" ht="15" customHeight="1">
      <c r="A7548" t="inlineStr">
        <is>
          <t>A 30609-2023</t>
        </is>
      </c>
      <c r="B7548" s="1" t="n">
        <v>45112</v>
      </c>
      <c r="C7548" s="1" t="n">
        <v>45587</v>
      </c>
      <c r="D7548" t="inlineStr">
        <is>
          <t>GÄVLEBORGS LÄN</t>
        </is>
      </c>
      <c r="E7548" t="inlineStr">
        <is>
          <t>LJUSDAL</t>
        </is>
      </c>
      <c r="F7548" t="inlineStr">
        <is>
          <t>Sveaskog</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30608-2023</t>
        </is>
      </c>
      <c r="B7549" s="1" t="n">
        <v>45112</v>
      </c>
      <c r="C7549" s="1" t="n">
        <v>45587</v>
      </c>
      <c r="D7549" t="inlineStr">
        <is>
          <t>GÄVLEBORGS LÄN</t>
        </is>
      </c>
      <c r="E7549" t="inlineStr">
        <is>
          <t>LJUSDAL</t>
        </is>
      </c>
      <c r="F7549" t="inlineStr">
        <is>
          <t>Sveaskog</t>
        </is>
      </c>
      <c r="G7549" t="n">
        <v>11.6</v>
      </c>
      <c r="H7549" t="n">
        <v>0</v>
      </c>
      <c r="I7549" t="n">
        <v>0</v>
      </c>
      <c r="J7549" t="n">
        <v>0</v>
      </c>
      <c r="K7549" t="n">
        <v>0</v>
      </c>
      <c r="L7549" t="n">
        <v>0</v>
      </c>
      <c r="M7549" t="n">
        <v>0</v>
      </c>
      <c r="N7549" t="n">
        <v>0</v>
      </c>
      <c r="O7549" t="n">
        <v>0</v>
      </c>
      <c r="P7549" t="n">
        <v>0</v>
      </c>
      <c r="Q7549" t="n">
        <v>0</v>
      </c>
      <c r="R7549" s="2" t="inlineStr"/>
    </row>
    <row r="7550" ht="15" customHeight="1">
      <c r="A7550" t="inlineStr">
        <is>
          <t>A 30672-2023</t>
        </is>
      </c>
      <c r="B7550" s="1" t="n">
        <v>45112</v>
      </c>
      <c r="C7550" s="1" t="n">
        <v>45587</v>
      </c>
      <c r="D7550" t="inlineStr">
        <is>
          <t>GÄVLEBORGS LÄN</t>
        </is>
      </c>
      <c r="E7550" t="inlineStr">
        <is>
          <t>HUDIKSVALL</t>
        </is>
      </c>
      <c r="F7550" t="inlineStr">
        <is>
          <t>Sveaskog</t>
        </is>
      </c>
      <c r="G7550" t="n">
        <v>3.4</v>
      </c>
      <c r="H7550" t="n">
        <v>0</v>
      </c>
      <c r="I7550" t="n">
        <v>0</v>
      </c>
      <c r="J7550" t="n">
        <v>0</v>
      </c>
      <c r="K7550" t="n">
        <v>0</v>
      </c>
      <c r="L7550" t="n">
        <v>0</v>
      </c>
      <c r="M7550" t="n">
        <v>0</v>
      </c>
      <c r="N7550" t="n">
        <v>0</v>
      </c>
      <c r="O7550" t="n">
        <v>0</v>
      </c>
      <c r="P7550" t="n">
        <v>0</v>
      </c>
      <c r="Q7550" t="n">
        <v>0</v>
      </c>
      <c r="R7550" s="2" t="inlineStr"/>
    </row>
    <row r="7551" ht="15" customHeight="1">
      <c r="A7551" t="inlineStr">
        <is>
          <t>A 30721-2023</t>
        </is>
      </c>
      <c r="B7551" s="1" t="n">
        <v>45112</v>
      </c>
      <c r="C7551" s="1" t="n">
        <v>45587</v>
      </c>
      <c r="D7551" t="inlineStr">
        <is>
          <t>GÄVLEBORGS LÄN</t>
        </is>
      </c>
      <c r="E7551" t="inlineStr">
        <is>
          <t>SANDVIKEN</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30737-2023</t>
        </is>
      </c>
      <c r="B7552" s="1" t="n">
        <v>45112</v>
      </c>
      <c r="C7552" s="1" t="n">
        <v>45587</v>
      </c>
      <c r="D7552" t="inlineStr">
        <is>
          <t>GÄVLEBORGS LÄN</t>
        </is>
      </c>
      <c r="E7552" t="inlineStr">
        <is>
          <t>OVANÅKER</t>
        </is>
      </c>
      <c r="G7552" t="n">
        <v>5</v>
      </c>
      <c r="H7552" t="n">
        <v>0</v>
      </c>
      <c r="I7552" t="n">
        <v>0</v>
      </c>
      <c r="J7552" t="n">
        <v>0</v>
      </c>
      <c r="K7552" t="n">
        <v>0</v>
      </c>
      <c r="L7552" t="n">
        <v>0</v>
      </c>
      <c r="M7552" t="n">
        <v>0</v>
      </c>
      <c r="N7552" t="n">
        <v>0</v>
      </c>
      <c r="O7552" t="n">
        <v>0</v>
      </c>
      <c r="P7552" t="n">
        <v>0</v>
      </c>
      <c r="Q7552" t="n">
        <v>0</v>
      </c>
      <c r="R7552" s="2" t="inlineStr"/>
    </row>
    <row r="7553" ht="15" customHeight="1">
      <c r="A7553" t="inlineStr">
        <is>
          <t>A 30759-2023</t>
        </is>
      </c>
      <c r="B7553" s="1" t="n">
        <v>45112</v>
      </c>
      <c r="C7553" s="1" t="n">
        <v>45587</v>
      </c>
      <c r="D7553" t="inlineStr">
        <is>
          <t>GÄVLEBORGS LÄN</t>
        </is>
      </c>
      <c r="E7553" t="inlineStr">
        <is>
          <t>BOLLNÄS</t>
        </is>
      </c>
      <c r="F7553" t="inlineStr">
        <is>
          <t>Holmen skog AB</t>
        </is>
      </c>
      <c r="G7553" t="n">
        <v>4.4</v>
      </c>
      <c r="H7553" t="n">
        <v>0</v>
      </c>
      <c r="I7553" t="n">
        <v>0</v>
      </c>
      <c r="J7553" t="n">
        <v>0</v>
      </c>
      <c r="K7553" t="n">
        <v>0</v>
      </c>
      <c r="L7553" t="n">
        <v>0</v>
      </c>
      <c r="M7553" t="n">
        <v>0</v>
      </c>
      <c r="N7553" t="n">
        <v>0</v>
      </c>
      <c r="O7553" t="n">
        <v>0</v>
      </c>
      <c r="P7553" t="n">
        <v>0</v>
      </c>
      <c r="Q7553" t="n">
        <v>0</v>
      </c>
      <c r="R7553" s="2" t="inlineStr"/>
    </row>
    <row r="7554" ht="15" customHeight="1">
      <c r="A7554" t="inlineStr">
        <is>
          <t>A 30728-2023</t>
        </is>
      </c>
      <c r="B7554" s="1" t="n">
        <v>45112</v>
      </c>
      <c r="C7554" s="1" t="n">
        <v>45587</v>
      </c>
      <c r="D7554" t="inlineStr">
        <is>
          <t>GÄVLEBORGS LÄN</t>
        </is>
      </c>
      <c r="E7554" t="inlineStr">
        <is>
          <t>BOLLNÄS</t>
        </is>
      </c>
      <c r="F7554" t="inlineStr">
        <is>
          <t>Holmen skog AB</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30732-2023</t>
        </is>
      </c>
      <c r="B7555" s="1" t="n">
        <v>45112</v>
      </c>
      <c r="C7555" s="1" t="n">
        <v>45587</v>
      </c>
      <c r="D7555" t="inlineStr">
        <is>
          <t>GÄVLEBORGS LÄN</t>
        </is>
      </c>
      <c r="E7555" t="inlineStr">
        <is>
          <t>OVANÅKER</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30750-2023</t>
        </is>
      </c>
      <c r="B7556" s="1" t="n">
        <v>45112</v>
      </c>
      <c r="C7556" s="1" t="n">
        <v>45587</v>
      </c>
      <c r="D7556" t="inlineStr">
        <is>
          <t>GÄVLEBORGS LÄN</t>
        </is>
      </c>
      <c r="E7556" t="inlineStr">
        <is>
          <t>BOLLNÄS</t>
        </is>
      </c>
      <c r="F7556" t="inlineStr">
        <is>
          <t>Holmen skog AB</t>
        </is>
      </c>
      <c r="G7556" t="n">
        <v>11.2</v>
      </c>
      <c r="H7556" t="n">
        <v>0</v>
      </c>
      <c r="I7556" t="n">
        <v>0</v>
      </c>
      <c r="J7556" t="n">
        <v>0</v>
      </c>
      <c r="K7556" t="n">
        <v>0</v>
      </c>
      <c r="L7556" t="n">
        <v>0</v>
      </c>
      <c r="M7556" t="n">
        <v>0</v>
      </c>
      <c r="N7556" t="n">
        <v>0</v>
      </c>
      <c r="O7556" t="n">
        <v>0</v>
      </c>
      <c r="P7556" t="n">
        <v>0</v>
      </c>
      <c r="Q7556" t="n">
        <v>0</v>
      </c>
      <c r="R7556" s="2" t="inlineStr"/>
    </row>
    <row r="7557" ht="15" customHeight="1">
      <c r="A7557" t="inlineStr">
        <is>
          <t>A 30622-2023</t>
        </is>
      </c>
      <c r="B7557" s="1" t="n">
        <v>45112</v>
      </c>
      <c r="C7557" s="1" t="n">
        <v>45587</v>
      </c>
      <c r="D7557" t="inlineStr">
        <is>
          <t>GÄVLEBORGS LÄN</t>
        </is>
      </c>
      <c r="E7557" t="inlineStr">
        <is>
          <t>LJUSDAL</t>
        </is>
      </c>
      <c r="G7557" t="n">
        <v>4.4</v>
      </c>
      <c r="H7557" t="n">
        <v>0</v>
      </c>
      <c r="I7557" t="n">
        <v>0</v>
      </c>
      <c r="J7557" t="n">
        <v>0</v>
      </c>
      <c r="K7557" t="n">
        <v>0</v>
      </c>
      <c r="L7557" t="n">
        <v>0</v>
      </c>
      <c r="M7557" t="n">
        <v>0</v>
      </c>
      <c r="N7557" t="n">
        <v>0</v>
      </c>
      <c r="O7557" t="n">
        <v>0</v>
      </c>
      <c r="P7557" t="n">
        <v>0</v>
      </c>
      <c r="Q7557" t="n">
        <v>0</v>
      </c>
      <c r="R7557" s="2" t="inlineStr"/>
    </row>
    <row r="7558" ht="15" customHeight="1">
      <c r="A7558" t="inlineStr">
        <is>
          <t>A 30669-2023</t>
        </is>
      </c>
      <c r="B7558" s="1" t="n">
        <v>45112</v>
      </c>
      <c r="C7558" s="1" t="n">
        <v>45587</v>
      </c>
      <c r="D7558" t="inlineStr">
        <is>
          <t>GÄVLEBORGS LÄN</t>
        </is>
      </c>
      <c r="E7558" t="inlineStr">
        <is>
          <t>LJUSDAL</t>
        </is>
      </c>
      <c r="F7558" t="inlineStr">
        <is>
          <t>Allmännings- och besparingsskogar</t>
        </is>
      </c>
      <c r="G7558" t="n">
        <v>35.5</v>
      </c>
      <c r="H7558" t="n">
        <v>0</v>
      </c>
      <c r="I7558" t="n">
        <v>0</v>
      </c>
      <c r="J7558" t="n">
        <v>0</v>
      </c>
      <c r="K7558" t="n">
        <v>0</v>
      </c>
      <c r="L7558" t="n">
        <v>0</v>
      </c>
      <c r="M7558" t="n">
        <v>0</v>
      </c>
      <c r="N7558" t="n">
        <v>0</v>
      </c>
      <c r="O7558" t="n">
        <v>0</v>
      </c>
      <c r="P7558" t="n">
        <v>0</v>
      </c>
      <c r="Q7558" t="n">
        <v>0</v>
      </c>
      <c r="R7558" s="2" t="inlineStr"/>
    </row>
    <row r="7559" ht="15" customHeight="1">
      <c r="A7559" t="inlineStr">
        <is>
          <t>A 30714-2023</t>
        </is>
      </c>
      <c r="B7559" s="1" t="n">
        <v>45112</v>
      </c>
      <c r="C7559" s="1" t="n">
        <v>45587</v>
      </c>
      <c r="D7559" t="inlineStr">
        <is>
          <t>GÄVLEBORGS LÄN</t>
        </is>
      </c>
      <c r="E7559" t="inlineStr">
        <is>
          <t>SANDVIKEN</t>
        </is>
      </c>
      <c r="G7559" t="n">
        <v>4.9</v>
      </c>
      <c r="H7559" t="n">
        <v>0</v>
      </c>
      <c r="I7559" t="n">
        <v>0</v>
      </c>
      <c r="J7559" t="n">
        <v>0</v>
      </c>
      <c r="K7559" t="n">
        <v>0</v>
      </c>
      <c r="L7559" t="n">
        <v>0</v>
      </c>
      <c r="M7559" t="n">
        <v>0</v>
      </c>
      <c r="N7559" t="n">
        <v>0</v>
      </c>
      <c r="O7559" t="n">
        <v>0</v>
      </c>
      <c r="P7559" t="n">
        <v>0</v>
      </c>
      <c r="Q7559" t="n">
        <v>0</v>
      </c>
      <c r="R7559" s="2" t="inlineStr"/>
    </row>
    <row r="7560" ht="15" customHeight="1">
      <c r="A7560" t="inlineStr">
        <is>
          <t>A 30718-2023</t>
        </is>
      </c>
      <c r="B7560" s="1" t="n">
        <v>45112</v>
      </c>
      <c r="C7560" s="1" t="n">
        <v>45587</v>
      </c>
      <c r="D7560" t="inlineStr">
        <is>
          <t>GÄVLEBORGS LÄN</t>
        </is>
      </c>
      <c r="E7560" t="inlineStr">
        <is>
          <t>SANDVIKEN</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30928-2023</t>
        </is>
      </c>
      <c r="B7561" s="1" t="n">
        <v>45113</v>
      </c>
      <c r="C7561" s="1" t="n">
        <v>45587</v>
      </c>
      <c r="D7561" t="inlineStr">
        <is>
          <t>GÄVLEBORGS LÄN</t>
        </is>
      </c>
      <c r="E7561" t="inlineStr">
        <is>
          <t>SÖDERHAMN</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30959-2023</t>
        </is>
      </c>
      <c r="B7562" s="1" t="n">
        <v>45113</v>
      </c>
      <c r="C7562" s="1" t="n">
        <v>45587</v>
      </c>
      <c r="D7562" t="inlineStr">
        <is>
          <t>GÄVLEBORGS LÄN</t>
        </is>
      </c>
      <c r="E7562" t="inlineStr">
        <is>
          <t>BOLLNÄS</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30968-2023</t>
        </is>
      </c>
      <c r="B7563" s="1" t="n">
        <v>45113</v>
      </c>
      <c r="C7563" s="1" t="n">
        <v>45587</v>
      </c>
      <c r="D7563" t="inlineStr">
        <is>
          <t>GÄVLEBORGS LÄN</t>
        </is>
      </c>
      <c r="E7563" t="inlineStr">
        <is>
          <t>LJUSDAL</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30997-2023</t>
        </is>
      </c>
      <c r="B7564" s="1" t="n">
        <v>45113</v>
      </c>
      <c r="C7564" s="1" t="n">
        <v>45587</v>
      </c>
      <c r="D7564" t="inlineStr">
        <is>
          <t>GÄVLEBORGS LÄN</t>
        </is>
      </c>
      <c r="E7564" t="inlineStr">
        <is>
          <t>LJUSDAL</t>
        </is>
      </c>
      <c r="F7564" t="inlineStr">
        <is>
          <t>Holmen skog AB</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31011-2023</t>
        </is>
      </c>
      <c r="B7565" s="1" t="n">
        <v>45113</v>
      </c>
      <c r="C7565" s="1" t="n">
        <v>45587</v>
      </c>
      <c r="D7565" t="inlineStr">
        <is>
          <t>GÄVLEBORGS LÄN</t>
        </is>
      </c>
      <c r="E7565" t="inlineStr">
        <is>
          <t>GÄVLE</t>
        </is>
      </c>
      <c r="G7565" t="n">
        <v>5.2</v>
      </c>
      <c r="H7565" t="n">
        <v>0</v>
      </c>
      <c r="I7565" t="n">
        <v>0</v>
      </c>
      <c r="J7565" t="n">
        <v>0</v>
      </c>
      <c r="K7565" t="n">
        <v>0</v>
      </c>
      <c r="L7565" t="n">
        <v>0</v>
      </c>
      <c r="M7565" t="n">
        <v>0</v>
      </c>
      <c r="N7565" t="n">
        <v>0</v>
      </c>
      <c r="O7565" t="n">
        <v>0</v>
      </c>
      <c r="P7565" t="n">
        <v>0</v>
      </c>
      <c r="Q7565" t="n">
        <v>0</v>
      </c>
      <c r="R7565" s="2" t="inlineStr"/>
    </row>
    <row r="7566" ht="15" customHeight="1">
      <c r="A7566" t="inlineStr">
        <is>
          <t>A 30866-2023</t>
        </is>
      </c>
      <c r="B7566" s="1" t="n">
        <v>45113</v>
      </c>
      <c r="C7566" s="1" t="n">
        <v>45587</v>
      </c>
      <c r="D7566" t="inlineStr">
        <is>
          <t>GÄVLEBORGS LÄN</t>
        </is>
      </c>
      <c r="E7566" t="inlineStr">
        <is>
          <t>BOLLNÄS</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30973-2023</t>
        </is>
      </c>
      <c r="B7567" s="1" t="n">
        <v>45113</v>
      </c>
      <c r="C7567" s="1" t="n">
        <v>45587</v>
      </c>
      <c r="D7567" t="inlineStr">
        <is>
          <t>GÄVLEBORGS LÄN</t>
        </is>
      </c>
      <c r="E7567" t="inlineStr">
        <is>
          <t>LJUSDAL</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31014-2023</t>
        </is>
      </c>
      <c r="B7568" s="1" t="n">
        <v>45113</v>
      </c>
      <c r="C7568" s="1" t="n">
        <v>45587</v>
      </c>
      <c r="D7568" t="inlineStr">
        <is>
          <t>GÄVLEBORGS LÄN</t>
        </is>
      </c>
      <c r="E7568" t="inlineStr">
        <is>
          <t>BOLLNÄS</t>
        </is>
      </c>
      <c r="F7568" t="inlineStr">
        <is>
          <t>Bergvik skog väst AB</t>
        </is>
      </c>
      <c r="G7568" t="n">
        <v>4.7</v>
      </c>
      <c r="H7568" t="n">
        <v>0</v>
      </c>
      <c r="I7568" t="n">
        <v>0</v>
      </c>
      <c r="J7568" t="n">
        <v>0</v>
      </c>
      <c r="K7568" t="n">
        <v>0</v>
      </c>
      <c r="L7568" t="n">
        <v>0</v>
      </c>
      <c r="M7568" t="n">
        <v>0</v>
      </c>
      <c r="N7568" t="n">
        <v>0</v>
      </c>
      <c r="O7568" t="n">
        <v>0</v>
      </c>
      <c r="P7568" t="n">
        <v>0</v>
      </c>
      <c r="Q7568" t="n">
        <v>0</v>
      </c>
      <c r="R7568" s="2" t="inlineStr"/>
    </row>
    <row r="7569" ht="15" customHeight="1">
      <c r="A7569" t="inlineStr">
        <is>
          <t>A 31023-2023</t>
        </is>
      </c>
      <c r="B7569" s="1" t="n">
        <v>45113</v>
      </c>
      <c r="C7569" s="1" t="n">
        <v>45587</v>
      </c>
      <c r="D7569" t="inlineStr">
        <is>
          <t>GÄVLEBORGS LÄN</t>
        </is>
      </c>
      <c r="E7569" t="inlineStr">
        <is>
          <t>OVANÅKER</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31129-2023</t>
        </is>
      </c>
      <c r="B7570" s="1" t="n">
        <v>45113</v>
      </c>
      <c r="C7570" s="1" t="n">
        <v>45587</v>
      </c>
      <c r="D7570" t="inlineStr">
        <is>
          <t>GÄVLEBORGS LÄN</t>
        </is>
      </c>
      <c r="E7570" t="inlineStr">
        <is>
          <t>LJUSDAL</t>
        </is>
      </c>
      <c r="F7570" t="inlineStr">
        <is>
          <t>Sveaskog</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30877-2023</t>
        </is>
      </c>
      <c r="B7571" s="1" t="n">
        <v>45113</v>
      </c>
      <c r="C7571" s="1" t="n">
        <v>45587</v>
      </c>
      <c r="D7571" t="inlineStr">
        <is>
          <t>GÄVLEBORGS LÄN</t>
        </is>
      </c>
      <c r="E7571" t="inlineStr">
        <is>
          <t>BOLLNÄS</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30881-2023</t>
        </is>
      </c>
      <c r="B7572" s="1" t="n">
        <v>45113</v>
      </c>
      <c r="C7572" s="1" t="n">
        <v>45587</v>
      </c>
      <c r="D7572" t="inlineStr">
        <is>
          <t>GÄVLEBORGS LÄN</t>
        </is>
      </c>
      <c r="E7572" t="inlineStr">
        <is>
          <t>BOLLNÄS</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30893-2023</t>
        </is>
      </c>
      <c r="B7573" s="1" t="n">
        <v>45113</v>
      </c>
      <c r="C7573" s="1" t="n">
        <v>45587</v>
      </c>
      <c r="D7573" t="inlineStr">
        <is>
          <t>GÄVLEBORGS LÄN</t>
        </is>
      </c>
      <c r="E7573" t="inlineStr">
        <is>
          <t>OVANÅKER</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30913-2023</t>
        </is>
      </c>
      <c r="B7574" s="1" t="n">
        <v>45113</v>
      </c>
      <c r="C7574" s="1" t="n">
        <v>45587</v>
      </c>
      <c r="D7574" t="inlineStr">
        <is>
          <t>GÄVLEBORGS LÄN</t>
        </is>
      </c>
      <c r="E7574" t="inlineStr">
        <is>
          <t>LJUSDAL</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30962-2023</t>
        </is>
      </c>
      <c r="B7575" s="1" t="n">
        <v>45113</v>
      </c>
      <c r="C7575" s="1" t="n">
        <v>45587</v>
      </c>
      <c r="D7575" t="inlineStr">
        <is>
          <t>GÄVLEBORGS LÄN</t>
        </is>
      </c>
      <c r="E7575" t="inlineStr">
        <is>
          <t>LJUSDAL</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30977-2023</t>
        </is>
      </c>
      <c r="B7576" s="1" t="n">
        <v>45113</v>
      </c>
      <c r="C7576" s="1" t="n">
        <v>45587</v>
      </c>
      <c r="D7576" t="inlineStr">
        <is>
          <t>GÄVLEBORGS LÄN</t>
        </is>
      </c>
      <c r="E7576" t="inlineStr">
        <is>
          <t>OVANÅKER</t>
        </is>
      </c>
      <c r="G7576" t="n">
        <v>14.8</v>
      </c>
      <c r="H7576" t="n">
        <v>0</v>
      </c>
      <c r="I7576" t="n">
        <v>0</v>
      </c>
      <c r="J7576" t="n">
        <v>0</v>
      </c>
      <c r="K7576" t="n">
        <v>0</v>
      </c>
      <c r="L7576" t="n">
        <v>0</v>
      </c>
      <c r="M7576" t="n">
        <v>0</v>
      </c>
      <c r="N7576" t="n">
        <v>0</v>
      </c>
      <c r="O7576" t="n">
        <v>0</v>
      </c>
      <c r="P7576" t="n">
        <v>0</v>
      </c>
      <c r="Q7576" t="n">
        <v>0</v>
      </c>
      <c r="R7576" s="2" t="inlineStr"/>
    </row>
    <row r="7577" ht="15" customHeight="1">
      <c r="A7577" t="inlineStr">
        <is>
          <t>A 31058-2023</t>
        </is>
      </c>
      <c r="B7577" s="1" t="n">
        <v>45113</v>
      </c>
      <c r="C7577" s="1" t="n">
        <v>45587</v>
      </c>
      <c r="D7577" t="inlineStr">
        <is>
          <t>GÄVLEBORGS LÄN</t>
        </is>
      </c>
      <c r="E7577" t="inlineStr">
        <is>
          <t>BOLLNÄS</t>
        </is>
      </c>
      <c r="F7577" t="inlineStr">
        <is>
          <t>Bergvik skog väst AB</t>
        </is>
      </c>
      <c r="G7577" t="n">
        <v>8.1</v>
      </c>
      <c r="H7577" t="n">
        <v>0</v>
      </c>
      <c r="I7577" t="n">
        <v>0</v>
      </c>
      <c r="J7577" t="n">
        <v>0</v>
      </c>
      <c r="K7577" t="n">
        <v>0</v>
      </c>
      <c r="L7577" t="n">
        <v>0</v>
      </c>
      <c r="M7577" t="n">
        <v>0</v>
      </c>
      <c r="N7577" t="n">
        <v>0</v>
      </c>
      <c r="O7577" t="n">
        <v>0</v>
      </c>
      <c r="P7577" t="n">
        <v>0</v>
      </c>
      <c r="Q7577" t="n">
        <v>0</v>
      </c>
      <c r="R7577" s="2" t="inlineStr"/>
    </row>
    <row r="7578" ht="15" customHeight="1">
      <c r="A7578" t="inlineStr">
        <is>
          <t>A 31062-2023</t>
        </is>
      </c>
      <c r="B7578" s="1" t="n">
        <v>45113</v>
      </c>
      <c r="C7578" s="1" t="n">
        <v>45587</v>
      </c>
      <c r="D7578" t="inlineStr">
        <is>
          <t>GÄVLEBORGS LÄN</t>
        </is>
      </c>
      <c r="E7578" t="inlineStr">
        <is>
          <t>GÄVLE</t>
        </is>
      </c>
      <c r="F7578" t="inlineStr">
        <is>
          <t>Kommuner</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31005-2023</t>
        </is>
      </c>
      <c r="B7579" s="1" t="n">
        <v>45113</v>
      </c>
      <c r="C7579" s="1" t="n">
        <v>45587</v>
      </c>
      <c r="D7579" t="inlineStr">
        <is>
          <t>GÄVLEBORGS LÄN</t>
        </is>
      </c>
      <c r="E7579" t="inlineStr">
        <is>
          <t>OVANÅKER</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31176-2023</t>
        </is>
      </c>
      <c r="B7580" s="1" t="n">
        <v>45113</v>
      </c>
      <c r="C7580" s="1" t="n">
        <v>45587</v>
      </c>
      <c r="D7580" t="inlineStr">
        <is>
          <t>GÄVLEBORGS LÄN</t>
        </is>
      </c>
      <c r="E7580" t="inlineStr">
        <is>
          <t>SÖDERHAMN</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31303-2023</t>
        </is>
      </c>
      <c r="B7581" s="1" t="n">
        <v>45114</v>
      </c>
      <c r="C7581" s="1" t="n">
        <v>45587</v>
      </c>
      <c r="D7581" t="inlineStr">
        <is>
          <t>GÄVLEBORGS LÄN</t>
        </is>
      </c>
      <c r="E7581" t="inlineStr">
        <is>
          <t>OCKELBO</t>
        </is>
      </c>
      <c r="F7581" t="inlineStr">
        <is>
          <t>Bergvik skog väst AB</t>
        </is>
      </c>
      <c r="G7581" t="n">
        <v>9.699999999999999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31323-2023</t>
        </is>
      </c>
      <c r="B7582" s="1" t="n">
        <v>45114</v>
      </c>
      <c r="C7582" s="1" t="n">
        <v>45587</v>
      </c>
      <c r="D7582" t="inlineStr">
        <is>
          <t>GÄVLEBORGS LÄN</t>
        </is>
      </c>
      <c r="E7582" t="inlineStr">
        <is>
          <t>OCKELBO</t>
        </is>
      </c>
      <c r="F7582" t="inlineStr">
        <is>
          <t>Bergvik skog väst AB</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31416-2023</t>
        </is>
      </c>
      <c r="B7583" s="1" t="n">
        <v>45114</v>
      </c>
      <c r="C7583" s="1" t="n">
        <v>45587</v>
      </c>
      <c r="D7583" t="inlineStr">
        <is>
          <t>GÄVLEBORGS LÄN</t>
        </is>
      </c>
      <c r="E7583" t="inlineStr">
        <is>
          <t>OCKELBO</t>
        </is>
      </c>
      <c r="F7583" t="inlineStr">
        <is>
          <t>Bergvik skog väst AB</t>
        </is>
      </c>
      <c r="G7583" t="n">
        <v>4.4</v>
      </c>
      <c r="H7583" t="n">
        <v>0</v>
      </c>
      <c r="I7583" t="n">
        <v>0</v>
      </c>
      <c r="J7583" t="n">
        <v>0</v>
      </c>
      <c r="K7583" t="n">
        <v>0</v>
      </c>
      <c r="L7583" t="n">
        <v>0</v>
      </c>
      <c r="M7583" t="n">
        <v>0</v>
      </c>
      <c r="N7583" t="n">
        <v>0</v>
      </c>
      <c r="O7583" t="n">
        <v>0</v>
      </c>
      <c r="P7583" t="n">
        <v>0</v>
      </c>
      <c r="Q7583" t="n">
        <v>0</v>
      </c>
      <c r="R7583" s="2" t="inlineStr"/>
    </row>
    <row r="7584" ht="15" customHeight="1">
      <c r="A7584" t="inlineStr">
        <is>
          <t>A 31443-2023</t>
        </is>
      </c>
      <c r="B7584" s="1" t="n">
        <v>45114</v>
      </c>
      <c r="C7584" s="1" t="n">
        <v>45587</v>
      </c>
      <c r="D7584" t="inlineStr">
        <is>
          <t>GÄVLEBORGS LÄN</t>
        </is>
      </c>
      <c r="E7584" t="inlineStr">
        <is>
          <t>BOLLNÄS</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31406-2023</t>
        </is>
      </c>
      <c r="B7585" s="1" t="n">
        <v>45114</v>
      </c>
      <c r="C7585" s="1" t="n">
        <v>45587</v>
      </c>
      <c r="D7585" t="inlineStr">
        <is>
          <t>GÄVLEBORGS LÄN</t>
        </is>
      </c>
      <c r="E7585" t="inlineStr">
        <is>
          <t>OVANÅKER</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31376-2023</t>
        </is>
      </c>
      <c r="B7586" s="1" t="n">
        <v>45114</v>
      </c>
      <c r="C7586" s="1" t="n">
        <v>45587</v>
      </c>
      <c r="D7586" t="inlineStr">
        <is>
          <t>GÄVLEBORGS LÄN</t>
        </is>
      </c>
      <c r="E7586" t="inlineStr">
        <is>
          <t>OVANÅKER</t>
        </is>
      </c>
      <c r="F7586" t="inlineStr">
        <is>
          <t>Bergvik skog öst AB</t>
        </is>
      </c>
      <c r="G7586" t="n">
        <v>20.4</v>
      </c>
      <c r="H7586" t="n">
        <v>0</v>
      </c>
      <c r="I7586" t="n">
        <v>0</v>
      </c>
      <c r="J7586" t="n">
        <v>0</v>
      </c>
      <c r="K7586" t="n">
        <v>0</v>
      </c>
      <c r="L7586" t="n">
        <v>0</v>
      </c>
      <c r="M7586" t="n">
        <v>0</v>
      </c>
      <c r="N7586" t="n">
        <v>0</v>
      </c>
      <c r="O7586" t="n">
        <v>0</v>
      </c>
      <c r="P7586" t="n">
        <v>0</v>
      </c>
      <c r="Q7586" t="n">
        <v>0</v>
      </c>
      <c r="R7586" s="2" t="inlineStr"/>
    </row>
    <row r="7587" ht="15" customHeight="1">
      <c r="A7587" t="inlineStr">
        <is>
          <t>A 31396-2023</t>
        </is>
      </c>
      <c r="B7587" s="1" t="n">
        <v>45114</v>
      </c>
      <c r="C7587" s="1" t="n">
        <v>45587</v>
      </c>
      <c r="D7587" t="inlineStr">
        <is>
          <t>GÄVLEBORGS LÄN</t>
        </is>
      </c>
      <c r="E7587" t="inlineStr">
        <is>
          <t>OVANÅKER</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31400-2023</t>
        </is>
      </c>
      <c r="B7588" s="1" t="n">
        <v>45114</v>
      </c>
      <c r="C7588" s="1" t="n">
        <v>45587</v>
      </c>
      <c r="D7588" t="inlineStr">
        <is>
          <t>GÄVLEBORGS LÄN</t>
        </is>
      </c>
      <c r="E7588" t="inlineStr">
        <is>
          <t>OCKELBO</t>
        </is>
      </c>
      <c r="F7588" t="inlineStr">
        <is>
          <t>Bergvik skog väst AB</t>
        </is>
      </c>
      <c r="G7588" t="n">
        <v>5.1</v>
      </c>
      <c r="H7588" t="n">
        <v>0</v>
      </c>
      <c r="I7588" t="n">
        <v>0</v>
      </c>
      <c r="J7588" t="n">
        <v>0</v>
      </c>
      <c r="K7588" t="n">
        <v>0</v>
      </c>
      <c r="L7588" t="n">
        <v>0</v>
      </c>
      <c r="M7588" t="n">
        <v>0</v>
      </c>
      <c r="N7588" t="n">
        <v>0</v>
      </c>
      <c r="O7588" t="n">
        <v>0</v>
      </c>
      <c r="P7588" t="n">
        <v>0</v>
      </c>
      <c r="Q7588" t="n">
        <v>0</v>
      </c>
      <c r="R7588" s="2" t="inlineStr"/>
    </row>
    <row r="7589" ht="15" customHeight="1">
      <c r="A7589" t="inlineStr">
        <is>
          <t>A 31248-2023</t>
        </is>
      </c>
      <c r="B7589" s="1" t="n">
        <v>45114</v>
      </c>
      <c r="C7589" s="1" t="n">
        <v>45587</v>
      </c>
      <c r="D7589" t="inlineStr">
        <is>
          <t>GÄVLEBORGS LÄN</t>
        </is>
      </c>
      <c r="E7589" t="inlineStr">
        <is>
          <t>LJUSDAL</t>
        </is>
      </c>
      <c r="F7589" t="inlineStr">
        <is>
          <t>Sveaskog</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31293-2023</t>
        </is>
      </c>
      <c r="B7590" s="1" t="n">
        <v>45114</v>
      </c>
      <c r="C7590" s="1" t="n">
        <v>45587</v>
      </c>
      <c r="D7590" t="inlineStr">
        <is>
          <t>GÄVLEBORGS LÄN</t>
        </is>
      </c>
      <c r="E7590" t="inlineStr">
        <is>
          <t>SANDVIKEN</t>
        </is>
      </c>
      <c r="F7590" t="inlineStr">
        <is>
          <t>Bergvik skog öst AB</t>
        </is>
      </c>
      <c r="G7590" t="n">
        <v>18.1</v>
      </c>
      <c r="H7590" t="n">
        <v>0</v>
      </c>
      <c r="I7590" t="n">
        <v>0</v>
      </c>
      <c r="J7590" t="n">
        <v>0</v>
      </c>
      <c r="K7590" t="n">
        <v>0</v>
      </c>
      <c r="L7590" t="n">
        <v>0</v>
      </c>
      <c r="M7590" t="n">
        <v>0</v>
      </c>
      <c r="N7590" t="n">
        <v>0</v>
      </c>
      <c r="O7590" t="n">
        <v>0</v>
      </c>
      <c r="P7590" t="n">
        <v>0</v>
      </c>
      <c r="Q7590" t="n">
        <v>0</v>
      </c>
      <c r="R7590" s="2" t="inlineStr"/>
    </row>
    <row r="7591" ht="15" customHeight="1">
      <c r="A7591" t="inlineStr">
        <is>
          <t>A 31385-2023</t>
        </is>
      </c>
      <c r="B7591" s="1" t="n">
        <v>45114</v>
      </c>
      <c r="C7591" s="1" t="n">
        <v>45587</v>
      </c>
      <c r="D7591" t="inlineStr">
        <is>
          <t>GÄVLEBORGS LÄN</t>
        </is>
      </c>
      <c r="E7591" t="inlineStr">
        <is>
          <t>BOLLNÄS</t>
        </is>
      </c>
      <c r="G7591" t="n">
        <v>6.9</v>
      </c>
      <c r="H7591" t="n">
        <v>0</v>
      </c>
      <c r="I7591" t="n">
        <v>0</v>
      </c>
      <c r="J7591" t="n">
        <v>0</v>
      </c>
      <c r="K7591" t="n">
        <v>0</v>
      </c>
      <c r="L7591" t="n">
        <v>0</v>
      </c>
      <c r="M7591" t="n">
        <v>0</v>
      </c>
      <c r="N7591" t="n">
        <v>0</v>
      </c>
      <c r="O7591" t="n">
        <v>0</v>
      </c>
      <c r="P7591" t="n">
        <v>0</v>
      </c>
      <c r="Q7591" t="n">
        <v>0</v>
      </c>
      <c r="R7591" s="2" t="inlineStr"/>
    </row>
    <row r="7592" ht="15" customHeight="1">
      <c r="A7592" t="inlineStr">
        <is>
          <t>A 31404-2023</t>
        </is>
      </c>
      <c r="B7592" s="1" t="n">
        <v>45114</v>
      </c>
      <c r="C7592" s="1" t="n">
        <v>45587</v>
      </c>
      <c r="D7592" t="inlineStr">
        <is>
          <t>GÄVLEBORGS LÄN</t>
        </is>
      </c>
      <c r="E7592" t="inlineStr">
        <is>
          <t>OVANÅKER</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31440-2023</t>
        </is>
      </c>
      <c r="B7593" s="1" t="n">
        <v>45114</v>
      </c>
      <c r="C7593" s="1" t="n">
        <v>45587</v>
      </c>
      <c r="D7593" t="inlineStr">
        <is>
          <t>GÄVLEBORGS LÄN</t>
        </is>
      </c>
      <c r="E7593" t="inlineStr">
        <is>
          <t>BOLLNÄS</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31607-2023</t>
        </is>
      </c>
      <c r="B7594" s="1" t="n">
        <v>45117</v>
      </c>
      <c r="C7594" s="1" t="n">
        <v>45587</v>
      </c>
      <c r="D7594" t="inlineStr">
        <is>
          <t>GÄVLEBORGS LÄN</t>
        </is>
      </c>
      <c r="E7594" t="inlineStr">
        <is>
          <t>HOFORS</t>
        </is>
      </c>
      <c r="G7594" t="n">
        <v>3.8</v>
      </c>
      <c r="H7594" t="n">
        <v>0</v>
      </c>
      <c r="I7594" t="n">
        <v>0</v>
      </c>
      <c r="J7594" t="n">
        <v>0</v>
      </c>
      <c r="K7594" t="n">
        <v>0</v>
      </c>
      <c r="L7594" t="n">
        <v>0</v>
      </c>
      <c r="M7594" t="n">
        <v>0</v>
      </c>
      <c r="N7594" t="n">
        <v>0</v>
      </c>
      <c r="O7594" t="n">
        <v>0</v>
      </c>
      <c r="P7594" t="n">
        <v>0</v>
      </c>
      <c r="Q7594" t="n">
        <v>0</v>
      </c>
      <c r="R7594" s="2" t="inlineStr"/>
    </row>
    <row r="7595" ht="15" customHeight="1">
      <c r="A7595" t="inlineStr">
        <is>
          <t>A 31611-2023</t>
        </is>
      </c>
      <c r="B7595" s="1" t="n">
        <v>45117</v>
      </c>
      <c r="C7595" s="1" t="n">
        <v>45587</v>
      </c>
      <c r="D7595" t="inlineStr">
        <is>
          <t>GÄVLEBORGS LÄN</t>
        </is>
      </c>
      <c r="E7595" t="inlineStr">
        <is>
          <t>HOFORS</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31544-2023</t>
        </is>
      </c>
      <c r="B7596" s="1" t="n">
        <v>45117</v>
      </c>
      <c r="C7596" s="1" t="n">
        <v>45587</v>
      </c>
      <c r="D7596" t="inlineStr">
        <is>
          <t>GÄVLEBORGS LÄN</t>
        </is>
      </c>
      <c r="E7596" t="inlineStr">
        <is>
          <t>GÄVLE</t>
        </is>
      </c>
      <c r="F7596" t="inlineStr">
        <is>
          <t>Bergvik skog väst AB</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31723-2023</t>
        </is>
      </c>
      <c r="B7597" s="1" t="n">
        <v>45117</v>
      </c>
      <c r="C7597" s="1" t="n">
        <v>45587</v>
      </c>
      <c r="D7597" t="inlineStr">
        <is>
          <t>GÄVLEBORGS LÄN</t>
        </is>
      </c>
      <c r="E7597" t="inlineStr">
        <is>
          <t>OVANÅKER</t>
        </is>
      </c>
      <c r="G7597" t="n">
        <v>5.5</v>
      </c>
      <c r="H7597" t="n">
        <v>0</v>
      </c>
      <c r="I7597" t="n">
        <v>0</v>
      </c>
      <c r="J7597" t="n">
        <v>0</v>
      </c>
      <c r="K7597" t="n">
        <v>0</v>
      </c>
      <c r="L7597" t="n">
        <v>0</v>
      </c>
      <c r="M7597" t="n">
        <v>0</v>
      </c>
      <c r="N7597" t="n">
        <v>0</v>
      </c>
      <c r="O7597" t="n">
        <v>0</v>
      </c>
      <c r="P7597" t="n">
        <v>0</v>
      </c>
      <c r="Q7597" t="n">
        <v>0</v>
      </c>
      <c r="R7597" s="2" t="inlineStr"/>
    </row>
    <row r="7598" ht="15" customHeight="1">
      <c r="A7598" t="inlineStr">
        <is>
          <t>A 31613-2023</t>
        </is>
      </c>
      <c r="B7598" s="1" t="n">
        <v>45117</v>
      </c>
      <c r="C7598" s="1" t="n">
        <v>45587</v>
      </c>
      <c r="D7598" t="inlineStr">
        <is>
          <t>GÄVLEBORGS LÄN</t>
        </is>
      </c>
      <c r="E7598" t="inlineStr">
        <is>
          <t>HOFORS</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31725-2023</t>
        </is>
      </c>
      <c r="B7599" s="1" t="n">
        <v>45118</v>
      </c>
      <c r="C7599" s="1" t="n">
        <v>45587</v>
      </c>
      <c r="D7599" t="inlineStr">
        <is>
          <t>GÄVLEBORGS LÄN</t>
        </is>
      </c>
      <c r="E7599" t="inlineStr">
        <is>
          <t>OVANÅKER</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31638-2023</t>
        </is>
      </c>
      <c r="B7600" s="1" t="n">
        <v>45117</v>
      </c>
      <c r="C7600" s="1" t="n">
        <v>45587</v>
      </c>
      <c r="D7600" t="inlineStr">
        <is>
          <t>GÄVLEBORGS LÄN</t>
        </is>
      </c>
      <c r="E7600" t="inlineStr">
        <is>
          <t>BOLLNÄS</t>
        </is>
      </c>
      <c r="G7600" t="n">
        <v>18.1</v>
      </c>
      <c r="H7600" t="n">
        <v>0</v>
      </c>
      <c r="I7600" t="n">
        <v>0</v>
      </c>
      <c r="J7600" t="n">
        <v>0</v>
      </c>
      <c r="K7600" t="n">
        <v>0</v>
      </c>
      <c r="L7600" t="n">
        <v>0</v>
      </c>
      <c r="M7600" t="n">
        <v>0</v>
      </c>
      <c r="N7600" t="n">
        <v>0</v>
      </c>
      <c r="O7600" t="n">
        <v>0</v>
      </c>
      <c r="P7600" t="n">
        <v>0</v>
      </c>
      <c r="Q7600" t="n">
        <v>0</v>
      </c>
      <c r="R7600" s="2" t="inlineStr"/>
    </row>
    <row r="7601" ht="15" customHeight="1">
      <c r="A7601" t="inlineStr">
        <is>
          <t>A 33410-2023</t>
        </is>
      </c>
      <c r="B7601" s="1" t="n">
        <v>45117</v>
      </c>
      <c r="C7601" s="1" t="n">
        <v>45587</v>
      </c>
      <c r="D7601" t="inlineStr">
        <is>
          <t>GÄVLEBORGS LÄN</t>
        </is>
      </c>
      <c r="E7601" t="inlineStr">
        <is>
          <t>OVANÅKER</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33411-2023</t>
        </is>
      </c>
      <c r="B7602" s="1" t="n">
        <v>45117</v>
      </c>
      <c r="C7602" s="1" t="n">
        <v>45587</v>
      </c>
      <c r="D7602" t="inlineStr">
        <is>
          <t>GÄVLEBORGS LÄN</t>
        </is>
      </c>
      <c r="E7602" t="inlineStr">
        <is>
          <t>OVANÅKER</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31823-2023</t>
        </is>
      </c>
      <c r="B7603" s="1" t="n">
        <v>45118</v>
      </c>
      <c r="C7603" s="1" t="n">
        <v>45587</v>
      </c>
      <c r="D7603" t="inlineStr">
        <is>
          <t>GÄVLEBORGS LÄN</t>
        </is>
      </c>
      <c r="E7603" t="inlineStr">
        <is>
          <t>HOFORS</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31876-2023</t>
        </is>
      </c>
      <c r="B7604" s="1" t="n">
        <v>45118</v>
      </c>
      <c r="C7604" s="1" t="n">
        <v>45587</v>
      </c>
      <c r="D7604" t="inlineStr">
        <is>
          <t>GÄVLEBORGS LÄN</t>
        </is>
      </c>
      <c r="E7604" t="inlineStr">
        <is>
          <t>HUDIKSVALL</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31892-2023</t>
        </is>
      </c>
      <c r="B7605" s="1" t="n">
        <v>45118</v>
      </c>
      <c r="C7605" s="1" t="n">
        <v>45587</v>
      </c>
      <c r="D7605" t="inlineStr">
        <is>
          <t>GÄVLEBORGS LÄN</t>
        </is>
      </c>
      <c r="E7605" t="inlineStr">
        <is>
          <t>LJUSDAL</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31830-2023</t>
        </is>
      </c>
      <c r="B7606" s="1" t="n">
        <v>45118</v>
      </c>
      <c r="C7606" s="1" t="n">
        <v>45587</v>
      </c>
      <c r="D7606" t="inlineStr">
        <is>
          <t>GÄVLEBORGS LÄN</t>
        </is>
      </c>
      <c r="E7606" t="inlineStr">
        <is>
          <t>HUDIKSVALL</t>
        </is>
      </c>
      <c r="G7606" t="n">
        <v>6.9</v>
      </c>
      <c r="H7606" t="n">
        <v>0</v>
      </c>
      <c r="I7606" t="n">
        <v>0</v>
      </c>
      <c r="J7606" t="n">
        <v>0</v>
      </c>
      <c r="K7606" t="n">
        <v>0</v>
      </c>
      <c r="L7606" t="n">
        <v>0</v>
      </c>
      <c r="M7606" t="n">
        <v>0</v>
      </c>
      <c r="N7606" t="n">
        <v>0</v>
      </c>
      <c r="O7606" t="n">
        <v>0</v>
      </c>
      <c r="P7606" t="n">
        <v>0</v>
      </c>
      <c r="Q7606" t="n">
        <v>0</v>
      </c>
      <c r="R7606" s="2" t="inlineStr"/>
    </row>
    <row r="7607" ht="15" customHeight="1">
      <c r="A7607" t="inlineStr">
        <is>
          <t>A 31871-2023</t>
        </is>
      </c>
      <c r="B7607" s="1" t="n">
        <v>45118</v>
      </c>
      <c r="C7607" s="1" t="n">
        <v>45587</v>
      </c>
      <c r="D7607" t="inlineStr">
        <is>
          <t>GÄVLEBORGS LÄN</t>
        </is>
      </c>
      <c r="E7607" t="inlineStr">
        <is>
          <t>HOFORS</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31875-2023</t>
        </is>
      </c>
      <c r="B7608" s="1" t="n">
        <v>45118</v>
      </c>
      <c r="C7608" s="1" t="n">
        <v>45587</v>
      </c>
      <c r="D7608" t="inlineStr">
        <is>
          <t>GÄVLEBORGS LÄN</t>
        </is>
      </c>
      <c r="E7608" t="inlineStr">
        <is>
          <t>OVANÅKER</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31890-2023</t>
        </is>
      </c>
      <c r="B7609" s="1" t="n">
        <v>45118</v>
      </c>
      <c r="C7609" s="1" t="n">
        <v>45587</v>
      </c>
      <c r="D7609" t="inlineStr">
        <is>
          <t>GÄVLEBORGS LÄN</t>
        </is>
      </c>
      <c r="E7609" t="inlineStr">
        <is>
          <t>LJUSDAL</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33485-2023</t>
        </is>
      </c>
      <c r="B7610" s="1" t="n">
        <v>45118</v>
      </c>
      <c r="C7610" s="1" t="n">
        <v>45587</v>
      </c>
      <c r="D7610" t="inlineStr">
        <is>
          <t>GÄVLEBORGS LÄN</t>
        </is>
      </c>
      <c r="E7610" t="inlineStr">
        <is>
          <t>HOFORS</t>
        </is>
      </c>
      <c r="F7610" t="inlineStr">
        <is>
          <t>Bergvik skog väst AB</t>
        </is>
      </c>
      <c r="G7610" t="n">
        <v>3.9</v>
      </c>
      <c r="H7610" t="n">
        <v>0</v>
      </c>
      <c r="I7610" t="n">
        <v>0</v>
      </c>
      <c r="J7610" t="n">
        <v>0</v>
      </c>
      <c r="K7610" t="n">
        <v>0</v>
      </c>
      <c r="L7610" t="n">
        <v>0</v>
      </c>
      <c r="M7610" t="n">
        <v>0</v>
      </c>
      <c r="N7610" t="n">
        <v>0</v>
      </c>
      <c r="O7610" t="n">
        <v>0</v>
      </c>
      <c r="P7610" t="n">
        <v>0</v>
      </c>
      <c r="Q7610" t="n">
        <v>0</v>
      </c>
      <c r="R7610" s="2" t="inlineStr"/>
    </row>
    <row r="7611" ht="15" customHeight="1">
      <c r="A7611" t="inlineStr">
        <is>
          <t>A 33483-2023</t>
        </is>
      </c>
      <c r="B7611" s="1" t="n">
        <v>45118</v>
      </c>
      <c r="C7611" s="1" t="n">
        <v>45587</v>
      </c>
      <c r="D7611" t="inlineStr">
        <is>
          <t>GÄVLEBORGS LÄN</t>
        </is>
      </c>
      <c r="E7611" t="inlineStr">
        <is>
          <t>HOFORS</t>
        </is>
      </c>
      <c r="F7611" t="inlineStr">
        <is>
          <t>Bergvik skog väst AB</t>
        </is>
      </c>
      <c r="G7611" t="n">
        <v>6.7</v>
      </c>
      <c r="H7611" t="n">
        <v>0</v>
      </c>
      <c r="I7611" t="n">
        <v>0</v>
      </c>
      <c r="J7611" t="n">
        <v>0</v>
      </c>
      <c r="K7611" t="n">
        <v>0</v>
      </c>
      <c r="L7611" t="n">
        <v>0</v>
      </c>
      <c r="M7611" t="n">
        <v>0</v>
      </c>
      <c r="N7611" t="n">
        <v>0</v>
      </c>
      <c r="O7611" t="n">
        <v>0</v>
      </c>
      <c r="P7611" t="n">
        <v>0</v>
      </c>
      <c r="Q7611" t="n">
        <v>0</v>
      </c>
      <c r="R7611" s="2" t="inlineStr"/>
    </row>
    <row r="7612" ht="15" customHeight="1">
      <c r="A7612" t="inlineStr">
        <is>
          <t>A 33495-2023</t>
        </is>
      </c>
      <c r="B7612" s="1" t="n">
        <v>45118</v>
      </c>
      <c r="C7612" s="1" t="n">
        <v>45587</v>
      </c>
      <c r="D7612" t="inlineStr">
        <is>
          <t>GÄVLEBORGS LÄN</t>
        </is>
      </c>
      <c r="E7612" t="inlineStr">
        <is>
          <t>HOFORS</t>
        </is>
      </c>
      <c r="F7612" t="inlineStr">
        <is>
          <t>Bergvik skog väst AB</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31982-2023</t>
        </is>
      </c>
      <c r="B7613" s="1" t="n">
        <v>45119</v>
      </c>
      <c r="C7613" s="1" t="n">
        <v>45587</v>
      </c>
      <c r="D7613" t="inlineStr">
        <is>
          <t>GÄVLEBORGS LÄN</t>
        </is>
      </c>
      <c r="E7613" t="inlineStr">
        <is>
          <t>HUDIKSVALL</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31992-2023</t>
        </is>
      </c>
      <c r="B7614" s="1" t="n">
        <v>45119</v>
      </c>
      <c r="C7614" s="1" t="n">
        <v>45587</v>
      </c>
      <c r="D7614" t="inlineStr">
        <is>
          <t>GÄVLEBORGS LÄN</t>
        </is>
      </c>
      <c r="E7614" t="inlineStr">
        <is>
          <t>LJUSDAL</t>
        </is>
      </c>
      <c r="F7614" t="inlineStr">
        <is>
          <t>Bergvik skog väst AB</t>
        </is>
      </c>
      <c r="G7614" t="n">
        <v>14.2</v>
      </c>
      <c r="H7614" t="n">
        <v>0</v>
      </c>
      <c r="I7614" t="n">
        <v>0</v>
      </c>
      <c r="J7614" t="n">
        <v>0</v>
      </c>
      <c r="K7614" t="n">
        <v>0</v>
      </c>
      <c r="L7614" t="n">
        <v>0</v>
      </c>
      <c r="M7614" t="n">
        <v>0</v>
      </c>
      <c r="N7614" t="n">
        <v>0</v>
      </c>
      <c r="O7614" t="n">
        <v>0</v>
      </c>
      <c r="P7614" t="n">
        <v>0</v>
      </c>
      <c r="Q7614" t="n">
        <v>0</v>
      </c>
      <c r="R7614" s="2" t="inlineStr"/>
    </row>
    <row r="7615" ht="15" customHeight="1">
      <c r="A7615" t="inlineStr">
        <is>
          <t>A 31976-2023</t>
        </is>
      </c>
      <c r="B7615" s="1" t="n">
        <v>45119</v>
      </c>
      <c r="C7615" s="1" t="n">
        <v>45587</v>
      </c>
      <c r="D7615" t="inlineStr">
        <is>
          <t>GÄVLEBORGS LÄN</t>
        </is>
      </c>
      <c r="E7615" t="inlineStr">
        <is>
          <t>LJUSDAL</t>
        </is>
      </c>
      <c r="F7615" t="inlineStr">
        <is>
          <t>Bergvik skog väst AB</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31990-2023</t>
        </is>
      </c>
      <c r="B7616" s="1" t="n">
        <v>45119</v>
      </c>
      <c r="C7616" s="1" t="n">
        <v>45587</v>
      </c>
      <c r="D7616" t="inlineStr">
        <is>
          <t>GÄVLEBORGS LÄN</t>
        </is>
      </c>
      <c r="E7616" t="inlineStr">
        <is>
          <t>HUDIKSVALL</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32098-2023</t>
        </is>
      </c>
      <c r="B7617" s="1" t="n">
        <v>45119</v>
      </c>
      <c r="C7617" s="1" t="n">
        <v>45587</v>
      </c>
      <c r="D7617" t="inlineStr">
        <is>
          <t>GÄVLEBORGS LÄN</t>
        </is>
      </c>
      <c r="E7617" t="inlineStr">
        <is>
          <t>LJUSDAL</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32062-2023</t>
        </is>
      </c>
      <c r="B7618" s="1" t="n">
        <v>45119</v>
      </c>
      <c r="C7618" s="1" t="n">
        <v>45587</v>
      </c>
      <c r="D7618" t="inlineStr">
        <is>
          <t>GÄVLEBORGS LÄN</t>
        </is>
      </c>
      <c r="E7618" t="inlineStr">
        <is>
          <t>BOLLNÄS</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32148-2023</t>
        </is>
      </c>
      <c r="B7619" s="1" t="n">
        <v>45119</v>
      </c>
      <c r="C7619" s="1" t="n">
        <v>45587</v>
      </c>
      <c r="D7619" t="inlineStr">
        <is>
          <t>GÄVLEBORGS LÄN</t>
        </is>
      </c>
      <c r="E7619" t="inlineStr">
        <is>
          <t>LJUSDAL</t>
        </is>
      </c>
      <c r="F7619" t="inlineStr">
        <is>
          <t>Bergvik skog väst AB</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31999-2023</t>
        </is>
      </c>
      <c r="B7620" s="1" t="n">
        <v>45119</v>
      </c>
      <c r="C7620" s="1" t="n">
        <v>45587</v>
      </c>
      <c r="D7620" t="inlineStr">
        <is>
          <t>GÄVLEBORGS LÄN</t>
        </is>
      </c>
      <c r="E7620" t="inlineStr">
        <is>
          <t>HUDIKSVALL</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32005-2023</t>
        </is>
      </c>
      <c r="B7621" s="1" t="n">
        <v>45119</v>
      </c>
      <c r="C7621" s="1" t="n">
        <v>45587</v>
      </c>
      <c r="D7621" t="inlineStr">
        <is>
          <t>GÄVLEBORGS LÄN</t>
        </is>
      </c>
      <c r="E7621" t="inlineStr">
        <is>
          <t>LJUSDAL</t>
        </is>
      </c>
      <c r="F7621" t="inlineStr">
        <is>
          <t>Bergvik skog väst AB</t>
        </is>
      </c>
      <c r="G7621" t="n">
        <v>17.7</v>
      </c>
      <c r="H7621" t="n">
        <v>0</v>
      </c>
      <c r="I7621" t="n">
        <v>0</v>
      </c>
      <c r="J7621" t="n">
        <v>0</v>
      </c>
      <c r="K7621" t="n">
        <v>0</v>
      </c>
      <c r="L7621" t="n">
        <v>0</v>
      </c>
      <c r="M7621" t="n">
        <v>0</v>
      </c>
      <c r="N7621" t="n">
        <v>0</v>
      </c>
      <c r="O7621" t="n">
        <v>0</v>
      </c>
      <c r="P7621" t="n">
        <v>0</v>
      </c>
      <c r="Q7621" t="n">
        <v>0</v>
      </c>
      <c r="R7621" s="2" t="inlineStr"/>
    </row>
    <row r="7622" ht="15" customHeight="1">
      <c r="A7622" t="inlineStr">
        <is>
          <t>A 32028-2023</t>
        </is>
      </c>
      <c r="B7622" s="1" t="n">
        <v>45119</v>
      </c>
      <c r="C7622" s="1" t="n">
        <v>45587</v>
      </c>
      <c r="D7622" t="inlineStr">
        <is>
          <t>GÄVLEBORGS LÄN</t>
        </is>
      </c>
      <c r="E7622" t="inlineStr">
        <is>
          <t>SANDVIKEN</t>
        </is>
      </c>
      <c r="F7622" t="inlineStr">
        <is>
          <t>Bergvik skog öst AB</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32056-2023</t>
        </is>
      </c>
      <c r="B7623" s="1" t="n">
        <v>45119</v>
      </c>
      <c r="C7623" s="1" t="n">
        <v>45587</v>
      </c>
      <c r="D7623" t="inlineStr">
        <is>
          <t>GÄVLEBORGS LÄN</t>
        </is>
      </c>
      <c r="E7623" t="inlineStr">
        <is>
          <t>BOLLNÄS</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32151-2023</t>
        </is>
      </c>
      <c r="B7624" s="1" t="n">
        <v>45119</v>
      </c>
      <c r="C7624" s="1" t="n">
        <v>45587</v>
      </c>
      <c r="D7624" t="inlineStr">
        <is>
          <t>GÄVLEBORGS LÄN</t>
        </is>
      </c>
      <c r="E7624" t="inlineStr">
        <is>
          <t>LJUSDAL</t>
        </is>
      </c>
      <c r="F7624" t="inlineStr">
        <is>
          <t>Bergvik skog väst AB</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32017-2023</t>
        </is>
      </c>
      <c r="B7625" s="1" t="n">
        <v>45119</v>
      </c>
      <c r="C7625" s="1" t="n">
        <v>45587</v>
      </c>
      <c r="D7625" t="inlineStr">
        <is>
          <t>GÄVLEBORGS LÄN</t>
        </is>
      </c>
      <c r="E7625" t="inlineStr">
        <is>
          <t>LJUSDAL</t>
        </is>
      </c>
      <c r="F7625" t="inlineStr">
        <is>
          <t>Bergvik skog väst AB</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32130-2023</t>
        </is>
      </c>
      <c r="B7626" s="1" t="n">
        <v>45119</v>
      </c>
      <c r="C7626" s="1" t="n">
        <v>45587</v>
      </c>
      <c r="D7626" t="inlineStr">
        <is>
          <t>GÄVLEBORGS LÄN</t>
        </is>
      </c>
      <c r="E7626" t="inlineStr">
        <is>
          <t>LJUSDAL</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32150-2023</t>
        </is>
      </c>
      <c r="B7627" s="1" t="n">
        <v>45119</v>
      </c>
      <c r="C7627" s="1" t="n">
        <v>45587</v>
      </c>
      <c r="D7627" t="inlineStr">
        <is>
          <t>GÄVLEBORGS LÄN</t>
        </is>
      </c>
      <c r="E7627" t="inlineStr">
        <is>
          <t>BOLLNÄS</t>
        </is>
      </c>
      <c r="F7627" t="inlineStr">
        <is>
          <t>Bergvik skog väst AB</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32309-2023</t>
        </is>
      </c>
      <c r="B7628" s="1" t="n">
        <v>45120</v>
      </c>
      <c r="C7628" s="1" t="n">
        <v>45587</v>
      </c>
      <c r="D7628" t="inlineStr">
        <is>
          <t>GÄVLEBORGS LÄN</t>
        </is>
      </c>
      <c r="E7628" t="inlineStr">
        <is>
          <t>BOLLNÄS</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32318-2023</t>
        </is>
      </c>
      <c r="B7629" s="1" t="n">
        <v>45120</v>
      </c>
      <c r="C7629" s="1" t="n">
        <v>45587</v>
      </c>
      <c r="D7629" t="inlineStr">
        <is>
          <t>GÄVLEBORGS LÄN</t>
        </is>
      </c>
      <c r="E7629" t="inlineStr">
        <is>
          <t>OVANÅKER</t>
        </is>
      </c>
      <c r="F7629" t="inlineStr">
        <is>
          <t>Bergvik skog öst AB</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32330-2023</t>
        </is>
      </c>
      <c r="B7630" s="1" t="n">
        <v>45120</v>
      </c>
      <c r="C7630" s="1" t="n">
        <v>45587</v>
      </c>
      <c r="D7630" t="inlineStr">
        <is>
          <t>GÄVLEBORGS LÄN</t>
        </is>
      </c>
      <c r="E7630" t="inlineStr">
        <is>
          <t>OVANÅKER</t>
        </is>
      </c>
      <c r="F7630" t="inlineStr">
        <is>
          <t>Bergvik skog öst AB</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32258-2023</t>
        </is>
      </c>
      <c r="B7631" s="1" t="n">
        <v>45120</v>
      </c>
      <c r="C7631" s="1" t="n">
        <v>45587</v>
      </c>
      <c r="D7631" t="inlineStr">
        <is>
          <t>GÄVLEBORGS LÄN</t>
        </is>
      </c>
      <c r="E7631" t="inlineStr">
        <is>
          <t>SANDVIKEN</t>
        </is>
      </c>
      <c r="G7631" t="n">
        <v>5.8</v>
      </c>
      <c r="H7631" t="n">
        <v>0</v>
      </c>
      <c r="I7631" t="n">
        <v>0</v>
      </c>
      <c r="J7631" t="n">
        <v>0</v>
      </c>
      <c r="K7631" t="n">
        <v>0</v>
      </c>
      <c r="L7631" t="n">
        <v>0</v>
      </c>
      <c r="M7631" t="n">
        <v>0</v>
      </c>
      <c r="N7631" t="n">
        <v>0</v>
      </c>
      <c r="O7631" t="n">
        <v>0</v>
      </c>
      <c r="P7631" t="n">
        <v>0</v>
      </c>
      <c r="Q7631" t="n">
        <v>0</v>
      </c>
      <c r="R7631" s="2" t="inlineStr"/>
    </row>
    <row r="7632" ht="15" customHeight="1">
      <c r="A7632" t="inlineStr">
        <is>
          <t>A 32313-2023</t>
        </is>
      </c>
      <c r="B7632" s="1" t="n">
        <v>45120</v>
      </c>
      <c r="C7632" s="1" t="n">
        <v>45587</v>
      </c>
      <c r="D7632" t="inlineStr">
        <is>
          <t>GÄVLEBORGS LÄN</t>
        </is>
      </c>
      <c r="E7632" t="inlineStr">
        <is>
          <t>NORDANSTIG</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32324-2023</t>
        </is>
      </c>
      <c r="B7633" s="1" t="n">
        <v>45120</v>
      </c>
      <c r="C7633" s="1" t="n">
        <v>45587</v>
      </c>
      <c r="D7633" t="inlineStr">
        <is>
          <t>GÄVLEBORGS LÄN</t>
        </is>
      </c>
      <c r="E7633" t="inlineStr">
        <is>
          <t>OCKELBO</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32365-2023</t>
        </is>
      </c>
      <c r="B7634" s="1" t="n">
        <v>45120</v>
      </c>
      <c r="C7634" s="1" t="n">
        <v>45587</v>
      </c>
      <c r="D7634" t="inlineStr">
        <is>
          <t>GÄVLEBORGS LÄN</t>
        </is>
      </c>
      <c r="E7634" t="inlineStr">
        <is>
          <t>LJUSDAL</t>
        </is>
      </c>
      <c r="F7634" t="inlineStr">
        <is>
          <t>Holmen skog AB</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32255-2023</t>
        </is>
      </c>
      <c r="B7635" s="1" t="n">
        <v>45120</v>
      </c>
      <c r="C7635" s="1" t="n">
        <v>45587</v>
      </c>
      <c r="D7635" t="inlineStr">
        <is>
          <t>GÄVLEBORGS LÄN</t>
        </is>
      </c>
      <c r="E7635" t="inlineStr">
        <is>
          <t>GÄVLE</t>
        </is>
      </c>
      <c r="G7635" t="n">
        <v>3.5</v>
      </c>
      <c r="H7635" t="n">
        <v>0</v>
      </c>
      <c r="I7635" t="n">
        <v>0</v>
      </c>
      <c r="J7635" t="n">
        <v>0</v>
      </c>
      <c r="K7635" t="n">
        <v>0</v>
      </c>
      <c r="L7635" t="n">
        <v>0</v>
      </c>
      <c r="M7635" t="n">
        <v>0</v>
      </c>
      <c r="N7635" t="n">
        <v>0</v>
      </c>
      <c r="O7635" t="n">
        <v>0</v>
      </c>
      <c r="P7635" t="n">
        <v>0</v>
      </c>
      <c r="Q7635" t="n">
        <v>0</v>
      </c>
      <c r="R7635" s="2" t="inlineStr"/>
    </row>
    <row r="7636" ht="15" customHeight="1">
      <c r="A7636" t="inlineStr">
        <is>
          <t>A 32260-2023</t>
        </is>
      </c>
      <c r="B7636" s="1" t="n">
        <v>45120</v>
      </c>
      <c r="C7636" s="1" t="n">
        <v>45587</v>
      </c>
      <c r="D7636" t="inlineStr">
        <is>
          <t>GÄVLEBORGS LÄN</t>
        </is>
      </c>
      <c r="E7636" t="inlineStr">
        <is>
          <t>SANDVIKEN</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32265-2023</t>
        </is>
      </c>
      <c r="B7637" s="1" t="n">
        <v>45120</v>
      </c>
      <c r="C7637" s="1" t="n">
        <v>45587</v>
      </c>
      <c r="D7637" t="inlineStr">
        <is>
          <t>GÄVLEBORGS LÄN</t>
        </is>
      </c>
      <c r="E7637" t="inlineStr">
        <is>
          <t>OVANÅKER</t>
        </is>
      </c>
      <c r="F7637" t="inlineStr">
        <is>
          <t>Sveaskog</t>
        </is>
      </c>
      <c r="G7637" t="n">
        <v>4.4</v>
      </c>
      <c r="H7637" t="n">
        <v>0</v>
      </c>
      <c r="I7637" t="n">
        <v>0</v>
      </c>
      <c r="J7637" t="n">
        <v>0</v>
      </c>
      <c r="K7637" t="n">
        <v>0</v>
      </c>
      <c r="L7637" t="n">
        <v>0</v>
      </c>
      <c r="M7637" t="n">
        <v>0</v>
      </c>
      <c r="N7637" t="n">
        <v>0</v>
      </c>
      <c r="O7637" t="n">
        <v>0</v>
      </c>
      <c r="P7637" t="n">
        <v>0</v>
      </c>
      <c r="Q7637" t="n">
        <v>0</v>
      </c>
      <c r="R7637" s="2" t="inlineStr"/>
    </row>
    <row r="7638" ht="15" customHeight="1">
      <c r="A7638" t="inlineStr">
        <is>
          <t>A 32333-2023</t>
        </is>
      </c>
      <c r="B7638" s="1" t="n">
        <v>45120</v>
      </c>
      <c r="C7638" s="1" t="n">
        <v>45587</v>
      </c>
      <c r="D7638" t="inlineStr">
        <is>
          <t>GÄVLEBORGS LÄN</t>
        </is>
      </c>
      <c r="E7638" t="inlineStr">
        <is>
          <t>OVANÅKER</t>
        </is>
      </c>
      <c r="F7638" t="inlineStr">
        <is>
          <t>Bergvik skog öst AB</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32306-2023</t>
        </is>
      </c>
      <c r="B7639" s="1" t="n">
        <v>45120</v>
      </c>
      <c r="C7639" s="1" t="n">
        <v>45587</v>
      </c>
      <c r="D7639" t="inlineStr">
        <is>
          <t>GÄVLEBORGS LÄN</t>
        </is>
      </c>
      <c r="E7639" t="inlineStr">
        <is>
          <t>OVANÅKER</t>
        </is>
      </c>
      <c r="F7639" t="inlineStr">
        <is>
          <t>Bergvik skog öst AB</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32310-2023</t>
        </is>
      </c>
      <c r="B7640" s="1" t="n">
        <v>45120</v>
      </c>
      <c r="C7640" s="1" t="n">
        <v>45587</v>
      </c>
      <c r="D7640" t="inlineStr">
        <is>
          <t>GÄVLEBORGS LÄN</t>
        </is>
      </c>
      <c r="E7640" t="inlineStr">
        <is>
          <t>OVANÅKER</t>
        </is>
      </c>
      <c r="F7640" t="inlineStr">
        <is>
          <t>Bergvik skog öst AB</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32315-2023</t>
        </is>
      </c>
      <c r="B7641" s="1" t="n">
        <v>45120</v>
      </c>
      <c r="C7641" s="1" t="n">
        <v>45587</v>
      </c>
      <c r="D7641" t="inlineStr">
        <is>
          <t>GÄVLEBORGS LÄN</t>
        </is>
      </c>
      <c r="E7641" t="inlineStr">
        <is>
          <t>NORDANSTIG</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32353-2023</t>
        </is>
      </c>
      <c r="B7642" s="1" t="n">
        <v>45120</v>
      </c>
      <c r="C7642" s="1" t="n">
        <v>45587</v>
      </c>
      <c r="D7642" t="inlineStr">
        <is>
          <t>GÄVLEBORGS LÄN</t>
        </is>
      </c>
      <c r="E7642" t="inlineStr">
        <is>
          <t>GÄVLE</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32335-2023</t>
        </is>
      </c>
      <c r="B7643" s="1" t="n">
        <v>45120</v>
      </c>
      <c r="C7643" s="1" t="n">
        <v>45587</v>
      </c>
      <c r="D7643" t="inlineStr">
        <is>
          <t>GÄVLEBORGS LÄN</t>
        </is>
      </c>
      <c r="E7643" t="inlineStr">
        <is>
          <t>LJUSDAL</t>
        </is>
      </c>
      <c r="F7643" t="inlineStr">
        <is>
          <t>Holmen skog AB</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32339-2023</t>
        </is>
      </c>
      <c r="B7644" s="1" t="n">
        <v>45120</v>
      </c>
      <c r="C7644" s="1" t="n">
        <v>45587</v>
      </c>
      <c r="D7644" t="inlineStr">
        <is>
          <t>GÄVLEBORGS LÄN</t>
        </is>
      </c>
      <c r="E7644" t="inlineStr">
        <is>
          <t>SANDVIKEN</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32470-2023</t>
        </is>
      </c>
      <c r="B7645" s="1" t="n">
        <v>45121</v>
      </c>
      <c r="C7645" s="1" t="n">
        <v>45587</v>
      </c>
      <c r="D7645" t="inlineStr">
        <is>
          <t>GÄVLEBORGS LÄN</t>
        </is>
      </c>
      <c r="E7645" t="inlineStr">
        <is>
          <t>NORDANSTIG</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32471-2023</t>
        </is>
      </c>
      <c r="B7646" s="1" t="n">
        <v>45121</v>
      </c>
      <c r="C7646" s="1" t="n">
        <v>45587</v>
      </c>
      <c r="D7646" t="inlineStr">
        <is>
          <t>GÄVLEBORGS LÄN</t>
        </is>
      </c>
      <c r="E7646" t="inlineStr">
        <is>
          <t>NORDANSTIG</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32581-2023</t>
        </is>
      </c>
      <c r="B7647" s="1" t="n">
        <v>45121</v>
      </c>
      <c r="C7647" s="1" t="n">
        <v>45587</v>
      </c>
      <c r="D7647" t="inlineStr">
        <is>
          <t>GÄVLEBORGS LÄN</t>
        </is>
      </c>
      <c r="E7647" t="inlineStr">
        <is>
          <t>LJUSDAL</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32659-2023</t>
        </is>
      </c>
      <c r="B7648" s="1" t="n">
        <v>45121</v>
      </c>
      <c r="C7648" s="1" t="n">
        <v>45587</v>
      </c>
      <c r="D7648" t="inlineStr">
        <is>
          <t>GÄVLEBORGS LÄN</t>
        </is>
      </c>
      <c r="E7648" t="inlineStr">
        <is>
          <t>HUDIKSVALL</t>
        </is>
      </c>
      <c r="G7648" t="n">
        <v>7.1</v>
      </c>
      <c r="H7648" t="n">
        <v>0</v>
      </c>
      <c r="I7648" t="n">
        <v>0</v>
      </c>
      <c r="J7648" t="n">
        <v>0</v>
      </c>
      <c r="K7648" t="n">
        <v>0</v>
      </c>
      <c r="L7648" t="n">
        <v>0</v>
      </c>
      <c r="M7648" t="n">
        <v>0</v>
      </c>
      <c r="N7648" t="n">
        <v>0</v>
      </c>
      <c r="O7648" t="n">
        <v>0</v>
      </c>
      <c r="P7648" t="n">
        <v>0</v>
      </c>
      <c r="Q7648" t="n">
        <v>0</v>
      </c>
      <c r="R7648" s="2" t="inlineStr"/>
    </row>
    <row r="7649" ht="15" customHeight="1">
      <c r="A7649" t="inlineStr">
        <is>
          <t>A 32520-2023</t>
        </is>
      </c>
      <c r="B7649" s="1" t="n">
        <v>45121</v>
      </c>
      <c r="C7649" s="1" t="n">
        <v>45587</v>
      </c>
      <c r="D7649" t="inlineStr">
        <is>
          <t>GÄVLEBORGS LÄN</t>
        </is>
      </c>
      <c r="E7649" t="inlineStr">
        <is>
          <t>SANDVIKEN</t>
        </is>
      </c>
      <c r="F7649" t="inlineStr">
        <is>
          <t>Bergvik skog öst AB</t>
        </is>
      </c>
      <c r="G7649" t="n">
        <v>5.2</v>
      </c>
      <c r="H7649" t="n">
        <v>0</v>
      </c>
      <c r="I7649" t="n">
        <v>0</v>
      </c>
      <c r="J7649" t="n">
        <v>0</v>
      </c>
      <c r="K7649" t="n">
        <v>0</v>
      </c>
      <c r="L7649" t="n">
        <v>0</v>
      </c>
      <c r="M7649" t="n">
        <v>0</v>
      </c>
      <c r="N7649" t="n">
        <v>0</v>
      </c>
      <c r="O7649" t="n">
        <v>0</v>
      </c>
      <c r="P7649" t="n">
        <v>0</v>
      </c>
      <c r="Q7649" t="n">
        <v>0</v>
      </c>
      <c r="R7649" s="2" t="inlineStr"/>
    </row>
    <row r="7650" ht="15" customHeight="1">
      <c r="A7650" t="inlineStr">
        <is>
          <t>A 32667-2023</t>
        </is>
      </c>
      <c r="B7650" s="1" t="n">
        <v>45121</v>
      </c>
      <c r="C7650" s="1" t="n">
        <v>45587</v>
      </c>
      <c r="D7650" t="inlineStr">
        <is>
          <t>GÄVLEBORGS LÄN</t>
        </is>
      </c>
      <c r="E7650" t="inlineStr">
        <is>
          <t>OCKELBO</t>
        </is>
      </c>
      <c r="F7650" t="inlineStr">
        <is>
          <t>Bergvik skog väst AB</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32652-2023</t>
        </is>
      </c>
      <c r="B7651" s="1" t="n">
        <v>45121</v>
      </c>
      <c r="C7651" s="1" t="n">
        <v>45587</v>
      </c>
      <c r="D7651" t="inlineStr">
        <is>
          <t>GÄVLEBORGS LÄN</t>
        </is>
      </c>
      <c r="E7651" t="inlineStr">
        <is>
          <t>NORDANSTIG</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32722-2023</t>
        </is>
      </c>
      <c r="B7652" s="1" t="n">
        <v>45122</v>
      </c>
      <c r="C7652" s="1" t="n">
        <v>45587</v>
      </c>
      <c r="D7652" t="inlineStr">
        <is>
          <t>GÄVLEBORGS LÄN</t>
        </is>
      </c>
      <c r="E7652" t="inlineStr">
        <is>
          <t>NORDANSTIG</t>
        </is>
      </c>
      <c r="G7652" t="n">
        <v>3.9</v>
      </c>
      <c r="H7652" t="n">
        <v>0</v>
      </c>
      <c r="I7652" t="n">
        <v>0</v>
      </c>
      <c r="J7652" t="n">
        <v>0</v>
      </c>
      <c r="K7652" t="n">
        <v>0</v>
      </c>
      <c r="L7652" t="n">
        <v>0</v>
      </c>
      <c r="M7652" t="n">
        <v>0</v>
      </c>
      <c r="N7652" t="n">
        <v>0</v>
      </c>
      <c r="O7652" t="n">
        <v>0</v>
      </c>
      <c r="P7652" t="n">
        <v>0</v>
      </c>
      <c r="Q7652" t="n">
        <v>0</v>
      </c>
      <c r="R7652" s="2" t="inlineStr"/>
    </row>
    <row r="7653" ht="15" customHeight="1">
      <c r="A7653" t="inlineStr">
        <is>
          <t>A 32548-2023</t>
        </is>
      </c>
      <c r="B7653" s="1" t="n">
        <v>45121</v>
      </c>
      <c r="C7653" s="1" t="n">
        <v>45587</v>
      </c>
      <c r="D7653" t="inlineStr">
        <is>
          <t>GÄVLEBORGS LÄN</t>
        </is>
      </c>
      <c r="E7653" t="inlineStr">
        <is>
          <t>BOLLNÄS</t>
        </is>
      </c>
      <c r="G7653" t="n">
        <v>6.5</v>
      </c>
      <c r="H7653" t="n">
        <v>0</v>
      </c>
      <c r="I7653" t="n">
        <v>0</v>
      </c>
      <c r="J7653" t="n">
        <v>0</v>
      </c>
      <c r="K7653" t="n">
        <v>0</v>
      </c>
      <c r="L7653" t="n">
        <v>0</v>
      </c>
      <c r="M7653" t="n">
        <v>0</v>
      </c>
      <c r="N7653" t="n">
        <v>0</v>
      </c>
      <c r="O7653" t="n">
        <v>0</v>
      </c>
      <c r="P7653" t="n">
        <v>0</v>
      </c>
      <c r="Q7653" t="n">
        <v>0</v>
      </c>
      <c r="R7653" s="2" t="inlineStr"/>
    </row>
    <row r="7654" ht="15" customHeight="1">
      <c r="A7654" t="inlineStr">
        <is>
          <t>A 32597-2023</t>
        </is>
      </c>
      <c r="B7654" s="1" t="n">
        <v>45121</v>
      </c>
      <c r="C7654" s="1" t="n">
        <v>45587</v>
      </c>
      <c r="D7654" t="inlineStr">
        <is>
          <t>GÄVLEBORGS LÄN</t>
        </is>
      </c>
      <c r="E7654" t="inlineStr">
        <is>
          <t>LJUSDAL</t>
        </is>
      </c>
      <c r="F7654" t="inlineStr">
        <is>
          <t>Allmännings- och besparingsskogar</t>
        </is>
      </c>
      <c r="G7654" t="n">
        <v>5.9</v>
      </c>
      <c r="H7654" t="n">
        <v>0</v>
      </c>
      <c r="I7654" t="n">
        <v>0</v>
      </c>
      <c r="J7654" t="n">
        <v>0</v>
      </c>
      <c r="K7654" t="n">
        <v>0</v>
      </c>
      <c r="L7654" t="n">
        <v>0</v>
      </c>
      <c r="M7654" t="n">
        <v>0</v>
      </c>
      <c r="N7654" t="n">
        <v>0</v>
      </c>
      <c r="O7654" t="n">
        <v>0</v>
      </c>
      <c r="P7654" t="n">
        <v>0</v>
      </c>
      <c r="Q7654" t="n">
        <v>0</v>
      </c>
      <c r="R7654" s="2" t="inlineStr"/>
    </row>
    <row r="7655" ht="15" customHeight="1">
      <c r="A7655" t="inlineStr">
        <is>
          <t>A 32609-2023</t>
        </is>
      </c>
      <c r="B7655" s="1" t="n">
        <v>45121</v>
      </c>
      <c r="C7655" s="1" t="n">
        <v>45587</v>
      </c>
      <c r="D7655" t="inlineStr">
        <is>
          <t>GÄVLEBORGS LÄN</t>
        </is>
      </c>
      <c r="E7655" t="inlineStr">
        <is>
          <t>SANDVIKEN</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32748-2023</t>
        </is>
      </c>
      <c r="B7656" s="1" t="n">
        <v>45122</v>
      </c>
      <c r="C7656" s="1" t="n">
        <v>45587</v>
      </c>
      <c r="D7656" t="inlineStr">
        <is>
          <t>GÄVLEBORGS LÄN</t>
        </is>
      </c>
      <c r="E7656" t="inlineStr">
        <is>
          <t>HUDIKSVALL</t>
        </is>
      </c>
      <c r="G7656" t="n">
        <v>3.3</v>
      </c>
      <c r="H7656" t="n">
        <v>0</v>
      </c>
      <c r="I7656" t="n">
        <v>0</v>
      </c>
      <c r="J7656" t="n">
        <v>0</v>
      </c>
      <c r="K7656" t="n">
        <v>0</v>
      </c>
      <c r="L7656" t="n">
        <v>0</v>
      </c>
      <c r="M7656" t="n">
        <v>0</v>
      </c>
      <c r="N7656" t="n">
        <v>0</v>
      </c>
      <c r="O7656" t="n">
        <v>0</v>
      </c>
      <c r="P7656" t="n">
        <v>0</v>
      </c>
      <c r="Q7656" t="n">
        <v>0</v>
      </c>
      <c r="R7656" s="2" t="inlineStr"/>
    </row>
    <row r="7657" ht="15" customHeight="1">
      <c r="A7657" t="inlineStr">
        <is>
          <t>A 32754-2023</t>
        </is>
      </c>
      <c r="B7657" s="1" t="n">
        <v>45123</v>
      </c>
      <c r="C7657" s="1" t="n">
        <v>45587</v>
      </c>
      <c r="D7657" t="inlineStr">
        <is>
          <t>GÄVLEBORGS LÄN</t>
        </is>
      </c>
      <c r="E7657" t="inlineStr">
        <is>
          <t>BOLLNÄS</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34040-2023</t>
        </is>
      </c>
      <c r="B7658" s="1" t="n">
        <v>45124</v>
      </c>
      <c r="C7658" s="1" t="n">
        <v>45587</v>
      </c>
      <c r="D7658" t="inlineStr">
        <is>
          <t>GÄVLEBORGS LÄN</t>
        </is>
      </c>
      <c r="E7658" t="inlineStr">
        <is>
          <t>LJUSDAL</t>
        </is>
      </c>
      <c r="F7658" t="inlineStr">
        <is>
          <t>SCA</t>
        </is>
      </c>
      <c r="G7658" t="n">
        <v>18.4</v>
      </c>
      <c r="H7658" t="n">
        <v>0</v>
      </c>
      <c r="I7658" t="n">
        <v>0</v>
      </c>
      <c r="J7658" t="n">
        <v>0</v>
      </c>
      <c r="K7658" t="n">
        <v>0</v>
      </c>
      <c r="L7658" t="n">
        <v>0</v>
      </c>
      <c r="M7658" t="n">
        <v>0</v>
      </c>
      <c r="N7658" t="n">
        <v>0</v>
      </c>
      <c r="O7658" t="n">
        <v>0</v>
      </c>
      <c r="P7658" t="n">
        <v>0</v>
      </c>
      <c r="Q7658" t="n">
        <v>0</v>
      </c>
      <c r="R7658" s="2" t="inlineStr"/>
    </row>
    <row r="7659" ht="15" customHeight="1">
      <c r="A7659" t="inlineStr">
        <is>
          <t>A 32827-2023</t>
        </is>
      </c>
      <c r="B7659" s="1" t="n">
        <v>45124</v>
      </c>
      <c r="C7659" s="1" t="n">
        <v>45587</v>
      </c>
      <c r="D7659" t="inlineStr">
        <is>
          <t>GÄVLEBORGS LÄN</t>
        </is>
      </c>
      <c r="E7659" t="inlineStr">
        <is>
          <t>NORDANSTIG</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33959-2023</t>
        </is>
      </c>
      <c r="B7660" s="1" t="n">
        <v>45124</v>
      </c>
      <c r="C7660" s="1" t="n">
        <v>45587</v>
      </c>
      <c r="D7660" t="inlineStr">
        <is>
          <t>GÄVLEBORGS LÄN</t>
        </is>
      </c>
      <c r="E7660" t="inlineStr">
        <is>
          <t>HUDIKSVALL</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32923-2023</t>
        </is>
      </c>
      <c r="B7661" s="1" t="n">
        <v>45125</v>
      </c>
      <c r="C7661" s="1" t="n">
        <v>45587</v>
      </c>
      <c r="D7661" t="inlineStr">
        <is>
          <t>GÄVLEBORGS LÄN</t>
        </is>
      </c>
      <c r="E7661" t="inlineStr">
        <is>
          <t>NORDANSTIG</t>
        </is>
      </c>
      <c r="F7661" t="inlineStr">
        <is>
          <t>Holmen skog AB</t>
        </is>
      </c>
      <c r="G7661" t="n">
        <v>5.9</v>
      </c>
      <c r="H7661" t="n">
        <v>0</v>
      </c>
      <c r="I7661" t="n">
        <v>0</v>
      </c>
      <c r="J7661" t="n">
        <v>0</v>
      </c>
      <c r="K7661" t="n">
        <v>0</v>
      </c>
      <c r="L7661" t="n">
        <v>0</v>
      </c>
      <c r="M7661" t="n">
        <v>0</v>
      </c>
      <c r="N7661" t="n">
        <v>0</v>
      </c>
      <c r="O7661" t="n">
        <v>0</v>
      </c>
      <c r="P7661" t="n">
        <v>0</v>
      </c>
      <c r="Q7661" t="n">
        <v>0</v>
      </c>
      <c r="R7661" s="2" t="inlineStr"/>
    </row>
    <row r="7662" ht="15" customHeight="1">
      <c r="A7662" t="inlineStr">
        <is>
          <t>A 32943-2023</t>
        </is>
      </c>
      <c r="B7662" s="1" t="n">
        <v>45125</v>
      </c>
      <c r="C7662" s="1" t="n">
        <v>45587</v>
      </c>
      <c r="D7662" t="inlineStr">
        <is>
          <t>GÄVLEBORGS LÄN</t>
        </is>
      </c>
      <c r="E7662" t="inlineStr">
        <is>
          <t>LJUSDAL</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32920-2023</t>
        </is>
      </c>
      <c r="B7663" s="1" t="n">
        <v>45125</v>
      </c>
      <c r="C7663" s="1" t="n">
        <v>45587</v>
      </c>
      <c r="D7663" t="inlineStr">
        <is>
          <t>GÄVLEBORGS LÄN</t>
        </is>
      </c>
      <c r="E7663" t="inlineStr">
        <is>
          <t>LJUSDAL</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32924-2023</t>
        </is>
      </c>
      <c r="B7664" s="1" t="n">
        <v>45125</v>
      </c>
      <c r="C7664" s="1" t="n">
        <v>45587</v>
      </c>
      <c r="D7664" t="inlineStr">
        <is>
          <t>GÄVLEBORGS LÄN</t>
        </is>
      </c>
      <c r="E7664" t="inlineStr">
        <is>
          <t>LJUSDAL</t>
        </is>
      </c>
      <c r="F7664" t="inlineStr">
        <is>
          <t>Holmen skog AB</t>
        </is>
      </c>
      <c r="G7664" t="n">
        <v>6</v>
      </c>
      <c r="H7664" t="n">
        <v>0</v>
      </c>
      <c r="I7664" t="n">
        <v>0</v>
      </c>
      <c r="J7664" t="n">
        <v>0</v>
      </c>
      <c r="K7664" t="n">
        <v>0</v>
      </c>
      <c r="L7664" t="n">
        <v>0</v>
      </c>
      <c r="M7664" t="n">
        <v>0</v>
      </c>
      <c r="N7664" t="n">
        <v>0</v>
      </c>
      <c r="O7664" t="n">
        <v>0</v>
      </c>
      <c r="P7664" t="n">
        <v>0</v>
      </c>
      <c r="Q7664" t="n">
        <v>0</v>
      </c>
      <c r="R7664" s="2" t="inlineStr"/>
    </row>
    <row r="7665" ht="15" customHeight="1">
      <c r="A7665" t="inlineStr">
        <is>
          <t>A 32980-2023</t>
        </is>
      </c>
      <c r="B7665" s="1" t="n">
        <v>45125</v>
      </c>
      <c r="C7665" s="1" t="n">
        <v>45587</v>
      </c>
      <c r="D7665" t="inlineStr">
        <is>
          <t>GÄVLEBORGS LÄN</t>
        </is>
      </c>
      <c r="E7665" t="inlineStr">
        <is>
          <t>HOFORS</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32986-2023</t>
        </is>
      </c>
      <c r="B7666" s="1" t="n">
        <v>45125</v>
      </c>
      <c r="C7666" s="1" t="n">
        <v>45587</v>
      </c>
      <c r="D7666" t="inlineStr">
        <is>
          <t>GÄVLEBORGS LÄN</t>
        </is>
      </c>
      <c r="E7666" t="inlineStr">
        <is>
          <t>LJUSDAL</t>
        </is>
      </c>
      <c r="F7666" t="inlineStr">
        <is>
          <t>Allmännings- och besparingsskogar</t>
        </is>
      </c>
      <c r="G7666" t="n">
        <v>15.1</v>
      </c>
      <c r="H7666" t="n">
        <v>0</v>
      </c>
      <c r="I7666" t="n">
        <v>0</v>
      </c>
      <c r="J7666" t="n">
        <v>0</v>
      </c>
      <c r="K7666" t="n">
        <v>0</v>
      </c>
      <c r="L7666" t="n">
        <v>0</v>
      </c>
      <c r="M7666" t="n">
        <v>0</v>
      </c>
      <c r="N7666" t="n">
        <v>0</v>
      </c>
      <c r="O7666" t="n">
        <v>0</v>
      </c>
      <c r="P7666" t="n">
        <v>0</v>
      </c>
      <c r="Q7666" t="n">
        <v>0</v>
      </c>
      <c r="R7666" s="2" t="inlineStr"/>
    </row>
    <row r="7667" ht="15" customHeight="1">
      <c r="A7667" t="inlineStr">
        <is>
          <t>A 33015-2023</t>
        </is>
      </c>
      <c r="B7667" s="1" t="n">
        <v>45125</v>
      </c>
      <c r="C7667" s="1" t="n">
        <v>45587</v>
      </c>
      <c r="D7667" t="inlineStr">
        <is>
          <t>GÄVLEBORGS LÄN</t>
        </is>
      </c>
      <c r="E7667" t="inlineStr">
        <is>
          <t>GÄVLE</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32925-2023</t>
        </is>
      </c>
      <c r="B7668" s="1" t="n">
        <v>45125</v>
      </c>
      <c r="C7668" s="1" t="n">
        <v>45587</v>
      </c>
      <c r="D7668" t="inlineStr">
        <is>
          <t>GÄVLEBORGS LÄN</t>
        </is>
      </c>
      <c r="E7668" t="inlineStr">
        <is>
          <t>NORDANSTIG</t>
        </is>
      </c>
      <c r="F7668" t="inlineStr">
        <is>
          <t>Holmen skog AB</t>
        </is>
      </c>
      <c r="G7668" t="n">
        <v>7</v>
      </c>
      <c r="H7668" t="n">
        <v>0</v>
      </c>
      <c r="I7668" t="n">
        <v>0</v>
      </c>
      <c r="J7668" t="n">
        <v>0</v>
      </c>
      <c r="K7668" t="n">
        <v>0</v>
      </c>
      <c r="L7668" t="n">
        <v>0</v>
      </c>
      <c r="M7668" t="n">
        <v>0</v>
      </c>
      <c r="N7668" t="n">
        <v>0</v>
      </c>
      <c r="O7668" t="n">
        <v>0</v>
      </c>
      <c r="P7668" t="n">
        <v>0</v>
      </c>
      <c r="Q7668" t="n">
        <v>0</v>
      </c>
      <c r="R7668" s="2" t="inlineStr"/>
    </row>
    <row r="7669" ht="15" customHeight="1">
      <c r="A7669" t="inlineStr">
        <is>
          <t>A 32941-2023</t>
        </is>
      </c>
      <c r="B7669" s="1" t="n">
        <v>45125</v>
      </c>
      <c r="C7669" s="1" t="n">
        <v>45587</v>
      </c>
      <c r="D7669" t="inlineStr">
        <is>
          <t>GÄVLEBORGS LÄN</t>
        </is>
      </c>
      <c r="E7669" t="inlineStr">
        <is>
          <t>LJUSDAL</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32918-2023</t>
        </is>
      </c>
      <c r="B7670" s="1" t="n">
        <v>45125</v>
      </c>
      <c r="C7670" s="1" t="n">
        <v>45587</v>
      </c>
      <c r="D7670" t="inlineStr">
        <is>
          <t>GÄVLEBORGS LÄN</t>
        </is>
      </c>
      <c r="E7670" t="inlineStr">
        <is>
          <t>LJUSDAL</t>
        </is>
      </c>
      <c r="F7670" t="inlineStr">
        <is>
          <t>Holmen skog AB</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32922-2023</t>
        </is>
      </c>
      <c r="B7671" s="1" t="n">
        <v>45125</v>
      </c>
      <c r="C7671" s="1" t="n">
        <v>45587</v>
      </c>
      <c r="D7671" t="inlineStr">
        <is>
          <t>GÄVLEBORGS LÄN</t>
        </is>
      </c>
      <c r="E7671" t="inlineStr">
        <is>
          <t>LJUSDAL</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32947-2023</t>
        </is>
      </c>
      <c r="B7672" s="1" t="n">
        <v>45125</v>
      </c>
      <c r="C7672" s="1" t="n">
        <v>45587</v>
      </c>
      <c r="D7672" t="inlineStr">
        <is>
          <t>GÄVLEBORGS LÄN</t>
        </is>
      </c>
      <c r="E7672" t="inlineStr">
        <is>
          <t>LJUSDAL</t>
        </is>
      </c>
      <c r="G7672" t="n">
        <v>11.5</v>
      </c>
      <c r="H7672" t="n">
        <v>0</v>
      </c>
      <c r="I7672" t="n">
        <v>0</v>
      </c>
      <c r="J7672" t="n">
        <v>0</v>
      </c>
      <c r="K7672" t="n">
        <v>0</v>
      </c>
      <c r="L7672" t="n">
        <v>0</v>
      </c>
      <c r="M7672" t="n">
        <v>0</v>
      </c>
      <c r="N7672" t="n">
        <v>0</v>
      </c>
      <c r="O7672" t="n">
        <v>0</v>
      </c>
      <c r="P7672" t="n">
        <v>0</v>
      </c>
      <c r="Q7672" t="n">
        <v>0</v>
      </c>
      <c r="R7672" s="2" t="inlineStr"/>
    </row>
    <row r="7673" ht="15" customHeight="1">
      <c r="A7673" t="inlineStr">
        <is>
          <t>A 33137-2023</t>
        </is>
      </c>
      <c r="B7673" s="1" t="n">
        <v>45126</v>
      </c>
      <c r="C7673" s="1" t="n">
        <v>45587</v>
      </c>
      <c r="D7673" t="inlineStr">
        <is>
          <t>GÄVLEBORGS LÄN</t>
        </is>
      </c>
      <c r="E7673" t="inlineStr">
        <is>
          <t>SANDVIKEN</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33133-2023</t>
        </is>
      </c>
      <c r="B7674" s="1" t="n">
        <v>45126</v>
      </c>
      <c r="C7674" s="1" t="n">
        <v>45587</v>
      </c>
      <c r="D7674" t="inlineStr">
        <is>
          <t>GÄVLEBORGS LÄN</t>
        </is>
      </c>
      <c r="E7674" t="inlineStr">
        <is>
          <t>SANDVIKEN</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33136-2023</t>
        </is>
      </c>
      <c r="B7675" s="1" t="n">
        <v>45126</v>
      </c>
      <c r="C7675" s="1" t="n">
        <v>45587</v>
      </c>
      <c r="D7675" t="inlineStr">
        <is>
          <t>GÄVLEBORGS LÄN</t>
        </is>
      </c>
      <c r="E7675" t="inlineStr">
        <is>
          <t>SANDVIKEN</t>
        </is>
      </c>
      <c r="G7675" t="n">
        <v>4.5</v>
      </c>
      <c r="H7675" t="n">
        <v>0</v>
      </c>
      <c r="I7675" t="n">
        <v>0</v>
      </c>
      <c r="J7675" t="n">
        <v>0</v>
      </c>
      <c r="K7675" t="n">
        <v>0</v>
      </c>
      <c r="L7675" t="n">
        <v>0</v>
      </c>
      <c r="M7675" t="n">
        <v>0</v>
      </c>
      <c r="N7675" t="n">
        <v>0</v>
      </c>
      <c r="O7675" t="n">
        <v>0</v>
      </c>
      <c r="P7675" t="n">
        <v>0</v>
      </c>
      <c r="Q7675" t="n">
        <v>0</v>
      </c>
      <c r="R7675" s="2" t="inlineStr"/>
    </row>
    <row r="7676" ht="15" customHeight="1">
      <c r="A7676" t="inlineStr">
        <is>
          <t>A 33200-2023</t>
        </is>
      </c>
      <c r="B7676" s="1" t="n">
        <v>45127</v>
      </c>
      <c r="C7676" s="1" t="n">
        <v>45587</v>
      </c>
      <c r="D7676" t="inlineStr">
        <is>
          <t>GÄVLEBORGS LÄN</t>
        </is>
      </c>
      <c r="E7676" t="inlineStr">
        <is>
          <t>LJUSDAL</t>
        </is>
      </c>
      <c r="F7676" t="inlineStr">
        <is>
          <t>Bergvik skog väst AB</t>
        </is>
      </c>
      <c r="G7676" t="n">
        <v>9.9</v>
      </c>
      <c r="H7676" t="n">
        <v>0</v>
      </c>
      <c r="I7676" t="n">
        <v>0</v>
      </c>
      <c r="J7676" t="n">
        <v>0</v>
      </c>
      <c r="K7676" t="n">
        <v>0</v>
      </c>
      <c r="L7676" t="n">
        <v>0</v>
      </c>
      <c r="M7676" t="n">
        <v>0</v>
      </c>
      <c r="N7676" t="n">
        <v>0</v>
      </c>
      <c r="O7676" t="n">
        <v>0</v>
      </c>
      <c r="P7676" t="n">
        <v>0</v>
      </c>
      <c r="Q7676" t="n">
        <v>0</v>
      </c>
      <c r="R7676" s="2" t="inlineStr"/>
    </row>
    <row r="7677" ht="15" customHeight="1">
      <c r="A7677" t="inlineStr">
        <is>
          <t>A 33225-2023</t>
        </is>
      </c>
      <c r="B7677" s="1" t="n">
        <v>45127</v>
      </c>
      <c r="C7677" s="1" t="n">
        <v>45587</v>
      </c>
      <c r="D7677" t="inlineStr">
        <is>
          <t>GÄVLEBORGS LÄN</t>
        </is>
      </c>
      <c r="E7677" t="inlineStr">
        <is>
          <t>OVANÅKER</t>
        </is>
      </c>
      <c r="F7677" t="inlineStr">
        <is>
          <t>Bergvik skog öst AB</t>
        </is>
      </c>
      <c r="G7677" t="n">
        <v>19.8</v>
      </c>
      <c r="H7677" t="n">
        <v>0</v>
      </c>
      <c r="I7677" t="n">
        <v>0</v>
      </c>
      <c r="J7677" t="n">
        <v>0</v>
      </c>
      <c r="K7677" t="n">
        <v>0</v>
      </c>
      <c r="L7677" t="n">
        <v>0</v>
      </c>
      <c r="M7677" t="n">
        <v>0</v>
      </c>
      <c r="N7677" t="n">
        <v>0</v>
      </c>
      <c r="O7677" t="n">
        <v>0</v>
      </c>
      <c r="P7677" t="n">
        <v>0</v>
      </c>
      <c r="Q7677" t="n">
        <v>0</v>
      </c>
      <c r="R7677" s="2" t="inlineStr"/>
    </row>
    <row r="7678" ht="15" customHeight="1">
      <c r="A7678" t="inlineStr">
        <is>
          <t>A 33198-2023</t>
        </is>
      </c>
      <c r="B7678" s="1" t="n">
        <v>45127</v>
      </c>
      <c r="C7678" s="1" t="n">
        <v>45587</v>
      </c>
      <c r="D7678" t="inlineStr">
        <is>
          <t>GÄVLEBORGS LÄN</t>
        </is>
      </c>
      <c r="E7678" t="inlineStr">
        <is>
          <t>LJUSDAL</t>
        </is>
      </c>
      <c r="F7678" t="inlineStr">
        <is>
          <t>Bergvik skog väst AB</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33199-2023</t>
        </is>
      </c>
      <c r="B7679" s="1" t="n">
        <v>45127</v>
      </c>
      <c r="C7679" s="1" t="n">
        <v>45587</v>
      </c>
      <c r="D7679" t="inlineStr">
        <is>
          <t>GÄVLEBORGS LÄN</t>
        </is>
      </c>
      <c r="E7679" t="inlineStr">
        <is>
          <t>LJUSDAL</t>
        </is>
      </c>
      <c r="F7679" t="inlineStr">
        <is>
          <t>Bergvik skog väst AB</t>
        </is>
      </c>
      <c r="G7679" t="n">
        <v>6.7</v>
      </c>
      <c r="H7679" t="n">
        <v>0</v>
      </c>
      <c r="I7679" t="n">
        <v>0</v>
      </c>
      <c r="J7679" t="n">
        <v>0</v>
      </c>
      <c r="K7679" t="n">
        <v>0</v>
      </c>
      <c r="L7679" t="n">
        <v>0</v>
      </c>
      <c r="M7679" t="n">
        <v>0</v>
      </c>
      <c r="N7679" t="n">
        <v>0</v>
      </c>
      <c r="O7679" t="n">
        <v>0</v>
      </c>
      <c r="P7679" t="n">
        <v>0</v>
      </c>
      <c r="Q7679" t="n">
        <v>0</v>
      </c>
      <c r="R7679" s="2" t="inlineStr"/>
    </row>
    <row r="7680" ht="15" customHeight="1">
      <c r="A7680" t="inlineStr">
        <is>
          <t>A 33193-2023</t>
        </is>
      </c>
      <c r="B7680" s="1" t="n">
        <v>45127</v>
      </c>
      <c r="C7680" s="1" t="n">
        <v>45587</v>
      </c>
      <c r="D7680" t="inlineStr">
        <is>
          <t>GÄVLEBORGS LÄN</t>
        </is>
      </c>
      <c r="E7680" t="inlineStr">
        <is>
          <t>LJUSDAL</t>
        </is>
      </c>
      <c r="F7680" t="inlineStr">
        <is>
          <t>Bergvik skog väst AB</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33231-2023</t>
        </is>
      </c>
      <c r="B7681" s="1" t="n">
        <v>45127</v>
      </c>
      <c r="C7681" s="1" t="n">
        <v>45587</v>
      </c>
      <c r="D7681" t="inlineStr">
        <is>
          <t>GÄVLEBORGS LÄN</t>
        </is>
      </c>
      <c r="E7681" t="inlineStr">
        <is>
          <t>OVANÅKER</t>
        </is>
      </c>
      <c r="F7681" t="inlineStr">
        <is>
          <t>Bergvik skog öst AB</t>
        </is>
      </c>
      <c r="G7681" t="n">
        <v>5.8</v>
      </c>
      <c r="H7681" t="n">
        <v>0</v>
      </c>
      <c r="I7681" t="n">
        <v>0</v>
      </c>
      <c r="J7681" t="n">
        <v>0</v>
      </c>
      <c r="K7681" t="n">
        <v>0</v>
      </c>
      <c r="L7681" t="n">
        <v>0</v>
      </c>
      <c r="M7681" t="n">
        <v>0</v>
      </c>
      <c r="N7681" t="n">
        <v>0</v>
      </c>
      <c r="O7681" t="n">
        <v>0</v>
      </c>
      <c r="P7681" t="n">
        <v>0</v>
      </c>
      <c r="Q7681" t="n">
        <v>0</v>
      </c>
      <c r="R7681" s="2" t="inlineStr"/>
    </row>
    <row r="7682" ht="15" customHeight="1">
      <c r="A7682" t="inlineStr">
        <is>
          <t>A 33296-2023</t>
        </is>
      </c>
      <c r="B7682" s="1" t="n">
        <v>45127</v>
      </c>
      <c r="C7682" s="1" t="n">
        <v>45587</v>
      </c>
      <c r="D7682" t="inlineStr">
        <is>
          <t>GÄVLEBORGS LÄN</t>
        </is>
      </c>
      <c r="E7682" t="inlineStr">
        <is>
          <t>HOFORS</t>
        </is>
      </c>
      <c r="F7682" t="inlineStr">
        <is>
          <t>Sveaskog</t>
        </is>
      </c>
      <c r="G7682" t="n">
        <v>6.4</v>
      </c>
      <c r="H7682" t="n">
        <v>0</v>
      </c>
      <c r="I7682" t="n">
        <v>0</v>
      </c>
      <c r="J7682" t="n">
        <v>0</v>
      </c>
      <c r="K7682" t="n">
        <v>0</v>
      </c>
      <c r="L7682" t="n">
        <v>0</v>
      </c>
      <c r="M7682" t="n">
        <v>0</v>
      </c>
      <c r="N7682" t="n">
        <v>0</v>
      </c>
      <c r="O7682" t="n">
        <v>0</v>
      </c>
      <c r="P7682" t="n">
        <v>0</v>
      </c>
      <c r="Q7682" t="n">
        <v>0</v>
      </c>
      <c r="R7682" s="2" t="inlineStr"/>
    </row>
    <row r="7683" ht="15" customHeight="1">
      <c r="A7683" t="inlineStr">
        <is>
          <t>A 34228-2023</t>
        </is>
      </c>
      <c r="B7683" s="1" t="n">
        <v>45127</v>
      </c>
      <c r="C7683" s="1" t="n">
        <v>45587</v>
      </c>
      <c r="D7683" t="inlineStr">
        <is>
          <t>GÄVLEBORGS LÄN</t>
        </is>
      </c>
      <c r="E7683" t="inlineStr">
        <is>
          <t>LJUSDAL</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34232-2023</t>
        </is>
      </c>
      <c r="B7684" s="1" t="n">
        <v>45127</v>
      </c>
      <c r="C7684" s="1" t="n">
        <v>45587</v>
      </c>
      <c r="D7684" t="inlineStr">
        <is>
          <t>GÄVLEBORGS LÄN</t>
        </is>
      </c>
      <c r="E7684" t="inlineStr">
        <is>
          <t>HOFORS</t>
        </is>
      </c>
      <c r="F7684" t="inlineStr">
        <is>
          <t>Bergvik skog väst AB</t>
        </is>
      </c>
      <c r="G7684" t="n">
        <v>5.8</v>
      </c>
      <c r="H7684" t="n">
        <v>0</v>
      </c>
      <c r="I7684" t="n">
        <v>0</v>
      </c>
      <c r="J7684" t="n">
        <v>0</v>
      </c>
      <c r="K7684" t="n">
        <v>0</v>
      </c>
      <c r="L7684" t="n">
        <v>0</v>
      </c>
      <c r="M7684" t="n">
        <v>0</v>
      </c>
      <c r="N7684" t="n">
        <v>0</v>
      </c>
      <c r="O7684" t="n">
        <v>0</v>
      </c>
      <c r="P7684" t="n">
        <v>0</v>
      </c>
      <c r="Q7684" t="n">
        <v>0</v>
      </c>
      <c r="R7684" s="2" t="inlineStr"/>
    </row>
    <row r="7685" ht="15" customHeight="1">
      <c r="A7685" t="inlineStr">
        <is>
          <t>A 33381-2023</t>
        </is>
      </c>
      <c r="B7685" s="1" t="n">
        <v>45128</v>
      </c>
      <c r="C7685" s="1" t="n">
        <v>45587</v>
      </c>
      <c r="D7685" t="inlineStr">
        <is>
          <t>GÄVLEBORGS LÄN</t>
        </is>
      </c>
      <c r="E7685" t="inlineStr">
        <is>
          <t>OCKELBO</t>
        </is>
      </c>
      <c r="F7685" t="inlineStr">
        <is>
          <t>Bergvik skog väst AB</t>
        </is>
      </c>
      <c r="G7685" t="n">
        <v>6.6</v>
      </c>
      <c r="H7685" t="n">
        <v>0</v>
      </c>
      <c r="I7685" t="n">
        <v>0</v>
      </c>
      <c r="J7685" t="n">
        <v>0</v>
      </c>
      <c r="K7685" t="n">
        <v>0</v>
      </c>
      <c r="L7685" t="n">
        <v>0</v>
      </c>
      <c r="M7685" t="n">
        <v>0</v>
      </c>
      <c r="N7685" t="n">
        <v>0</v>
      </c>
      <c r="O7685" t="n">
        <v>0</v>
      </c>
      <c r="P7685" t="n">
        <v>0</v>
      </c>
      <c r="Q7685" t="n">
        <v>0</v>
      </c>
      <c r="R7685" s="2" t="inlineStr"/>
    </row>
    <row r="7686" ht="15" customHeight="1">
      <c r="A7686" t="inlineStr">
        <is>
          <t>A 33493-2023</t>
        </is>
      </c>
      <c r="B7686" s="1" t="n">
        <v>45131</v>
      </c>
      <c r="C7686" s="1" t="n">
        <v>45587</v>
      </c>
      <c r="D7686" t="inlineStr">
        <is>
          <t>GÄVLEBORGS LÄN</t>
        </is>
      </c>
      <c r="E7686" t="inlineStr">
        <is>
          <t>LJUSDAL</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33478-2023</t>
        </is>
      </c>
      <c r="B7687" s="1" t="n">
        <v>45131</v>
      </c>
      <c r="C7687" s="1" t="n">
        <v>45587</v>
      </c>
      <c r="D7687" t="inlineStr">
        <is>
          <t>GÄVLEBORGS LÄN</t>
        </is>
      </c>
      <c r="E7687" t="inlineStr">
        <is>
          <t>NORDANSTIG</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33583-2023</t>
        </is>
      </c>
      <c r="B7688" s="1" t="n">
        <v>45132</v>
      </c>
      <c r="C7688" s="1" t="n">
        <v>45587</v>
      </c>
      <c r="D7688" t="inlineStr">
        <is>
          <t>GÄVLEBORGS LÄN</t>
        </is>
      </c>
      <c r="E7688" t="inlineStr">
        <is>
          <t>SÖDERHAMN</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33593-2023</t>
        </is>
      </c>
      <c r="B7689" s="1" t="n">
        <v>45132</v>
      </c>
      <c r="C7689" s="1" t="n">
        <v>45587</v>
      </c>
      <c r="D7689" t="inlineStr">
        <is>
          <t>GÄVLEBORGS LÄN</t>
        </is>
      </c>
      <c r="E7689" t="inlineStr">
        <is>
          <t>BOLLNÄS</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33614-2023</t>
        </is>
      </c>
      <c r="B7690" s="1" t="n">
        <v>45132</v>
      </c>
      <c r="C7690" s="1" t="n">
        <v>45587</v>
      </c>
      <c r="D7690" t="inlineStr">
        <is>
          <t>GÄVLEBORGS LÄN</t>
        </is>
      </c>
      <c r="E7690" t="inlineStr">
        <is>
          <t>NORDANSTIG</t>
        </is>
      </c>
      <c r="F7690" t="inlineStr">
        <is>
          <t>Holmen skog AB</t>
        </is>
      </c>
      <c r="G7690" t="n">
        <v>5.5</v>
      </c>
      <c r="H7690" t="n">
        <v>0</v>
      </c>
      <c r="I7690" t="n">
        <v>0</v>
      </c>
      <c r="J7690" t="n">
        <v>0</v>
      </c>
      <c r="K7690" t="n">
        <v>0</v>
      </c>
      <c r="L7690" t="n">
        <v>0</v>
      </c>
      <c r="M7690" t="n">
        <v>0</v>
      </c>
      <c r="N7690" t="n">
        <v>0</v>
      </c>
      <c r="O7690" t="n">
        <v>0</v>
      </c>
      <c r="P7690" t="n">
        <v>0</v>
      </c>
      <c r="Q7690" t="n">
        <v>0</v>
      </c>
      <c r="R7690" s="2" t="inlineStr"/>
    </row>
    <row r="7691" ht="15" customHeight="1">
      <c r="A7691" t="inlineStr">
        <is>
          <t>A 33617-2023</t>
        </is>
      </c>
      <c r="B7691" s="1" t="n">
        <v>45132</v>
      </c>
      <c r="C7691" s="1" t="n">
        <v>45587</v>
      </c>
      <c r="D7691" t="inlineStr">
        <is>
          <t>GÄVLEBORGS LÄN</t>
        </is>
      </c>
      <c r="E7691" t="inlineStr">
        <is>
          <t>OCKELBO</t>
        </is>
      </c>
      <c r="F7691" t="inlineStr">
        <is>
          <t>Bergvik skog väst AB</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33688-2023</t>
        </is>
      </c>
      <c r="B7692" s="1" t="n">
        <v>45132</v>
      </c>
      <c r="C7692" s="1" t="n">
        <v>45587</v>
      </c>
      <c r="D7692" t="inlineStr">
        <is>
          <t>GÄVLEBORGS LÄN</t>
        </is>
      </c>
      <c r="E7692" t="inlineStr">
        <is>
          <t>LJUSDAL</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33704-2023</t>
        </is>
      </c>
      <c r="B7693" s="1" t="n">
        <v>45132</v>
      </c>
      <c r="C7693" s="1" t="n">
        <v>45587</v>
      </c>
      <c r="D7693" t="inlineStr">
        <is>
          <t>GÄVLEBORGS LÄN</t>
        </is>
      </c>
      <c r="E7693" t="inlineStr">
        <is>
          <t>HUDIKSVALL</t>
        </is>
      </c>
      <c r="G7693" t="n">
        <v>7.8</v>
      </c>
      <c r="H7693" t="n">
        <v>0</v>
      </c>
      <c r="I7693" t="n">
        <v>0</v>
      </c>
      <c r="J7693" t="n">
        <v>0</v>
      </c>
      <c r="K7693" t="n">
        <v>0</v>
      </c>
      <c r="L7693" t="n">
        <v>0</v>
      </c>
      <c r="M7693" t="n">
        <v>0</v>
      </c>
      <c r="N7693" t="n">
        <v>0</v>
      </c>
      <c r="O7693" t="n">
        <v>0</v>
      </c>
      <c r="P7693" t="n">
        <v>0</v>
      </c>
      <c r="Q7693" t="n">
        <v>0</v>
      </c>
      <c r="R7693" s="2" t="inlineStr"/>
    </row>
    <row r="7694" ht="15" customHeight="1">
      <c r="A7694" t="inlineStr">
        <is>
          <t>A 33748-2023</t>
        </is>
      </c>
      <c r="B7694" s="1" t="n">
        <v>45133</v>
      </c>
      <c r="C7694" s="1" t="n">
        <v>45587</v>
      </c>
      <c r="D7694" t="inlineStr">
        <is>
          <t>GÄVLEBORGS LÄN</t>
        </is>
      </c>
      <c r="E7694" t="inlineStr">
        <is>
          <t>OVANÅKER</t>
        </is>
      </c>
      <c r="F7694" t="inlineStr">
        <is>
          <t>Bergvik skog väst AB</t>
        </is>
      </c>
      <c r="G7694" t="n">
        <v>10.2</v>
      </c>
      <c r="H7694" t="n">
        <v>0</v>
      </c>
      <c r="I7694" t="n">
        <v>0</v>
      </c>
      <c r="J7694" t="n">
        <v>0</v>
      </c>
      <c r="K7694" t="n">
        <v>0</v>
      </c>
      <c r="L7694" t="n">
        <v>0</v>
      </c>
      <c r="M7694" t="n">
        <v>0</v>
      </c>
      <c r="N7694" t="n">
        <v>0</v>
      </c>
      <c r="O7694" t="n">
        <v>0</v>
      </c>
      <c r="P7694" t="n">
        <v>0</v>
      </c>
      <c r="Q7694" t="n">
        <v>0</v>
      </c>
      <c r="R7694" s="2" t="inlineStr"/>
    </row>
    <row r="7695" ht="15" customHeight="1">
      <c r="A7695" t="inlineStr">
        <is>
          <t>A 33786-2023</t>
        </is>
      </c>
      <c r="B7695" s="1" t="n">
        <v>45133</v>
      </c>
      <c r="C7695" s="1" t="n">
        <v>45587</v>
      </c>
      <c r="D7695" t="inlineStr">
        <is>
          <t>GÄVLEBORGS LÄN</t>
        </is>
      </c>
      <c r="E7695" t="inlineStr">
        <is>
          <t>GÄVLE</t>
        </is>
      </c>
      <c r="G7695" t="n">
        <v>5.8</v>
      </c>
      <c r="H7695" t="n">
        <v>0</v>
      </c>
      <c r="I7695" t="n">
        <v>0</v>
      </c>
      <c r="J7695" t="n">
        <v>0</v>
      </c>
      <c r="K7695" t="n">
        <v>0</v>
      </c>
      <c r="L7695" t="n">
        <v>0</v>
      </c>
      <c r="M7695" t="n">
        <v>0</v>
      </c>
      <c r="N7695" t="n">
        <v>0</v>
      </c>
      <c r="O7695" t="n">
        <v>0</v>
      </c>
      <c r="P7695" t="n">
        <v>0</v>
      </c>
      <c r="Q7695" t="n">
        <v>0</v>
      </c>
      <c r="R7695" s="2" t="inlineStr"/>
    </row>
    <row r="7696" ht="15" customHeight="1">
      <c r="A7696" t="inlineStr">
        <is>
          <t>A 33802-2023</t>
        </is>
      </c>
      <c r="B7696" s="1" t="n">
        <v>45133</v>
      </c>
      <c r="C7696" s="1" t="n">
        <v>45587</v>
      </c>
      <c r="D7696" t="inlineStr">
        <is>
          <t>GÄVLEBORGS LÄN</t>
        </is>
      </c>
      <c r="E7696" t="inlineStr">
        <is>
          <t>LJUSDAL</t>
        </is>
      </c>
      <c r="F7696" t="inlineStr">
        <is>
          <t>Bergvik skog väst AB</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33784-2023</t>
        </is>
      </c>
      <c r="B7697" s="1" t="n">
        <v>45133</v>
      </c>
      <c r="C7697" s="1" t="n">
        <v>45587</v>
      </c>
      <c r="D7697" t="inlineStr">
        <is>
          <t>GÄVLEBORGS LÄN</t>
        </is>
      </c>
      <c r="E7697" t="inlineStr">
        <is>
          <t>GÄVLE</t>
        </is>
      </c>
      <c r="G7697" t="n">
        <v>5.1</v>
      </c>
      <c r="H7697" t="n">
        <v>0</v>
      </c>
      <c r="I7697" t="n">
        <v>0</v>
      </c>
      <c r="J7697" t="n">
        <v>0</v>
      </c>
      <c r="K7697" t="n">
        <v>0</v>
      </c>
      <c r="L7697" t="n">
        <v>0</v>
      </c>
      <c r="M7697" t="n">
        <v>0</v>
      </c>
      <c r="N7697" t="n">
        <v>0</v>
      </c>
      <c r="O7697" t="n">
        <v>0</v>
      </c>
      <c r="P7697" t="n">
        <v>0</v>
      </c>
      <c r="Q7697" t="n">
        <v>0</v>
      </c>
      <c r="R7697" s="2" t="inlineStr"/>
    </row>
    <row r="7698" ht="15" customHeight="1">
      <c r="A7698" t="inlineStr">
        <is>
          <t>A 33790-2023</t>
        </is>
      </c>
      <c r="B7698" s="1" t="n">
        <v>45133</v>
      </c>
      <c r="C7698" s="1" t="n">
        <v>45587</v>
      </c>
      <c r="D7698" t="inlineStr">
        <is>
          <t>GÄVLEBORGS LÄN</t>
        </is>
      </c>
      <c r="E7698" t="inlineStr">
        <is>
          <t>GÄVLE</t>
        </is>
      </c>
      <c r="G7698" t="n">
        <v>5.2</v>
      </c>
      <c r="H7698" t="n">
        <v>0</v>
      </c>
      <c r="I7698" t="n">
        <v>0</v>
      </c>
      <c r="J7698" t="n">
        <v>0</v>
      </c>
      <c r="K7698" t="n">
        <v>0</v>
      </c>
      <c r="L7698" t="n">
        <v>0</v>
      </c>
      <c r="M7698" t="n">
        <v>0</v>
      </c>
      <c r="N7698" t="n">
        <v>0</v>
      </c>
      <c r="O7698" t="n">
        <v>0</v>
      </c>
      <c r="P7698" t="n">
        <v>0</v>
      </c>
      <c r="Q7698" t="n">
        <v>0</v>
      </c>
      <c r="R7698" s="2" t="inlineStr"/>
    </row>
    <row r="7699" ht="15" customHeight="1">
      <c r="A7699" t="inlineStr">
        <is>
          <t>A 33749-2023</t>
        </is>
      </c>
      <c r="B7699" s="1" t="n">
        <v>45133</v>
      </c>
      <c r="C7699" s="1" t="n">
        <v>45587</v>
      </c>
      <c r="D7699" t="inlineStr">
        <is>
          <t>GÄVLEBORGS LÄN</t>
        </is>
      </c>
      <c r="E7699" t="inlineStr">
        <is>
          <t>OVANÅKER</t>
        </is>
      </c>
      <c r="F7699" t="inlineStr">
        <is>
          <t>Bergvik skog väst AB</t>
        </is>
      </c>
      <c r="G7699" t="n">
        <v>12.3</v>
      </c>
      <c r="H7699" t="n">
        <v>0</v>
      </c>
      <c r="I7699" t="n">
        <v>0</v>
      </c>
      <c r="J7699" t="n">
        <v>0</v>
      </c>
      <c r="K7699" t="n">
        <v>0</v>
      </c>
      <c r="L7699" t="n">
        <v>0</v>
      </c>
      <c r="M7699" t="n">
        <v>0</v>
      </c>
      <c r="N7699" t="n">
        <v>0</v>
      </c>
      <c r="O7699" t="n">
        <v>0</v>
      </c>
      <c r="P7699" t="n">
        <v>0</v>
      </c>
      <c r="Q7699" t="n">
        <v>0</v>
      </c>
      <c r="R7699" s="2" t="inlineStr"/>
    </row>
    <row r="7700" ht="15" customHeight="1">
      <c r="A7700" t="inlineStr">
        <is>
          <t>A 33766-2023</t>
        </is>
      </c>
      <c r="B7700" s="1" t="n">
        <v>45133</v>
      </c>
      <c r="C7700" s="1" t="n">
        <v>45587</v>
      </c>
      <c r="D7700" t="inlineStr">
        <is>
          <t>GÄVLEBORGS LÄN</t>
        </is>
      </c>
      <c r="E7700" t="inlineStr">
        <is>
          <t>LJUSDAL</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33819-2023</t>
        </is>
      </c>
      <c r="B7701" s="1" t="n">
        <v>45133</v>
      </c>
      <c r="C7701" s="1" t="n">
        <v>45587</v>
      </c>
      <c r="D7701" t="inlineStr">
        <is>
          <t>GÄVLEBORGS LÄN</t>
        </is>
      </c>
      <c r="E7701" t="inlineStr">
        <is>
          <t>LJUSDAL</t>
        </is>
      </c>
      <c r="F7701" t="inlineStr">
        <is>
          <t>Holmen skog AB</t>
        </is>
      </c>
      <c r="G7701" t="n">
        <v>8</v>
      </c>
      <c r="H7701" t="n">
        <v>0</v>
      </c>
      <c r="I7701" t="n">
        <v>0</v>
      </c>
      <c r="J7701" t="n">
        <v>0</v>
      </c>
      <c r="K7701" t="n">
        <v>0</v>
      </c>
      <c r="L7701" t="n">
        <v>0</v>
      </c>
      <c r="M7701" t="n">
        <v>0</v>
      </c>
      <c r="N7701" t="n">
        <v>0</v>
      </c>
      <c r="O7701" t="n">
        <v>0</v>
      </c>
      <c r="P7701" t="n">
        <v>0</v>
      </c>
      <c r="Q7701" t="n">
        <v>0</v>
      </c>
      <c r="R7701" s="2" t="inlineStr"/>
    </row>
    <row r="7702" ht="15" customHeight="1">
      <c r="A7702" t="inlineStr">
        <is>
          <t>A 33853-2023</t>
        </is>
      </c>
      <c r="B7702" s="1" t="n">
        <v>45133</v>
      </c>
      <c r="C7702" s="1" t="n">
        <v>45587</v>
      </c>
      <c r="D7702" t="inlineStr">
        <is>
          <t>GÄVLEBORGS LÄN</t>
        </is>
      </c>
      <c r="E7702" t="inlineStr">
        <is>
          <t>SANDVIKEN</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33850-2023</t>
        </is>
      </c>
      <c r="B7703" s="1" t="n">
        <v>45133</v>
      </c>
      <c r="C7703" s="1" t="n">
        <v>45587</v>
      </c>
      <c r="D7703" t="inlineStr">
        <is>
          <t>GÄVLEBORGS LÄN</t>
        </is>
      </c>
      <c r="E7703" t="inlineStr">
        <is>
          <t>LJUSDAL</t>
        </is>
      </c>
      <c r="F7703" t="inlineStr">
        <is>
          <t>Holmen skog AB</t>
        </is>
      </c>
      <c r="G7703" t="n">
        <v>5.4</v>
      </c>
      <c r="H7703" t="n">
        <v>0</v>
      </c>
      <c r="I7703" t="n">
        <v>0</v>
      </c>
      <c r="J7703" t="n">
        <v>0</v>
      </c>
      <c r="K7703" t="n">
        <v>0</v>
      </c>
      <c r="L7703" t="n">
        <v>0</v>
      </c>
      <c r="M7703" t="n">
        <v>0</v>
      </c>
      <c r="N7703" t="n">
        <v>0</v>
      </c>
      <c r="O7703" t="n">
        <v>0</v>
      </c>
      <c r="P7703" t="n">
        <v>0</v>
      </c>
      <c r="Q7703" t="n">
        <v>0</v>
      </c>
      <c r="R7703" s="2" t="inlineStr"/>
    </row>
    <row r="7704" ht="15" customHeight="1">
      <c r="A7704" t="inlineStr">
        <is>
          <t>A 33795-2023</t>
        </is>
      </c>
      <c r="B7704" s="1" t="n">
        <v>45133</v>
      </c>
      <c r="C7704" s="1" t="n">
        <v>45587</v>
      </c>
      <c r="D7704" t="inlineStr">
        <is>
          <t>GÄVLEBORGS LÄN</t>
        </is>
      </c>
      <c r="E7704" t="inlineStr">
        <is>
          <t>LJUSDAL</t>
        </is>
      </c>
      <c r="F7704" t="inlineStr">
        <is>
          <t>Bergvik skog väst AB</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33881-2023</t>
        </is>
      </c>
      <c r="B7705" s="1" t="n">
        <v>45134</v>
      </c>
      <c r="C7705" s="1" t="n">
        <v>45587</v>
      </c>
      <c r="D7705" t="inlineStr">
        <is>
          <t>GÄVLEBORGS LÄN</t>
        </is>
      </c>
      <c r="E7705" t="inlineStr">
        <is>
          <t>OCKELBO</t>
        </is>
      </c>
      <c r="F7705" t="inlineStr">
        <is>
          <t>Bergvik skog väst AB</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33880-2023</t>
        </is>
      </c>
      <c r="B7706" s="1" t="n">
        <v>45134</v>
      </c>
      <c r="C7706" s="1" t="n">
        <v>45587</v>
      </c>
      <c r="D7706" t="inlineStr">
        <is>
          <t>GÄVLEBORGS LÄN</t>
        </is>
      </c>
      <c r="E7706" t="inlineStr">
        <is>
          <t>OCKELBO</t>
        </is>
      </c>
      <c r="F7706" t="inlineStr">
        <is>
          <t>Bergvik skog väst AB</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33882-2023</t>
        </is>
      </c>
      <c r="B7707" s="1" t="n">
        <v>45134</v>
      </c>
      <c r="C7707" s="1" t="n">
        <v>45587</v>
      </c>
      <c r="D7707" t="inlineStr">
        <is>
          <t>GÄVLEBORGS LÄN</t>
        </is>
      </c>
      <c r="E7707" t="inlineStr">
        <is>
          <t>OCKELBO</t>
        </is>
      </c>
      <c r="F7707" t="inlineStr">
        <is>
          <t>Bergvik skog väst AB</t>
        </is>
      </c>
      <c r="G7707" t="n">
        <v>10.1</v>
      </c>
      <c r="H7707" t="n">
        <v>0</v>
      </c>
      <c r="I7707" t="n">
        <v>0</v>
      </c>
      <c r="J7707" t="n">
        <v>0</v>
      </c>
      <c r="K7707" t="n">
        <v>0</v>
      </c>
      <c r="L7707" t="n">
        <v>0</v>
      </c>
      <c r="M7707" t="n">
        <v>0</v>
      </c>
      <c r="N7707" t="n">
        <v>0</v>
      </c>
      <c r="O7707" t="n">
        <v>0</v>
      </c>
      <c r="P7707" t="n">
        <v>0</v>
      </c>
      <c r="Q7707" t="n">
        <v>0</v>
      </c>
      <c r="R7707" s="2" t="inlineStr"/>
    </row>
    <row r="7708" ht="15" customHeight="1">
      <c r="A7708" t="inlineStr">
        <is>
          <t>A 33895-2023</t>
        </is>
      </c>
      <c r="B7708" s="1" t="n">
        <v>45134</v>
      </c>
      <c r="C7708" s="1" t="n">
        <v>45587</v>
      </c>
      <c r="D7708" t="inlineStr">
        <is>
          <t>GÄVLEBORGS LÄN</t>
        </is>
      </c>
      <c r="E7708" t="inlineStr">
        <is>
          <t>OCKELBO</t>
        </is>
      </c>
      <c r="G7708" t="n">
        <v>12.6</v>
      </c>
      <c r="H7708" t="n">
        <v>0</v>
      </c>
      <c r="I7708" t="n">
        <v>0</v>
      </c>
      <c r="J7708" t="n">
        <v>0</v>
      </c>
      <c r="K7708" t="n">
        <v>0</v>
      </c>
      <c r="L7708" t="n">
        <v>0</v>
      </c>
      <c r="M7708" t="n">
        <v>0</v>
      </c>
      <c r="N7708" t="n">
        <v>0</v>
      </c>
      <c r="O7708" t="n">
        <v>0</v>
      </c>
      <c r="P7708" t="n">
        <v>0</v>
      </c>
      <c r="Q7708" t="n">
        <v>0</v>
      </c>
      <c r="R7708" s="2" t="inlineStr"/>
    </row>
    <row r="7709" ht="15" customHeight="1">
      <c r="A7709" t="inlineStr">
        <is>
          <t>A 33879-2023</t>
        </is>
      </c>
      <c r="B7709" s="1" t="n">
        <v>45134</v>
      </c>
      <c r="C7709" s="1" t="n">
        <v>45587</v>
      </c>
      <c r="D7709" t="inlineStr">
        <is>
          <t>GÄVLEBORGS LÄN</t>
        </is>
      </c>
      <c r="E7709" t="inlineStr">
        <is>
          <t>OCKELBO</t>
        </is>
      </c>
      <c r="F7709" t="inlineStr">
        <is>
          <t>Bergvik skog väst AB</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33928-2023</t>
        </is>
      </c>
      <c r="B7710" s="1" t="n">
        <v>45134</v>
      </c>
      <c r="C7710" s="1" t="n">
        <v>45587</v>
      </c>
      <c r="D7710" t="inlineStr">
        <is>
          <t>GÄVLEBORGS LÄN</t>
        </is>
      </c>
      <c r="E7710" t="inlineStr">
        <is>
          <t>SÖDERHAMN</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33985-2023</t>
        </is>
      </c>
      <c r="B7711" s="1" t="n">
        <v>45134</v>
      </c>
      <c r="C7711" s="1" t="n">
        <v>45587</v>
      </c>
      <c r="D7711" t="inlineStr">
        <is>
          <t>GÄVLEBORGS LÄN</t>
        </is>
      </c>
      <c r="E7711" t="inlineStr">
        <is>
          <t>OCKELBO</t>
        </is>
      </c>
      <c r="F7711" t="inlineStr">
        <is>
          <t>Bergvik skog väst AB</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33986-2023</t>
        </is>
      </c>
      <c r="B7712" s="1" t="n">
        <v>45134</v>
      </c>
      <c r="C7712" s="1" t="n">
        <v>45587</v>
      </c>
      <c r="D7712" t="inlineStr">
        <is>
          <t>GÄVLEBORGS LÄN</t>
        </is>
      </c>
      <c r="E7712" t="inlineStr">
        <is>
          <t>OCKELBO</t>
        </is>
      </c>
      <c r="F7712" t="inlineStr">
        <is>
          <t>Bergvik skog väst AB</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33987-2023</t>
        </is>
      </c>
      <c r="B7713" s="1" t="n">
        <v>45134</v>
      </c>
      <c r="C7713" s="1" t="n">
        <v>45587</v>
      </c>
      <c r="D7713" t="inlineStr">
        <is>
          <t>GÄVLEBORGS LÄN</t>
        </is>
      </c>
      <c r="E7713" t="inlineStr">
        <is>
          <t>OCKELBO</t>
        </is>
      </c>
      <c r="F7713" t="inlineStr">
        <is>
          <t>Bergvik skog väst AB</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34088-2023</t>
        </is>
      </c>
      <c r="B7714" s="1" t="n">
        <v>45135</v>
      </c>
      <c r="C7714" s="1" t="n">
        <v>45587</v>
      </c>
      <c r="D7714" t="inlineStr">
        <is>
          <t>GÄVLEBORGS LÄN</t>
        </is>
      </c>
      <c r="E7714" t="inlineStr">
        <is>
          <t>LJUSDAL</t>
        </is>
      </c>
      <c r="F7714" t="inlineStr">
        <is>
          <t>Holmen skog AB</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34094-2023</t>
        </is>
      </c>
      <c r="B7715" s="1" t="n">
        <v>45135</v>
      </c>
      <c r="C7715" s="1" t="n">
        <v>45587</v>
      </c>
      <c r="D7715" t="inlineStr">
        <is>
          <t>GÄVLEBORGS LÄN</t>
        </is>
      </c>
      <c r="E7715" t="inlineStr">
        <is>
          <t>LJUSDAL</t>
        </is>
      </c>
      <c r="F7715" t="inlineStr">
        <is>
          <t>Holmen skog AB</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34103-2023</t>
        </is>
      </c>
      <c r="B7716" s="1" t="n">
        <v>45135</v>
      </c>
      <c r="C7716" s="1" t="n">
        <v>45587</v>
      </c>
      <c r="D7716" t="inlineStr">
        <is>
          <t>GÄVLEBORGS LÄN</t>
        </is>
      </c>
      <c r="E7716" t="inlineStr">
        <is>
          <t>LJUSDAL</t>
        </is>
      </c>
      <c r="F7716" t="inlineStr">
        <is>
          <t>Holmen skog AB</t>
        </is>
      </c>
      <c r="G7716" t="n">
        <v>4.4</v>
      </c>
      <c r="H7716" t="n">
        <v>0</v>
      </c>
      <c r="I7716" t="n">
        <v>0</v>
      </c>
      <c r="J7716" t="n">
        <v>0</v>
      </c>
      <c r="K7716" t="n">
        <v>0</v>
      </c>
      <c r="L7716" t="n">
        <v>0</v>
      </c>
      <c r="M7716" t="n">
        <v>0</v>
      </c>
      <c r="N7716" t="n">
        <v>0</v>
      </c>
      <c r="O7716" t="n">
        <v>0</v>
      </c>
      <c r="P7716" t="n">
        <v>0</v>
      </c>
      <c r="Q7716" t="n">
        <v>0</v>
      </c>
      <c r="R7716" s="2" t="inlineStr"/>
    </row>
    <row r="7717" ht="15" customHeight="1">
      <c r="A7717" t="inlineStr">
        <is>
          <t>A 34110-2023</t>
        </is>
      </c>
      <c r="B7717" s="1" t="n">
        <v>45135</v>
      </c>
      <c r="C7717" s="1" t="n">
        <v>45587</v>
      </c>
      <c r="D7717" t="inlineStr">
        <is>
          <t>GÄVLEBORGS LÄN</t>
        </is>
      </c>
      <c r="E7717" t="inlineStr">
        <is>
          <t>OCKELBO</t>
        </is>
      </c>
      <c r="G7717" t="n">
        <v>4.2</v>
      </c>
      <c r="H7717" t="n">
        <v>0</v>
      </c>
      <c r="I7717" t="n">
        <v>0</v>
      </c>
      <c r="J7717" t="n">
        <v>0</v>
      </c>
      <c r="K7717" t="n">
        <v>0</v>
      </c>
      <c r="L7717" t="n">
        <v>0</v>
      </c>
      <c r="M7717" t="n">
        <v>0</v>
      </c>
      <c r="N7717" t="n">
        <v>0</v>
      </c>
      <c r="O7717" t="n">
        <v>0</v>
      </c>
      <c r="P7717" t="n">
        <v>0</v>
      </c>
      <c r="Q7717" t="n">
        <v>0</v>
      </c>
      <c r="R7717" s="2" t="inlineStr"/>
    </row>
    <row r="7718" ht="15" customHeight="1">
      <c r="A7718" t="inlineStr">
        <is>
          <t>A 34113-2023</t>
        </is>
      </c>
      <c r="B7718" s="1" t="n">
        <v>45135</v>
      </c>
      <c r="C7718" s="1" t="n">
        <v>45587</v>
      </c>
      <c r="D7718" t="inlineStr">
        <is>
          <t>GÄVLEBORGS LÄN</t>
        </is>
      </c>
      <c r="E7718" t="inlineStr">
        <is>
          <t>LJUSDAL</t>
        </is>
      </c>
      <c r="F7718" t="inlineStr">
        <is>
          <t>Holmen skog AB</t>
        </is>
      </c>
      <c r="G7718" t="n">
        <v>6.6</v>
      </c>
      <c r="H7718" t="n">
        <v>0</v>
      </c>
      <c r="I7718" t="n">
        <v>0</v>
      </c>
      <c r="J7718" t="n">
        <v>0</v>
      </c>
      <c r="K7718" t="n">
        <v>0</v>
      </c>
      <c r="L7718" t="n">
        <v>0</v>
      </c>
      <c r="M7718" t="n">
        <v>0</v>
      </c>
      <c r="N7718" t="n">
        <v>0</v>
      </c>
      <c r="O7718" t="n">
        <v>0</v>
      </c>
      <c r="P7718" t="n">
        <v>0</v>
      </c>
      <c r="Q7718" t="n">
        <v>0</v>
      </c>
      <c r="R7718" s="2" t="inlineStr"/>
    </row>
    <row r="7719" ht="15" customHeight="1">
      <c r="A7719" t="inlineStr">
        <is>
          <t>A 34235-2023</t>
        </is>
      </c>
      <c r="B7719" s="1" t="n">
        <v>45138</v>
      </c>
      <c r="C7719" s="1" t="n">
        <v>45587</v>
      </c>
      <c r="D7719" t="inlineStr">
        <is>
          <t>GÄVLEBORGS LÄN</t>
        </is>
      </c>
      <c r="E7719" t="inlineStr">
        <is>
          <t>GÄVLE</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34217-2023</t>
        </is>
      </c>
      <c r="B7720" s="1" t="n">
        <v>45138</v>
      </c>
      <c r="C7720" s="1" t="n">
        <v>45587</v>
      </c>
      <c r="D7720" t="inlineStr">
        <is>
          <t>GÄVLEBORGS LÄN</t>
        </is>
      </c>
      <c r="E7720" t="inlineStr">
        <is>
          <t>HOFORS</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34242-2023</t>
        </is>
      </c>
      <c r="B7721" s="1" t="n">
        <v>45138</v>
      </c>
      <c r="C7721" s="1" t="n">
        <v>45587</v>
      </c>
      <c r="D7721" t="inlineStr">
        <is>
          <t>GÄVLEBORGS LÄN</t>
        </is>
      </c>
      <c r="E7721" t="inlineStr">
        <is>
          <t>HOFORS</t>
        </is>
      </c>
      <c r="F7721" t="inlineStr">
        <is>
          <t>Sveaskog</t>
        </is>
      </c>
      <c r="G7721" t="n">
        <v>7</v>
      </c>
      <c r="H7721" t="n">
        <v>0</v>
      </c>
      <c r="I7721" t="n">
        <v>0</v>
      </c>
      <c r="J7721" t="n">
        <v>0</v>
      </c>
      <c r="K7721" t="n">
        <v>0</v>
      </c>
      <c r="L7721" t="n">
        <v>0</v>
      </c>
      <c r="M7721" t="n">
        <v>0</v>
      </c>
      <c r="N7721" t="n">
        <v>0</v>
      </c>
      <c r="O7721" t="n">
        <v>0</v>
      </c>
      <c r="P7721" t="n">
        <v>0</v>
      </c>
      <c r="Q7721" t="n">
        <v>0</v>
      </c>
      <c r="R7721" s="2" t="inlineStr"/>
    </row>
    <row r="7722" ht="15" customHeight="1">
      <c r="A7722" t="inlineStr">
        <is>
          <t>A 34246-2023</t>
        </is>
      </c>
      <c r="B7722" s="1" t="n">
        <v>45138</v>
      </c>
      <c r="C7722" s="1" t="n">
        <v>45587</v>
      </c>
      <c r="D7722" t="inlineStr">
        <is>
          <t>GÄVLEBORGS LÄN</t>
        </is>
      </c>
      <c r="E7722" t="inlineStr">
        <is>
          <t>HOFORS</t>
        </is>
      </c>
      <c r="F7722" t="inlineStr">
        <is>
          <t>Sveaskog</t>
        </is>
      </c>
      <c r="G7722" t="n">
        <v>5.6</v>
      </c>
      <c r="H7722" t="n">
        <v>0</v>
      </c>
      <c r="I7722" t="n">
        <v>0</v>
      </c>
      <c r="J7722" t="n">
        <v>0</v>
      </c>
      <c r="K7722" t="n">
        <v>0</v>
      </c>
      <c r="L7722" t="n">
        <v>0</v>
      </c>
      <c r="M7722" t="n">
        <v>0</v>
      </c>
      <c r="N7722" t="n">
        <v>0</v>
      </c>
      <c r="O7722" t="n">
        <v>0</v>
      </c>
      <c r="P7722" t="n">
        <v>0</v>
      </c>
      <c r="Q7722" t="n">
        <v>0</v>
      </c>
      <c r="R7722" s="2" t="inlineStr"/>
    </row>
    <row r="7723" ht="15" customHeight="1">
      <c r="A7723" t="inlineStr">
        <is>
          <t>A 34168-2023</t>
        </is>
      </c>
      <c r="B7723" s="1" t="n">
        <v>45138</v>
      </c>
      <c r="C7723" s="1" t="n">
        <v>45587</v>
      </c>
      <c r="D7723" t="inlineStr">
        <is>
          <t>GÄVLEBORGS LÄN</t>
        </is>
      </c>
      <c r="E7723" t="inlineStr">
        <is>
          <t>LJUSDAL</t>
        </is>
      </c>
      <c r="F7723" t="inlineStr">
        <is>
          <t>Allmännings- och besparingsskogar</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34245-2023</t>
        </is>
      </c>
      <c r="B7724" s="1" t="n">
        <v>45138</v>
      </c>
      <c r="C7724" s="1" t="n">
        <v>45587</v>
      </c>
      <c r="D7724" t="inlineStr">
        <is>
          <t>GÄVLEBORGS LÄN</t>
        </is>
      </c>
      <c r="E7724" t="inlineStr">
        <is>
          <t>HOFORS</t>
        </is>
      </c>
      <c r="F7724" t="inlineStr">
        <is>
          <t>Sveaskog</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34233-2023</t>
        </is>
      </c>
      <c r="B7725" s="1" t="n">
        <v>45138</v>
      </c>
      <c r="C7725" s="1" t="n">
        <v>45587</v>
      </c>
      <c r="D7725" t="inlineStr">
        <is>
          <t>GÄVLEBORGS LÄN</t>
        </is>
      </c>
      <c r="E7725" t="inlineStr">
        <is>
          <t>GÄVLE</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34247-2023</t>
        </is>
      </c>
      <c r="B7726" s="1" t="n">
        <v>45138</v>
      </c>
      <c r="C7726" s="1" t="n">
        <v>45587</v>
      </c>
      <c r="D7726" t="inlineStr">
        <is>
          <t>GÄVLEBORGS LÄN</t>
        </is>
      </c>
      <c r="E7726" t="inlineStr">
        <is>
          <t>HOFORS</t>
        </is>
      </c>
      <c r="F7726" t="inlineStr">
        <is>
          <t>Sveaskog</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34302-2023</t>
        </is>
      </c>
      <c r="B7727" s="1" t="n">
        <v>45138</v>
      </c>
      <c r="C7727" s="1" t="n">
        <v>45587</v>
      </c>
      <c r="D7727" t="inlineStr">
        <is>
          <t>GÄVLEBORGS LÄN</t>
        </is>
      </c>
      <c r="E7727" t="inlineStr">
        <is>
          <t>BOLLNÄS</t>
        </is>
      </c>
      <c r="G7727" t="n">
        <v>22.3</v>
      </c>
      <c r="H7727" t="n">
        <v>0</v>
      </c>
      <c r="I7727" t="n">
        <v>0</v>
      </c>
      <c r="J7727" t="n">
        <v>0</v>
      </c>
      <c r="K7727" t="n">
        <v>0</v>
      </c>
      <c r="L7727" t="n">
        <v>0</v>
      </c>
      <c r="M7727" t="n">
        <v>0</v>
      </c>
      <c r="N7727" t="n">
        <v>0</v>
      </c>
      <c r="O7727" t="n">
        <v>0</v>
      </c>
      <c r="P7727" t="n">
        <v>0</v>
      </c>
      <c r="Q7727" t="n">
        <v>0</v>
      </c>
      <c r="R7727" s="2" t="inlineStr"/>
    </row>
    <row r="7728" ht="15" customHeight="1">
      <c r="A7728" t="inlineStr">
        <is>
          <t>A 34303-2023</t>
        </is>
      </c>
      <c r="B7728" s="1" t="n">
        <v>45138</v>
      </c>
      <c r="C7728" s="1" t="n">
        <v>45587</v>
      </c>
      <c r="D7728" t="inlineStr">
        <is>
          <t>GÄVLEBORGS LÄN</t>
        </is>
      </c>
      <c r="E7728" t="inlineStr">
        <is>
          <t>BOLLNÄS</t>
        </is>
      </c>
      <c r="G7728" t="n">
        <v>7.7</v>
      </c>
      <c r="H7728" t="n">
        <v>0</v>
      </c>
      <c r="I7728" t="n">
        <v>0</v>
      </c>
      <c r="J7728" t="n">
        <v>0</v>
      </c>
      <c r="K7728" t="n">
        <v>0</v>
      </c>
      <c r="L7728" t="n">
        <v>0</v>
      </c>
      <c r="M7728" t="n">
        <v>0</v>
      </c>
      <c r="N7728" t="n">
        <v>0</v>
      </c>
      <c r="O7728" t="n">
        <v>0</v>
      </c>
      <c r="P7728" t="n">
        <v>0</v>
      </c>
      <c r="Q7728" t="n">
        <v>0</v>
      </c>
      <c r="R7728" s="2" t="inlineStr"/>
    </row>
    <row r="7729" ht="15" customHeight="1">
      <c r="A7729" t="inlineStr">
        <is>
          <t>A 34339-2023</t>
        </is>
      </c>
      <c r="B7729" s="1" t="n">
        <v>45139</v>
      </c>
      <c r="C7729" s="1" t="n">
        <v>45587</v>
      </c>
      <c r="D7729" t="inlineStr">
        <is>
          <t>GÄVLEBORGS LÄN</t>
        </is>
      </c>
      <c r="E7729" t="inlineStr">
        <is>
          <t>NORDANSTIG</t>
        </is>
      </c>
      <c r="F7729" t="inlineStr">
        <is>
          <t>Holmen skog AB</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34363-2023</t>
        </is>
      </c>
      <c r="B7730" s="1" t="n">
        <v>45139</v>
      </c>
      <c r="C7730" s="1" t="n">
        <v>45587</v>
      </c>
      <c r="D7730" t="inlineStr">
        <is>
          <t>GÄVLEBORGS LÄN</t>
        </is>
      </c>
      <c r="E7730" t="inlineStr">
        <is>
          <t>LJUSDAL</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34338-2023</t>
        </is>
      </c>
      <c r="B7731" s="1" t="n">
        <v>45139</v>
      </c>
      <c r="C7731" s="1" t="n">
        <v>45587</v>
      </c>
      <c r="D7731" t="inlineStr">
        <is>
          <t>GÄVLEBORGS LÄN</t>
        </is>
      </c>
      <c r="E7731" t="inlineStr">
        <is>
          <t>OVANÅKER</t>
        </is>
      </c>
      <c r="F7731" t="inlineStr">
        <is>
          <t>Bergvik skog väst AB</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34440-2023</t>
        </is>
      </c>
      <c r="B7732" s="1" t="n">
        <v>45139</v>
      </c>
      <c r="C7732" s="1" t="n">
        <v>45587</v>
      </c>
      <c r="D7732" t="inlineStr">
        <is>
          <t>GÄVLEBORGS LÄN</t>
        </is>
      </c>
      <c r="E7732" t="inlineStr">
        <is>
          <t>OCKELBO</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34444-2023</t>
        </is>
      </c>
      <c r="B7733" s="1" t="n">
        <v>45139</v>
      </c>
      <c r="C7733" s="1" t="n">
        <v>45587</v>
      </c>
      <c r="D7733" t="inlineStr">
        <is>
          <t>GÄVLEBORGS LÄN</t>
        </is>
      </c>
      <c r="E7733" t="inlineStr">
        <is>
          <t>OCKELBO</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34449-2023</t>
        </is>
      </c>
      <c r="B7734" s="1" t="n">
        <v>45139</v>
      </c>
      <c r="C7734" s="1" t="n">
        <v>45587</v>
      </c>
      <c r="D7734" t="inlineStr">
        <is>
          <t>GÄVLEBORGS LÄN</t>
        </is>
      </c>
      <c r="E7734" t="inlineStr">
        <is>
          <t>OCKELBO</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34499-2023</t>
        </is>
      </c>
      <c r="B7735" s="1" t="n">
        <v>45140</v>
      </c>
      <c r="C7735" s="1" t="n">
        <v>45587</v>
      </c>
      <c r="D7735" t="inlineStr">
        <is>
          <t>GÄVLEBORGS LÄN</t>
        </is>
      </c>
      <c r="E7735" t="inlineStr">
        <is>
          <t>NORDANSTIG</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34560-2023</t>
        </is>
      </c>
      <c r="B7736" s="1" t="n">
        <v>45140</v>
      </c>
      <c r="C7736" s="1" t="n">
        <v>45587</v>
      </c>
      <c r="D7736" t="inlineStr">
        <is>
          <t>GÄVLEBORGS LÄN</t>
        </is>
      </c>
      <c r="E7736" t="inlineStr">
        <is>
          <t>NORDANSTIG</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34523-2023</t>
        </is>
      </c>
      <c r="B7737" s="1" t="n">
        <v>45140</v>
      </c>
      <c r="C7737" s="1" t="n">
        <v>45587</v>
      </c>
      <c r="D7737" t="inlineStr">
        <is>
          <t>GÄVLEBORGS LÄN</t>
        </is>
      </c>
      <c r="E7737" t="inlineStr">
        <is>
          <t>BOLLNÄS</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34557-2023</t>
        </is>
      </c>
      <c r="B7738" s="1" t="n">
        <v>45140</v>
      </c>
      <c r="C7738" s="1" t="n">
        <v>45587</v>
      </c>
      <c r="D7738" t="inlineStr">
        <is>
          <t>GÄVLEBORGS LÄN</t>
        </is>
      </c>
      <c r="E7738" t="inlineStr">
        <is>
          <t>NORDANSTIG</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34757-2023</t>
        </is>
      </c>
      <c r="B7739" s="1" t="n">
        <v>45141</v>
      </c>
      <c r="C7739" s="1" t="n">
        <v>45587</v>
      </c>
      <c r="D7739" t="inlineStr">
        <is>
          <t>GÄVLEBORGS LÄN</t>
        </is>
      </c>
      <c r="E7739" t="inlineStr">
        <is>
          <t>HUDIKSVALL</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34790-2023</t>
        </is>
      </c>
      <c r="B7740" s="1" t="n">
        <v>45141</v>
      </c>
      <c r="C7740" s="1" t="n">
        <v>45587</v>
      </c>
      <c r="D7740" t="inlineStr">
        <is>
          <t>GÄVLEBORGS LÄN</t>
        </is>
      </c>
      <c r="E7740" t="inlineStr">
        <is>
          <t>GÄVLE</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34786-2023</t>
        </is>
      </c>
      <c r="B7741" s="1" t="n">
        <v>45141</v>
      </c>
      <c r="C7741" s="1" t="n">
        <v>45587</v>
      </c>
      <c r="D7741" t="inlineStr">
        <is>
          <t>GÄVLEBORGS LÄN</t>
        </is>
      </c>
      <c r="E7741" t="inlineStr">
        <is>
          <t>GÄVLE</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34814-2023</t>
        </is>
      </c>
      <c r="B7742" s="1" t="n">
        <v>45141</v>
      </c>
      <c r="C7742" s="1" t="n">
        <v>45587</v>
      </c>
      <c r="D7742" t="inlineStr">
        <is>
          <t>GÄVLEBORGS LÄN</t>
        </is>
      </c>
      <c r="E7742" t="inlineStr">
        <is>
          <t>LJUSDAL</t>
        </is>
      </c>
      <c r="G7742" t="n">
        <v>5.8</v>
      </c>
      <c r="H7742" t="n">
        <v>0</v>
      </c>
      <c r="I7742" t="n">
        <v>0</v>
      </c>
      <c r="J7742" t="n">
        <v>0</v>
      </c>
      <c r="K7742" t="n">
        <v>0</v>
      </c>
      <c r="L7742" t="n">
        <v>0</v>
      </c>
      <c r="M7742" t="n">
        <v>0</v>
      </c>
      <c r="N7742" t="n">
        <v>0</v>
      </c>
      <c r="O7742" t="n">
        <v>0</v>
      </c>
      <c r="P7742" t="n">
        <v>0</v>
      </c>
      <c r="Q7742" t="n">
        <v>0</v>
      </c>
      <c r="R7742" s="2" t="inlineStr"/>
    </row>
    <row r="7743" ht="15" customHeight="1">
      <c r="A7743" t="inlineStr">
        <is>
          <t>A 34842-2023</t>
        </is>
      </c>
      <c r="B7743" s="1" t="n">
        <v>45142</v>
      </c>
      <c r="C7743" s="1" t="n">
        <v>45587</v>
      </c>
      <c r="D7743" t="inlineStr">
        <is>
          <t>GÄVLEBORGS LÄN</t>
        </is>
      </c>
      <c r="E7743" t="inlineStr">
        <is>
          <t>NORDANSTIG</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34913-2023</t>
        </is>
      </c>
      <c r="B7744" s="1" t="n">
        <v>45142</v>
      </c>
      <c r="C7744" s="1" t="n">
        <v>45587</v>
      </c>
      <c r="D7744" t="inlineStr">
        <is>
          <t>GÄVLEBORGS LÄN</t>
        </is>
      </c>
      <c r="E7744" t="inlineStr">
        <is>
          <t>NORDANSTIG</t>
        </is>
      </c>
      <c r="F7744" t="inlineStr">
        <is>
          <t>Holmen skog AB</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34918-2023</t>
        </is>
      </c>
      <c r="B7745" s="1" t="n">
        <v>45142</v>
      </c>
      <c r="C7745" s="1" t="n">
        <v>45587</v>
      </c>
      <c r="D7745" t="inlineStr">
        <is>
          <t>GÄVLEBORGS LÄN</t>
        </is>
      </c>
      <c r="E7745" t="inlineStr">
        <is>
          <t>NORDANSTIG</t>
        </is>
      </c>
      <c r="F7745" t="inlineStr">
        <is>
          <t>Holmen skog AB</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34896-2023</t>
        </is>
      </c>
      <c r="B7746" s="1" t="n">
        <v>45142</v>
      </c>
      <c r="C7746" s="1" t="n">
        <v>45587</v>
      </c>
      <c r="D7746" t="inlineStr">
        <is>
          <t>GÄVLEBORGS LÄN</t>
        </is>
      </c>
      <c r="E7746" t="inlineStr">
        <is>
          <t>NORDANSTIG</t>
        </is>
      </c>
      <c r="F7746" t="inlineStr">
        <is>
          <t>Holmen skog AB</t>
        </is>
      </c>
      <c r="G7746" t="n">
        <v>4.6</v>
      </c>
      <c r="H7746" t="n">
        <v>0</v>
      </c>
      <c r="I7746" t="n">
        <v>0</v>
      </c>
      <c r="J7746" t="n">
        <v>0</v>
      </c>
      <c r="K7746" t="n">
        <v>0</v>
      </c>
      <c r="L7746" t="n">
        <v>0</v>
      </c>
      <c r="M7746" t="n">
        <v>0</v>
      </c>
      <c r="N7746" t="n">
        <v>0</v>
      </c>
      <c r="O7746" t="n">
        <v>0</v>
      </c>
      <c r="P7746" t="n">
        <v>0</v>
      </c>
      <c r="Q7746" t="n">
        <v>0</v>
      </c>
      <c r="R7746" s="2" t="inlineStr"/>
    </row>
    <row r="7747" ht="15" customHeight="1">
      <c r="A7747" t="inlineStr">
        <is>
          <t>A 35001-2023</t>
        </is>
      </c>
      <c r="B7747" s="1" t="n">
        <v>45143</v>
      </c>
      <c r="C7747" s="1" t="n">
        <v>45587</v>
      </c>
      <c r="D7747" t="inlineStr">
        <is>
          <t>GÄVLEBORGS LÄN</t>
        </is>
      </c>
      <c r="E7747" t="inlineStr">
        <is>
          <t>HUDIKSVALL</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34974-2023</t>
        </is>
      </c>
      <c r="B7748" s="1" t="n">
        <v>45142</v>
      </c>
      <c r="C7748" s="1" t="n">
        <v>45587</v>
      </c>
      <c r="D7748" t="inlineStr">
        <is>
          <t>GÄVLEBORGS LÄN</t>
        </is>
      </c>
      <c r="E7748" t="inlineStr">
        <is>
          <t>LJUSDAL</t>
        </is>
      </c>
      <c r="G7748" t="n">
        <v>7.2</v>
      </c>
      <c r="H7748" t="n">
        <v>0</v>
      </c>
      <c r="I7748" t="n">
        <v>0</v>
      </c>
      <c r="J7748" t="n">
        <v>0</v>
      </c>
      <c r="K7748" t="n">
        <v>0</v>
      </c>
      <c r="L7748" t="n">
        <v>0</v>
      </c>
      <c r="M7748" t="n">
        <v>0</v>
      </c>
      <c r="N7748" t="n">
        <v>0</v>
      </c>
      <c r="O7748" t="n">
        <v>0</v>
      </c>
      <c r="P7748" t="n">
        <v>0</v>
      </c>
      <c r="Q7748" t="n">
        <v>0</v>
      </c>
      <c r="R7748" s="2" t="inlineStr"/>
    </row>
    <row r="7749" ht="15" customHeight="1">
      <c r="A7749" t="inlineStr">
        <is>
          <t>A 35002-2023</t>
        </is>
      </c>
      <c r="B7749" s="1" t="n">
        <v>45142</v>
      </c>
      <c r="C7749" s="1" t="n">
        <v>45587</v>
      </c>
      <c r="D7749" t="inlineStr">
        <is>
          <t>GÄVLEBORGS LÄN</t>
        </is>
      </c>
      <c r="E7749" t="inlineStr">
        <is>
          <t>HUDIKSVALL</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34973-2023</t>
        </is>
      </c>
      <c r="B7750" s="1" t="n">
        <v>45142</v>
      </c>
      <c r="C7750" s="1" t="n">
        <v>45587</v>
      </c>
      <c r="D7750" t="inlineStr">
        <is>
          <t>GÄVLEBORGS LÄN</t>
        </is>
      </c>
      <c r="E7750" t="inlineStr">
        <is>
          <t>NORDANSTIG</t>
        </is>
      </c>
      <c r="F7750" t="inlineStr">
        <is>
          <t>Holmen skog AB</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34978-2023</t>
        </is>
      </c>
      <c r="B7751" s="1" t="n">
        <v>45142</v>
      </c>
      <c r="C7751" s="1" t="n">
        <v>45587</v>
      </c>
      <c r="D7751" t="inlineStr">
        <is>
          <t>GÄVLEBORGS LÄN</t>
        </is>
      </c>
      <c r="E7751" t="inlineStr">
        <is>
          <t>NORDANSTIG</t>
        </is>
      </c>
      <c r="F7751" t="inlineStr">
        <is>
          <t>Holmen skog AB</t>
        </is>
      </c>
      <c r="G7751" t="n">
        <v>6.3</v>
      </c>
      <c r="H7751" t="n">
        <v>0</v>
      </c>
      <c r="I7751" t="n">
        <v>0</v>
      </c>
      <c r="J7751" t="n">
        <v>0</v>
      </c>
      <c r="K7751" t="n">
        <v>0</v>
      </c>
      <c r="L7751" t="n">
        <v>0</v>
      </c>
      <c r="M7751" t="n">
        <v>0</v>
      </c>
      <c r="N7751" t="n">
        <v>0</v>
      </c>
      <c r="O7751" t="n">
        <v>0</v>
      </c>
      <c r="P7751" t="n">
        <v>0</v>
      </c>
      <c r="Q7751" t="n">
        <v>0</v>
      </c>
      <c r="R7751" s="2" t="inlineStr"/>
    </row>
    <row r="7752" ht="15" customHeight="1">
      <c r="A7752" t="inlineStr">
        <is>
          <t>A 34982-2023</t>
        </is>
      </c>
      <c r="B7752" s="1" t="n">
        <v>45142</v>
      </c>
      <c r="C7752" s="1" t="n">
        <v>45587</v>
      </c>
      <c r="D7752" t="inlineStr">
        <is>
          <t>GÄVLEBORGS LÄN</t>
        </is>
      </c>
      <c r="E7752" t="inlineStr">
        <is>
          <t>NORDANSTIG</t>
        </is>
      </c>
      <c r="F7752" t="inlineStr">
        <is>
          <t>Holmen skog AB</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35154-2023</t>
        </is>
      </c>
      <c r="B7753" s="1" t="n">
        <v>45145</v>
      </c>
      <c r="C7753" s="1" t="n">
        <v>45587</v>
      </c>
      <c r="D7753" t="inlineStr">
        <is>
          <t>GÄVLEBORGS LÄN</t>
        </is>
      </c>
      <c r="E7753" t="inlineStr">
        <is>
          <t>LJUSDAL</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35073-2023</t>
        </is>
      </c>
      <c r="B7754" s="1" t="n">
        <v>45145</v>
      </c>
      <c r="C7754" s="1" t="n">
        <v>45587</v>
      </c>
      <c r="D7754" t="inlineStr">
        <is>
          <t>GÄVLEBORGS LÄN</t>
        </is>
      </c>
      <c r="E7754" t="inlineStr">
        <is>
          <t>BOLLNÄS</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35114-2023</t>
        </is>
      </c>
      <c r="B7755" s="1" t="n">
        <v>45145</v>
      </c>
      <c r="C7755" s="1" t="n">
        <v>45587</v>
      </c>
      <c r="D7755" t="inlineStr">
        <is>
          <t>GÄVLEBORGS LÄN</t>
        </is>
      </c>
      <c r="E7755" t="inlineStr">
        <is>
          <t>HOFORS</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35118-2023</t>
        </is>
      </c>
      <c r="B7756" s="1" t="n">
        <v>45145</v>
      </c>
      <c r="C7756" s="1" t="n">
        <v>45587</v>
      </c>
      <c r="D7756" t="inlineStr">
        <is>
          <t>GÄVLEBORGS LÄN</t>
        </is>
      </c>
      <c r="E7756" t="inlineStr">
        <is>
          <t>HOFORS</t>
        </is>
      </c>
      <c r="G7756" t="n">
        <v>3.2</v>
      </c>
      <c r="H7756" t="n">
        <v>0</v>
      </c>
      <c r="I7756" t="n">
        <v>0</v>
      </c>
      <c r="J7756" t="n">
        <v>0</v>
      </c>
      <c r="K7756" t="n">
        <v>0</v>
      </c>
      <c r="L7756" t="n">
        <v>0</v>
      </c>
      <c r="M7756" t="n">
        <v>0</v>
      </c>
      <c r="N7756" t="n">
        <v>0</v>
      </c>
      <c r="O7756" t="n">
        <v>0</v>
      </c>
      <c r="P7756" t="n">
        <v>0</v>
      </c>
      <c r="Q7756" t="n">
        <v>0</v>
      </c>
      <c r="R7756" s="2" t="inlineStr"/>
    </row>
    <row r="7757" ht="15" customHeight="1">
      <c r="A7757" t="inlineStr">
        <is>
          <t>A 35174-2023</t>
        </is>
      </c>
      <c r="B7757" s="1" t="n">
        <v>45145</v>
      </c>
      <c r="C7757" s="1" t="n">
        <v>45587</v>
      </c>
      <c r="D7757" t="inlineStr">
        <is>
          <t>GÄVLEBORGS LÄN</t>
        </is>
      </c>
      <c r="E7757" t="inlineStr">
        <is>
          <t>BOLLNÄS</t>
        </is>
      </c>
      <c r="F7757" t="inlineStr">
        <is>
          <t>Holmen skog AB</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35182-2023</t>
        </is>
      </c>
      <c r="B7758" s="1" t="n">
        <v>45145</v>
      </c>
      <c r="C7758" s="1" t="n">
        <v>45587</v>
      </c>
      <c r="D7758" t="inlineStr">
        <is>
          <t>GÄVLEBORGS LÄN</t>
        </is>
      </c>
      <c r="E7758" t="inlineStr">
        <is>
          <t>BOLLNÄS</t>
        </is>
      </c>
      <c r="F7758" t="inlineStr">
        <is>
          <t>Holmen skog AB</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35216-2023</t>
        </is>
      </c>
      <c r="B7759" s="1" t="n">
        <v>45145</v>
      </c>
      <c r="C7759" s="1" t="n">
        <v>45587</v>
      </c>
      <c r="D7759" t="inlineStr">
        <is>
          <t>GÄVLEBORGS LÄN</t>
        </is>
      </c>
      <c r="E7759" t="inlineStr">
        <is>
          <t>OVANÅKER</t>
        </is>
      </c>
      <c r="F7759" t="inlineStr">
        <is>
          <t>Bergvik skog väst AB</t>
        </is>
      </c>
      <c r="G7759" t="n">
        <v>3.9</v>
      </c>
      <c r="H7759" t="n">
        <v>0</v>
      </c>
      <c r="I7759" t="n">
        <v>0</v>
      </c>
      <c r="J7759" t="n">
        <v>0</v>
      </c>
      <c r="K7759" t="n">
        <v>0</v>
      </c>
      <c r="L7759" t="n">
        <v>0</v>
      </c>
      <c r="M7759" t="n">
        <v>0</v>
      </c>
      <c r="N7759" t="n">
        <v>0</v>
      </c>
      <c r="O7759" t="n">
        <v>0</v>
      </c>
      <c r="P7759" t="n">
        <v>0</v>
      </c>
      <c r="Q7759" t="n">
        <v>0</v>
      </c>
      <c r="R7759" s="2" t="inlineStr"/>
    </row>
    <row r="7760" ht="15" customHeight="1">
      <c r="A7760" t="inlineStr">
        <is>
          <t>A 35037-2023</t>
        </is>
      </c>
      <c r="B7760" s="1" t="n">
        <v>45145</v>
      </c>
      <c r="C7760" s="1" t="n">
        <v>45587</v>
      </c>
      <c r="D7760" t="inlineStr">
        <is>
          <t>GÄVLEBORGS LÄN</t>
        </is>
      </c>
      <c r="E7760" t="inlineStr">
        <is>
          <t>LJUSDAL</t>
        </is>
      </c>
      <c r="F7760" t="inlineStr">
        <is>
          <t>Holmen skog AB</t>
        </is>
      </c>
      <c r="G7760" t="n">
        <v>6.6</v>
      </c>
      <c r="H7760" t="n">
        <v>0</v>
      </c>
      <c r="I7760" t="n">
        <v>0</v>
      </c>
      <c r="J7760" t="n">
        <v>0</v>
      </c>
      <c r="K7760" t="n">
        <v>0</v>
      </c>
      <c r="L7760" t="n">
        <v>0</v>
      </c>
      <c r="M7760" t="n">
        <v>0</v>
      </c>
      <c r="N7760" t="n">
        <v>0</v>
      </c>
      <c r="O7760" t="n">
        <v>0</v>
      </c>
      <c r="P7760" t="n">
        <v>0</v>
      </c>
      <c r="Q7760" t="n">
        <v>0</v>
      </c>
      <c r="R7760" s="2" t="inlineStr"/>
    </row>
    <row r="7761" ht="15" customHeight="1">
      <c r="A7761" t="inlineStr">
        <is>
          <t>A 35067-2023</t>
        </is>
      </c>
      <c r="B7761" s="1" t="n">
        <v>45145</v>
      </c>
      <c r="C7761" s="1" t="n">
        <v>45587</v>
      </c>
      <c r="D7761" t="inlineStr">
        <is>
          <t>GÄVLEBORGS LÄN</t>
        </is>
      </c>
      <c r="E7761" t="inlineStr">
        <is>
          <t>BOLLNÄS</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35107-2023</t>
        </is>
      </c>
      <c r="B7762" s="1" t="n">
        <v>45145</v>
      </c>
      <c r="C7762" s="1" t="n">
        <v>45587</v>
      </c>
      <c r="D7762" t="inlineStr">
        <is>
          <t>GÄVLEBORGS LÄN</t>
        </is>
      </c>
      <c r="E7762" t="inlineStr">
        <is>
          <t>HOFORS</t>
        </is>
      </c>
      <c r="G7762" t="n">
        <v>8.4</v>
      </c>
      <c r="H7762" t="n">
        <v>0</v>
      </c>
      <c r="I7762" t="n">
        <v>0</v>
      </c>
      <c r="J7762" t="n">
        <v>0</v>
      </c>
      <c r="K7762" t="n">
        <v>0</v>
      </c>
      <c r="L7762" t="n">
        <v>0</v>
      </c>
      <c r="M7762" t="n">
        <v>0</v>
      </c>
      <c r="N7762" t="n">
        <v>0</v>
      </c>
      <c r="O7762" t="n">
        <v>0</v>
      </c>
      <c r="P7762" t="n">
        <v>0</v>
      </c>
      <c r="Q7762" t="n">
        <v>0</v>
      </c>
      <c r="R7762" s="2" t="inlineStr"/>
    </row>
    <row r="7763" ht="15" customHeight="1">
      <c r="A7763" t="inlineStr">
        <is>
          <t>A 35164-2023</t>
        </is>
      </c>
      <c r="B7763" s="1" t="n">
        <v>45145</v>
      </c>
      <c r="C7763" s="1" t="n">
        <v>45587</v>
      </c>
      <c r="D7763" t="inlineStr">
        <is>
          <t>GÄVLEBORGS LÄN</t>
        </is>
      </c>
      <c r="E7763" t="inlineStr">
        <is>
          <t>HUDIKSVALL</t>
        </is>
      </c>
      <c r="F7763" t="inlineStr">
        <is>
          <t>Holmen skog AB</t>
        </is>
      </c>
      <c r="G7763" t="n">
        <v>8.800000000000001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35172-2023</t>
        </is>
      </c>
      <c r="B7764" s="1" t="n">
        <v>45145</v>
      </c>
      <c r="C7764" s="1" t="n">
        <v>45587</v>
      </c>
      <c r="D7764" t="inlineStr">
        <is>
          <t>GÄVLEBORGS LÄN</t>
        </is>
      </c>
      <c r="E7764" t="inlineStr">
        <is>
          <t>HUDIKSVALL</t>
        </is>
      </c>
      <c r="F7764" t="inlineStr">
        <is>
          <t>Holmen skog AB</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35071-2023</t>
        </is>
      </c>
      <c r="B7765" s="1" t="n">
        <v>45145</v>
      </c>
      <c r="C7765" s="1" t="n">
        <v>45587</v>
      </c>
      <c r="D7765" t="inlineStr">
        <is>
          <t>GÄVLEBORGS LÄN</t>
        </is>
      </c>
      <c r="E7765" t="inlineStr">
        <is>
          <t>BOLLNÄS</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35373-2023</t>
        </is>
      </c>
      <c r="B7766" s="1" t="n">
        <v>45145</v>
      </c>
      <c r="C7766" s="1" t="n">
        <v>45587</v>
      </c>
      <c r="D7766" t="inlineStr">
        <is>
          <t>GÄVLEBORGS LÄN</t>
        </is>
      </c>
      <c r="E7766" t="inlineStr">
        <is>
          <t>LJUSDAL</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35136-2023</t>
        </is>
      </c>
      <c r="B7767" s="1" t="n">
        <v>45145</v>
      </c>
      <c r="C7767" s="1" t="n">
        <v>45587</v>
      </c>
      <c r="D7767" t="inlineStr">
        <is>
          <t>GÄVLEBORGS LÄN</t>
        </is>
      </c>
      <c r="E7767" t="inlineStr">
        <is>
          <t>HOFORS</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35181-2023</t>
        </is>
      </c>
      <c r="B7768" s="1" t="n">
        <v>45145</v>
      </c>
      <c r="C7768" s="1" t="n">
        <v>45587</v>
      </c>
      <c r="D7768" t="inlineStr">
        <is>
          <t>GÄVLEBORGS LÄN</t>
        </is>
      </c>
      <c r="E7768" t="inlineStr">
        <is>
          <t>BOLLNÄS</t>
        </is>
      </c>
      <c r="F7768" t="inlineStr">
        <is>
          <t>Holmen skog AB</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35222-2023</t>
        </is>
      </c>
      <c r="B7769" s="1" t="n">
        <v>45145</v>
      </c>
      <c r="C7769" s="1" t="n">
        <v>45587</v>
      </c>
      <c r="D7769" t="inlineStr">
        <is>
          <t>GÄVLEBORGS LÄN</t>
        </is>
      </c>
      <c r="E7769" t="inlineStr">
        <is>
          <t>OVANÅKER</t>
        </is>
      </c>
      <c r="F7769" t="inlineStr">
        <is>
          <t>Bergvik skog väst AB</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35303-2023</t>
        </is>
      </c>
      <c r="B7770" s="1" t="n">
        <v>45146</v>
      </c>
      <c r="C7770" s="1" t="n">
        <v>45587</v>
      </c>
      <c r="D7770" t="inlineStr">
        <is>
          <t>GÄVLEBORGS LÄN</t>
        </is>
      </c>
      <c r="E7770" t="inlineStr">
        <is>
          <t>HUDIKSVALL</t>
        </is>
      </c>
      <c r="F7770" t="inlineStr">
        <is>
          <t>Holmen skog AB</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35304-2023</t>
        </is>
      </c>
      <c r="B7771" s="1" t="n">
        <v>45146</v>
      </c>
      <c r="C7771" s="1" t="n">
        <v>45587</v>
      </c>
      <c r="D7771" t="inlineStr">
        <is>
          <t>GÄVLEBORGS LÄN</t>
        </is>
      </c>
      <c r="E7771" t="inlineStr">
        <is>
          <t>HUDIKSVALL</t>
        </is>
      </c>
      <c r="F7771" t="inlineStr">
        <is>
          <t>Holmen skog AB</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35363-2023</t>
        </is>
      </c>
      <c r="B7772" s="1" t="n">
        <v>45146</v>
      </c>
      <c r="C7772" s="1" t="n">
        <v>45587</v>
      </c>
      <c r="D7772" t="inlineStr">
        <is>
          <t>GÄVLEBORGS LÄN</t>
        </is>
      </c>
      <c r="E7772" t="inlineStr">
        <is>
          <t>HOFORS</t>
        </is>
      </c>
      <c r="F7772" t="inlineStr">
        <is>
          <t>Sveaskog</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35335-2023</t>
        </is>
      </c>
      <c r="B7773" s="1" t="n">
        <v>45146</v>
      </c>
      <c r="C7773" s="1" t="n">
        <v>45587</v>
      </c>
      <c r="D7773" t="inlineStr">
        <is>
          <t>GÄVLEBORGS LÄN</t>
        </is>
      </c>
      <c r="E7773" t="inlineStr">
        <is>
          <t>NORDANSTIG</t>
        </is>
      </c>
      <c r="G7773" t="n">
        <v>13.3</v>
      </c>
      <c r="H7773" t="n">
        <v>0</v>
      </c>
      <c r="I7773" t="n">
        <v>0</v>
      </c>
      <c r="J7773" t="n">
        <v>0</v>
      </c>
      <c r="K7773" t="n">
        <v>0</v>
      </c>
      <c r="L7773" t="n">
        <v>0</v>
      </c>
      <c r="M7773" t="n">
        <v>0</v>
      </c>
      <c r="N7773" t="n">
        <v>0</v>
      </c>
      <c r="O7773" t="n">
        <v>0</v>
      </c>
      <c r="P7773" t="n">
        <v>0</v>
      </c>
      <c r="Q7773" t="n">
        <v>0</v>
      </c>
      <c r="R7773" s="2" t="inlineStr"/>
    </row>
    <row r="7774" ht="15" customHeight="1">
      <c r="A7774" t="inlineStr">
        <is>
          <t>A 35387-2023</t>
        </is>
      </c>
      <c r="B7774" s="1" t="n">
        <v>45146</v>
      </c>
      <c r="C7774" s="1" t="n">
        <v>45587</v>
      </c>
      <c r="D7774" t="inlineStr">
        <is>
          <t>GÄVLEBORGS LÄN</t>
        </is>
      </c>
      <c r="E7774" t="inlineStr">
        <is>
          <t>LJUSDAL</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35419-2023</t>
        </is>
      </c>
      <c r="B7775" s="1" t="n">
        <v>45146</v>
      </c>
      <c r="C7775" s="1" t="n">
        <v>45587</v>
      </c>
      <c r="D7775" t="inlineStr">
        <is>
          <t>GÄVLEBORGS LÄN</t>
        </is>
      </c>
      <c r="E7775" t="inlineStr">
        <is>
          <t>BOLLNÄS</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35431-2023</t>
        </is>
      </c>
      <c r="B7776" s="1" t="n">
        <v>45146</v>
      </c>
      <c r="C7776" s="1" t="n">
        <v>45587</v>
      </c>
      <c r="D7776" t="inlineStr">
        <is>
          <t>GÄVLEBORGS LÄN</t>
        </is>
      </c>
      <c r="E7776" t="inlineStr">
        <is>
          <t>BOLLNÄS</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35365-2023</t>
        </is>
      </c>
      <c r="B7777" s="1" t="n">
        <v>45146</v>
      </c>
      <c r="C7777" s="1" t="n">
        <v>45587</v>
      </c>
      <c r="D7777" t="inlineStr">
        <is>
          <t>GÄVLEBORGS LÄN</t>
        </is>
      </c>
      <c r="E7777" t="inlineStr">
        <is>
          <t>HUDIKSVALL</t>
        </is>
      </c>
      <c r="G7777" t="n">
        <v>6.4</v>
      </c>
      <c r="H7777" t="n">
        <v>0</v>
      </c>
      <c r="I7777" t="n">
        <v>0</v>
      </c>
      <c r="J7777" t="n">
        <v>0</v>
      </c>
      <c r="K7777" t="n">
        <v>0</v>
      </c>
      <c r="L7777" t="n">
        <v>0</v>
      </c>
      <c r="M7777" t="n">
        <v>0</v>
      </c>
      <c r="N7777" t="n">
        <v>0</v>
      </c>
      <c r="O7777" t="n">
        <v>0</v>
      </c>
      <c r="P7777" t="n">
        <v>0</v>
      </c>
      <c r="Q7777" t="n">
        <v>0</v>
      </c>
      <c r="R7777" s="2" t="inlineStr"/>
    </row>
    <row r="7778" ht="15" customHeight="1">
      <c r="A7778" t="inlineStr">
        <is>
          <t>A 35302-2023</t>
        </is>
      </c>
      <c r="B7778" s="1" t="n">
        <v>45146</v>
      </c>
      <c r="C7778" s="1" t="n">
        <v>45587</v>
      </c>
      <c r="D7778" t="inlineStr">
        <is>
          <t>GÄVLEBORGS LÄN</t>
        </is>
      </c>
      <c r="E7778" t="inlineStr">
        <is>
          <t>HUDIKSVALL</t>
        </is>
      </c>
      <c r="F7778" t="inlineStr">
        <is>
          <t>Holmen skog AB</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35442-2023</t>
        </is>
      </c>
      <c r="B7779" s="1" t="n">
        <v>45146</v>
      </c>
      <c r="C7779" s="1" t="n">
        <v>45587</v>
      </c>
      <c r="D7779" t="inlineStr">
        <is>
          <t>GÄVLEBORGS LÄN</t>
        </is>
      </c>
      <c r="E7779" t="inlineStr">
        <is>
          <t>HUDIKSVALL</t>
        </is>
      </c>
      <c r="F7779" t="inlineStr">
        <is>
          <t>Holmen skog AB</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35440-2023</t>
        </is>
      </c>
      <c r="B7780" s="1" t="n">
        <v>45146</v>
      </c>
      <c r="C7780" s="1" t="n">
        <v>45587</v>
      </c>
      <c r="D7780" t="inlineStr">
        <is>
          <t>GÄVLEBORGS LÄN</t>
        </is>
      </c>
      <c r="E7780" t="inlineStr">
        <is>
          <t>GÄVLE</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35448-2023</t>
        </is>
      </c>
      <c r="B7781" s="1" t="n">
        <v>45146</v>
      </c>
      <c r="C7781" s="1" t="n">
        <v>45587</v>
      </c>
      <c r="D7781" t="inlineStr">
        <is>
          <t>GÄVLEBORGS LÄN</t>
        </is>
      </c>
      <c r="E7781" t="inlineStr">
        <is>
          <t>LJUSDAL</t>
        </is>
      </c>
      <c r="F7781" t="inlineStr">
        <is>
          <t>Sveaskog</t>
        </is>
      </c>
      <c r="G7781" t="n">
        <v>7.9</v>
      </c>
      <c r="H7781" t="n">
        <v>0</v>
      </c>
      <c r="I7781" t="n">
        <v>0</v>
      </c>
      <c r="J7781" t="n">
        <v>0</v>
      </c>
      <c r="K7781" t="n">
        <v>0</v>
      </c>
      <c r="L7781" t="n">
        <v>0</v>
      </c>
      <c r="M7781" t="n">
        <v>0</v>
      </c>
      <c r="N7781" t="n">
        <v>0</v>
      </c>
      <c r="O7781" t="n">
        <v>0</v>
      </c>
      <c r="P7781" t="n">
        <v>0</v>
      </c>
      <c r="Q7781" t="n">
        <v>0</v>
      </c>
      <c r="R7781" s="2" t="inlineStr"/>
    </row>
    <row r="7782" ht="15" customHeight="1">
      <c r="A7782" t="inlineStr">
        <is>
          <t>A 35445-2023</t>
        </is>
      </c>
      <c r="B7782" s="1" t="n">
        <v>45146</v>
      </c>
      <c r="C7782" s="1" t="n">
        <v>45587</v>
      </c>
      <c r="D7782" t="inlineStr">
        <is>
          <t>GÄVLEBORGS LÄN</t>
        </is>
      </c>
      <c r="E7782" t="inlineStr">
        <is>
          <t>GÄVLE</t>
        </is>
      </c>
      <c r="G7782" t="n">
        <v>6.2</v>
      </c>
      <c r="H7782" t="n">
        <v>0</v>
      </c>
      <c r="I7782" t="n">
        <v>0</v>
      </c>
      <c r="J7782" t="n">
        <v>0</v>
      </c>
      <c r="K7782" t="n">
        <v>0</v>
      </c>
      <c r="L7782" t="n">
        <v>0</v>
      </c>
      <c r="M7782" t="n">
        <v>0</v>
      </c>
      <c r="N7782" t="n">
        <v>0</v>
      </c>
      <c r="O7782" t="n">
        <v>0</v>
      </c>
      <c r="P7782" t="n">
        <v>0</v>
      </c>
      <c r="Q7782" t="n">
        <v>0</v>
      </c>
      <c r="R7782" s="2" t="inlineStr"/>
    </row>
    <row r="7783" ht="15" customHeight="1">
      <c r="A7783" t="inlineStr">
        <is>
          <t>A 35593-2023</t>
        </is>
      </c>
      <c r="B7783" s="1" t="n">
        <v>45147</v>
      </c>
      <c r="C7783" s="1" t="n">
        <v>45587</v>
      </c>
      <c r="D7783" t="inlineStr">
        <is>
          <t>GÄVLEBORGS LÄN</t>
        </is>
      </c>
      <c r="E7783" t="inlineStr">
        <is>
          <t>HUDIKSVALL</t>
        </is>
      </c>
      <c r="F7783" t="inlineStr">
        <is>
          <t>Holmen skog AB</t>
        </is>
      </c>
      <c r="G7783" t="n">
        <v>4.8</v>
      </c>
      <c r="H7783" t="n">
        <v>0</v>
      </c>
      <c r="I7783" t="n">
        <v>0</v>
      </c>
      <c r="J7783" t="n">
        <v>0</v>
      </c>
      <c r="K7783" t="n">
        <v>0</v>
      </c>
      <c r="L7783" t="n">
        <v>0</v>
      </c>
      <c r="M7783" t="n">
        <v>0</v>
      </c>
      <c r="N7783" t="n">
        <v>0</v>
      </c>
      <c r="O7783" t="n">
        <v>0</v>
      </c>
      <c r="P7783" t="n">
        <v>0</v>
      </c>
      <c r="Q7783" t="n">
        <v>0</v>
      </c>
      <c r="R7783" s="2" t="inlineStr"/>
    </row>
    <row r="7784" ht="15" customHeight="1">
      <c r="A7784" t="inlineStr">
        <is>
          <t>A 35527-2023</t>
        </is>
      </c>
      <c r="B7784" s="1" t="n">
        <v>45147</v>
      </c>
      <c r="C7784" s="1" t="n">
        <v>45587</v>
      </c>
      <c r="D7784" t="inlineStr">
        <is>
          <t>GÄVLEBORGS LÄN</t>
        </is>
      </c>
      <c r="E7784" t="inlineStr">
        <is>
          <t>BOLLNÄS</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35714-2023</t>
        </is>
      </c>
      <c r="B7785" s="1" t="n">
        <v>45147</v>
      </c>
      <c r="C7785" s="1" t="n">
        <v>45587</v>
      </c>
      <c r="D7785" t="inlineStr">
        <is>
          <t>GÄVLEBORGS LÄN</t>
        </is>
      </c>
      <c r="E7785" t="inlineStr">
        <is>
          <t>LJUSDAL</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35718-2023</t>
        </is>
      </c>
      <c r="B7786" s="1" t="n">
        <v>45147</v>
      </c>
      <c r="C7786" s="1" t="n">
        <v>45587</v>
      </c>
      <c r="D7786" t="inlineStr">
        <is>
          <t>GÄVLEBORGS LÄN</t>
        </is>
      </c>
      <c r="E7786" t="inlineStr">
        <is>
          <t>LJUSDAL</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35590-2023</t>
        </is>
      </c>
      <c r="B7787" s="1" t="n">
        <v>45147</v>
      </c>
      <c r="C7787" s="1" t="n">
        <v>45587</v>
      </c>
      <c r="D7787" t="inlineStr">
        <is>
          <t>GÄVLEBORGS LÄN</t>
        </is>
      </c>
      <c r="E7787" t="inlineStr">
        <is>
          <t>HUDIKSVALL</t>
        </is>
      </c>
      <c r="F7787" t="inlineStr">
        <is>
          <t>Holmen skog AB</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35612-2023</t>
        </is>
      </c>
      <c r="B7788" s="1" t="n">
        <v>45147</v>
      </c>
      <c r="C7788" s="1" t="n">
        <v>45587</v>
      </c>
      <c r="D7788" t="inlineStr">
        <is>
          <t>GÄVLEBORGS LÄN</t>
        </is>
      </c>
      <c r="E7788" t="inlineStr">
        <is>
          <t>HOFORS</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35586-2023</t>
        </is>
      </c>
      <c r="B7789" s="1" t="n">
        <v>45147</v>
      </c>
      <c r="C7789" s="1" t="n">
        <v>45587</v>
      </c>
      <c r="D7789" t="inlineStr">
        <is>
          <t>GÄVLEBORGS LÄN</t>
        </is>
      </c>
      <c r="E7789" t="inlineStr">
        <is>
          <t>OCKELBO</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35599-2023</t>
        </is>
      </c>
      <c r="B7790" s="1" t="n">
        <v>45147</v>
      </c>
      <c r="C7790" s="1" t="n">
        <v>45587</v>
      </c>
      <c r="D7790" t="inlineStr">
        <is>
          <t>GÄVLEBORGS LÄN</t>
        </is>
      </c>
      <c r="E7790" t="inlineStr">
        <is>
          <t>HUDIKSVALL</t>
        </is>
      </c>
      <c r="F7790" t="inlineStr">
        <is>
          <t>Holmen skog AB</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35607-2023</t>
        </is>
      </c>
      <c r="B7791" s="1" t="n">
        <v>45147</v>
      </c>
      <c r="C7791" s="1" t="n">
        <v>45587</v>
      </c>
      <c r="D7791" t="inlineStr">
        <is>
          <t>GÄVLEBORGS LÄN</t>
        </is>
      </c>
      <c r="E7791" t="inlineStr">
        <is>
          <t>HOFORS</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35679-2023</t>
        </is>
      </c>
      <c r="B7792" s="1" t="n">
        <v>45147</v>
      </c>
      <c r="C7792" s="1" t="n">
        <v>45587</v>
      </c>
      <c r="D7792" t="inlineStr">
        <is>
          <t>GÄVLEBORGS LÄN</t>
        </is>
      </c>
      <c r="E7792" t="inlineStr">
        <is>
          <t>HUDIKSVALL</t>
        </is>
      </c>
      <c r="F7792" t="inlineStr">
        <is>
          <t>Holmen skog AB</t>
        </is>
      </c>
      <c r="G7792" t="n">
        <v>6.5</v>
      </c>
      <c r="H7792" t="n">
        <v>0</v>
      </c>
      <c r="I7792" t="n">
        <v>0</v>
      </c>
      <c r="J7792" t="n">
        <v>0</v>
      </c>
      <c r="K7792" t="n">
        <v>0</v>
      </c>
      <c r="L7792" t="n">
        <v>0</v>
      </c>
      <c r="M7792" t="n">
        <v>0</v>
      </c>
      <c r="N7792" t="n">
        <v>0</v>
      </c>
      <c r="O7792" t="n">
        <v>0</v>
      </c>
      <c r="P7792" t="n">
        <v>0</v>
      </c>
      <c r="Q7792" t="n">
        <v>0</v>
      </c>
      <c r="R7792" s="2" t="inlineStr"/>
    </row>
    <row r="7793" ht="15" customHeight="1">
      <c r="A7793" t="inlineStr">
        <is>
          <t>A 35683-2023</t>
        </is>
      </c>
      <c r="B7793" s="1" t="n">
        <v>45147</v>
      </c>
      <c r="C7793" s="1" t="n">
        <v>45587</v>
      </c>
      <c r="D7793" t="inlineStr">
        <is>
          <t>GÄVLEBORGS LÄN</t>
        </is>
      </c>
      <c r="E7793" t="inlineStr">
        <is>
          <t>LJUSDAL</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35618-2023</t>
        </is>
      </c>
      <c r="B7794" s="1" t="n">
        <v>45147</v>
      </c>
      <c r="C7794" s="1" t="n">
        <v>45587</v>
      </c>
      <c r="D7794" t="inlineStr">
        <is>
          <t>GÄVLEBORGS LÄN</t>
        </is>
      </c>
      <c r="E7794" t="inlineStr">
        <is>
          <t>HUDIKSVALL</t>
        </is>
      </c>
      <c r="F7794" t="inlineStr">
        <is>
          <t>Holmen skog AB</t>
        </is>
      </c>
      <c r="G7794" t="n">
        <v>8</v>
      </c>
      <c r="H7794" t="n">
        <v>0</v>
      </c>
      <c r="I7794" t="n">
        <v>0</v>
      </c>
      <c r="J7794" t="n">
        <v>0</v>
      </c>
      <c r="K7794" t="n">
        <v>0</v>
      </c>
      <c r="L7794" t="n">
        <v>0</v>
      </c>
      <c r="M7794" t="n">
        <v>0</v>
      </c>
      <c r="N7794" t="n">
        <v>0</v>
      </c>
      <c r="O7794" t="n">
        <v>0</v>
      </c>
      <c r="P7794" t="n">
        <v>0</v>
      </c>
      <c r="Q7794" t="n">
        <v>0</v>
      </c>
      <c r="R7794" s="2" t="inlineStr"/>
    </row>
    <row r="7795" ht="15" customHeight="1">
      <c r="A7795" t="inlineStr">
        <is>
          <t>A 35622-2023</t>
        </is>
      </c>
      <c r="B7795" s="1" t="n">
        <v>45147</v>
      </c>
      <c r="C7795" s="1" t="n">
        <v>45587</v>
      </c>
      <c r="D7795" t="inlineStr">
        <is>
          <t>GÄVLEBORGS LÄN</t>
        </is>
      </c>
      <c r="E7795" t="inlineStr">
        <is>
          <t>HUDIKSVALL</t>
        </is>
      </c>
      <c r="F7795" t="inlineStr">
        <is>
          <t>Holmen skog AB</t>
        </is>
      </c>
      <c r="G7795" t="n">
        <v>5.3</v>
      </c>
      <c r="H7795" t="n">
        <v>0</v>
      </c>
      <c r="I7795" t="n">
        <v>0</v>
      </c>
      <c r="J7795" t="n">
        <v>0</v>
      </c>
      <c r="K7795" t="n">
        <v>0</v>
      </c>
      <c r="L7795" t="n">
        <v>0</v>
      </c>
      <c r="M7795" t="n">
        <v>0</v>
      </c>
      <c r="N7795" t="n">
        <v>0</v>
      </c>
      <c r="O7795" t="n">
        <v>0</v>
      </c>
      <c r="P7795" t="n">
        <v>0</v>
      </c>
      <c r="Q7795" t="n">
        <v>0</v>
      </c>
      <c r="R7795" s="2" t="inlineStr"/>
    </row>
    <row r="7796" ht="15" customHeight="1">
      <c r="A7796" t="inlineStr">
        <is>
          <t>A 35739-2023</t>
        </is>
      </c>
      <c r="B7796" s="1" t="n">
        <v>45147</v>
      </c>
      <c r="C7796" s="1" t="n">
        <v>45587</v>
      </c>
      <c r="D7796" t="inlineStr">
        <is>
          <t>GÄVLEBORGS LÄN</t>
        </is>
      </c>
      <c r="E7796" t="inlineStr">
        <is>
          <t>HUDIKSVALL</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35623-2023</t>
        </is>
      </c>
      <c r="B7797" s="1" t="n">
        <v>45147</v>
      </c>
      <c r="C7797" s="1" t="n">
        <v>45587</v>
      </c>
      <c r="D7797" t="inlineStr">
        <is>
          <t>GÄVLEBORGS LÄN</t>
        </is>
      </c>
      <c r="E7797" t="inlineStr">
        <is>
          <t>HUDIKSVALL</t>
        </is>
      </c>
      <c r="F7797" t="inlineStr">
        <is>
          <t>Holmen skog AB</t>
        </is>
      </c>
      <c r="G7797" t="n">
        <v>5.9</v>
      </c>
      <c r="H7797" t="n">
        <v>0</v>
      </c>
      <c r="I7797" t="n">
        <v>0</v>
      </c>
      <c r="J7797" t="n">
        <v>0</v>
      </c>
      <c r="K7797" t="n">
        <v>0</v>
      </c>
      <c r="L7797" t="n">
        <v>0</v>
      </c>
      <c r="M7797" t="n">
        <v>0</v>
      </c>
      <c r="N7797" t="n">
        <v>0</v>
      </c>
      <c r="O7797" t="n">
        <v>0</v>
      </c>
      <c r="P7797" t="n">
        <v>0</v>
      </c>
      <c r="Q7797" t="n">
        <v>0</v>
      </c>
      <c r="R7797" s="2" t="inlineStr"/>
    </row>
    <row r="7798" ht="15" customHeight="1">
      <c r="A7798" t="inlineStr">
        <is>
          <t>A 35737-2023</t>
        </is>
      </c>
      <c r="B7798" s="1" t="n">
        <v>45147</v>
      </c>
      <c r="C7798" s="1" t="n">
        <v>45587</v>
      </c>
      <c r="D7798" t="inlineStr">
        <is>
          <t>GÄVLEBORGS LÄN</t>
        </is>
      </c>
      <c r="E7798" t="inlineStr">
        <is>
          <t>HUDIKSVALL</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35826-2023</t>
        </is>
      </c>
      <c r="B7799" s="1" t="n">
        <v>45148</v>
      </c>
      <c r="C7799" s="1" t="n">
        <v>45587</v>
      </c>
      <c r="D7799" t="inlineStr">
        <is>
          <t>GÄVLEBORGS LÄN</t>
        </is>
      </c>
      <c r="E7799" t="inlineStr">
        <is>
          <t>LJUSDAL</t>
        </is>
      </c>
      <c r="F7799" t="inlineStr">
        <is>
          <t>Kommuner</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35877-2023</t>
        </is>
      </c>
      <c r="B7800" s="1" t="n">
        <v>45148</v>
      </c>
      <c r="C7800" s="1" t="n">
        <v>45587</v>
      </c>
      <c r="D7800" t="inlineStr">
        <is>
          <t>GÄVLEBORGS LÄN</t>
        </is>
      </c>
      <c r="E7800" t="inlineStr">
        <is>
          <t>LJUSDAL</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35931-2023</t>
        </is>
      </c>
      <c r="B7801" s="1" t="n">
        <v>45148</v>
      </c>
      <c r="C7801" s="1" t="n">
        <v>45587</v>
      </c>
      <c r="D7801" t="inlineStr">
        <is>
          <t>GÄVLEBORGS LÄN</t>
        </is>
      </c>
      <c r="E7801" t="inlineStr">
        <is>
          <t>NORDANSTIG</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35933-2023</t>
        </is>
      </c>
      <c r="B7802" s="1" t="n">
        <v>45148</v>
      </c>
      <c r="C7802" s="1" t="n">
        <v>45587</v>
      </c>
      <c r="D7802" t="inlineStr">
        <is>
          <t>GÄVLEBORGS LÄN</t>
        </is>
      </c>
      <c r="E7802" t="inlineStr">
        <is>
          <t>HUDIKSVALL</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35782-2023</t>
        </is>
      </c>
      <c r="B7803" s="1" t="n">
        <v>45148</v>
      </c>
      <c r="C7803" s="1" t="n">
        <v>45587</v>
      </c>
      <c r="D7803" t="inlineStr">
        <is>
          <t>GÄVLEBORGS LÄN</t>
        </is>
      </c>
      <c r="E7803" t="inlineStr">
        <is>
          <t>LJUSDAL</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35856-2023</t>
        </is>
      </c>
      <c r="B7804" s="1" t="n">
        <v>45148</v>
      </c>
      <c r="C7804" s="1" t="n">
        <v>45587</v>
      </c>
      <c r="D7804" t="inlineStr">
        <is>
          <t>GÄVLEBORGS LÄN</t>
        </is>
      </c>
      <c r="E7804" t="inlineStr">
        <is>
          <t>HOFORS</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35964-2023</t>
        </is>
      </c>
      <c r="B7805" s="1" t="n">
        <v>45148</v>
      </c>
      <c r="C7805" s="1" t="n">
        <v>45587</v>
      </c>
      <c r="D7805" t="inlineStr">
        <is>
          <t>GÄVLEBORGS LÄN</t>
        </is>
      </c>
      <c r="E7805" t="inlineStr">
        <is>
          <t>NORDANSTIG</t>
        </is>
      </c>
      <c r="F7805" t="inlineStr">
        <is>
          <t>Holmen skog AB</t>
        </is>
      </c>
      <c r="G7805" t="n">
        <v>7.8</v>
      </c>
      <c r="H7805" t="n">
        <v>0</v>
      </c>
      <c r="I7805" t="n">
        <v>0</v>
      </c>
      <c r="J7805" t="n">
        <v>0</v>
      </c>
      <c r="K7805" t="n">
        <v>0</v>
      </c>
      <c r="L7805" t="n">
        <v>0</v>
      </c>
      <c r="M7805" t="n">
        <v>0</v>
      </c>
      <c r="N7805" t="n">
        <v>0</v>
      </c>
      <c r="O7805" t="n">
        <v>0</v>
      </c>
      <c r="P7805" t="n">
        <v>0</v>
      </c>
      <c r="Q7805" t="n">
        <v>0</v>
      </c>
      <c r="R7805" s="2" t="inlineStr"/>
    </row>
    <row r="7806" ht="15" customHeight="1">
      <c r="A7806" t="inlineStr">
        <is>
          <t>A 35963-2023</t>
        </is>
      </c>
      <c r="B7806" s="1" t="n">
        <v>45148</v>
      </c>
      <c r="C7806" s="1" t="n">
        <v>45587</v>
      </c>
      <c r="D7806" t="inlineStr">
        <is>
          <t>GÄVLEBORGS LÄN</t>
        </is>
      </c>
      <c r="E7806" t="inlineStr">
        <is>
          <t>HUDIKSVALL</t>
        </is>
      </c>
      <c r="G7806" t="n">
        <v>9.699999999999999</v>
      </c>
      <c r="H7806" t="n">
        <v>0</v>
      </c>
      <c r="I7806" t="n">
        <v>0</v>
      </c>
      <c r="J7806" t="n">
        <v>0</v>
      </c>
      <c r="K7806" t="n">
        <v>0</v>
      </c>
      <c r="L7806" t="n">
        <v>0</v>
      </c>
      <c r="M7806" t="n">
        <v>0</v>
      </c>
      <c r="N7806" t="n">
        <v>0</v>
      </c>
      <c r="O7806" t="n">
        <v>0</v>
      </c>
      <c r="P7806" t="n">
        <v>0</v>
      </c>
      <c r="Q7806" t="n">
        <v>0</v>
      </c>
      <c r="R7806" s="2" t="inlineStr"/>
    </row>
    <row r="7807" ht="15" customHeight="1">
      <c r="A7807" t="inlineStr">
        <is>
          <t>A 35958-2023</t>
        </is>
      </c>
      <c r="B7807" s="1" t="n">
        <v>45148</v>
      </c>
      <c r="C7807" s="1" t="n">
        <v>45587</v>
      </c>
      <c r="D7807" t="inlineStr">
        <is>
          <t>GÄVLEBORGS LÄN</t>
        </is>
      </c>
      <c r="E7807" t="inlineStr">
        <is>
          <t>LJUSDAL</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35998-2023</t>
        </is>
      </c>
      <c r="B7808" s="1" t="n">
        <v>45149</v>
      </c>
      <c r="C7808" s="1" t="n">
        <v>45587</v>
      </c>
      <c r="D7808" t="inlineStr">
        <is>
          <t>GÄVLEBORGS LÄN</t>
        </is>
      </c>
      <c r="E7808" t="inlineStr">
        <is>
          <t>HUDIKSVALL</t>
        </is>
      </c>
      <c r="F7808" t="inlineStr">
        <is>
          <t>Holmen skog AB</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36025-2023</t>
        </is>
      </c>
      <c r="B7809" s="1" t="n">
        <v>45149</v>
      </c>
      <c r="C7809" s="1" t="n">
        <v>45587</v>
      </c>
      <c r="D7809" t="inlineStr">
        <is>
          <t>GÄVLEBORGS LÄN</t>
        </is>
      </c>
      <c r="E7809" t="inlineStr">
        <is>
          <t>NORDANSTIG</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36055-2023</t>
        </is>
      </c>
      <c r="B7810" s="1" t="n">
        <v>45149</v>
      </c>
      <c r="C7810" s="1" t="n">
        <v>45587</v>
      </c>
      <c r="D7810" t="inlineStr">
        <is>
          <t>GÄVLEBORGS LÄN</t>
        </is>
      </c>
      <c r="E7810" t="inlineStr">
        <is>
          <t>BOLLNÄS</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36059-2023</t>
        </is>
      </c>
      <c r="B7811" s="1" t="n">
        <v>45149</v>
      </c>
      <c r="C7811" s="1" t="n">
        <v>45587</v>
      </c>
      <c r="D7811" t="inlineStr">
        <is>
          <t>GÄVLEBORGS LÄN</t>
        </is>
      </c>
      <c r="E7811" t="inlineStr">
        <is>
          <t>SÖDERHAMN</t>
        </is>
      </c>
      <c r="G7811" t="n">
        <v>6.2</v>
      </c>
      <c r="H7811" t="n">
        <v>0</v>
      </c>
      <c r="I7811" t="n">
        <v>0</v>
      </c>
      <c r="J7811" t="n">
        <v>0</v>
      </c>
      <c r="K7811" t="n">
        <v>0</v>
      </c>
      <c r="L7811" t="n">
        <v>0</v>
      </c>
      <c r="M7811" t="n">
        <v>0</v>
      </c>
      <c r="N7811" t="n">
        <v>0</v>
      </c>
      <c r="O7811" t="n">
        <v>0</v>
      </c>
      <c r="P7811" t="n">
        <v>0</v>
      </c>
      <c r="Q7811" t="n">
        <v>0</v>
      </c>
      <c r="R7811" s="2" t="inlineStr"/>
    </row>
    <row r="7812" ht="15" customHeight="1">
      <c r="A7812" t="inlineStr">
        <is>
          <t>A 36088-2023</t>
        </is>
      </c>
      <c r="B7812" s="1" t="n">
        <v>45149</v>
      </c>
      <c r="C7812" s="1" t="n">
        <v>45587</v>
      </c>
      <c r="D7812" t="inlineStr">
        <is>
          <t>GÄVLEBORGS LÄN</t>
        </is>
      </c>
      <c r="E7812" t="inlineStr">
        <is>
          <t>OVANÅKER</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36125-2023</t>
        </is>
      </c>
      <c r="B7813" s="1" t="n">
        <v>45149</v>
      </c>
      <c r="C7813" s="1" t="n">
        <v>45587</v>
      </c>
      <c r="D7813" t="inlineStr">
        <is>
          <t>GÄVLEBORGS LÄN</t>
        </is>
      </c>
      <c r="E7813" t="inlineStr">
        <is>
          <t>HUDIKSVALL</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36051-2023</t>
        </is>
      </c>
      <c r="B7814" s="1" t="n">
        <v>45149</v>
      </c>
      <c r="C7814" s="1" t="n">
        <v>45587</v>
      </c>
      <c r="D7814" t="inlineStr">
        <is>
          <t>GÄVLEBORGS LÄN</t>
        </is>
      </c>
      <c r="E7814" t="inlineStr">
        <is>
          <t>BOLLNÄS</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36072-2023</t>
        </is>
      </c>
      <c r="B7815" s="1" t="n">
        <v>45149</v>
      </c>
      <c r="C7815" s="1" t="n">
        <v>45587</v>
      </c>
      <c r="D7815" t="inlineStr">
        <is>
          <t>GÄVLEBORGS LÄN</t>
        </is>
      </c>
      <c r="E7815" t="inlineStr">
        <is>
          <t>OVANÅKER</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35997-2023</t>
        </is>
      </c>
      <c r="B7816" s="1" t="n">
        <v>45149</v>
      </c>
      <c r="C7816" s="1" t="n">
        <v>45587</v>
      </c>
      <c r="D7816" t="inlineStr">
        <is>
          <t>GÄVLEBORGS LÄN</t>
        </is>
      </c>
      <c r="E7816" t="inlineStr">
        <is>
          <t>LJUSDAL</t>
        </is>
      </c>
      <c r="F7816" t="inlineStr">
        <is>
          <t>Holmen skog AB</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36085-2023</t>
        </is>
      </c>
      <c r="B7817" s="1" t="n">
        <v>45149</v>
      </c>
      <c r="C7817" s="1" t="n">
        <v>45587</v>
      </c>
      <c r="D7817" t="inlineStr">
        <is>
          <t>GÄVLEBORGS LÄN</t>
        </is>
      </c>
      <c r="E7817" t="inlineStr">
        <is>
          <t>OVANÅKER</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36053-2023</t>
        </is>
      </c>
      <c r="B7818" s="1" t="n">
        <v>45149</v>
      </c>
      <c r="C7818" s="1" t="n">
        <v>45587</v>
      </c>
      <c r="D7818" t="inlineStr">
        <is>
          <t>GÄVLEBORGS LÄN</t>
        </is>
      </c>
      <c r="E7818" t="inlineStr">
        <is>
          <t>BOLLNÄS</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36058-2023</t>
        </is>
      </c>
      <c r="B7819" s="1" t="n">
        <v>45149</v>
      </c>
      <c r="C7819" s="1" t="n">
        <v>45587</v>
      </c>
      <c r="D7819" t="inlineStr">
        <is>
          <t>GÄVLEBORGS LÄN</t>
        </is>
      </c>
      <c r="E7819" t="inlineStr">
        <is>
          <t>BOLLNÄS</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36087-2023</t>
        </is>
      </c>
      <c r="B7820" s="1" t="n">
        <v>45149</v>
      </c>
      <c r="C7820" s="1" t="n">
        <v>45587</v>
      </c>
      <c r="D7820" t="inlineStr">
        <is>
          <t>GÄVLEBORGS LÄN</t>
        </is>
      </c>
      <c r="E7820" t="inlineStr">
        <is>
          <t>BOLLNÄS</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36105-2023</t>
        </is>
      </c>
      <c r="B7821" s="1" t="n">
        <v>45149</v>
      </c>
      <c r="C7821" s="1" t="n">
        <v>45587</v>
      </c>
      <c r="D7821" t="inlineStr">
        <is>
          <t>GÄVLEBORGS LÄN</t>
        </is>
      </c>
      <c r="E7821" t="inlineStr">
        <is>
          <t>LJUSDAL</t>
        </is>
      </c>
      <c r="F7821" t="inlineStr">
        <is>
          <t>Sveaskog</t>
        </is>
      </c>
      <c r="G7821" t="n">
        <v>3.9</v>
      </c>
      <c r="H7821" t="n">
        <v>0</v>
      </c>
      <c r="I7821" t="n">
        <v>0</v>
      </c>
      <c r="J7821" t="n">
        <v>0</v>
      </c>
      <c r="K7821" t="n">
        <v>0</v>
      </c>
      <c r="L7821" t="n">
        <v>0</v>
      </c>
      <c r="M7821" t="n">
        <v>0</v>
      </c>
      <c r="N7821" t="n">
        <v>0</v>
      </c>
      <c r="O7821" t="n">
        <v>0</v>
      </c>
      <c r="P7821" t="n">
        <v>0</v>
      </c>
      <c r="Q7821" t="n">
        <v>0</v>
      </c>
      <c r="R7821" s="2" t="inlineStr"/>
    </row>
    <row r="7822" ht="15" customHeight="1">
      <c r="A7822" t="inlineStr">
        <is>
          <t>A 36156-2023</t>
        </is>
      </c>
      <c r="B7822" s="1" t="n">
        <v>45149</v>
      </c>
      <c r="C7822" s="1" t="n">
        <v>45587</v>
      </c>
      <c r="D7822" t="inlineStr">
        <is>
          <t>GÄVLEBORGS LÄN</t>
        </is>
      </c>
      <c r="E7822" t="inlineStr">
        <is>
          <t>OVANÅKER</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36134-2023</t>
        </is>
      </c>
      <c r="B7823" s="1" t="n">
        <v>45149</v>
      </c>
      <c r="C7823" s="1" t="n">
        <v>45587</v>
      </c>
      <c r="D7823" t="inlineStr">
        <is>
          <t>GÄVLEBORGS LÄN</t>
        </is>
      </c>
      <c r="E7823" t="inlineStr">
        <is>
          <t>HUDIKSVALL</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36138-2023</t>
        </is>
      </c>
      <c r="B7824" s="1" t="n">
        <v>45149</v>
      </c>
      <c r="C7824" s="1" t="n">
        <v>45587</v>
      </c>
      <c r="D7824" t="inlineStr">
        <is>
          <t>GÄVLEBORGS LÄN</t>
        </is>
      </c>
      <c r="E7824" t="inlineStr">
        <is>
          <t>HUDIKSVALL</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36176-2023</t>
        </is>
      </c>
      <c r="B7825" s="1" t="n">
        <v>45149</v>
      </c>
      <c r="C7825" s="1" t="n">
        <v>45587</v>
      </c>
      <c r="D7825" t="inlineStr">
        <is>
          <t>GÄVLEBORGS LÄN</t>
        </is>
      </c>
      <c r="E7825" t="inlineStr">
        <is>
          <t>OVANÅKER</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36170-2023</t>
        </is>
      </c>
      <c r="B7826" s="1" t="n">
        <v>45149</v>
      </c>
      <c r="C7826" s="1" t="n">
        <v>45587</v>
      </c>
      <c r="D7826" t="inlineStr">
        <is>
          <t>GÄVLEBORGS LÄN</t>
        </is>
      </c>
      <c r="E7826" t="inlineStr">
        <is>
          <t>LJUSDAL</t>
        </is>
      </c>
      <c r="F7826" t="inlineStr">
        <is>
          <t>Sveaskog</t>
        </is>
      </c>
      <c r="G7826" t="n">
        <v>9.4</v>
      </c>
      <c r="H7826" t="n">
        <v>0</v>
      </c>
      <c r="I7826" t="n">
        <v>0</v>
      </c>
      <c r="J7826" t="n">
        <v>0</v>
      </c>
      <c r="K7826" t="n">
        <v>0</v>
      </c>
      <c r="L7826" t="n">
        <v>0</v>
      </c>
      <c r="M7826" t="n">
        <v>0</v>
      </c>
      <c r="N7826" t="n">
        <v>0</v>
      </c>
      <c r="O7826" t="n">
        <v>0</v>
      </c>
      <c r="P7826" t="n">
        <v>0</v>
      </c>
      <c r="Q7826" t="n">
        <v>0</v>
      </c>
      <c r="R7826" s="2" t="inlineStr"/>
    </row>
    <row r="7827" ht="15" customHeight="1">
      <c r="A7827" t="inlineStr">
        <is>
          <t>A 36186-2023</t>
        </is>
      </c>
      <c r="B7827" s="1" t="n">
        <v>45149</v>
      </c>
      <c r="C7827" s="1" t="n">
        <v>45587</v>
      </c>
      <c r="D7827" t="inlineStr">
        <is>
          <t>GÄVLEBORGS LÄN</t>
        </is>
      </c>
      <c r="E7827" t="inlineStr">
        <is>
          <t>NORDANSTIG</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36061-2023</t>
        </is>
      </c>
      <c r="B7828" s="1" t="n">
        <v>45149</v>
      </c>
      <c r="C7828" s="1" t="n">
        <v>45587</v>
      </c>
      <c r="D7828" t="inlineStr">
        <is>
          <t>GÄVLEBORGS LÄN</t>
        </is>
      </c>
      <c r="E7828" t="inlineStr">
        <is>
          <t>BOLLNÄS</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36065-2023</t>
        </is>
      </c>
      <c r="B7829" s="1" t="n">
        <v>45149</v>
      </c>
      <c r="C7829" s="1" t="n">
        <v>45587</v>
      </c>
      <c r="D7829" t="inlineStr">
        <is>
          <t>GÄVLEBORGS LÄN</t>
        </is>
      </c>
      <c r="E7829" t="inlineStr">
        <is>
          <t>BOLLNÄS</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36069-2023</t>
        </is>
      </c>
      <c r="B7830" s="1" t="n">
        <v>45149</v>
      </c>
      <c r="C7830" s="1" t="n">
        <v>45587</v>
      </c>
      <c r="D7830" t="inlineStr">
        <is>
          <t>GÄVLEBORGS LÄN</t>
        </is>
      </c>
      <c r="E7830" t="inlineStr">
        <is>
          <t>OVANÅKER</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36171-2023</t>
        </is>
      </c>
      <c r="B7831" s="1" t="n">
        <v>45149</v>
      </c>
      <c r="C7831" s="1" t="n">
        <v>45587</v>
      </c>
      <c r="D7831" t="inlineStr">
        <is>
          <t>GÄVLEBORGS LÄN</t>
        </is>
      </c>
      <c r="E7831" t="inlineStr">
        <is>
          <t>LJUSDAL</t>
        </is>
      </c>
      <c r="F7831" t="inlineStr">
        <is>
          <t>Sveaskog</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36284-2023</t>
        </is>
      </c>
      <c r="B7832" s="1" t="n">
        <v>45152</v>
      </c>
      <c r="C7832" s="1" t="n">
        <v>45587</v>
      </c>
      <c r="D7832" t="inlineStr">
        <is>
          <t>GÄVLEBORGS LÄN</t>
        </is>
      </c>
      <c r="E7832" t="inlineStr">
        <is>
          <t>OVANÅKER</t>
        </is>
      </c>
      <c r="G7832" t="n">
        <v>6.1</v>
      </c>
      <c r="H7832" t="n">
        <v>0</v>
      </c>
      <c r="I7832" t="n">
        <v>0</v>
      </c>
      <c r="J7832" t="n">
        <v>0</v>
      </c>
      <c r="K7832" t="n">
        <v>0</v>
      </c>
      <c r="L7832" t="n">
        <v>0</v>
      </c>
      <c r="M7832" t="n">
        <v>0</v>
      </c>
      <c r="N7832" t="n">
        <v>0</v>
      </c>
      <c r="O7832" t="n">
        <v>0</v>
      </c>
      <c r="P7832" t="n">
        <v>0</v>
      </c>
      <c r="Q7832" t="n">
        <v>0</v>
      </c>
      <c r="R7832" s="2" t="inlineStr"/>
    </row>
    <row r="7833" ht="15" customHeight="1">
      <c r="A7833" t="inlineStr">
        <is>
          <t>A 36316-2023</t>
        </is>
      </c>
      <c r="B7833" s="1" t="n">
        <v>45152</v>
      </c>
      <c r="C7833" s="1" t="n">
        <v>45587</v>
      </c>
      <c r="D7833" t="inlineStr">
        <is>
          <t>GÄVLEBORGS LÄN</t>
        </is>
      </c>
      <c r="E7833" t="inlineStr">
        <is>
          <t>OVANÅKER</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36321-2023</t>
        </is>
      </c>
      <c r="B7834" s="1" t="n">
        <v>45152</v>
      </c>
      <c r="C7834" s="1" t="n">
        <v>45587</v>
      </c>
      <c r="D7834" t="inlineStr">
        <is>
          <t>GÄVLEBORGS LÄN</t>
        </is>
      </c>
      <c r="E7834" t="inlineStr">
        <is>
          <t>LJUSDAL</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36330-2023</t>
        </is>
      </c>
      <c r="B7835" s="1" t="n">
        <v>45152</v>
      </c>
      <c r="C7835" s="1" t="n">
        <v>45587</v>
      </c>
      <c r="D7835" t="inlineStr">
        <is>
          <t>GÄVLEBORGS LÄN</t>
        </is>
      </c>
      <c r="E7835" t="inlineStr">
        <is>
          <t>NORDANSTIG</t>
        </is>
      </c>
      <c r="F7835" t="inlineStr">
        <is>
          <t>Holmen skog AB</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36428-2023</t>
        </is>
      </c>
      <c r="B7836" s="1" t="n">
        <v>45152</v>
      </c>
      <c r="C7836" s="1" t="n">
        <v>45587</v>
      </c>
      <c r="D7836" t="inlineStr">
        <is>
          <t>GÄVLEBORGS LÄN</t>
        </is>
      </c>
      <c r="E7836" t="inlineStr">
        <is>
          <t>SÖDERHAMN</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36315-2023</t>
        </is>
      </c>
      <c r="B7837" s="1" t="n">
        <v>45152</v>
      </c>
      <c r="C7837" s="1" t="n">
        <v>45587</v>
      </c>
      <c r="D7837" t="inlineStr">
        <is>
          <t>GÄVLEBORGS LÄN</t>
        </is>
      </c>
      <c r="E7837" t="inlineStr">
        <is>
          <t>OVANÅKER</t>
        </is>
      </c>
      <c r="G7837" t="n">
        <v>9.6</v>
      </c>
      <c r="H7837" t="n">
        <v>0</v>
      </c>
      <c r="I7837" t="n">
        <v>0</v>
      </c>
      <c r="J7837" t="n">
        <v>0</v>
      </c>
      <c r="K7837" t="n">
        <v>0</v>
      </c>
      <c r="L7837" t="n">
        <v>0</v>
      </c>
      <c r="M7837" t="n">
        <v>0</v>
      </c>
      <c r="N7837" t="n">
        <v>0</v>
      </c>
      <c r="O7837" t="n">
        <v>0</v>
      </c>
      <c r="P7837" t="n">
        <v>0</v>
      </c>
      <c r="Q7837" t="n">
        <v>0</v>
      </c>
      <c r="R7837" s="2" t="inlineStr"/>
    </row>
    <row r="7838" ht="15" customHeight="1">
      <c r="A7838" t="inlineStr">
        <is>
          <t>A 36310-2023</t>
        </is>
      </c>
      <c r="B7838" s="1" t="n">
        <v>45152</v>
      </c>
      <c r="C7838" s="1" t="n">
        <v>45587</v>
      </c>
      <c r="D7838" t="inlineStr">
        <is>
          <t>GÄVLEBORGS LÄN</t>
        </is>
      </c>
      <c r="E7838" t="inlineStr">
        <is>
          <t>NORDANSTIG</t>
        </is>
      </c>
      <c r="F7838" t="inlineStr">
        <is>
          <t>Holmen skog AB</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36320-2023</t>
        </is>
      </c>
      <c r="B7839" s="1" t="n">
        <v>45152</v>
      </c>
      <c r="C7839" s="1" t="n">
        <v>45587</v>
      </c>
      <c r="D7839" t="inlineStr">
        <is>
          <t>GÄVLEBORGS LÄN</t>
        </is>
      </c>
      <c r="E7839" t="inlineStr">
        <is>
          <t>GÄVLE</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36341-2023</t>
        </is>
      </c>
      <c r="B7840" s="1" t="n">
        <v>45152</v>
      </c>
      <c r="C7840" s="1" t="n">
        <v>45587</v>
      </c>
      <c r="D7840" t="inlineStr">
        <is>
          <t>GÄVLEBORGS LÄN</t>
        </is>
      </c>
      <c r="E7840" t="inlineStr">
        <is>
          <t>OCKELBO</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36345-2023</t>
        </is>
      </c>
      <c r="B7841" s="1" t="n">
        <v>45152</v>
      </c>
      <c r="C7841" s="1" t="n">
        <v>45587</v>
      </c>
      <c r="D7841" t="inlineStr">
        <is>
          <t>GÄVLEBORGS LÄN</t>
        </is>
      </c>
      <c r="E7841" t="inlineStr">
        <is>
          <t>OCKELBO</t>
        </is>
      </c>
      <c r="G7841" t="n">
        <v>4.2</v>
      </c>
      <c r="H7841" t="n">
        <v>0</v>
      </c>
      <c r="I7841" t="n">
        <v>0</v>
      </c>
      <c r="J7841" t="n">
        <v>0</v>
      </c>
      <c r="K7841" t="n">
        <v>0</v>
      </c>
      <c r="L7841" t="n">
        <v>0</v>
      </c>
      <c r="M7841" t="n">
        <v>0</v>
      </c>
      <c r="N7841" t="n">
        <v>0</v>
      </c>
      <c r="O7841" t="n">
        <v>0</v>
      </c>
      <c r="P7841" t="n">
        <v>0</v>
      </c>
      <c r="Q7841" t="n">
        <v>0</v>
      </c>
      <c r="R7841" s="2" t="inlineStr"/>
    </row>
    <row r="7842" ht="15" customHeight="1">
      <c r="A7842" t="inlineStr">
        <is>
          <t>A 36353-2023</t>
        </is>
      </c>
      <c r="B7842" s="1" t="n">
        <v>45152</v>
      </c>
      <c r="C7842" s="1" t="n">
        <v>45587</v>
      </c>
      <c r="D7842" t="inlineStr">
        <is>
          <t>GÄVLEBORGS LÄN</t>
        </is>
      </c>
      <c r="E7842" t="inlineStr">
        <is>
          <t>GÄVLE</t>
        </is>
      </c>
      <c r="F7842" t="inlineStr">
        <is>
          <t>Bergvik skog öst AB</t>
        </is>
      </c>
      <c r="G7842" t="n">
        <v>9.9</v>
      </c>
      <c r="H7842" t="n">
        <v>0</v>
      </c>
      <c r="I7842" t="n">
        <v>0</v>
      </c>
      <c r="J7842" t="n">
        <v>0</v>
      </c>
      <c r="K7842" t="n">
        <v>0</v>
      </c>
      <c r="L7842" t="n">
        <v>0</v>
      </c>
      <c r="M7842" t="n">
        <v>0</v>
      </c>
      <c r="N7842" t="n">
        <v>0</v>
      </c>
      <c r="O7842" t="n">
        <v>0</v>
      </c>
      <c r="P7842" t="n">
        <v>0</v>
      </c>
      <c r="Q7842" t="n">
        <v>0</v>
      </c>
      <c r="R7842" s="2" t="inlineStr"/>
    </row>
    <row r="7843" ht="15" customHeight="1">
      <c r="A7843" t="inlineStr">
        <is>
          <t>A 36349-2023</t>
        </is>
      </c>
      <c r="B7843" s="1" t="n">
        <v>45152</v>
      </c>
      <c r="C7843" s="1" t="n">
        <v>45587</v>
      </c>
      <c r="D7843" t="inlineStr">
        <is>
          <t>GÄVLEBORGS LÄN</t>
        </is>
      </c>
      <c r="E7843" t="inlineStr">
        <is>
          <t>BOLLNÄS</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36356-2023</t>
        </is>
      </c>
      <c r="B7844" s="1" t="n">
        <v>45152</v>
      </c>
      <c r="C7844" s="1" t="n">
        <v>45587</v>
      </c>
      <c r="D7844" t="inlineStr">
        <is>
          <t>GÄVLEBORGS LÄN</t>
        </is>
      </c>
      <c r="E7844" t="inlineStr">
        <is>
          <t>BOLLNÄS</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36458-2023</t>
        </is>
      </c>
      <c r="B7845" s="1" t="n">
        <v>45152</v>
      </c>
      <c r="C7845" s="1" t="n">
        <v>45587</v>
      </c>
      <c r="D7845" t="inlineStr">
        <is>
          <t>GÄVLEBORGS LÄN</t>
        </is>
      </c>
      <c r="E7845" t="inlineStr">
        <is>
          <t>LJUSDAL</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36343-2023</t>
        </is>
      </c>
      <c r="B7846" s="1" t="n">
        <v>45152</v>
      </c>
      <c r="C7846" s="1" t="n">
        <v>45587</v>
      </c>
      <c r="D7846" t="inlineStr">
        <is>
          <t>GÄVLEBORGS LÄN</t>
        </is>
      </c>
      <c r="E7846" t="inlineStr">
        <is>
          <t>OCKELBO</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36487-2023</t>
        </is>
      </c>
      <c r="B7847" s="1" t="n">
        <v>45152</v>
      </c>
      <c r="C7847" s="1" t="n">
        <v>45587</v>
      </c>
      <c r="D7847" t="inlineStr">
        <is>
          <t>GÄVLEBORGS LÄN</t>
        </is>
      </c>
      <c r="E7847" t="inlineStr">
        <is>
          <t>HUDIKSVALL</t>
        </is>
      </c>
      <c r="F7847" t="inlineStr">
        <is>
          <t>Holmen skog AB</t>
        </is>
      </c>
      <c r="G7847" t="n">
        <v>10.4</v>
      </c>
      <c r="H7847" t="n">
        <v>0</v>
      </c>
      <c r="I7847" t="n">
        <v>0</v>
      </c>
      <c r="J7847" t="n">
        <v>0</v>
      </c>
      <c r="K7847" t="n">
        <v>0</v>
      </c>
      <c r="L7847" t="n">
        <v>0</v>
      </c>
      <c r="M7847" t="n">
        <v>0</v>
      </c>
      <c r="N7847" t="n">
        <v>0</v>
      </c>
      <c r="O7847" t="n">
        <v>0</v>
      </c>
      <c r="P7847" t="n">
        <v>0</v>
      </c>
      <c r="Q7847" t="n">
        <v>0</v>
      </c>
      <c r="R7847" s="2" t="inlineStr"/>
    </row>
    <row r="7848" ht="15" customHeight="1">
      <c r="A7848" t="inlineStr">
        <is>
          <t>A 36378-2023</t>
        </is>
      </c>
      <c r="B7848" s="1" t="n">
        <v>45152</v>
      </c>
      <c r="C7848" s="1" t="n">
        <v>45587</v>
      </c>
      <c r="D7848" t="inlineStr">
        <is>
          <t>GÄVLEBORGS LÄN</t>
        </is>
      </c>
      <c r="E7848" t="inlineStr">
        <is>
          <t>LJUSDAL</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36448-2023</t>
        </is>
      </c>
      <c r="B7849" s="1" t="n">
        <v>45152</v>
      </c>
      <c r="C7849" s="1" t="n">
        <v>45587</v>
      </c>
      <c r="D7849" t="inlineStr">
        <is>
          <t>GÄVLEBORGS LÄN</t>
        </is>
      </c>
      <c r="E7849" t="inlineStr">
        <is>
          <t>LJUSDAL</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36452-2023</t>
        </is>
      </c>
      <c r="B7850" s="1" t="n">
        <v>45152</v>
      </c>
      <c r="C7850" s="1" t="n">
        <v>45587</v>
      </c>
      <c r="D7850" t="inlineStr">
        <is>
          <t>GÄVLEBORGS LÄN</t>
        </is>
      </c>
      <c r="E7850" t="inlineStr">
        <is>
          <t>OVANÅKER</t>
        </is>
      </c>
      <c r="F7850" t="inlineStr">
        <is>
          <t>Sveaskog</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36563-2023</t>
        </is>
      </c>
      <c r="B7851" s="1" t="n">
        <v>45152</v>
      </c>
      <c r="C7851" s="1" t="n">
        <v>45587</v>
      </c>
      <c r="D7851" t="inlineStr">
        <is>
          <t>GÄVLEBORGS LÄN</t>
        </is>
      </c>
      <c r="E7851" t="inlineStr">
        <is>
          <t>OVANÅKER</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36566-2023</t>
        </is>
      </c>
      <c r="B7852" s="1" t="n">
        <v>45153</v>
      </c>
      <c r="C7852" s="1" t="n">
        <v>45587</v>
      </c>
      <c r="D7852" t="inlineStr">
        <is>
          <t>GÄVLEBORGS LÄN</t>
        </is>
      </c>
      <c r="E7852" t="inlineStr">
        <is>
          <t>LJUSDAL</t>
        </is>
      </c>
      <c r="F7852" t="inlineStr">
        <is>
          <t>Bergvik skog väst AB</t>
        </is>
      </c>
      <c r="G7852" t="n">
        <v>18.2</v>
      </c>
      <c r="H7852" t="n">
        <v>0</v>
      </c>
      <c r="I7852" t="n">
        <v>0</v>
      </c>
      <c r="J7852" t="n">
        <v>0</v>
      </c>
      <c r="K7852" t="n">
        <v>0</v>
      </c>
      <c r="L7852" t="n">
        <v>0</v>
      </c>
      <c r="M7852" t="n">
        <v>0</v>
      </c>
      <c r="N7852" t="n">
        <v>0</v>
      </c>
      <c r="O7852" t="n">
        <v>0</v>
      </c>
      <c r="P7852" t="n">
        <v>0</v>
      </c>
      <c r="Q7852" t="n">
        <v>0</v>
      </c>
      <c r="R7852" s="2" t="inlineStr"/>
    </row>
    <row r="7853" ht="15" customHeight="1">
      <c r="A7853" t="inlineStr">
        <is>
          <t>A 36558-2023</t>
        </is>
      </c>
      <c r="B7853" s="1" t="n">
        <v>45153</v>
      </c>
      <c r="C7853" s="1" t="n">
        <v>45587</v>
      </c>
      <c r="D7853" t="inlineStr">
        <is>
          <t>GÄVLEBORGS LÄN</t>
        </is>
      </c>
      <c r="E7853" t="inlineStr">
        <is>
          <t>LJUSDAL</t>
        </is>
      </c>
      <c r="F7853" t="inlineStr">
        <is>
          <t>Bergvik skog väst AB</t>
        </is>
      </c>
      <c r="G7853" t="n">
        <v>15.9</v>
      </c>
      <c r="H7853" t="n">
        <v>0</v>
      </c>
      <c r="I7853" t="n">
        <v>0</v>
      </c>
      <c r="J7853" t="n">
        <v>0</v>
      </c>
      <c r="K7853" t="n">
        <v>0</v>
      </c>
      <c r="L7853" t="n">
        <v>0</v>
      </c>
      <c r="M7853" t="n">
        <v>0</v>
      </c>
      <c r="N7853" t="n">
        <v>0</v>
      </c>
      <c r="O7853" t="n">
        <v>0</v>
      </c>
      <c r="P7853" t="n">
        <v>0</v>
      </c>
      <c r="Q7853" t="n">
        <v>0</v>
      </c>
      <c r="R7853" s="2" t="inlineStr"/>
    </row>
    <row r="7854" ht="15" customHeight="1">
      <c r="A7854" t="inlineStr">
        <is>
          <t>A 36665-2023</t>
        </is>
      </c>
      <c r="B7854" s="1" t="n">
        <v>45153</v>
      </c>
      <c r="C7854" s="1" t="n">
        <v>45587</v>
      </c>
      <c r="D7854" t="inlineStr">
        <is>
          <t>GÄVLEBORGS LÄN</t>
        </is>
      </c>
      <c r="E7854" t="inlineStr">
        <is>
          <t>SANDVIKEN</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36701-2023</t>
        </is>
      </c>
      <c r="B7855" s="1" t="n">
        <v>45153</v>
      </c>
      <c r="C7855" s="1" t="n">
        <v>45587</v>
      </c>
      <c r="D7855" t="inlineStr">
        <is>
          <t>GÄVLEBORGS LÄN</t>
        </is>
      </c>
      <c r="E7855" t="inlineStr">
        <is>
          <t>BOLLNÄS</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36710-2023</t>
        </is>
      </c>
      <c r="B7856" s="1" t="n">
        <v>45153</v>
      </c>
      <c r="C7856" s="1" t="n">
        <v>45587</v>
      </c>
      <c r="D7856" t="inlineStr">
        <is>
          <t>GÄVLEBORGS LÄN</t>
        </is>
      </c>
      <c r="E7856" t="inlineStr">
        <is>
          <t>BOLLNÄS</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36594-2023</t>
        </is>
      </c>
      <c r="B7857" s="1" t="n">
        <v>45153</v>
      </c>
      <c r="C7857" s="1" t="n">
        <v>45587</v>
      </c>
      <c r="D7857" t="inlineStr">
        <is>
          <t>GÄVLEBORGS LÄN</t>
        </is>
      </c>
      <c r="E7857" t="inlineStr">
        <is>
          <t>BOLLNÄS</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36581-2023</t>
        </is>
      </c>
      <c r="B7858" s="1" t="n">
        <v>45153</v>
      </c>
      <c r="C7858" s="1" t="n">
        <v>45587</v>
      </c>
      <c r="D7858" t="inlineStr">
        <is>
          <t>GÄVLEBORGS LÄN</t>
        </is>
      </c>
      <c r="E7858" t="inlineStr">
        <is>
          <t>BOLLNÄS</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36629-2023</t>
        </is>
      </c>
      <c r="B7859" s="1" t="n">
        <v>45153</v>
      </c>
      <c r="C7859" s="1" t="n">
        <v>45587</v>
      </c>
      <c r="D7859" t="inlineStr">
        <is>
          <t>GÄVLEBORGS LÄN</t>
        </is>
      </c>
      <c r="E7859" t="inlineStr">
        <is>
          <t>BOLLNÄS</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36584-2023</t>
        </is>
      </c>
      <c r="B7860" s="1" t="n">
        <v>45153</v>
      </c>
      <c r="C7860" s="1" t="n">
        <v>45587</v>
      </c>
      <c r="D7860" t="inlineStr">
        <is>
          <t>GÄVLEBORGS LÄN</t>
        </is>
      </c>
      <c r="E7860" t="inlineStr">
        <is>
          <t>BOLLNÄS</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36588-2023</t>
        </is>
      </c>
      <c r="B7861" s="1" t="n">
        <v>45153</v>
      </c>
      <c r="C7861" s="1" t="n">
        <v>45587</v>
      </c>
      <c r="D7861" t="inlineStr">
        <is>
          <t>GÄVLEBORGS LÄN</t>
        </is>
      </c>
      <c r="E7861" t="inlineStr">
        <is>
          <t>BOLLNÄS</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36607-2023</t>
        </is>
      </c>
      <c r="B7862" s="1" t="n">
        <v>45153</v>
      </c>
      <c r="C7862" s="1" t="n">
        <v>45587</v>
      </c>
      <c r="D7862" t="inlineStr">
        <is>
          <t>GÄVLEBORGS LÄN</t>
        </is>
      </c>
      <c r="E7862" t="inlineStr">
        <is>
          <t>BOLLNÄS</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36671-2023</t>
        </is>
      </c>
      <c r="B7863" s="1" t="n">
        <v>45153</v>
      </c>
      <c r="C7863" s="1" t="n">
        <v>45587</v>
      </c>
      <c r="D7863" t="inlineStr">
        <is>
          <t>GÄVLEBORGS LÄN</t>
        </is>
      </c>
      <c r="E7863" t="inlineStr">
        <is>
          <t>SANDVIKEN</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36699-2023</t>
        </is>
      </c>
      <c r="B7864" s="1" t="n">
        <v>45153</v>
      </c>
      <c r="C7864" s="1" t="n">
        <v>45587</v>
      </c>
      <c r="D7864" t="inlineStr">
        <is>
          <t>GÄVLEBORGS LÄN</t>
        </is>
      </c>
      <c r="E7864" t="inlineStr">
        <is>
          <t>BOLLNÄS</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36707-2023</t>
        </is>
      </c>
      <c r="B7865" s="1" t="n">
        <v>45153</v>
      </c>
      <c r="C7865" s="1" t="n">
        <v>45587</v>
      </c>
      <c r="D7865" t="inlineStr">
        <is>
          <t>GÄVLEBORGS LÄN</t>
        </is>
      </c>
      <c r="E7865" t="inlineStr">
        <is>
          <t>BOLLNÄS</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36719-2023</t>
        </is>
      </c>
      <c r="B7866" s="1" t="n">
        <v>45153</v>
      </c>
      <c r="C7866" s="1" t="n">
        <v>45587</v>
      </c>
      <c r="D7866" t="inlineStr">
        <is>
          <t>GÄVLEBORGS LÄN</t>
        </is>
      </c>
      <c r="E7866" t="inlineStr">
        <is>
          <t>HUDIKSVALL</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36656-2023</t>
        </is>
      </c>
      <c r="B7867" s="1" t="n">
        <v>45153</v>
      </c>
      <c r="C7867" s="1" t="n">
        <v>45587</v>
      </c>
      <c r="D7867" t="inlineStr">
        <is>
          <t>GÄVLEBORGS LÄN</t>
        </is>
      </c>
      <c r="E7867" t="inlineStr">
        <is>
          <t>SANDVIKEN</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36660-2023</t>
        </is>
      </c>
      <c r="B7868" s="1" t="n">
        <v>45153</v>
      </c>
      <c r="C7868" s="1" t="n">
        <v>45587</v>
      </c>
      <c r="D7868" t="inlineStr">
        <is>
          <t>GÄVLEBORGS LÄN</t>
        </is>
      </c>
      <c r="E7868" t="inlineStr">
        <is>
          <t>SANDVIKEN</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36668-2023</t>
        </is>
      </c>
      <c r="B7869" s="1" t="n">
        <v>45153</v>
      </c>
      <c r="C7869" s="1" t="n">
        <v>45587</v>
      </c>
      <c r="D7869" t="inlineStr">
        <is>
          <t>GÄVLEBORGS LÄN</t>
        </is>
      </c>
      <c r="E7869" t="inlineStr">
        <is>
          <t>LJUSDAL</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36700-2023</t>
        </is>
      </c>
      <c r="B7870" s="1" t="n">
        <v>45153</v>
      </c>
      <c r="C7870" s="1" t="n">
        <v>45587</v>
      </c>
      <c r="D7870" t="inlineStr">
        <is>
          <t>GÄVLEBORGS LÄN</t>
        </is>
      </c>
      <c r="E7870" t="inlineStr">
        <is>
          <t>LJUSDAL</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36841-2023</t>
        </is>
      </c>
      <c r="B7871" s="1" t="n">
        <v>45154</v>
      </c>
      <c r="C7871" s="1" t="n">
        <v>45587</v>
      </c>
      <c r="D7871" t="inlineStr">
        <is>
          <t>GÄVLEBORGS LÄN</t>
        </is>
      </c>
      <c r="E7871" t="inlineStr">
        <is>
          <t>SANDVIKEN</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36779-2023</t>
        </is>
      </c>
      <c r="B7872" s="1" t="n">
        <v>45154</v>
      </c>
      <c r="C7872" s="1" t="n">
        <v>45587</v>
      </c>
      <c r="D7872" t="inlineStr">
        <is>
          <t>GÄVLEBORGS LÄN</t>
        </is>
      </c>
      <c r="E7872" t="inlineStr">
        <is>
          <t>OCKELBO</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36794-2023</t>
        </is>
      </c>
      <c r="B7873" s="1" t="n">
        <v>45154</v>
      </c>
      <c r="C7873" s="1" t="n">
        <v>45587</v>
      </c>
      <c r="D7873" t="inlineStr">
        <is>
          <t>GÄVLEBORGS LÄN</t>
        </is>
      </c>
      <c r="E7873" t="inlineStr">
        <is>
          <t>OVANÅKER</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36927-2023</t>
        </is>
      </c>
      <c r="B7874" s="1" t="n">
        <v>45154</v>
      </c>
      <c r="C7874" s="1" t="n">
        <v>45587</v>
      </c>
      <c r="D7874" t="inlineStr">
        <is>
          <t>GÄVLEBORGS LÄN</t>
        </is>
      </c>
      <c r="E7874" t="inlineStr">
        <is>
          <t>NORDANSTIG</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36960-2023</t>
        </is>
      </c>
      <c r="B7875" s="1" t="n">
        <v>45154</v>
      </c>
      <c r="C7875" s="1" t="n">
        <v>45587</v>
      </c>
      <c r="D7875" t="inlineStr">
        <is>
          <t>GÄVLEBORGS LÄN</t>
        </is>
      </c>
      <c r="E7875" t="inlineStr">
        <is>
          <t>NORDANSTIG</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36799-2023</t>
        </is>
      </c>
      <c r="B7876" s="1" t="n">
        <v>45154</v>
      </c>
      <c r="C7876" s="1" t="n">
        <v>45587</v>
      </c>
      <c r="D7876" t="inlineStr">
        <is>
          <t>GÄVLEBORGS LÄN</t>
        </is>
      </c>
      <c r="E7876" t="inlineStr">
        <is>
          <t>OCKELBO</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37105-2023</t>
        </is>
      </c>
      <c r="B7877" s="1" t="n">
        <v>45155</v>
      </c>
      <c r="C7877" s="1" t="n">
        <v>45587</v>
      </c>
      <c r="D7877" t="inlineStr">
        <is>
          <t>GÄVLEBORGS LÄN</t>
        </is>
      </c>
      <c r="E7877" t="inlineStr">
        <is>
          <t>HUDIKSVALL</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37090-2023</t>
        </is>
      </c>
      <c r="B7878" s="1" t="n">
        <v>45155</v>
      </c>
      <c r="C7878" s="1" t="n">
        <v>45587</v>
      </c>
      <c r="D7878" t="inlineStr">
        <is>
          <t>GÄVLEBORGS LÄN</t>
        </is>
      </c>
      <c r="E7878" t="inlineStr">
        <is>
          <t>OVANÅKER</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37064-2023</t>
        </is>
      </c>
      <c r="B7879" s="1" t="n">
        <v>45155</v>
      </c>
      <c r="C7879" s="1" t="n">
        <v>45587</v>
      </c>
      <c r="D7879" t="inlineStr">
        <is>
          <t>GÄVLEBORGS LÄN</t>
        </is>
      </c>
      <c r="E7879" t="inlineStr">
        <is>
          <t>LJUSDAL</t>
        </is>
      </c>
      <c r="F7879" t="inlineStr">
        <is>
          <t>Övriga Aktiebolag</t>
        </is>
      </c>
      <c r="G7879" t="n">
        <v>9.699999999999999</v>
      </c>
      <c r="H7879" t="n">
        <v>0</v>
      </c>
      <c r="I7879" t="n">
        <v>0</v>
      </c>
      <c r="J7879" t="n">
        <v>0</v>
      </c>
      <c r="K7879" t="n">
        <v>0</v>
      </c>
      <c r="L7879" t="n">
        <v>0</v>
      </c>
      <c r="M7879" t="n">
        <v>0</v>
      </c>
      <c r="N7879" t="n">
        <v>0</v>
      </c>
      <c r="O7879" t="n">
        <v>0</v>
      </c>
      <c r="P7879" t="n">
        <v>0</v>
      </c>
      <c r="Q7879" t="n">
        <v>0</v>
      </c>
      <c r="R7879" s="2" t="inlineStr"/>
    </row>
    <row r="7880" ht="15" customHeight="1">
      <c r="A7880" t="inlineStr">
        <is>
          <t>A 37233-2023</t>
        </is>
      </c>
      <c r="B7880" s="1" t="n">
        <v>45155</v>
      </c>
      <c r="C7880" s="1" t="n">
        <v>45587</v>
      </c>
      <c r="D7880" t="inlineStr">
        <is>
          <t>GÄVLEBORGS LÄN</t>
        </is>
      </c>
      <c r="E7880" t="inlineStr">
        <is>
          <t>BOLLNÄS</t>
        </is>
      </c>
      <c r="G7880" t="n">
        <v>3.7</v>
      </c>
      <c r="H7880" t="n">
        <v>0</v>
      </c>
      <c r="I7880" t="n">
        <v>0</v>
      </c>
      <c r="J7880" t="n">
        <v>0</v>
      </c>
      <c r="K7880" t="n">
        <v>0</v>
      </c>
      <c r="L7880" t="n">
        <v>0</v>
      </c>
      <c r="M7880" t="n">
        <v>0</v>
      </c>
      <c r="N7880" t="n">
        <v>0</v>
      </c>
      <c r="O7880" t="n">
        <v>0</v>
      </c>
      <c r="P7880" t="n">
        <v>0</v>
      </c>
      <c r="Q7880" t="n">
        <v>0</v>
      </c>
      <c r="R7880" s="2" t="inlineStr"/>
    </row>
    <row r="7881" ht="15" customHeight="1">
      <c r="A7881" t="inlineStr">
        <is>
          <t>A 37170-2023</t>
        </is>
      </c>
      <c r="B7881" s="1" t="n">
        <v>45155</v>
      </c>
      <c r="C7881" s="1" t="n">
        <v>45587</v>
      </c>
      <c r="D7881" t="inlineStr">
        <is>
          <t>GÄVLEBORGS LÄN</t>
        </is>
      </c>
      <c r="E7881" t="inlineStr">
        <is>
          <t>BOLLNÄS</t>
        </is>
      </c>
      <c r="G7881" t="n">
        <v>8</v>
      </c>
      <c r="H7881" t="n">
        <v>0</v>
      </c>
      <c r="I7881" t="n">
        <v>0</v>
      </c>
      <c r="J7881" t="n">
        <v>0</v>
      </c>
      <c r="K7881" t="n">
        <v>0</v>
      </c>
      <c r="L7881" t="n">
        <v>0</v>
      </c>
      <c r="M7881" t="n">
        <v>0</v>
      </c>
      <c r="N7881" t="n">
        <v>0</v>
      </c>
      <c r="O7881" t="n">
        <v>0</v>
      </c>
      <c r="P7881" t="n">
        <v>0</v>
      </c>
      <c r="Q7881" t="n">
        <v>0</v>
      </c>
      <c r="R7881" s="2" t="inlineStr"/>
    </row>
    <row r="7882" ht="15" customHeight="1">
      <c r="A7882" t="inlineStr">
        <is>
          <t>A 37155-2023</t>
        </is>
      </c>
      <c r="B7882" s="1" t="n">
        <v>45155</v>
      </c>
      <c r="C7882" s="1" t="n">
        <v>45587</v>
      </c>
      <c r="D7882" t="inlineStr">
        <is>
          <t>GÄVLEBORGS LÄN</t>
        </is>
      </c>
      <c r="E7882" t="inlineStr">
        <is>
          <t>NORDANSTIG</t>
        </is>
      </c>
      <c r="G7882" t="n">
        <v>8.1</v>
      </c>
      <c r="H7882" t="n">
        <v>0</v>
      </c>
      <c r="I7882" t="n">
        <v>0</v>
      </c>
      <c r="J7882" t="n">
        <v>0</v>
      </c>
      <c r="K7882" t="n">
        <v>0</v>
      </c>
      <c r="L7882" t="n">
        <v>0</v>
      </c>
      <c r="M7882" t="n">
        <v>0</v>
      </c>
      <c r="N7882" t="n">
        <v>0</v>
      </c>
      <c r="O7882" t="n">
        <v>0</v>
      </c>
      <c r="P7882" t="n">
        <v>0</v>
      </c>
      <c r="Q7882" t="n">
        <v>0</v>
      </c>
      <c r="R7882" s="2" t="inlineStr"/>
    </row>
    <row r="7883" ht="15" customHeight="1">
      <c r="A7883" t="inlineStr">
        <is>
          <t>A 37202-2023</t>
        </is>
      </c>
      <c r="B7883" s="1" t="n">
        <v>45155</v>
      </c>
      <c r="C7883" s="1" t="n">
        <v>45587</v>
      </c>
      <c r="D7883" t="inlineStr">
        <is>
          <t>GÄVLEBORGS LÄN</t>
        </is>
      </c>
      <c r="E7883" t="inlineStr">
        <is>
          <t>LJUSDAL</t>
        </is>
      </c>
      <c r="F7883" t="inlineStr">
        <is>
          <t>Sveaskog</t>
        </is>
      </c>
      <c r="G7883" t="n">
        <v>7.1</v>
      </c>
      <c r="H7883" t="n">
        <v>0</v>
      </c>
      <c r="I7883" t="n">
        <v>0</v>
      </c>
      <c r="J7883" t="n">
        <v>0</v>
      </c>
      <c r="K7883" t="n">
        <v>0</v>
      </c>
      <c r="L7883" t="n">
        <v>0</v>
      </c>
      <c r="M7883" t="n">
        <v>0</v>
      </c>
      <c r="N7883" t="n">
        <v>0</v>
      </c>
      <c r="O7883" t="n">
        <v>0</v>
      </c>
      <c r="P7883" t="n">
        <v>0</v>
      </c>
      <c r="Q7883" t="n">
        <v>0</v>
      </c>
      <c r="R7883" s="2" t="inlineStr"/>
    </row>
    <row r="7884" ht="15" customHeight="1">
      <c r="A7884" t="inlineStr">
        <is>
          <t>A 37194-2023</t>
        </is>
      </c>
      <c r="B7884" s="1" t="n">
        <v>45155</v>
      </c>
      <c r="C7884" s="1" t="n">
        <v>45587</v>
      </c>
      <c r="D7884" t="inlineStr">
        <is>
          <t>GÄVLEBORGS LÄN</t>
        </is>
      </c>
      <c r="E7884" t="inlineStr">
        <is>
          <t>BOLLNÄS</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37203-2023</t>
        </is>
      </c>
      <c r="B7885" s="1" t="n">
        <v>45155</v>
      </c>
      <c r="C7885" s="1" t="n">
        <v>45587</v>
      </c>
      <c r="D7885" t="inlineStr">
        <is>
          <t>GÄVLEBORGS LÄN</t>
        </is>
      </c>
      <c r="E7885" t="inlineStr">
        <is>
          <t>LJUSDAL</t>
        </is>
      </c>
      <c r="F7885" t="inlineStr">
        <is>
          <t>Sveaskog</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37227-2023</t>
        </is>
      </c>
      <c r="B7886" s="1" t="n">
        <v>45155</v>
      </c>
      <c r="C7886" s="1" t="n">
        <v>45587</v>
      </c>
      <c r="D7886" t="inlineStr">
        <is>
          <t>GÄVLEBORGS LÄN</t>
        </is>
      </c>
      <c r="E7886" t="inlineStr">
        <is>
          <t>LJUSDAL</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37274-2023</t>
        </is>
      </c>
      <c r="B7887" s="1" t="n">
        <v>45156</v>
      </c>
      <c r="C7887" s="1" t="n">
        <v>45587</v>
      </c>
      <c r="D7887" t="inlineStr">
        <is>
          <t>GÄVLEBORGS LÄN</t>
        </is>
      </c>
      <c r="E7887" t="inlineStr">
        <is>
          <t>LJUSDAL</t>
        </is>
      </c>
      <c r="G7887" t="n">
        <v>7.8</v>
      </c>
      <c r="H7887" t="n">
        <v>0</v>
      </c>
      <c r="I7887" t="n">
        <v>0</v>
      </c>
      <c r="J7887" t="n">
        <v>0</v>
      </c>
      <c r="K7887" t="n">
        <v>0</v>
      </c>
      <c r="L7887" t="n">
        <v>0</v>
      </c>
      <c r="M7887" t="n">
        <v>0</v>
      </c>
      <c r="N7887" t="n">
        <v>0</v>
      </c>
      <c r="O7887" t="n">
        <v>0</v>
      </c>
      <c r="P7887" t="n">
        <v>0</v>
      </c>
      <c r="Q7887" t="n">
        <v>0</v>
      </c>
      <c r="R7887" s="2" t="inlineStr"/>
    </row>
    <row r="7888" ht="15" customHeight="1">
      <c r="A7888" t="inlineStr">
        <is>
          <t>A 37291-2023</t>
        </is>
      </c>
      <c r="B7888" s="1" t="n">
        <v>45156</v>
      </c>
      <c r="C7888" s="1" t="n">
        <v>45587</v>
      </c>
      <c r="D7888" t="inlineStr">
        <is>
          <t>GÄVLEBORGS LÄN</t>
        </is>
      </c>
      <c r="E7888" t="inlineStr">
        <is>
          <t>LJUSDAL</t>
        </is>
      </c>
      <c r="F7888" t="inlineStr">
        <is>
          <t>Bergvik skog väst AB</t>
        </is>
      </c>
      <c r="G7888" t="n">
        <v>29.4</v>
      </c>
      <c r="H7888" t="n">
        <v>0</v>
      </c>
      <c r="I7888" t="n">
        <v>0</v>
      </c>
      <c r="J7888" t="n">
        <v>0</v>
      </c>
      <c r="K7888" t="n">
        <v>0</v>
      </c>
      <c r="L7888" t="n">
        <v>0</v>
      </c>
      <c r="M7888" t="n">
        <v>0</v>
      </c>
      <c r="N7888" t="n">
        <v>0</v>
      </c>
      <c r="O7888" t="n">
        <v>0</v>
      </c>
      <c r="P7888" t="n">
        <v>0</v>
      </c>
      <c r="Q7888" t="n">
        <v>0</v>
      </c>
      <c r="R7888" s="2" t="inlineStr"/>
    </row>
    <row r="7889" ht="15" customHeight="1">
      <c r="A7889" t="inlineStr">
        <is>
          <t>A 37302-2023</t>
        </is>
      </c>
      <c r="B7889" s="1" t="n">
        <v>45156</v>
      </c>
      <c r="C7889" s="1" t="n">
        <v>45587</v>
      </c>
      <c r="D7889" t="inlineStr">
        <is>
          <t>GÄVLEBORGS LÄN</t>
        </is>
      </c>
      <c r="E7889" t="inlineStr">
        <is>
          <t>OVANÅKER</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37307-2023</t>
        </is>
      </c>
      <c r="B7890" s="1" t="n">
        <v>45156</v>
      </c>
      <c r="C7890" s="1" t="n">
        <v>45587</v>
      </c>
      <c r="D7890" t="inlineStr">
        <is>
          <t>GÄVLEBORGS LÄN</t>
        </is>
      </c>
      <c r="E7890" t="inlineStr">
        <is>
          <t>OVANÅKER</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37316-2023</t>
        </is>
      </c>
      <c r="B7891" s="1" t="n">
        <v>45156</v>
      </c>
      <c r="C7891" s="1" t="n">
        <v>45587</v>
      </c>
      <c r="D7891" t="inlineStr">
        <is>
          <t>GÄVLEBORGS LÄN</t>
        </is>
      </c>
      <c r="E7891" t="inlineStr">
        <is>
          <t>BOLLNÄS</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37341-2023</t>
        </is>
      </c>
      <c r="B7892" s="1" t="n">
        <v>45156</v>
      </c>
      <c r="C7892" s="1" t="n">
        <v>45587</v>
      </c>
      <c r="D7892" t="inlineStr">
        <is>
          <t>GÄVLEBORGS LÄN</t>
        </is>
      </c>
      <c r="E7892" t="inlineStr">
        <is>
          <t>GÄVLE</t>
        </is>
      </c>
      <c r="F7892" t="inlineStr">
        <is>
          <t>Kyrkan</t>
        </is>
      </c>
      <c r="G7892" t="n">
        <v>3.9</v>
      </c>
      <c r="H7892" t="n">
        <v>0</v>
      </c>
      <c r="I7892" t="n">
        <v>0</v>
      </c>
      <c r="J7892" t="n">
        <v>0</v>
      </c>
      <c r="K7892" t="n">
        <v>0</v>
      </c>
      <c r="L7892" t="n">
        <v>0</v>
      </c>
      <c r="M7892" t="n">
        <v>0</v>
      </c>
      <c r="N7892" t="n">
        <v>0</v>
      </c>
      <c r="O7892" t="n">
        <v>0</v>
      </c>
      <c r="P7892" t="n">
        <v>0</v>
      </c>
      <c r="Q7892" t="n">
        <v>0</v>
      </c>
      <c r="R7892" s="2" t="inlineStr"/>
    </row>
    <row r="7893" ht="15" customHeight="1">
      <c r="A7893" t="inlineStr">
        <is>
          <t>A 37275-2023</t>
        </is>
      </c>
      <c r="B7893" s="1" t="n">
        <v>45156</v>
      </c>
      <c r="C7893" s="1" t="n">
        <v>45587</v>
      </c>
      <c r="D7893" t="inlineStr">
        <is>
          <t>GÄVLEBORGS LÄN</t>
        </is>
      </c>
      <c r="E7893" t="inlineStr">
        <is>
          <t>LJUSDAL</t>
        </is>
      </c>
      <c r="G7893" t="n">
        <v>5.3</v>
      </c>
      <c r="H7893" t="n">
        <v>0</v>
      </c>
      <c r="I7893" t="n">
        <v>0</v>
      </c>
      <c r="J7893" t="n">
        <v>0</v>
      </c>
      <c r="K7893" t="n">
        <v>0</v>
      </c>
      <c r="L7893" t="n">
        <v>0</v>
      </c>
      <c r="M7893" t="n">
        <v>0</v>
      </c>
      <c r="N7893" t="n">
        <v>0</v>
      </c>
      <c r="O7893" t="n">
        <v>0</v>
      </c>
      <c r="P7893" t="n">
        <v>0</v>
      </c>
      <c r="Q7893" t="n">
        <v>0</v>
      </c>
      <c r="R7893" s="2" t="inlineStr"/>
    </row>
    <row r="7894" ht="15" customHeight="1">
      <c r="A7894" t="inlineStr">
        <is>
          <t>A 37292-2023</t>
        </is>
      </c>
      <c r="B7894" s="1" t="n">
        <v>45156</v>
      </c>
      <c r="C7894" s="1" t="n">
        <v>45587</v>
      </c>
      <c r="D7894" t="inlineStr">
        <is>
          <t>GÄVLEBORGS LÄN</t>
        </is>
      </c>
      <c r="E7894" t="inlineStr">
        <is>
          <t>OVANÅKER</t>
        </is>
      </c>
      <c r="G7894" t="n">
        <v>4.2</v>
      </c>
      <c r="H7894" t="n">
        <v>0</v>
      </c>
      <c r="I7894" t="n">
        <v>0</v>
      </c>
      <c r="J7894" t="n">
        <v>0</v>
      </c>
      <c r="K7894" t="n">
        <v>0</v>
      </c>
      <c r="L7894" t="n">
        <v>0</v>
      </c>
      <c r="M7894" t="n">
        <v>0</v>
      </c>
      <c r="N7894" t="n">
        <v>0</v>
      </c>
      <c r="O7894" t="n">
        <v>0</v>
      </c>
      <c r="P7894" t="n">
        <v>0</v>
      </c>
      <c r="Q7894" t="n">
        <v>0</v>
      </c>
      <c r="R7894" s="2" t="inlineStr"/>
    </row>
    <row r="7895" ht="15" customHeight="1">
      <c r="A7895" t="inlineStr">
        <is>
          <t>A 37386-2023</t>
        </is>
      </c>
      <c r="B7895" s="1" t="n">
        <v>45156</v>
      </c>
      <c r="C7895" s="1" t="n">
        <v>45587</v>
      </c>
      <c r="D7895" t="inlineStr">
        <is>
          <t>GÄVLEBORGS LÄN</t>
        </is>
      </c>
      <c r="E7895" t="inlineStr">
        <is>
          <t>OCKELBO</t>
        </is>
      </c>
      <c r="F7895" t="inlineStr">
        <is>
          <t>Bergvik skog väst AB</t>
        </is>
      </c>
      <c r="G7895" t="n">
        <v>3.1</v>
      </c>
      <c r="H7895" t="n">
        <v>0</v>
      </c>
      <c r="I7895" t="n">
        <v>0</v>
      </c>
      <c r="J7895" t="n">
        <v>0</v>
      </c>
      <c r="K7895" t="n">
        <v>0</v>
      </c>
      <c r="L7895" t="n">
        <v>0</v>
      </c>
      <c r="M7895" t="n">
        <v>0</v>
      </c>
      <c r="N7895" t="n">
        <v>0</v>
      </c>
      <c r="O7895" t="n">
        <v>0</v>
      </c>
      <c r="P7895" t="n">
        <v>0</v>
      </c>
      <c r="Q7895" t="n">
        <v>0</v>
      </c>
      <c r="R7895" s="2" t="inlineStr"/>
    </row>
    <row r="7896" ht="15" customHeight="1">
      <c r="A7896" t="inlineStr">
        <is>
          <t>A 37308-2023</t>
        </is>
      </c>
      <c r="B7896" s="1" t="n">
        <v>45156</v>
      </c>
      <c r="C7896" s="1" t="n">
        <v>45587</v>
      </c>
      <c r="D7896" t="inlineStr">
        <is>
          <t>GÄVLEBORGS LÄN</t>
        </is>
      </c>
      <c r="E7896" t="inlineStr">
        <is>
          <t>BOLLNÄS</t>
        </is>
      </c>
      <c r="G7896" t="n">
        <v>3.6</v>
      </c>
      <c r="H7896" t="n">
        <v>0</v>
      </c>
      <c r="I7896" t="n">
        <v>0</v>
      </c>
      <c r="J7896" t="n">
        <v>0</v>
      </c>
      <c r="K7896" t="n">
        <v>0</v>
      </c>
      <c r="L7896" t="n">
        <v>0</v>
      </c>
      <c r="M7896" t="n">
        <v>0</v>
      </c>
      <c r="N7896" t="n">
        <v>0</v>
      </c>
      <c r="O7896" t="n">
        <v>0</v>
      </c>
      <c r="P7896" t="n">
        <v>0</v>
      </c>
      <c r="Q7896" t="n">
        <v>0</v>
      </c>
      <c r="R7896" s="2" t="inlineStr"/>
    </row>
    <row r="7897" ht="15" customHeight="1">
      <c r="A7897" t="inlineStr">
        <is>
          <t>A 37325-2023</t>
        </is>
      </c>
      <c r="B7897" s="1" t="n">
        <v>45156</v>
      </c>
      <c r="C7897" s="1" t="n">
        <v>45587</v>
      </c>
      <c r="D7897" t="inlineStr">
        <is>
          <t>GÄVLEBORGS LÄN</t>
        </is>
      </c>
      <c r="E7897" t="inlineStr">
        <is>
          <t>BOLLNÄS</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37391-2023</t>
        </is>
      </c>
      <c r="B7898" s="1" t="n">
        <v>45156</v>
      </c>
      <c r="C7898" s="1" t="n">
        <v>45587</v>
      </c>
      <c r="D7898" t="inlineStr">
        <is>
          <t>GÄVLEBORGS LÄN</t>
        </is>
      </c>
      <c r="E7898" t="inlineStr">
        <is>
          <t>OCKELBO</t>
        </is>
      </c>
      <c r="F7898" t="inlineStr">
        <is>
          <t>Bergvik skog väst AB</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37438-2023</t>
        </is>
      </c>
      <c r="B7899" s="1" t="n">
        <v>45156</v>
      </c>
      <c r="C7899" s="1" t="n">
        <v>45587</v>
      </c>
      <c r="D7899" t="inlineStr">
        <is>
          <t>GÄVLEBORGS LÄN</t>
        </is>
      </c>
      <c r="E7899" t="inlineStr">
        <is>
          <t>OCKELBO</t>
        </is>
      </c>
      <c r="F7899" t="inlineStr">
        <is>
          <t>Bergvik skog väst AB</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37362-2023</t>
        </is>
      </c>
      <c r="B7900" s="1" t="n">
        <v>45156</v>
      </c>
      <c r="C7900" s="1" t="n">
        <v>45587</v>
      </c>
      <c r="D7900" t="inlineStr">
        <is>
          <t>GÄVLEBORGS LÄN</t>
        </is>
      </c>
      <c r="E7900" t="inlineStr">
        <is>
          <t>GÄVLE</t>
        </is>
      </c>
      <c r="F7900" t="inlineStr">
        <is>
          <t>Bergvik skog väst AB</t>
        </is>
      </c>
      <c r="G7900" t="n">
        <v>7.4</v>
      </c>
      <c r="H7900" t="n">
        <v>0</v>
      </c>
      <c r="I7900" t="n">
        <v>0</v>
      </c>
      <c r="J7900" t="n">
        <v>0</v>
      </c>
      <c r="K7900" t="n">
        <v>0</v>
      </c>
      <c r="L7900" t="n">
        <v>0</v>
      </c>
      <c r="M7900" t="n">
        <v>0</v>
      </c>
      <c r="N7900" t="n">
        <v>0</v>
      </c>
      <c r="O7900" t="n">
        <v>0</v>
      </c>
      <c r="P7900" t="n">
        <v>0</v>
      </c>
      <c r="Q7900" t="n">
        <v>0</v>
      </c>
      <c r="R7900" s="2" t="inlineStr"/>
    </row>
    <row r="7901" ht="15" customHeight="1">
      <c r="A7901" t="inlineStr">
        <is>
          <t>A 37442-2023</t>
        </is>
      </c>
      <c r="B7901" s="1" t="n">
        <v>45156</v>
      </c>
      <c r="C7901" s="1" t="n">
        <v>45587</v>
      </c>
      <c r="D7901" t="inlineStr">
        <is>
          <t>GÄVLEBORGS LÄN</t>
        </is>
      </c>
      <c r="E7901" t="inlineStr">
        <is>
          <t>OCKELBO</t>
        </is>
      </c>
      <c r="F7901" t="inlineStr">
        <is>
          <t>Bergvik skog väst AB</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37763-2023</t>
        </is>
      </c>
      <c r="B7902" s="1" t="n">
        <v>45156</v>
      </c>
      <c r="C7902" s="1" t="n">
        <v>45587</v>
      </c>
      <c r="D7902" t="inlineStr">
        <is>
          <t>GÄVLEBORGS LÄN</t>
        </is>
      </c>
      <c r="E7902" t="inlineStr">
        <is>
          <t>HOFORS</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37385-2023</t>
        </is>
      </c>
      <c r="B7903" s="1" t="n">
        <v>45156</v>
      </c>
      <c r="C7903" s="1" t="n">
        <v>45587</v>
      </c>
      <c r="D7903" t="inlineStr">
        <is>
          <t>GÄVLEBORGS LÄN</t>
        </is>
      </c>
      <c r="E7903" t="inlineStr">
        <is>
          <t>OCKELBO</t>
        </is>
      </c>
      <c r="F7903" t="inlineStr">
        <is>
          <t>Bergvik skog väst AB</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37418-2023</t>
        </is>
      </c>
      <c r="B7904" s="1" t="n">
        <v>45156</v>
      </c>
      <c r="C7904" s="1" t="n">
        <v>45587</v>
      </c>
      <c r="D7904" t="inlineStr">
        <is>
          <t>GÄVLEBORGS LÄN</t>
        </is>
      </c>
      <c r="E7904" t="inlineStr">
        <is>
          <t>OCKELBO</t>
        </is>
      </c>
      <c r="F7904" t="inlineStr">
        <is>
          <t>Bergvik skog väst AB</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37534-2023</t>
        </is>
      </c>
      <c r="B7905" s="1" t="n">
        <v>45159</v>
      </c>
      <c r="C7905" s="1" t="n">
        <v>45587</v>
      </c>
      <c r="D7905" t="inlineStr">
        <is>
          <t>GÄVLEBORGS LÄN</t>
        </is>
      </c>
      <c r="E7905" t="inlineStr">
        <is>
          <t>GÄVLE</t>
        </is>
      </c>
      <c r="G7905" t="n">
        <v>3.6</v>
      </c>
      <c r="H7905" t="n">
        <v>0</v>
      </c>
      <c r="I7905" t="n">
        <v>0</v>
      </c>
      <c r="J7905" t="n">
        <v>0</v>
      </c>
      <c r="K7905" t="n">
        <v>0</v>
      </c>
      <c r="L7905" t="n">
        <v>0</v>
      </c>
      <c r="M7905" t="n">
        <v>0</v>
      </c>
      <c r="N7905" t="n">
        <v>0</v>
      </c>
      <c r="O7905" t="n">
        <v>0</v>
      </c>
      <c r="P7905" t="n">
        <v>0</v>
      </c>
      <c r="Q7905" t="n">
        <v>0</v>
      </c>
      <c r="R7905" s="2" t="inlineStr"/>
    </row>
    <row r="7906" ht="15" customHeight="1">
      <c r="A7906" t="inlineStr">
        <is>
          <t>A 37538-2023</t>
        </is>
      </c>
      <c r="B7906" s="1" t="n">
        <v>45159</v>
      </c>
      <c r="C7906" s="1" t="n">
        <v>45587</v>
      </c>
      <c r="D7906" t="inlineStr">
        <is>
          <t>GÄVLEBORGS LÄN</t>
        </is>
      </c>
      <c r="E7906" t="inlineStr">
        <is>
          <t>GÄVLE</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37592-2023</t>
        </is>
      </c>
      <c r="B7907" s="1" t="n">
        <v>45159</v>
      </c>
      <c r="C7907" s="1" t="n">
        <v>45587</v>
      </c>
      <c r="D7907" t="inlineStr">
        <is>
          <t>GÄVLEBORGS LÄN</t>
        </is>
      </c>
      <c r="E7907" t="inlineStr">
        <is>
          <t>GÄVLE</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37663-2023</t>
        </is>
      </c>
      <c r="B7908" s="1" t="n">
        <v>45159</v>
      </c>
      <c r="C7908" s="1" t="n">
        <v>45587</v>
      </c>
      <c r="D7908" t="inlineStr">
        <is>
          <t>GÄVLEBORGS LÄN</t>
        </is>
      </c>
      <c r="E7908" t="inlineStr">
        <is>
          <t>LJUSDAL</t>
        </is>
      </c>
      <c r="F7908" t="inlineStr">
        <is>
          <t>Sveaskog</t>
        </is>
      </c>
      <c r="G7908" t="n">
        <v>4.8</v>
      </c>
      <c r="H7908" t="n">
        <v>0</v>
      </c>
      <c r="I7908" t="n">
        <v>0</v>
      </c>
      <c r="J7908" t="n">
        <v>0</v>
      </c>
      <c r="K7908" t="n">
        <v>0</v>
      </c>
      <c r="L7908" t="n">
        <v>0</v>
      </c>
      <c r="M7908" t="n">
        <v>0</v>
      </c>
      <c r="N7908" t="n">
        <v>0</v>
      </c>
      <c r="O7908" t="n">
        <v>0</v>
      </c>
      <c r="P7908" t="n">
        <v>0</v>
      </c>
      <c r="Q7908" t="n">
        <v>0</v>
      </c>
      <c r="R7908" s="2" t="inlineStr"/>
    </row>
    <row r="7909" ht="15" customHeight="1">
      <c r="A7909" t="inlineStr">
        <is>
          <t>A 37718-2023</t>
        </is>
      </c>
      <c r="B7909" s="1" t="n">
        <v>45159</v>
      </c>
      <c r="C7909" s="1" t="n">
        <v>45587</v>
      </c>
      <c r="D7909" t="inlineStr">
        <is>
          <t>GÄVLEBORGS LÄN</t>
        </is>
      </c>
      <c r="E7909" t="inlineStr">
        <is>
          <t>OVANÅKER</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37728-2023</t>
        </is>
      </c>
      <c r="B7910" s="1" t="n">
        <v>45159</v>
      </c>
      <c r="C7910" s="1" t="n">
        <v>45587</v>
      </c>
      <c r="D7910" t="inlineStr">
        <is>
          <t>GÄVLEBORGS LÄN</t>
        </is>
      </c>
      <c r="E7910" t="inlineStr">
        <is>
          <t>GÄVLE</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37599-2023</t>
        </is>
      </c>
      <c r="B7911" s="1" t="n">
        <v>45159</v>
      </c>
      <c r="C7911" s="1" t="n">
        <v>45587</v>
      </c>
      <c r="D7911" t="inlineStr">
        <is>
          <t>GÄVLEBORGS LÄN</t>
        </is>
      </c>
      <c r="E7911" t="inlineStr">
        <is>
          <t>LJUSDAL</t>
        </is>
      </c>
      <c r="F7911" t="inlineStr">
        <is>
          <t>Holmen skog AB</t>
        </is>
      </c>
      <c r="G7911" t="n">
        <v>5.9</v>
      </c>
      <c r="H7911" t="n">
        <v>0</v>
      </c>
      <c r="I7911" t="n">
        <v>0</v>
      </c>
      <c r="J7911" t="n">
        <v>0</v>
      </c>
      <c r="K7911" t="n">
        <v>0</v>
      </c>
      <c r="L7911" t="n">
        <v>0</v>
      </c>
      <c r="M7911" t="n">
        <v>0</v>
      </c>
      <c r="N7911" t="n">
        <v>0</v>
      </c>
      <c r="O7911" t="n">
        <v>0</v>
      </c>
      <c r="P7911" t="n">
        <v>0</v>
      </c>
      <c r="Q7911" t="n">
        <v>0</v>
      </c>
      <c r="R7911" s="2" t="inlineStr"/>
    </row>
    <row r="7912" ht="15" customHeight="1">
      <c r="A7912" t="inlineStr">
        <is>
          <t>A 37697-2023</t>
        </is>
      </c>
      <c r="B7912" s="1" t="n">
        <v>45159</v>
      </c>
      <c r="C7912" s="1" t="n">
        <v>45587</v>
      </c>
      <c r="D7912" t="inlineStr">
        <is>
          <t>GÄVLEBORGS LÄN</t>
        </is>
      </c>
      <c r="E7912" t="inlineStr">
        <is>
          <t>BOLLNÄS</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37706-2023</t>
        </is>
      </c>
      <c r="B7913" s="1" t="n">
        <v>45159</v>
      </c>
      <c r="C7913" s="1" t="n">
        <v>45587</v>
      </c>
      <c r="D7913" t="inlineStr">
        <is>
          <t>GÄVLEBORGS LÄN</t>
        </is>
      </c>
      <c r="E7913" t="inlineStr">
        <is>
          <t>OVANÅKER</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37724-2023</t>
        </is>
      </c>
      <c r="B7914" s="1" t="n">
        <v>45159</v>
      </c>
      <c r="C7914" s="1" t="n">
        <v>45587</v>
      </c>
      <c r="D7914" t="inlineStr">
        <is>
          <t>GÄVLEBORGS LÄN</t>
        </is>
      </c>
      <c r="E7914" t="inlineStr">
        <is>
          <t>LJUSDAL</t>
        </is>
      </c>
      <c r="F7914" t="inlineStr">
        <is>
          <t>Holmen skog AB</t>
        </is>
      </c>
      <c r="G7914" t="n">
        <v>12.4</v>
      </c>
      <c r="H7914" t="n">
        <v>0</v>
      </c>
      <c r="I7914" t="n">
        <v>0</v>
      </c>
      <c r="J7914" t="n">
        <v>0</v>
      </c>
      <c r="K7914" t="n">
        <v>0</v>
      </c>
      <c r="L7914" t="n">
        <v>0</v>
      </c>
      <c r="M7914" t="n">
        <v>0</v>
      </c>
      <c r="N7914" t="n">
        <v>0</v>
      </c>
      <c r="O7914" t="n">
        <v>0</v>
      </c>
      <c r="P7914" t="n">
        <v>0</v>
      </c>
      <c r="Q7914" t="n">
        <v>0</v>
      </c>
      <c r="R7914" s="2" t="inlineStr"/>
    </row>
    <row r="7915" ht="15" customHeight="1">
      <c r="A7915" t="inlineStr">
        <is>
          <t>A 37633-2023</t>
        </is>
      </c>
      <c r="B7915" s="1" t="n">
        <v>45159</v>
      </c>
      <c r="C7915" s="1" t="n">
        <v>45587</v>
      </c>
      <c r="D7915" t="inlineStr">
        <is>
          <t>GÄVLEBORGS LÄN</t>
        </is>
      </c>
      <c r="E7915" t="inlineStr">
        <is>
          <t>LJUSDAL</t>
        </is>
      </c>
      <c r="F7915" t="inlineStr">
        <is>
          <t>Holmen skog AB</t>
        </is>
      </c>
      <c r="G7915" t="n">
        <v>13.6</v>
      </c>
      <c r="H7915" t="n">
        <v>0</v>
      </c>
      <c r="I7915" t="n">
        <v>0</v>
      </c>
      <c r="J7915" t="n">
        <v>0</v>
      </c>
      <c r="K7915" t="n">
        <v>0</v>
      </c>
      <c r="L7915" t="n">
        <v>0</v>
      </c>
      <c r="M7915" t="n">
        <v>0</v>
      </c>
      <c r="N7915" t="n">
        <v>0</v>
      </c>
      <c r="O7915" t="n">
        <v>0</v>
      </c>
      <c r="P7915" t="n">
        <v>0</v>
      </c>
      <c r="Q7915" t="n">
        <v>0</v>
      </c>
      <c r="R7915" s="2" t="inlineStr"/>
    </row>
    <row r="7916" ht="15" customHeight="1">
      <c r="A7916" t="inlineStr">
        <is>
          <t>A 37776-2023</t>
        </is>
      </c>
      <c r="B7916" s="1" t="n">
        <v>45159</v>
      </c>
      <c r="C7916" s="1" t="n">
        <v>45587</v>
      </c>
      <c r="D7916" t="inlineStr">
        <is>
          <t>GÄVLEBORGS LÄN</t>
        </is>
      </c>
      <c r="E7916" t="inlineStr">
        <is>
          <t>OVANÅKER</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37689-2023</t>
        </is>
      </c>
      <c r="B7917" s="1" t="n">
        <v>45159</v>
      </c>
      <c r="C7917" s="1" t="n">
        <v>45587</v>
      </c>
      <c r="D7917" t="inlineStr">
        <is>
          <t>GÄVLEBORGS LÄN</t>
        </is>
      </c>
      <c r="E7917" t="inlineStr">
        <is>
          <t>HOFORS</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37693-2023</t>
        </is>
      </c>
      <c r="B7918" s="1" t="n">
        <v>45159</v>
      </c>
      <c r="C7918" s="1" t="n">
        <v>45587</v>
      </c>
      <c r="D7918" t="inlineStr">
        <is>
          <t>GÄVLEBORGS LÄN</t>
        </is>
      </c>
      <c r="E7918" t="inlineStr">
        <is>
          <t>HOFORS</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37741-2023</t>
        </is>
      </c>
      <c r="B7919" s="1" t="n">
        <v>45159</v>
      </c>
      <c r="C7919" s="1" t="n">
        <v>45587</v>
      </c>
      <c r="D7919" t="inlineStr">
        <is>
          <t>GÄVLEBORGS LÄN</t>
        </is>
      </c>
      <c r="E7919" t="inlineStr">
        <is>
          <t>SANDVIKEN</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37871-2023</t>
        </is>
      </c>
      <c r="B7920" s="1" t="n">
        <v>45160</v>
      </c>
      <c r="C7920" s="1" t="n">
        <v>45587</v>
      </c>
      <c r="D7920" t="inlineStr">
        <is>
          <t>GÄVLEBORGS LÄN</t>
        </is>
      </c>
      <c r="E7920" t="inlineStr">
        <is>
          <t>HUDIKSVALL</t>
        </is>
      </c>
      <c r="G7920" t="n">
        <v>5.5</v>
      </c>
      <c r="H7920" t="n">
        <v>0</v>
      </c>
      <c r="I7920" t="n">
        <v>0</v>
      </c>
      <c r="J7920" t="n">
        <v>0</v>
      </c>
      <c r="K7920" t="n">
        <v>0</v>
      </c>
      <c r="L7920" t="n">
        <v>0</v>
      </c>
      <c r="M7920" t="n">
        <v>0</v>
      </c>
      <c r="N7920" t="n">
        <v>0</v>
      </c>
      <c r="O7920" t="n">
        <v>0</v>
      </c>
      <c r="P7920" t="n">
        <v>0</v>
      </c>
      <c r="Q7920" t="n">
        <v>0</v>
      </c>
      <c r="R7920" s="2" t="inlineStr"/>
    </row>
    <row r="7921" ht="15" customHeight="1">
      <c r="A7921" t="inlineStr">
        <is>
          <t>A 37881-2023</t>
        </is>
      </c>
      <c r="B7921" s="1" t="n">
        <v>45160</v>
      </c>
      <c r="C7921" s="1" t="n">
        <v>45587</v>
      </c>
      <c r="D7921" t="inlineStr">
        <is>
          <t>GÄVLEBORGS LÄN</t>
        </is>
      </c>
      <c r="E7921" t="inlineStr">
        <is>
          <t>HUDIKSVALL</t>
        </is>
      </c>
      <c r="G7921" t="n">
        <v>10.7</v>
      </c>
      <c r="H7921" t="n">
        <v>0</v>
      </c>
      <c r="I7921" t="n">
        <v>0</v>
      </c>
      <c r="J7921" t="n">
        <v>0</v>
      </c>
      <c r="K7921" t="n">
        <v>0</v>
      </c>
      <c r="L7921" t="n">
        <v>0</v>
      </c>
      <c r="M7921" t="n">
        <v>0</v>
      </c>
      <c r="N7921" t="n">
        <v>0</v>
      </c>
      <c r="O7921" t="n">
        <v>0</v>
      </c>
      <c r="P7921" t="n">
        <v>0</v>
      </c>
      <c r="Q7921" t="n">
        <v>0</v>
      </c>
      <c r="R7921" s="2" t="inlineStr"/>
    </row>
    <row r="7922" ht="15" customHeight="1">
      <c r="A7922" t="inlineStr">
        <is>
          <t>A 37876-2023</t>
        </is>
      </c>
      <c r="B7922" s="1" t="n">
        <v>45160</v>
      </c>
      <c r="C7922" s="1" t="n">
        <v>45587</v>
      </c>
      <c r="D7922" t="inlineStr">
        <is>
          <t>GÄVLEBORGS LÄN</t>
        </is>
      </c>
      <c r="E7922" t="inlineStr">
        <is>
          <t>HUDIKSVALL</t>
        </is>
      </c>
      <c r="G7922" t="n">
        <v>5</v>
      </c>
      <c r="H7922" t="n">
        <v>0</v>
      </c>
      <c r="I7922" t="n">
        <v>0</v>
      </c>
      <c r="J7922" t="n">
        <v>0</v>
      </c>
      <c r="K7922" t="n">
        <v>0</v>
      </c>
      <c r="L7922" t="n">
        <v>0</v>
      </c>
      <c r="M7922" t="n">
        <v>0</v>
      </c>
      <c r="N7922" t="n">
        <v>0</v>
      </c>
      <c r="O7922" t="n">
        <v>0</v>
      </c>
      <c r="P7922" t="n">
        <v>0</v>
      </c>
      <c r="Q7922" t="n">
        <v>0</v>
      </c>
      <c r="R7922" s="2" t="inlineStr"/>
    </row>
    <row r="7923" ht="15" customHeight="1">
      <c r="A7923" t="inlineStr">
        <is>
          <t>A 37892-2023</t>
        </is>
      </c>
      <c r="B7923" s="1" t="n">
        <v>45160</v>
      </c>
      <c r="C7923" s="1" t="n">
        <v>45587</v>
      </c>
      <c r="D7923" t="inlineStr">
        <is>
          <t>GÄVLEBORGS LÄN</t>
        </is>
      </c>
      <c r="E7923" t="inlineStr">
        <is>
          <t>LJUSDAL</t>
        </is>
      </c>
      <c r="F7923" t="inlineStr">
        <is>
          <t>Sveaskog</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37965-2023</t>
        </is>
      </c>
      <c r="B7924" s="1" t="n">
        <v>45160</v>
      </c>
      <c r="C7924" s="1" t="n">
        <v>45587</v>
      </c>
      <c r="D7924" t="inlineStr">
        <is>
          <t>GÄVLEBORGS LÄN</t>
        </is>
      </c>
      <c r="E7924" t="inlineStr">
        <is>
          <t>OVANÅKER</t>
        </is>
      </c>
      <c r="G7924" t="n">
        <v>3.8</v>
      </c>
      <c r="H7924" t="n">
        <v>0</v>
      </c>
      <c r="I7924" t="n">
        <v>0</v>
      </c>
      <c r="J7924" t="n">
        <v>0</v>
      </c>
      <c r="K7924" t="n">
        <v>0</v>
      </c>
      <c r="L7924" t="n">
        <v>0</v>
      </c>
      <c r="M7924" t="n">
        <v>0</v>
      </c>
      <c r="N7924" t="n">
        <v>0</v>
      </c>
      <c r="O7924" t="n">
        <v>0</v>
      </c>
      <c r="P7924" t="n">
        <v>0</v>
      </c>
      <c r="Q7924" t="n">
        <v>0</v>
      </c>
      <c r="R7924" s="2" t="inlineStr"/>
    </row>
    <row r="7925" ht="15" customHeight="1">
      <c r="A7925" t="inlineStr">
        <is>
          <t>A 38014-2023</t>
        </is>
      </c>
      <c r="B7925" s="1" t="n">
        <v>45160</v>
      </c>
      <c r="C7925" s="1" t="n">
        <v>45587</v>
      </c>
      <c r="D7925" t="inlineStr">
        <is>
          <t>GÄVLEBORGS LÄN</t>
        </is>
      </c>
      <c r="E7925" t="inlineStr">
        <is>
          <t>LJUSDAL</t>
        </is>
      </c>
      <c r="F7925" t="inlineStr">
        <is>
          <t>Holmen skog AB</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37967-2023</t>
        </is>
      </c>
      <c r="B7926" s="1" t="n">
        <v>45160</v>
      </c>
      <c r="C7926" s="1" t="n">
        <v>45587</v>
      </c>
      <c r="D7926" t="inlineStr">
        <is>
          <t>GÄVLEBORGS LÄN</t>
        </is>
      </c>
      <c r="E7926" t="inlineStr">
        <is>
          <t>OVANÅKER</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37985-2023</t>
        </is>
      </c>
      <c r="B7927" s="1" t="n">
        <v>45160</v>
      </c>
      <c r="C7927" s="1" t="n">
        <v>45587</v>
      </c>
      <c r="D7927" t="inlineStr">
        <is>
          <t>GÄVLEBORGS LÄN</t>
        </is>
      </c>
      <c r="E7927" t="inlineStr">
        <is>
          <t>OCKELBO</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38004-2023</t>
        </is>
      </c>
      <c r="B7928" s="1" t="n">
        <v>45160</v>
      </c>
      <c r="C7928" s="1" t="n">
        <v>45587</v>
      </c>
      <c r="D7928" t="inlineStr">
        <is>
          <t>GÄVLEBORGS LÄN</t>
        </is>
      </c>
      <c r="E7928" t="inlineStr">
        <is>
          <t>LJUSDAL</t>
        </is>
      </c>
      <c r="F7928" t="inlineStr">
        <is>
          <t>Holmen skog AB</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38027-2023</t>
        </is>
      </c>
      <c r="B7929" s="1" t="n">
        <v>45160</v>
      </c>
      <c r="C7929" s="1" t="n">
        <v>45587</v>
      </c>
      <c r="D7929" t="inlineStr">
        <is>
          <t>GÄVLEBORGS LÄN</t>
        </is>
      </c>
      <c r="E7929" t="inlineStr">
        <is>
          <t>LJUSDAL</t>
        </is>
      </c>
      <c r="F7929" t="inlineStr">
        <is>
          <t>Holmen skog AB</t>
        </is>
      </c>
      <c r="G7929" t="n">
        <v>5.8</v>
      </c>
      <c r="H7929" t="n">
        <v>0</v>
      </c>
      <c r="I7929" t="n">
        <v>0</v>
      </c>
      <c r="J7929" t="n">
        <v>0</v>
      </c>
      <c r="K7929" t="n">
        <v>0</v>
      </c>
      <c r="L7929" t="n">
        <v>0</v>
      </c>
      <c r="M7929" t="n">
        <v>0</v>
      </c>
      <c r="N7929" t="n">
        <v>0</v>
      </c>
      <c r="O7929" t="n">
        <v>0</v>
      </c>
      <c r="P7929" t="n">
        <v>0</v>
      </c>
      <c r="Q7929" t="n">
        <v>0</v>
      </c>
      <c r="R7929" s="2" t="inlineStr"/>
    </row>
    <row r="7930" ht="15" customHeight="1">
      <c r="A7930" t="inlineStr">
        <is>
          <t>A 38144-2023</t>
        </is>
      </c>
      <c r="B7930" s="1" t="n">
        <v>45161</v>
      </c>
      <c r="C7930" s="1" t="n">
        <v>45587</v>
      </c>
      <c r="D7930" t="inlineStr">
        <is>
          <t>GÄVLEBORGS LÄN</t>
        </is>
      </c>
      <c r="E7930" t="inlineStr">
        <is>
          <t>OVANÅKER</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38150-2023</t>
        </is>
      </c>
      <c r="B7931" s="1" t="n">
        <v>45161</v>
      </c>
      <c r="C7931" s="1" t="n">
        <v>45587</v>
      </c>
      <c r="D7931" t="inlineStr">
        <is>
          <t>GÄVLEBORGS LÄN</t>
        </is>
      </c>
      <c r="E7931" t="inlineStr">
        <is>
          <t>BOLLNÄS</t>
        </is>
      </c>
      <c r="F7931" t="inlineStr">
        <is>
          <t>Bergvik skog väst AB</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38155-2023</t>
        </is>
      </c>
      <c r="B7932" s="1" t="n">
        <v>45161</v>
      </c>
      <c r="C7932" s="1" t="n">
        <v>45587</v>
      </c>
      <c r="D7932" t="inlineStr">
        <is>
          <t>GÄVLEBORGS LÄN</t>
        </is>
      </c>
      <c r="E7932" t="inlineStr">
        <is>
          <t>BOLLNÄS</t>
        </is>
      </c>
      <c r="F7932" t="inlineStr">
        <is>
          <t>Bergvik skog väst AB</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38242-2023</t>
        </is>
      </c>
      <c r="B7933" s="1" t="n">
        <v>45161</v>
      </c>
      <c r="C7933" s="1" t="n">
        <v>45587</v>
      </c>
      <c r="D7933" t="inlineStr">
        <is>
          <t>GÄVLEBORGS LÄN</t>
        </is>
      </c>
      <c r="E7933" t="inlineStr">
        <is>
          <t>NORDANSTIG</t>
        </is>
      </c>
      <c r="F7933" t="inlineStr">
        <is>
          <t>Holmen skog AB</t>
        </is>
      </c>
      <c r="G7933" t="n">
        <v>3.9</v>
      </c>
      <c r="H7933" t="n">
        <v>0</v>
      </c>
      <c r="I7933" t="n">
        <v>0</v>
      </c>
      <c r="J7933" t="n">
        <v>0</v>
      </c>
      <c r="K7933" t="n">
        <v>0</v>
      </c>
      <c r="L7933" t="n">
        <v>0</v>
      </c>
      <c r="M7933" t="n">
        <v>0</v>
      </c>
      <c r="N7933" t="n">
        <v>0</v>
      </c>
      <c r="O7933" t="n">
        <v>0</v>
      </c>
      <c r="P7933" t="n">
        <v>0</v>
      </c>
      <c r="Q7933" t="n">
        <v>0</v>
      </c>
      <c r="R7933" s="2" t="inlineStr"/>
    </row>
    <row r="7934" ht="15" customHeight="1">
      <c r="A7934" t="inlineStr">
        <is>
          <t>A 38215-2023</t>
        </is>
      </c>
      <c r="B7934" s="1" t="n">
        <v>45161</v>
      </c>
      <c r="C7934" s="1" t="n">
        <v>45587</v>
      </c>
      <c r="D7934" t="inlineStr">
        <is>
          <t>GÄVLEBORGS LÄN</t>
        </is>
      </c>
      <c r="E7934" t="inlineStr">
        <is>
          <t>SANDVIKEN</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38321-2023</t>
        </is>
      </c>
      <c r="B7935" s="1" t="n">
        <v>45161</v>
      </c>
      <c r="C7935" s="1" t="n">
        <v>45587</v>
      </c>
      <c r="D7935" t="inlineStr">
        <is>
          <t>GÄVLEBORGS LÄN</t>
        </is>
      </c>
      <c r="E7935" t="inlineStr">
        <is>
          <t>NORDANSTIG</t>
        </is>
      </c>
      <c r="F7935" t="inlineStr">
        <is>
          <t>Holmen skog AB</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38102-2023</t>
        </is>
      </c>
      <c r="B7936" s="1" t="n">
        <v>45161</v>
      </c>
      <c r="C7936" s="1" t="n">
        <v>45587</v>
      </c>
      <c r="D7936" t="inlineStr">
        <is>
          <t>GÄVLEBORGS LÄN</t>
        </is>
      </c>
      <c r="E7936" t="inlineStr">
        <is>
          <t>OVANÅKER</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38282-2023</t>
        </is>
      </c>
      <c r="B7937" s="1" t="n">
        <v>45161</v>
      </c>
      <c r="C7937" s="1" t="n">
        <v>45587</v>
      </c>
      <c r="D7937" t="inlineStr">
        <is>
          <t>GÄVLEBORGS LÄN</t>
        </is>
      </c>
      <c r="E7937" t="inlineStr">
        <is>
          <t>LJUSDAL</t>
        </is>
      </c>
      <c r="F7937" t="inlineStr">
        <is>
          <t>Allmännings- och besparingsskogar</t>
        </is>
      </c>
      <c r="G7937" t="n">
        <v>6</v>
      </c>
      <c r="H7937" t="n">
        <v>0</v>
      </c>
      <c r="I7937" t="n">
        <v>0</v>
      </c>
      <c r="J7937" t="n">
        <v>0</v>
      </c>
      <c r="K7937" t="n">
        <v>0</v>
      </c>
      <c r="L7937" t="n">
        <v>0</v>
      </c>
      <c r="M7937" t="n">
        <v>0</v>
      </c>
      <c r="N7937" t="n">
        <v>0</v>
      </c>
      <c r="O7937" t="n">
        <v>0</v>
      </c>
      <c r="P7937" t="n">
        <v>0</v>
      </c>
      <c r="Q7937" t="n">
        <v>0</v>
      </c>
      <c r="R7937" s="2" t="inlineStr"/>
    </row>
    <row r="7938" ht="15" customHeight="1">
      <c r="A7938" t="inlineStr">
        <is>
          <t>A 38146-2023</t>
        </is>
      </c>
      <c r="B7938" s="1" t="n">
        <v>45161</v>
      </c>
      <c r="C7938" s="1" t="n">
        <v>45587</v>
      </c>
      <c r="D7938" t="inlineStr">
        <is>
          <t>GÄVLEBORGS LÄN</t>
        </is>
      </c>
      <c r="E7938" t="inlineStr">
        <is>
          <t>BOLLNÄS</t>
        </is>
      </c>
      <c r="F7938" t="inlineStr">
        <is>
          <t>Bergvik skog väst AB</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38235-2023</t>
        </is>
      </c>
      <c r="B7939" s="1" t="n">
        <v>45161</v>
      </c>
      <c r="C7939" s="1" t="n">
        <v>45587</v>
      </c>
      <c r="D7939" t="inlineStr">
        <is>
          <t>GÄVLEBORGS LÄN</t>
        </is>
      </c>
      <c r="E7939" t="inlineStr">
        <is>
          <t>GÄVLE</t>
        </is>
      </c>
      <c r="F7939" t="inlineStr">
        <is>
          <t>Bergvik skog väst AB</t>
        </is>
      </c>
      <c r="G7939" t="n">
        <v>6</v>
      </c>
      <c r="H7939" t="n">
        <v>0</v>
      </c>
      <c r="I7939" t="n">
        <v>0</v>
      </c>
      <c r="J7939" t="n">
        <v>0</v>
      </c>
      <c r="K7939" t="n">
        <v>0</v>
      </c>
      <c r="L7939" t="n">
        <v>0</v>
      </c>
      <c r="M7939" t="n">
        <v>0</v>
      </c>
      <c r="N7939" t="n">
        <v>0</v>
      </c>
      <c r="O7939" t="n">
        <v>0</v>
      </c>
      <c r="P7939" t="n">
        <v>0</v>
      </c>
      <c r="Q7939" t="n">
        <v>0</v>
      </c>
      <c r="R7939" s="2" t="inlineStr"/>
    </row>
    <row r="7940" ht="15" customHeight="1">
      <c r="A7940" t="inlineStr">
        <is>
          <t>A 38255-2023</t>
        </is>
      </c>
      <c r="B7940" s="1" t="n">
        <v>45161</v>
      </c>
      <c r="C7940" s="1" t="n">
        <v>45587</v>
      </c>
      <c r="D7940" t="inlineStr">
        <is>
          <t>GÄVLEBORGS LÄN</t>
        </is>
      </c>
      <c r="E7940" t="inlineStr">
        <is>
          <t>GÄVLE</t>
        </is>
      </c>
      <c r="F7940" t="inlineStr">
        <is>
          <t>Bergvik skog väst AB</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38268-2023</t>
        </is>
      </c>
      <c r="B7941" s="1" t="n">
        <v>45161</v>
      </c>
      <c r="C7941" s="1" t="n">
        <v>45587</v>
      </c>
      <c r="D7941" t="inlineStr">
        <is>
          <t>GÄVLEBORGS LÄN</t>
        </is>
      </c>
      <c r="E7941" t="inlineStr">
        <is>
          <t>BOLLNÄS</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38425-2023</t>
        </is>
      </c>
      <c r="B7942" s="1" t="n">
        <v>45162</v>
      </c>
      <c r="C7942" s="1" t="n">
        <v>45587</v>
      </c>
      <c r="D7942" t="inlineStr">
        <is>
          <t>GÄVLEBORGS LÄN</t>
        </is>
      </c>
      <c r="E7942" t="inlineStr">
        <is>
          <t>LJUSDAL</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38492-2023</t>
        </is>
      </c>
      <c r="B7943" s="1" t="n">
        <v>45162</v>
      </c>
      <c r="C7943" s="1" t="n">
        <v>45587</v>
      </c>
      <c r="D7943" t="inlineStr">
        <is>
          <t>GÄVLEBORGS LÄN</t>
        </is>
      </c>
      <c r="E7943" t="inlineStr">
        <is>
          <t>OCKELBO</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38451-2023</t>
        </is>
      </c>
      <c r="B7944" s="1" t="n">
        <v>45162</v>
      </c>
      <c r="C7944" s="1" t="n">
        <v>45587</v>
      </c>
      <c r="D7944" t="inlineStr">
        <is>
          <t>GÄVLEBORGS LÄN</t>
        </is>
      </c>
      <c r="E7944" t="inlineStr">
        <is>
          <t>HUDIKSVALL</t>
        </is>
      </c>
      <c r="F7944" t="inlineStr">
        <is>
          <t>Holmen skog AB</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38398-2023</t>
        </is>
      </c>
      <c r="B7945" s="1" t="n">
        <v>45162</v>
      </c>
      <c r="C7945" s="1" t="n">
        <v>45587</v>
      </c>
      <c r="D7945" t="inlineStr">
        <is>
          <t>GÄVLEBORGS LÄN</t>
        </is>
      </c>
      <c r="E7945" t="inlineStr">
        <is>
          <t>OCKELBO</t>
        </is>
      </c>
      <c r="F7945" t="inlineStr">
        <is>
          <t>Bergvik skog väst AB</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38428-2023</t>
        </is>
      </c>
      <c r="B7946" s="1" t="n">
        <v>45162</v>
      </c>
      <c r="C7946" s="1" t="n">
        <v>45587</v>
      </c>
      <c r="D7946" t="inlineStr">
        <is>
          <t>GÄVLEBORGS LÄN</t>
        </is>
      </c>
      <c r="E7946" t="inlineStr">
        <is>
          <t>SANDVIKEN</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38570-2023</t>
        </is>
      </c>
      <c r="B7947" s="1" t="n">
        <v>45162</v>
      </c>
      <c r="C7947" s="1" t="n">
        <v>45587</v>
      </c>
      <c r="D7947" t="inlineStr">
        <is>
          <t>GÄVLEBORGS LÄN</t>
        </is>
      </c>
      <c r="E7947" t="inlineStr">
        <is>
          <t>SANDVIKEN</t>
        </is>
      </c>
      <c r="G7947" t="n">
        <v>6.3</v>
      </c>
      <c r="H7947" t="n">
        <v>0</v>
      </c>
      <c r="I7947" t="n">
        <v>0</v>
      </c>
      <c r="J7947" t="n">
        <v>0</v>
      </c>
      <c r="K7947" t="n">
        <v>0</v>
      </c>
      <c r="L7947" t="n">
        <v>0</v>
      </c>
      <c r="M7947" t="n">
        <v>0</v>
      </c>
      <c r="N7947" t="n">
        <v>0</v>
      </c>
      <c r="O7947" t="n">
        <v>0</v>
      </c>
      <c r="P7947" t="n">
        <v>0</v>
      </c>
      <c r="Q7947" t="n">
        <v>0</v>
      </c>
      <c r="R7947" s="2" t="inlineStr"/>
    </row>
    <row r="7948" ht="15" customHeight="1">
      <c r="A7948" t="inlineStr">
        <is>
          <t>A 38502-2023</t>
        </is>
      </c>
      <c r="B7948" s="1" t="n">
        <v>45162</v>
      </c>
      <c r="C7948" s="1" t="n">
        <v>45587</v>
      </c>
      <c r="D7948" t="inlineStr">
        <is>
          <t>GÄVLEBORGS LÄN</t>
        </is>
      </c>
      <c r="E7948" t="inlineStr">
        <is>
          <t>SANDVIKEN</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38597-2023</t>
        </is>
      </c>
      <c r="B7949" s="1" t="n">
        <v>45162</v>
      </c>
      <c r="C7949" s="1" t="n">
        <v>45587</v>
      </c>
      <c r="D7949" t="inlineStr">
        <is>
          <t>GÄVLEBORGS LÄN</t>
        </is>
      </c>
      <c r="E7949" t="inlineStr">
        <is>
          <t>SANDVIKEN</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38495-2023</t>
        </is>
      </c>
      <c r="B7950" s="1" t="n">
        <v>45162</v>
      </c>
      <c r="C7950" s="1" t="n">
        <v>45587</v>
      </c>
      <c r="D7950" t="inlineStr">
        <is>
          <t>GÄVLEBORGS LÄN</t>
        </is>
      </c>
      <c r="E7950" t="inlineStr">
        <is>
          <t>GÄVLE</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38401-2023</t>
        </is>
      </c>
      <c r="B7951" s="1" t="n">
        <v>45162</v>
      </c>
      <c r="C7951" s="1" t="n">
        <v>45587</v>
      </c>
      <c r="D7951" t="inlineStr">
        <is>
          <t>GÄVLEBORGS LÄN</t>
        </is>
      </c>
      <c r="E7951" t="inlineStr">
        <is>
          <t>OCKELBO</t>
        </is>
      </c>
      <c r="F7951" t="inlineStr">
        <is>
          <t>Bergvik skog väst AB</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38431-2023</t>
        </is>
      </c>
      <c r="B7952" s="1" t="n">
        <v>45162</v>
      </c>
      <c r="C7952" s="1" t="n">
        <v>45587</v>
      </c>
      <c r="D7952" t="inlineStr">
        <is>
          <t>GÄVLEBORGS LÄN</t>
        </is>
      </c>
      <c r="E7952" t="inlineStr">
        <is>
          <t>SANDVIKEN</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38449-2023</t>
        </is>
      </c>
      <c r="B7953" s="1" t="n">
        <v>45162</v>
      </c>
      <c r="C7953" s="1" t="n">
        <v>45587</v>
      </c>
      <c r="D7953" t="inlineStr">
        <is>
          <t>GÄVLEBORGS LÄN</t>
        </is>
      </c>
      <c r="E7953" t="inlineStr">
        <is>
          <t>SANDVIKEN</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38546-2023</t>
        </is>
      </c>
      <c r="B7954" s="1" t="n">
        <v>45162</v>
      </c>
      <c r="C7954" s="1" t="n">
        <v>45587</v>
      </c>
      <c r="D7954" t="inlineStr">
        <is>
          <t>GÄVLEBORGS LÄN</t>
        </is>
      </c>
      <c r="E7954" t="inlineStr">
        <is>
          <t>OVANÅKER</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38481-2023</t>
        </is>
      </c>
      <c r="B7955" s="1" t="n">
        <v>45162</v>
      </c>
      <c r="C7955" s="1" t="n">
        <v>45587</v>
      </c>
      <c r="D7955" t="inlineStr">
        <is>
          <t>GÄVLEBORGS LÄN</t>
        </is>
      </c>
      <c r="E7955" t="inlineStr">
        <is>
          <t>BOLLNÄS</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38518-2023</t>
        </is>
      </c>
      <c r="B7956" s="1" t="n">
        <v>45162</v>
      </c>
      <c r="C7956" s="1" t="n">
        <v>45587</v>
      </c>
      <c r="D7956" t="inlineStr">
        <is>
          <t>GÄVLEBORGS LÄN</t>
        </is>
      </c>
      <c r="E7956" t="inlineStr">
        <is>
          <t>LJUSDAL</t>
        </is>
      </c>
      <c r="G7956" t="n">
        <v>4.7</v>
      </c>
      <c r="H7956" t="n">
        <v>0</v>
      </c>
      <c r="I7956" t="n">
        <v>0</v>
      </c>
      <c r="J7956" t="n">
        <v>0</v>
      </c>
      <c r="K7956" t="n">
        <v>0</v>
      </c>
      <c r="L7956" t="n">
        <v>0</v>
      </c>
      <c r="M7956" t="n">
        <v>0</v>
      </c>
      <c r="N7956" t="n">
        <v>0</v>
      </c>
      <c r="O7956" t="n">
        <v>0</v>
      </c>
      <c r="P7956" t="n">
        <v>0</v>
      </c>
      <c r="Q7956" t="n">
        <v>0</v>
      </c>
      <c r="R7956" s="2" t="inlineStr"/>
    </row>
    <row r="7957" ht="15" customHeight="1">
      <c r="A7957" t="inlineStr">
        <is>
          <t>A 38535-2023</t>
        </is>
      </c>
      <c r="B7957" s="1" t="n">
        <v>45162</v>
      </c>
      <c r="C7957" s="1" t="n">
        <v>45587</v>
      </c>
      <c r="D7957" t="inlineStr">
        <is>
          <t>GÄVLEBORGS LÄN</t>
        </is>
      </c>
      <c r="E7957" t="inlineStr">
        <is>
          <t>HUDIKSVALL</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38564-2023</t>
        </is>
      </c>
      <c r="B7958" s="1" t="n">
        <v>45162</v>
      </c>
      <c r="C7958" s="1" t="n">
        <v>45587</v>
      </c>
      <c r="D7958" t="inlineStr">
        <is>
          <t>GÄVLEBORGS LÄN</t>
        </is>
      </c>
      <c r="E7958" t="inlineStr">
        <is>
          <t>SANDVIKEN</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38558-2023</t>
        </is>
      </c>
      <c r="B7959" s="1" t="n">
        <v>45162</v>
      </c>
      <c r="C7959" s="1" t="n">
        <v>45587</v>
      </c>
      <c r="D7959" t="inlineStr">
        <is>
          <t>GÄVLEBORGS LÄN</t>
        </is>
      </c>
      <c r="E7959" t="inlineStr">
        <is>
          <t>GÄVLE</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38667-2023</t>
        </is>
      </c>
      <c r="B7960" s="1" t="n">
        <v>45162</v>
      </c>
      <c r="C7960" s="1" t="n">
        <v>45587</v>
      </c>
      <c r="D7960" t="inlineStr">
        <is>
          <t>GÄVLEBORGS LÄN</t>
        </is>
      </c>
      <c r="E7960" t="inlineStr">
        <is>
          <t>HUDIKSVALL</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38634-2023</t>
        </is>
      </c>
      <c r="B7961" s="1" t="n">
        <v>45162</v>
      </c>
      <c r="C7961" s="1" t="n">
        <v>45587</v>
      </c>
      <c r="D7961" t="inlineStr">
        <is>
          <t>GÄVLEBORGS LÄN</t>
        </is>
      </c>
      <c r="E7961" t="inlineStr">
        <is>
          <t>LJUSDAL</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38673-2023</t>
        </is>
      </c>
      <c r="B7962" s="1" t="n">
        <v>45163</v>
      </c>
      <c r="C7962" s="1" t="n">
        <v>45587</v>
      </c>
      <c r="D7962" t="inlineStr">
        <is>
          <t>GÄVLEBORGS LÄN</t>
        </is>
      </c>
      <c r="E7962" t="inlineStr">
        <is>
          <t>HUDIKSVALL</t>
        </is>
      </c>
      <c r="G7962" t="n">
        <v>4</v>
      </c>
      <c r="H7962" t="n">
        <v>0</v>
      </c>
      <c r="I7962" t="n">
        <v>0</v>
      </c>
      <c r="J7962" t="n">
        <v>0</v>
      </c>
      <c r="K7962" t="n">
        <v>0</v>
      </c>
      <c r="L7962" t="n">
        <v>0</v>
      </c>
      <c r="M7962" t="n">
        <v>0</v>
      </c>
      <c r="N7962" t="n">
        <v>0</v>
      </c>
      <c r="O7962" t="n">
        <v>0</v>
      </c>
      <c r="P7962" t="n">
        <v>0</v>
      </c>
      <c r="Q7962" t="n">
        <v>0</v>
      </c>
      <c r="R7962" s="2" t="inlineStr"/>
    </row>
    <row r="7963" ht="15" customHeight="1">
      <c r="A7963" t="inlineStr">
        <is>
          <t>A 38669-2023</t>
        </is>
      </c>
      <c r="B7963" s="1" t="n">
        <v>45163</v>
      </c>
      <c r="C7963" s="1" t="n">
        <v>45587</v>
      </c>
      <c r="D7963" t="inlineStr">
        <is>
          <t>GÄVLEBORGS LÄN</t>
        </is>
      </c>
      <c r="E7963" t="inlineStr">
        <is>
          <t>HUDIKSVALL</t>
        </is>
      </c>
      <c r="G7963" t="n">
        <v>5.3</v>
      </c>
      <c r="H7963" t="n">
        <v>0</v>
      </c>
      <c r="I7963" t="n">
        <v>0</v>
      </c>
      <c r="J7963" t="n">
        <v>0</v>
      </c>
      <c r="K7963" t="n">
        <v>0</v>
      </c>
      <c r="L7963" t="n">
        <v>0</v>
      </c>
      <c r="M7963" t="n">
        <v>0</v>
      </c>
      <c r="N7963" t="n">
        <v>0</v>
      </c>
      <c r="O7963" t="n">
        <v>0</v>
      </c>
      <c r="P7963" t="n">
        <v>0</v>
      </c>
      <c r="Q7963" t="n">
        <v>0</v>
      </c>
      <c r="R7963" s="2" t="inlineStr"/>
    </row>
    <row r="7964" ht="15" customHeight="1">
      <c r="A7964" t="inlineStr">
        <is>
          <t>A 38658-2023</t>
        </is>
      </c>
      <c r="B7964" s="1" t="n">
        <v>45162</v>
      </c>
      <c r="C7964" s="1" t="n">
        <v>45587</v>
      </c>
      <c r="D7964" t="inlineStr">
        <is>
          <t>GÄVLEBORGS LÄN</t>
        </is>
      </c>
      <c r="E7964" t="inlineStr">
        <is>
          <t>NORDANSTIG</t>
        </is>
      </c>
      <c r="F7964" t="inlineStr">
        <is>
          <t>Holmen skog AB</t>
        </is>
      </c>
      <c r="G7964" t="n">
        <v>5.2</v>
      </c>
      <c r="H7964" t="n">
        <v>0</v>
      </c>
      <c r="I7964" t="n">
        <v>0</v>
      </c>
      <c r="J7964" t="n">
        <v>0</v>
      </c>
      <c r="K7964" t="n">
        <v>0</v>
      </c>
      <c r="L7964" t="n">
        <v>0</v>
      </c>
      <c r="M7964" t="n">
        <v>0</v>
      </c>
      <c r="N7964" t="n">
        <v>0</v>
      </c>
      <c r="O7964" t="n">
        <v>0</v>
      </c>
      <c r="P7964" t="n">
        <v>0</v>
      </c>
      <c r="Q7964" t="n">
        <v>0</v>
      </c>
      <c r="R7964" s="2" t="inlineStr"/>
    </row>
    <row r="7965" ht="15" customHeight="1">
      <c r="A7965" t="inlineStr">
        <is>
          <t>A 38670-2023</t>
        </is>
      </c>
      <c r="B7965" s="1" t="n">
        <v>45162</v>
      </c>
      <c r="C7965" s="1" t="n">
        <v>45587</v>
      </c>
      <c r="D7965" t="inlineStr">
        <is>
          <t>GÄVLEBORGS LÄN</t>
        </is>
      </c>
      <c r="E7965" t="inlineStr">
        <is>
          <t>HUDIKSVALL</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38872-2023</t>
        </is>
      </c>
      <c r="B7966" s="1" t="n">
        <v>45163</v>
      </c>
      <c r="C7966" s="1" t="n">
        <v>45587</v>
      </c>
      <c r="D7966" t="inlineStr">
        <is>
          <t>GÄVLEBORGS LÄN</t>
        </is>
      </c>
      <c r="E7966" t="inlineStr">
        <is>
          <t>NORDANSTIG</t>
        </is>
      </c>
      <c r="F7966" t="inlineStr">
        <is>
          <t>Holmen skog AB</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39012-2023</t>
        </is>
      </c>
      <c r="B7967" s="1" t="n">
        <v>45163</v>
      </c>
      <c r="C7967" s="1" t="n">
        <v>45587</v>
      </c>
      <c r="D7967" t="inlineStr">
        <is>
          <t>GÄVLEBORGS LÄN</t>
        </is>
      </c>
      <c r="E7967" t="inlineStr">
        <is>
          <t>LJUSDAL</t>
        </is>
      </c>
      <c r="G7967" t="n">
        <v>16.3</v>
      </c>
      <c r="H7967" t="n">
        <v>0</v>
      </c>
      <c r="I7967" t="n">
        <v>0</v>
      </c>
      <c r="J7967" t="n">
        <v>0</v>
      </c>
      <c r="K7967" t="n">
        <v>0</v>
      </c>
      <c r="L7967" t="n">
        <v>0</v>
      </c>
      <c r="M7967" t="n">
        <v>0</v>
      </c>
      <c r="N7967" t="n">
        <v>0</v>
      </c>
      <c r="O7967" t="n">
        <v>0</v>
      </c>
      <c r="P7967" t="n">
        <v>0</v>
      </c>
      <c r="Q7967" t="n">
        <v>0</v>
      </c>
      <c r="R7967" s="2" t="inlineStr"/>
    </row>
    <row r="7968" ht="15" customHeight="1">
      <c r="A7968" t="inlineStr">
        <is>
          <t>A 39045-2023</t>
        </is>
      </c>
      <c r="B7968" s="1" t="n">
        <v>45163</v>
      </c>
      <c r="C7968" s="1" t="n">
        <v>45587</v>
      </c>
      <c r="D7968" t="inlineStr">
        <is>
          <t>GÄVLEBORGS LÄN</t>
        </is>
      </c>
      <c r="E7968" t="inlineStr">
        <is>
          <t>HUDIKSVALL</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39069-2023</t>
        </is>
      </c>
      <c r="B7969" s="1" t="n">
        <v>45163</v>
      </c>
      <c r="C7969" s="1" t="n">
        <v>45587</v>
      </c>
      <c r="D7969" t="inlineStr">
        <is>
          <t>GÄVLEBORGS LÄN</t>
        </is>
      </c>
      <c r="E7969" t="inlineStr">
        <is>
          <t>NORDANSTIG</t>
        </is>
      </c>
      <c r="F7969" t="inlineStr">
        <is>
          <t>SCA</t>
        </is>
      </c>
      <c r="G7969" t="n">
        <v>11.5</v>
      </c>
      <c r="H7969" t="n">
        <v>0</v>
      </c>
      <c r="I7969" t="n">
        <v>0</v>
      </c>
      <c r="J7969" t="n">
        <v>0</v>
      </c>
      <c r="K7969" t="n">
        <v>0</v>
      </c>
      <c r="L7969" t="n">
        <v>0</v>
      </c>
      <c r="M7969" t="n">
        <v>0</v>
      </c>
      <c r="N7969" t="n">
        <v>0</v>
      </c>
      <c r="O7969" t="n">
        <v>0</v>
      </c>
      <c r="P7969" t="n">
        <v>0</v>
      </c>
      <c r="Q7969" t="n">
        <v>0</v>
      </c>
      <c r="R7969" s="2" t="inlineStr"/>
    </row>
    <row r="7970" ht="15" customHeight="1">
      <c r="A7970" t="inlineStr">
        <is>
          <t>A 38710-2023</t>
        </is>
      </c>
      <c r="B7970" s="1" t="n">
        <v>45163</v>
      </c>
      <c r="C7970" s="1" t="n">
        <v>45587</v>
      </c>
      <c r="D7970" t="inlineStr">
        <is>
          <t>GÄVLEBORGS LÄN</t>
        </is>
      </c>
      <c r="E7970" t="inlineStr">
        <is>
          <t>NORDANSTIG</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38937-2023</t>
        </is>
      </c>
      <c r="B7971" s="1" t="n">
        <v>45163</v>
      </c>
      <c r="C7971" s="1" t="n">
        <v>45587</v>
      </c>
      <c r="D7971" t="inlineStr">
        <is>
          <t>GÄVLEBORGS LÄN</t>
        </is>
      </c>
      <c r="E7971" t="inlineStr">
        <is>
          <t>BOLLNÄS</t>
        </is>
      </c>
      <c r="G7971" t="n">
        <v>5.1</v>
      </c>
      <c r="H7971" t="n">
        <v>0</v>
      </c>
      <c r="I7971" t="n">
        <v>0</v>
      </c>
      <c r="J7971" t="n">
        <v>0</v>
      </c>
      <c r="K7971" t="n">
        <v>0</v>
      </c>
      <c r="L7971" t="n">
        <v>0</v>
      </c>
      <c r="M7971" t="n">
        <v>0</v>
      </c>
      <c r="N7971" t="n">
        <v>0</v>
      </c>
      <c r="O7971" t="n">
        <v>0</v>
      </c>
      <c r="P7971" t="n">
        <v>0</v>
      </c>
      <c r="Q7971" t="n">
        <v>0</v>
      </c>
      <c r="R7971" s="2" t="inlineStr"/>
    </row>
    <row r="7972" ht="15" customHeight="1">
      <c r="A7972" t="inlineStr">
        <is>
          <t>A 39067-2023</t>
        </is>
      </c>
      <c r="B7972" s="1" t="n">
        <v>45163</v>
      </c>
      <c r="C7972" s="1" t="n">
        <v>45587</v>
      </c>
      <c r="D7972" t="inlineStr">
        <is>
          <t>GÄVLEBORGS LÄN</t>
        </is>
      </c>
      <c r="E7972" t="inlineStr">
        <is>
          <t>NORDANSTIG</t>
        </is>
      </c>
      <c r="F7972" t="inlineStr">
        <is>
          <t>SCA</t>
        </is>
      </c>
      <c r="G7972" t="n">
        <v>8.800000000000001</v>
      </c>
      <c r="H7972" t="n">
        <v>0</v>
      </c>
      <c r="I7972" t="n">
        <v>0</v>
      </c>
      <c r="J7972" t="n">
        <v>0</v>
      </c>
      <c r="K7972" t="n">
        <v>0</v>
      </c>
      <c r="L7972" t="n">
        <v>0</v>
      </c>
      <c r="M7972" t="n">
        <v>0</v>
      </c>
      <c r="N7972" t="n">
        <v>0</v>
      </c>
      <c r="O7972" t="n">
        <v>0</v>
      </c>
      <c r="P7972" t="n">
        <v>0</v>
      </c>
      <c r="Q7972" t="n">
        <v>0</v>
      </c>
      <c r="R7972" s="2" t="inlineStr"/>
    </row>
    <row r="7973" ht="15" customHeight="1">
      <c r="A7973" t="inlineStr">
        <is>
          <t>A 39068-2023</t>
        </is>
      </c>
      <c r="B7973" s="1" t="n">
        <v>45163</v>
      </c>
      <c r="C7973" s="1" t="n">
        <v>45587</v>
      </c>
      <c r="D7973" t="inlineStr">
        <is>
          <t>GÄVLEBORGS LÄN</t>
        </is>
      </c>
      <c r="E7973" t="inlineStr">
        <is>
          <t>NORDANSTIG</t>
        </is>
      </c>
      <c r="F7973" t="inlineStr">
        <is>
          <t>SCA</t>
        </is>
      </c>
      <c r="G7973" t="n">
        <v>11.8</v>
      </c>
      <c r="H7973" t="n">
        <v>0</v>
      </c>
      <c r="I7973" t="n">
        <v>0</v>
      </c>
      <c r="J7973" t="n">
        <v>0</v>
      </c>
      <c r="K7973" t="n">
        <v>0</v>
      </c>
      <c r="L7973" t="n">
        <v>0</v>
      </c>
      <c r="M7973" t="n">
        <v>0</v>
      </c>
      <c r="N7973" t="n">
        <v>0</v>
      </c>
      <c r="O7973" t="n">
        <v>0</v>
      </c>
      <c r="P7973" t="n">
        <v>0</v>
      </c>
      <c r="Q7973" t="n">
        <v>0</v>
      </c>
      <c r="R7973" s="2" t="inlineStr"/>
    </row>
    <row r="7974" ht="15" customHeight="1">
      <c r="A7974" t="inlineStr">
        <is>
          <t>A 38768-2023</t>
        </is>
      </c>
      <c r="B7974" s="1" t="n">
        <v>45163</v>
      </c>
      <c r="C7974" s="1" t="n">
        <v>45587</v>
      </c>
      <c r="D7974" t="inlineStr">
        <is>
          <t>GÄVLEBORGS LÄN</t>
        </is>
      </c>
      <c r="E7974" t="inlineStr">
        <is>
          <t>NORDANSTIG</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38778-2023</t>
        </is>
      </c>
      <c r="B7975" s="1" t="n">
        <v>45163</v>
      </c>
      <c r="C7975" s="1" t="n">
        <v>45587</v>
      </c>
      <c r="D7975" t="inlineStr">
        <is>
          <t>GÄVLEBORGS LÄN</t>
        </is>
      </c>
      <c r="E7975" t="inlineStr">
        <is>
          <t>LJUSDAL</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38780-2023</t>
        </is>
      </c>
      <c r="B7976" s="1" t="n">
        <v>45163</v>
      </c>
      <c r="C7976" s="1" t="n">
        <v>45587</v>
      </c>
      <c r="D7976" t="inlineStr">
        <is>
          <t>GÄVLEBORGS LÄN</t>
        </is>
      </c>
      <c r="E7976" t="inlineStr">
        <is>
          <t>OVANÅKER</t>
        </is>
      </c>
      <c r="F7976" t="inlineStr">
        <is>
          <t>Kyrkan</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39116-2023</t>
        </is>
      </c>
      <c r="B7977" s="1" t="n">
        <v>45165</v>
      </c>
      <c r="C7977" s="1" t="n">
        <v>45587</v>
      </c>
      <c r="D7977" t="inlineStr">
        <is>
          <t>GÄVLEBORGS LÄN</t>
        </is>
      </c>
      <c r="E7977" t="inlineStr">
        <is>
          <t>SÖDERHAMN</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39137-2023</t>
        </is>
      </c>
      <c r="B7978" s="1" t="n">
        <v>45165</v>
      </c>
      <c r="C7978" s="1" t="n">
        <v>45587</v>
      </c>
      <c r="D7978" t="inlineStr">
        <is>
          <t>GÄVLEBORGS LÄN</t>
        </is>
      </c>
      <c r="E7978" t="inlineStr">
        <is>
          <t>SÖDERHAMN</t>
        </is>
      </c>
      <c r="G7978" t="n">
        <v>5.2</v>
      </c>
      <c r="H7978" t="n">
        <v>0</v>
      </c>
      <c r="I7978" t="n">
        <v>0</v>
      </c>
      <c r="J7978" t="n">
        <v>0</v>
      </c>
      <c r="K7978" t="n">
        <v>0</v>
      </c>
      <c r="L7978" t="n">
        <v>0</v>
      </c>
      <c r="M7978" t="n">
        <v>0</v>
      </c>
      <c r="N7978" t="n">
        <v>0</v>
      </c>
      <c r="O7978" t="n">
        <v>0</v>
      </c>
      <c r="P7978" t="n">
        <v>0</v>
      </c>
      <c r="Q7978" t="n">
        <v>0</v>
      </c>
      <c r="R7978" s="2" t="inlineStr"/>
    </row>
    <row r="7979" ht="15" customHeight="1">
      <c r="A7979" t="inlineStr">
        <is>
          <t>A 39119-2023</t>
        </is>
      </c>
      <c r="B7979" s="1" t="n">
        <v>45165</v>
      </c>
      <c r="C7979" s="1" t="n">
        <v>45587</v>
      </c>
      <c r="D7979" t="inlineStr">
        <is>
          <t>GÄVLEBORGS LÄN</t>
        </is>
      </c>
      <c r="E7979" t="inlineStr">
        <is>
          <t>BOLLNÄS</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39139-2023</t>
        </is>
      </c>
      <c r="B7980" s="1" t="n">
        <v>45165</v>
      </c>
      <c r="C7980" s="1" t="n">
        <v>45587</v>
      </c>
      <c r="D7980" t="inlineStr">
        <is>
          <t>GÄVLEBORGS LÄN</t>
        </is>
      </c>
      <c r="E7980" t="inlineStr">
        <is>
          <t>BOLLNÄS</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39138-2023</t>
        </is>
      </c>
      <c r="B7981" s="1" t="n">
        <v>45165</v>
      </c>
      <c r="C7981" s="1" t="n">
        <v>45587</v>
      </c>
      <c r="D7981" t="inlineStr">
        <is>
          <t>GÄVLEBORGS LÄN</t>
        </is>
      </c>
      <c r="E7981" t="inlineStr">
        <is>
          <t>SÖDERHAMN</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39192-2023</t>
        </is>
      </c>
      <c r="B7982" s="1" t="n">
        <v>45166</v>
      </c>
      <c r="C7982" s="1" t="n">
        <v>45587</v>
      </c>
      <c r="D7982" t="inlineStr">
        <is>
          <t>GÄVLEBORGS LÄN</t>
        </is>
      </c>
      <c r="E7982" t="inlineStr">
        <is>
          <t>NORDANSTIG</t>
        </is>
      </c>
      <c r="F7982" t="inlineStr">
        <is>
          <t>Holmen skog AB</t>
        </is>
      </c>
      <c r="G7982" t="n">
        <v>12.2</v>
      </c>
      <c r="H7982" t="n">
        <v>0</v>
      </c>
      <c r="I7982" t="n">
        <v>0</v>
      </c>
      <c r="J7982" t="n">
        <v>0</v>
      </c>
      <c r="K7982" t="n">
        <v>0</v>
      </c>
      <c r="L7982" t="n">
        <v>0</v>
      </c>
      <c r="M7982" t="n">
        <v>0</v>
      </c>
      <c r="N7982" t="n">
        <v>0</v>
      </c>
      <c r="O7982" t="n">
        <v>0</v>
      </c>
      <c r="P7982" t="n">
        <v>0</v>
      </c>
      <c r="Q7982" t="n">
        <v>0</v>
      </c>
      <c r="R7982" s="2" t="inlineStr"/>
    </row>
    <row r="7983" ht="15" customHeight="1">
      <c r="A7983" t="inlineStr">
        <is>
          <t>A 39181-2023</t>
        </is>
      </c>
      <c r="B7983" s="1" t="n">
        <v>45166</v>
      </c>
      <c r="C7983" s="1" t="n">
        <v>45587</v>
      </c>
      <c r="D7983" t="inlineStr">
        <is>
          <t>GÄVLEBORGS LÄN</t>
        </is>
      </c>
      <c r="E7983" t="inlineStr">
        <is>
          <t>BOLLNÄS</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39186-2023</t>
        </is>
      </c>
      <c r="B7984" s="1" t="n">
        <v>45166</v>
      </c>
      <c r="C7984" s="1" t="n">
        <v>45587</v>
      </c>
      <c r="D7984" t="inlineStr">
        <is>
          <t>GÄVLEBORGS LÄN</t>
        </is>
      </c>
      <c r="E7984" t="inlineStr">
        <is>
          <t>BOLLNÄS</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39207-2023</t>
        </is>
      </c>
      <c r="B7985" s="1" t="n">
        <v>45166</v>
      </c>
      <c r="C7985" s="1" t="n">
        <v>45587</v>
      </c>
      <c r="D7985" t="inlineStr">
        <is>
          <t>GÄVLEBORGS LÄN</t>
        </is>
      </c>
      <c r="E7985" t="inlineStr">
        <is>
          <t>NORDANSTIG</t>
        </is>
      </c>
      <c r="F7985" t="inlineStr">
        <is>
          <t>Holmen skog AB</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39232-2023</t>
        </is>
      </c>
      <c r="B7986" s="1" t="n">
        <v>45166</v>
      </c>
      <c r="C7986" s="1" t="n">
        <v>45587</v>
      </c>
      <c r="D7986" t="inlineStr">
        <is>
          <t>GÄVLEBORGS LÄN</t>
        </is>
      </c>
      <c r="E7986" t="inlineStr">
        <is>
          <t>BOLLNÄS</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39377-2023</t>
        </is>
      </c>
      <c r="B7987" s="1" t="n">
        <v>45166</v>
      </c>
      <c r="C7987" s="1" t="n">
        <v>45587</v>
      </c>
      <c r="D7987" t="inlineStr">
        <is>
          <t>GÄVLEBORGS LÄN</t>
        </is>
      </c>
      <c r="E7987" t="inlineStr">
        <is>
          <t>OVANÅKER</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39382-2023</t>
        </is>
      </c>
      <c r="B7988" s="1" t="n">
        <v>45166</v>
      </c>
      <c r="C7988" s="1" t="n">
        <v>45587</v>
      </c>
      <c r="D7988" t="inlineStr">
        <is>
          <t>GÄVLEBORGS LÄN</t>
        </is>
      </c>
      <c r="E7988" t="inlineStr">
        <is>
          <t>OVANÅKER</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39326-2023</t>
        </is>
      </c>
      <c r="B7989" s="1" t="n">
        <v>45166</v>
      </c>
      <c r="C7989" s="1" t="n">
        <v>45587</v>
      </c>
      <c r="D7989" t="inlineStr">
        <is>
          <t>GÄVLEBORGS LÄN</t>
        </is>
      </c>
      <c r="E7989" t="inlineStr">
        <is>
          <t>SÖDERHAMN</t>
        </is>
      </c>
      <c r="F7989" t="inlineStr">
        <is>
          <t>Bergvik skog väst AB</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39314-2023</t>
        </is>
      </c>
      <c r="B7990" s="1" t="n">
        <v>45166</v>
      </c>
      <c r="C7990" s="1" t="n">
        <v>45587</v>
      </c>
      <c r="D7990" t="inlineStr">
        <is>
          <t>GÄVLEBORGS LÄN</t>
        </is>
      </c>
      <c r="E7990" t="inlineStr">
        <is>
          <t>BOLLNÄS</t>
        </is>
      </c>
      <c r="G7990" t="n">
        <v>5.4</v>
      </c>
      <c r="H7990" t="n">
        <v>0</v>
      </c>
      <c r="I7990" t="n">
        <v>0</v>
      </c>
      <c r="J7990" t="n">
        <v>0</v>
      </c>
      <c r="K7990" t="n">
        <v>0</v>
      </c>
      <c r="L7990" t="n">
        <v>0</v>
      </c>
      <c r="M7990" t="n">
        <v>0</v>
      </c>
      <c r="N7990" t="n">
        <v>0</v>
      </c>
      <c r="O7990" t="n">
        <v>0</v>
      </c>
      <c r="P7990" t="n">
        <v>0</v>
      </c>
      <c r="Q7990" t="n">
        <v>0</v>
      </c>
      <c r="R7990" s="2" t="inlineStr"/>
    </row>
    <row r="7991" ht="15" customHeight="1">
      <c r="A7991" t="inlineStr">
        <is>
          <t>A 39413-2023</t>
        </is>
      </c>
      <c r="B7991" s="1" t="n">
        <v>45166</v>
      </c>
      <c r="C7991" s="1" t="n">
        <v>45587</v>
      </c>
      <c r="D7991" t="inlineStr">
        <is>
          <t>GÄVLEBORGS LÄN</t>
        </is>
      </c>
      <c r="E7991" t="inlineStr">
        <is>
          <t>LJUSDAL</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39327-2023</t>
        </is>
      </c>
      <c r="B7992" s="1" t="n">
        <v>45166</v>
      </c>
      <c r="C7992" s="1" t="n">
        <v>45587</v>
      </c>
      <c r="D7992" t="inlineStr">
        <is>
          <t>GÄVLEBORGS LÄN</t>
        </is>
      </c>
      <c r="E7992" t="inlineStr">
        <is>
          <t>BOLLNÄS</t>
        </is>
      </c>
      <c r="G7992" t="n">
        <v>5.8</v>
      </c>
      <c r="H7992" t="n">
        <v>0</v>
      </c>
      <c r="I7992" t="n">
        <v>0</v>
      </c>
      <c r="J7992" t="n">
        <v>0</v>
      </c>
      <c r="K7992" t="n">
        <v>0</v>
      </c>
      <c r="L7992" t="n">
        <v>0</v>
      </c>
      <c r="M7992" t="n">
        <v>0</v>
      </c>
      <c r="N7992" t="n">
        <v>0</v>
      </c>
      <c r="O7992" t="n">
        <v>0</v>
      </c>
      <c r="P7992" t="n">
        <v>0</v>
      </c>
      <c r="Q7992" t="n">
        <v>0</v>
      </c>
      <c r="R7992" s="2" t="inlineStr"/>
    </row>
    <row r="7993" ht="15" customHeight="1">
      <c r="A7993" t="inlineStr">
        <is>
          <t>A 39384-2023</t>
        </is>
      </c>
      <c r="B7993" s="1" t="n">
        <v>45166</v>
      </c>
      <c r="C7993" s="1" t="n">
        <v>45587</v>
      </c>
      <c r="D7993" t="inlineStr">
        <is>
          <t>GÄVLEBORGS LÄN</t>
        </is>
      </c>
      <c r="E7993" t="inlineStr">
        <is>
          <t>OVANÅKER</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39392-2023</t>
        </is>
      </c>
      <c r="B7994" s="1" t="n">
        <v>45166</v>
      </c>
      <c r="C7994" s="1" t="n">
        <v>45587</v>
      </c>
      <c r="D7994" t="inlineStr">
        <is>
          <t>GÄVLEBORGS LÄN</t>
        </is>
      </c>
      <c r="E7994" t="inlineStr">
        <is>
          <t>NORDANSTIG</t>
        </is>
      </c>
      <c r="G7994" t="n">
        <v>3.3</v>
      </c>
      <c r="H7994" t="n">
        <v>0</v>
      </c>
      <c r="I7994" t="n">
        <v>0</v>
      </c>
      <c r="J7994" t="n">
        <v>0</v>
      </c>
      <c r="K7994" t="n">
        <v>0</v>
      </c>
      <c r="L7994" t="n">
        <v>0</v>
      </c>
      <c r="M7994" t="n">
        <v>0</v>
      </c>
      <c r="N7994" t="n">
        <v>0</v>
      </c>
      <c r="O7994" t="n">
        <v>0</v>
      </c>
      <c r="P7994" t="n">
        <v>0</v>
      </c>
      <c r="Q7994" t="n">
        <v>0</v>
      </c>
      <c r="R7994" s="2" t="inlineStr"/>
    </row>
    <row r="7995" ht="15" customHeight="1">
      <c r="A7995" t="inlineStr">
        <is>
          <t>A 39552-2023</t>
        </is>
      </c>
      <c r="B7995" s="1" t="n">
        <v>45167</v>
      </c>
      <c r="C7995" s="1" t="n">
        <v>45587</v>
      </c>
      <c r="D7995" t="inlineStr">
        <is>
          <t>GÄVLEBORGS LÄN</t>
        </is>
      </c>
      <c r="E7995" t="inlineStr">
        <is>
          <t>NORDANSTIG</t>
        </is>
      </c>
      <c r="F7995" t="inlineStr">
        <is>
          <t>Holmen skog AB</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39662-2023</t>
        </is>
      </c>
      <c r="B7996" s="1" t="n">
        <v>45167</v>
      </c>
      <c r="C7996" s="1" t="n">
        <v>45587</v>
      </c>
      <c r="D7996" t="inlineStr">
        <is>
          <t>GÄVLEBORGS LÄN</t>
        </is>
      </c>
      <c r="E7996" t="inlineStr">
        <is>
          <t>OVANÅKER</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39738-2023</t>
        </is>
      </c>
      <c r="B7997" s="1" t="n">
        <v>45167</v>
      </c>
      <c r="C7997" s="1" t="n">
        <v>45587</v>
      </c>
      <c r="D7997" t="inlineStr">
        <is>
          <t>GÄVLEBORGS LÄN</t>
        </is>
      </c>
      <c r="E7997" t="inlineStr">
        <is>
          <t>LJUSDAL</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39742-2023</t>
        </is>
      </c>
      <c r="B7998" s="1" t="n">
        <v>45167</v>
      </c>
      <c r="C7998" s="1" t="n">
        <v>45587</v>
      </c>
      <c r="D7998" t="inlineStr">
        <is>
          <t>GÄVLEBORGS LÄN</t>
        </is>
      </c>
      <c r="E7998" t="inlineStr">
        <is>
          <t>LJUSDAL</t>
        </is>
      </c>
      <c r="G7998" t="n">
        <v>4.1</v>
      </c>
      <c r="H7998" t="n">
        <v>0</v>
      </c>
      <c r="I7998" t="n">
        <v>0</v>
      </c>
      <c r="J7998" t="n">
        <v>0</v>
      </c>
      <c r="K7998" t="n">
        <v>0</v>
      </c>
      <c r="L7998" t="n">
        <v>0</v>
      </c>
      <c r="M7998" t="n">
        <v>0</v>
      </c>
      <c r="N7998" t="n">
        <v>0</v>
      </c>
      <c r="O7998" t="n">
        <v>0</v>
      </c>
      <c r="P7998" t="n">
        <v>0</v>
      </c>
      <c r="Q7998" t="n">
        <v>0</v>
      </c>
      <c r="R7998" s="2" t="inlineStr"/>
    </row>
    <row r="7999" ht="15" customHeight="1">
      <c r="A7999" t="inlineStr">
        <is>
          <t>A 39568-2023</t>
        </is>
      </c>
      <c r="B7999" s="1" t="n">
        <v>45167</v>
      </c>
      <c r="C7999" s="1" t="n">
        <v>45587</v>
      </c>
      <c r="D7999" t="inlineStr">
        <is>
          <t>GÄVLEBORGS LÄN</t>
        </is>
      </c>
      <c r="E7999" t="inlineStr">
        <is>
          <t>NORDANSTIG</t>
        </is>
      </c>
      <c r="F7999" t="inlineStr">
        <is>
          <t>Holmen skog AB</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39615-2023</t>
        </is>
      </c>
      <c r="B8000" s="1" t="n">
        <v>45167</v>
      </c>
      <c r="C8000" s="1" t="n">
        <v>45587</v>
      </c>
      <c r="D8000" t="inlineStr">
        <is>
          <t>GÄVLEBORGS LÄN</t>
        </is>
      </c>
      <c r="E8000" t="inlineStr">
        <is>
          <t>HUDIKSVALL</t>
        </is>
      </c>
      <c r="F8000" t="inlineStr">
        <is>
          <t>Holmen skog AB</t>
        </is>
      </c>
      <c r="G8000" t="n">
        <v>5.8</v>
      </c>
      <c r="H8000" t="n">
        <v>0</v>
      </c>
      <c r="I8000" t="n">
        <v>0</v>
      </c>
      <c r="J8000" t="n">
        <v>0</v>
      </c>
      <c r="K8000" t="n">
        <v>0</v>
      </c>
      <c r="L8000" t="n">
        <v>0</v>
      </c>
      <c r="M8000" t="n">
        <v>0</v>
      </c>
      <c r="N8000" t="n">
        <v>0</v>
      </c>
      <c r="O8000" t="n">
        <v>0</v>
      </c>
      <c r="P8000" t="n">
        <v>0</v>
      </c>
      <c r="Q8000" t="n">
        <v>0</v>
      </c>
      <c r="R8000" s="2" t="inlineStr"/>
    </row>
    <row r="8001" ht="15" customHeight="1">
      <c r="A8001" t="inlineStr">
        <is>
          <t>A 39526-2023</t>
        </is>
      </c>
      <c r="B8001" s="1" t="n">
        <v>45167</v>
      </c>
      <c r="C8001" s="1" t="n">
        <v>45587</v>
      </c>
      <c r="D8001" t="inlineStr">
        <is>
          <t>GÄVLEBORGS LÄN</t>
        </is>
      </c>
      <c r="E8001" t="inlineStr">
        <is>
          <t>LJUSDAL</t>
        </is>
      </c>
      <c r="G8001" t="n">
        <v>6.1</v>
      </c>
      <c r="H8001" t="n">
        <v>0</v>
      </c>
      <c r="I8001" t="n">
        <v>0</v>
      </c>
      <c r="J8001" t="n">
        <v>0</v>
      </c>
      <c r="K8001" t="n">
        <v>0</v>
      </c>
      <c r="L8001" t="n">
        <v>0</v>
      </c>
      <c r="M8001" t="n">
        <v>0</v>
      </c>
      <c r="N8001" t="n">
        <v>0</v>
      </c>
      <c r="O8001" t="n">
        <v>0</v>
      </c>
      <c r="P8001" t="n">
        <v>0</v>
      </c>
      <c r="Q8001" t="n">
        <v>0</v>
      </c>
      <c r="R8001" s="2" t="inlineStr"/>
    </row>
    <row r="8002" ht="15" customHeight="1">
      <c r="A8002" t="inlineStr">
        <is>
          <t>A 39664-2023</t>
        </is>
      </c>
      <c r="B8002" s="1" t="n">
        <v>45167</v>
      </c>
      <c r="C8002" s="1" t="n">
        <v>45587</v>
      </c>
      <c r="D8002" t="inlineStr">
        <is>
          <t>GÄVLEBORGS LÄN</t>
        </is>
      </c>
      <c r="E8002" t="inlineStr">
        <is>
          <t>OVANÅKER</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39735-2023</t>
        </is>
      </c>
      <c r="B8003" s="1" t="n">
        <v>45167</v>
      </c>
      <c r="C8003" s="1" t="n">
        <v>45587</v>
      </c>
      <c r="D8003" t="inlineStr">
        <is>
          <t>GÄVLEBORGS LÄN</t>
        </is>
      </c>
      <c r="E8003" t="inlineStr">
        <is>
          <t>HUDIKSVALL</t>
        </is>
      </c>
      <c r="G8003" t="n">
        <v>7.9</v>
      </c>
      <c r="H8003" t="n">
        <v>0</v>
      </c>
      <c r="I8003" t="n">
        <v>0</v>
      </c>
      <c r="J8003" t="n">
        <v>0</v>
      </c>
      <c r="K8003" t="n">
        <v>0</v>
      </c>
      <c r="L8003" t="n">
        <v>0</v>
      </c>
      <c r="M8003" t="n">
        <v>0</v>
      </c>
      <c r="N8003" t="n">
        <v>0</v>
      </c>
      <c r="O8003" t="n">
        <v>0</v>
      </c>
      <c r="P8003" t="n">
        <v>0</v>
      </c>
      <c r="Q8003" t="n">
        <v>0</v>
      </c>
      <c r="R8003" s="2" t="inlineStr"/>
    </row>
    <row r="8004" ht="15" customHeight="1">
      <c r="A8004" t="inlineStr">
        <is>
          <t>A 39710-2023</t>
        </is>
      </c>
      <c r="B8004" s="1" t="n">
        <v>45167</v>
      </c>
      <c r="C8004" s="1" t="n">
        <v>45587</v>
      </c>
      <c r="D8004" t="inlineStr">
        <is>
          <t>GÄVLEBORGS LÄN</t>
        </is>
      </c>
      <c r="E8004" t="inlineStr">
        <is>
          <t>OCKELBO</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39858-2023</t>
        </is>
      </c>
      <c r="B8005" s="1" t="n">
        <v>45168</v>
      </c>
      <c r="C8005" s="1" t="n">
        <v>45587</v>
      </c>
      <c r="D8005" t="inlineStr">
        <is>
          <t>GÄVLEBORGS LÄN</t>
        </is>
      </c>
      <c r="E8005" t="inlineStr">
        <is>
          <t>HUDIKSVALL</t>
        </is>
      </c>
      <c r="F8005" t="inlineStr">
        <is>
          <t>Holmen skog AB</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39862-2023</t>
        </is>
      </c>
      <c r="B8006" s="1" t="n">
        <v>45168</v>
      </c>
      <c r="C8006" s="1" t="n">
        <v>45587</v>
      </c>
      <c r="D8006" t="inlineStr">
        <is>
          <t>GÄVLEBORGS LÄN</t>
        </is>
      </c>
      <c r="E8006" t="inlineStr">
        <is>
          <t>OVANÅKER</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39883-2023</t>
        </is>
      </c>
      <c r="B8007" s="1" t="n">
        <v>45168</v>
      </c>
      <c r="C8007" s="1" t="n">
        <v>45587</v>
      </c>
      <c r="D8007" t="inlineStr">
        <is>
          <t>GÄVLEBORGS LÄN</t>
        </is>
      </c>
      <c r="E8007" t="inlineStr">
        <is>
          <t>LJUSDAL</t>
        </is>
      </c>
      <c r="F8007" t="inlineStr">
        <is>
          <t>Holmen skog AB</t>
        </is>
      </c>
      <c r="G8007" t="n">
        <v>13.9</v>
      </c>
      <c r="H8007" t="n">
        <v>0</v>
      </c>
      <c r="I8007" t="n">
        <v>0</v>
      </c>
      <c r="J8007" t="n">
        <v>0</v>
      </c>
      <c r="K8007" t="n">
        <v>0</v>
      </c>
      <c r="L8007" t="n">
        <v>0</v>
      </c>
      <c r="M8007" t="n">
        <v>0</v>
      </c>
      <c r="N8007" t="n">
        <v>0</v>
      </c>
      <c r="O8007" t="n">
        <v>0</v>
      </c>
      <c r="P8007" t="n">
        <v>0</v>
      </c>
      <c r="Q8007" t="n">
        <v>0</v>
      </c>
      <c r="R8007" s="2" t="inlineStr"/>
    </row>
    <row r="8008" ht="15" customHeight="1">
      <c r="A8008" t="inlineStr">
        <is>
          <t>A 39931-2023</t>
        </is>
      </c>
      <c r="B8008" s="1" t="n">
        <v>45168</v>
      </c>
      <c r="C8008" s="1" t="n">
        <v>45587</v>
      </c>
      <c r="D8008" t="inlineStr">
        <is>
          <t>GÄVLEBORGS LÄN</t>
        </is>
      </c>
      <c r="E8008" t="inlineStr">
        <is>
          <t>GÄVLE</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40073-2023</t>
        </is>
      </c>
      <c r="B8009" s="1" t="n">
        <v>45168</v>
      </c>
      <c r="C8009" s="1" t="n">
        <v>45587</v>
      </c>
      <c r="D8009" t="inlineStr">
        <is>
          <t>GÄVLEBORGS LÄN</t>
        </is>
      </c>
      <c r="E8009" t="inlineStr">
        <is>
          <t>NORDANSTIG</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39850-2023</t>
        </is>
      </c>
      <c r="B8010" s="1" t="n">
        <v>45168</v>
      </c>
      <c r="C8010" s="1" t="n">
        <v>45587</v>
      </c>
      <c r="D8010" t="inlineStr">
        <is>
          <t>GÄVLEBORGS LÄN</t>
        </is>
      </c>
      <c r="E8010" t="inlineStr">
        <is>
          <t>OVANÅKER</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39923-2023</t>
        </is>
      </c>
      <c r="B8011" s="1" t="n">
        <v>45168</v>
      </c>
      <c r="C8011" s="1" t="n">
        <v>45587</v>
      </c>
      <c r="D8011" t="inlineStr">
        <is>
          <t>GÄVLEBORGS LÄN</t>
        </is>
      </c>
      <c r="E8011" t="inlineStr">
        <is>
          <t>LJUSDAL</t>
        </is>
      </c>
      <c r="F8011" t="inlineStr">
        <is>
          <t>Allmännings- och besparingsskogar</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39968-2023</t>
        </is>
      </c>
      <c r="B8012" s="1" t="n">
        <v>45168</v>
      </c>
      <c r="C8012" s="1" t="n">
        <v>45587</v>
      </c>
      <c r="D8012" t="inlineStr">
        <is>
          <t>GÄVLEBORGS LÄN</t>
        </is>
      </c>
      <c r="E8012" t="inlineStr">
        <is>
          <t>OCKELBO</t>
        </is>
      </c>
      <c r="F8012" t="inlineStr">
        <is>
          <t>Bergvik skog väst AB</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39916-2023</t>
        </is>
      </c>
      <c r="B8013" s="1" t="n">
        <v>45168</v>
      </c>
      <c r="C8013" s="1" t="n">
        <v>45587</v>
      </c>
      <c r="D8013" t="inlineStr">
        <is>
          <t>GÄVLEBORGS LÄN</t>
        </is>
      </c>
      <c r="E8013" t="inlineStr">
        <is>
          <t>OVANÅKER</t>
        </is>
      </c>
      <c r="F8013" t="inlineStr">
        <is>
          <t>Kyrkan</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39932-2023</t>
        </is>
      </c>
      <c r="B8014" s="1" t="n">
        <v>45168</v>
      </c>
      <c r="C8014" s="1" t="n">
        <v>45587</v>
      </c>
      <c r="D8014" t="inlineStr">
        <is>
          <t>GÄVLEBORGS LÄN</t>
        </is>
      </c>
      <c r="E8014" t="inlineStr">
        <is>
          <t>LJUSDAL</t>
        </is>
      </c>
      <c r="F8014" t="inlineStr">
        <is>
          <t>Bergvik skog väst AB</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39950-2023</t>
        </is>
      </c>
      <c r="B8015" s="1" t="n">
        <v>45168</v>
      </c>
      <c r="C8015" s="1" t="n">
        <v>45587</v>
      </c>
      <c r="D8015" t="inlineStr">
        <is>
          <t>GÄVLEBORGS LÄN</t>
        </is>
      </c>
      <c r="E8015" t="inlineStr">
        <is>
          <t>HUDIKSVALL</t>
        </is>
      </c>
      <c r="G8015" t="n">
        <v>4.9</v>
      </c>
      <c r="H8015" t="n">
        <v>0</v>
      </c>
      <c r="I8015" t="n">
        <v>0</v>
      </c>
      <c r="J8015" t="n">
        <v>0</v>
      </c>
      <c r="K8015" t="n">
        <v>0</v>
      </c>
      <c r="L8015" t="n">
        <v>0</v>
      </c>
      <c r="M8015" t="n">
        <v>0</v>
      </c>
      <c r="N8015" t="n">
        <v>0</v>
      </c>
      <c r="O8015" t="n">
        <v>0</v>
      </c>
      <c r="P8015" t="n">
        <v>0</v>
      </c>
      <c r="Q8015" t="n">
        <v>0</v>
      </c>
      <c r="R8015" s="2" t="inlineStr"/>
    </row>
    <row r="8016" ht="15" customHeight="1">
      <c r="A8016" t="inlineStr">
        <is>
          <t>A 40018-2023</t>
        </is>
      </c>
      <c r="B8016" s="1" t="n">
        <v>45168</v>
      </c>
      <c r="C8016" s="1" t="n">
        <v>45587</v>
      </c>
      <c r="D8016" t="inlineStr">
        <is>
          <t>GÄVLEBORGS LÄN</t>
        </is>
      </c>
      <c r="E8016" t="inlineStr">
        <is>
          <t>BOLLNÄS</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40039-2023</t>
        </is>
      </c>
      <c r="B8017" s="1" t="n">
        <v>45168</v>
      </c>
      <c r="C8017" s="1" t="n">
        <v>45587</v>
      </c>
      <c r="D8017" t="inlineStr">
        <is>
          <t>GÄVLEBORGS LÄN</t>
        </is>
      </c>
      <c r="E8017" t="inlineStr">
        <is>
          <t>NORDANSTIG</t>
        </is>
      </c>
      <c r="G8017" t="n">
        <v>6.9</v>
      </c>
      <c r="H8017" t="n">
        <v>0</v>
      </c>
      <c r="I8017" t="n">
        <v>0</v>
      </c>
      <c r="J8017" t="n">
        <v>0</v>
      </c>
      <c r="K8017" t="n">
        <v>0</v>
      </c>
      <c r="L8017" t="n">
        <v>0</v>
      </c>
      <c r="M8017" t="n">
        <v>0</v>
      </c>
      <c r="N8017" t="n">
        <v>0</v>
      </c>
      <c r="O8017" t="n">
        <v>0</v>
      </c>
      <c r="P8017" t="n">
        <v>0</v>
      </c>
      <c r="Q8017" t="n">
        <v>0</v>
      </c>
      <c r="R8017" s="2" t="inlineStr"/>
    </row>
    <row r="8018" ht="15" customHeight="1">
      <c r="A8018" t="inlineStr">
        <is>
          <t>A 40091-2023</t>
        </is>
      </c>
      <c r="B8018" s="1" t="n">
        <v>45169</v>
      </c>
      <c r="C8018" s="1" t="n">
        <v>45587</v>
      </c>
      <c r="D8018" t="inlineStr">
        <is>
          <t>GÄVLEBORGS LÄN</t>
        </is>
      </c>
      <c r="E8018" t="inlineStr">
        <is>
          <t>GÄVLE</t>
        </is>
      </c>
      <c r="F8018" t="inlineStr">
        <is>
          <t>Bergvik skog väst AB</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40116-2023</t>
        </is>
      </c>
      <c r="B8019" s="1" t="n">
        <v>45169</v>
      </c>
      <c r="C8019" s="1" t="n">
        <v>45587</v>
      </c>
      <c r="D8019" t="inlineStr">
        <is>
          <t>GÄVLEBORGS LÄN</t>
        </is>
      </c>
      <c r="E8019" t="inlineStr">
        <is>
          <t>GÄVLE</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40070-2023</t>
        </is>
      </c>
      <c r="B8020" s="1" t="n">
        <v>45168</v>
      </c>
      <c r="C8020" s="1" t="n">
        <v>45587</v>
      </c>
      <c r="D8020" t="inlineStr">
        <is>
          <t>GÄVLEBORGS LÄN</t>
        </is>
      </c>
      <c r="E8020" t="inlineStr">
        <is>
          <t>SÖDERHAMN</t>
        </is>
      </c>
      <c r="G8020" t="n">
        <v>3.3</v>
      </c>
      <c r="H8020" t="n">
        <v>0</v>
      </c>
      <c r="I8020" t="n">
        <v>0</v>
      </c>
      <c r="J8020" t="n">
        <v>0</v>
      </c>
      <c r="K8020" t="n">
        <v>0</v>
      </c>
      <c r="L8020" t="n">
        <v>0</v>
      </c>
      <c r="M8020" t="n">
        <v>0</v>
      </c>
      <c r="N8020" t="n">
        <v>0</v>
      </c>
      <c r="O8020" t="n">
        <v>0</v>
      </c>
      <c r="P8020" t="n">
        <v>0</v>
      </c>
      <c r="Q8020" t="n">
        <v>0</v>
      </c>
      <c r="R8020" s="2" t="inlineStr"/>
    </row>
    <row r="8021" ht="15" customHeight="1">
      <c r="A8021" t="inlineStr">
        <is>
          <t>A 39877-2023</t>
        </is>
      </c>
      <c r="B8021" s="1" t="n">
        <v>45168</v>
      </c>
      <c r="C8021" s="1" t="n">
        <v>45587</v>
      </c>
      <c r="D8021" t="inlineStr">
        <is>
          <t>GÄVLEBORGS LÄN</t>
        </is>
      </c>
      <c r="E8021" t="inlineStr">
        <is>
          <t>OVANÅKER</t>
        </is>
      </c>
      <c r="F8021" t="inlineStr">
        <is>
          <t>Kyrkan</t>
        </is>
      </c>
      <c r="G8021" t="n">
        <v>9.800000000000001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39957-2023</t>
        </is>
      </c>
      <c r="B8022" s="1" t="n">
        <v>45168</v>
      </c>
      <c r="C8022" s="1" t="n">
        <v>45587</v>
      </c>
      <c r="D8022" t="inlineStr">
        <is>
          <t>GÄVLEBORGS LÄN</t>
        </is>
      </c>
      <c r="E8022" t="inlineStr">
        <is>
          <t>SANDVIKEN</t>
        </is>
      </c>
      <c r="G8022" t="n">
        <v>7</v>
      </c>
      <c r="H8022" t="n">
        <v>0</v>
      </c>
      <c r="I8022" t="n">
        <v>0</v>
      </c>
      <c r="J8022" t="n">
        <v>0</v>
      </c>
      <c r="K8022" t="n">
        <v>0</v>
      </c>
      <c r="L8022" t="n">
        <v>0</v>
      </c>
      <c r="M8022" t="n">
        <v>0</v>
      </c>
      <c r="N8022" t="n">
        <v>0</v>
      </c>
      <c r="O8022" t="n">
        <v>0</v>
      </c>
      <c r="P8022" t="n">
        <v>0</v>
      </c>
      <c r="Q8022" t="n">
        <v>0</v>
      </c>
      <c r="R8022" s="2" t="inlineStr"/>
    </row>
    <row r="8023" ht="15" customHeight="1">
      <c r="A8023" t="inlineStr">
        <is>
          <t>A 39990-2023</t>
        </is>
      </c>
      <c r="B8023" s="1" t="n">
        <v>45168</v>
      </c>
      <c r="C8023" s="1" t="n">
        <v>45587</v>
      </c>
      <c r="D8023" t="inlineStr">
        <is>
          <t>GÄVLEBORGS LÄN</t>
        </is>
      </c>
      <c r="E8023" t="inlineStr">
        <is>
          <t>OCKELBO</t>
        </is>
      </c>
      <c r="F8023" t="inlineStr">
        <is>
          <t>Bergvik skog väst AB</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40060-2023</t>
        </is>
      </c>
      <c r="B8024" s="1" t="n">
        <v>45168</v>
      </c>
      <c r="C8024" s="1" t="n">
        <v>45587</v>
      </c>
      <c r="D8024" t="inlineStr">
        <is>
          <t>GÄVLEBORGS LÄN</t>
        </is>
      </c>
      <c r="E8024" t="inlineStr">
        <is>
          <t>HUDIKSVALL</t>
        </is>
      </c>
      <c r="F8024" t="inlineStr">
        <is>
          <t>Holmen skog AB</t>
        </is>
      </c>
      <c r="G8024" t="n">
        <v>4.3</v>
      </c>
      <c r="H8024" t="n">
        <v>0</v>
      </c>
      <c r="I8024" t="n">
        <v>0</v>
      </c>
      <c r="J8024" t="n">
        <v>0</v>
      </c>
      <c r="K8024" t="n">
        <v>0</v>
      </c>
      <c r="L8024" t="n">
        <v>0</v>
      </c>
      <c r="M8024" t="n">
        <v>0</v>
      </c>
      <c r="N8024" t="n">
        <v>0</v>
      </c>
      <c r="O8024" t="n">
        <v>0</v>
      </c>
      <c r="P8024" t="n">
        <v>0</v>
      </c>
      <c r="Q8024" t="n">
        <v>0</v>
      </c>
      <c r="R8024" s="2" t="inlineStr"/>
    </row>
    <row r="8025" ht="15" customHeight="1">
      <c r="A8025" t="inlineStr">
        <is>
          <t>A 40092-2023</t>
        </is>
      </c>
      <c r="B8025" s="1" t="n">
        <v>45169</v>
      </c>
      <c r="C8025" s="1" t="n">
        <v>45587</v>
      </c>
      <c r="D8025" t="inlineStr">
        <is>
          <t>GÄVLEBORGS LÄN</t>
        </is>
      </c>
      <c r="E8025" t="inlineStr">
        <is>
          <t>GÄVLE</t>
        </is>
      </c>
      <c r="F8025" t="inlineStr">
        <is>
          <t>Bergvik skog väst AB</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40225-2023</t>
        </is>
      </c>
      <c r="B8026" s="1" t="n">
        <v>45169</v>
      </c>
      <c r="C8026" s="1" t="n">
        <v>45587</v>
      </c>
      <c r="D8026" t="inlineStr">
        <is>
          <t>GÄVLEBORGS LÄN</t>
        </is>
      </c>
      <c r="E8026" t="inlineStr">
        <is>
          <t>LJUSDAL</t>
        </is>
      </c>
      <c r="F8026" t="inlineStr">
        <is>
          <t>Allmännings- och besparingsskogar</t>
        </is>
      </c>
      <c r="G8026" t="n">
        <v>36.4</v>
      </c>
      <c r="H8026" t="n">
        <v>0</v>
      </c>
      <c r="I8026" t="n">
        <v>0</v>
      </c>
      <c r="J8026" t="n">
        <v>0</v>
      </c>
      <c r="K8026" t="n">
        <v>0</v>
      </c>
      <c r="L8026" t="n">
        <v>0</v>
      </c>
      <c r="M8026" t="n">
        <v>0</v>
      </c>
      <c r="N8026" t="n">
        <v>0</v>
      </c>
      <c r="O8026" t="n">
        <v>0</v>
      </c>
      <c r="P8026" t="n">
        <v>0</v>
      </c>
      <c r="Q8026" t="n">
        <v>0</v>
      </c>
      <c r="R8026" s="2" t="inlineStr"/>
    </row>
    <row r="8027" ht="15" customHeight="1">
      <c r="A8027" t="inlineStr">
        <is>
          <t>A 40253-2023</t>
        </is>
      </c>
      <c r="B8027" s="1" t="n">
        <v>45169</v>
      </c>
      <c r="C8027" s="1" t="n">
        <v>45587</v>
      </c>
      <c r="D8027" t="inlineStr">
        <is>
          <t>GÄVLEBORGS LÄN</t>
        </is>
      </c>
      <c r="E8027" t="inlineStr">
        <is>
          <t>LJUSDAL</t>
        </is>
      </c>
      <c r="G8027" t="n">
        <v>9.300000000000001</v>
      </c>
      <c r="H8027" t="n">
        <v>0</v>
      </c>
      <c r="I8027" t="n">
        <v>0</v>
      </c>
      <c r="J8027" t="n">
        <v>0</v>
      </c>
      <c r="K8027" t="n">
        <v>0</v>
      </c>
      <c r="L8027" t="n">
        <v>0</v>
      </c>
      <c r="M8027" t="n">
        <v>0</v>
      </c>
      <c r="N8027" t="n">
        <v>0</v>
      </c>
      <c r="O8027" t="n">
        <v>0</v>
      </c>
      <c r="P8027" t="n">
        <v>0</v>
      </c>
      <c r="Q8027" t="n">
        <v>0</v>
      </c>
      <c r="R8027" s="2" t="inlineStr"/>
    </row>
    <row r="8028" ht="15" customHeight="1">
      <c r="A8028" t="inlineStr">
        <is>
          <t>A 40261-2023</t>
        </is>
      </c>
      <c r="B8028" s="1" t="n">
        <v>45169</v>
      </c>
      <c r="C8028" s="1" t="n">
        <v>45587</v>
      </c>
      <c r="D8028" t="inlineStr">
        <is>
          <t>GÄVLEBORGS LÄN</t>
        </is>
      </c>
      <c r="E8028" t="inlineStr">
        <is>
          <t>NORDANSTIG</t>
        </is>
      </c>
      <c r="F8028" t="inlineStr">
        <is>
          <t>Holmen skog AB</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40269-2023</t>
        </is>
      </c>
      <c r="B8029" s="1" t="n">
        <v>45169</v>
      </c>
      <c r="C8029" s="1" t="n">
        <v>45587</v>
      </c>
      <c r="D8029" t="inlineStr">
        <is>
          <t>GÄVLEBORGS LÄN</t>
        </is>
      </c>
      <c r="E8029" t="inlineStr">
        <is>
          <t>NORDANSTIG</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40281-2023</t>
        </is>
      </c>
      <c r="B8030" s="1" t="n">
        <v>45169</v>
      </c>
      <c r="C8030" s="1" t="n">
        <v>45587</v>
      </c>
      <c r="D8030" t="inlineStr">
        <is>
          <t>GÄVLEBORGS LÄN</t>
        </is>
      </c>
      <c r="E8030" t="inlineStr">
        <is>
          <t>LJUSDAL</t>
        </is>
      </c>
      <c r="F8030" t="inlineStr">
        <is>
          <t>Sveaskog</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40233-2023</t>
        </is>
      </c>
      <c r="B8031" s="1" t="n">
        <v>45169</v>
      </c>
      <c r="C8031" s="1" t="n">
        <v>45587</v>
      </c>
      <c r="D8031" t="inlineStr">
        <is>
          <t>GÄVLEBORGS LÄN</t>
        </is>
      </c>
      <c r="E8031" t="inlineStr">
        <is>
          <t>NORDANSTIG</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40242-2023</t>
        </is>
      </c>
      <c r="B8032" s="1" t="n">
        <v>45169</v>
      </c>
      <c r="C8032" s="1" t="n">
        <v>45587</v>
      </c>
      <c r="D8032" t="inlineStr">
        <is>
          <t>GÄVLEBORGS LÄN</t>
        </is>
      </c>
      <c r="E8032" t="inlineStr">
        <is>
          <t>NORDANSTIG</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40260-2023</t>
        </is>
      </c>
      <c r="B8033" s="1" t="n">
        <v>45169</v>
      </c>
      <c r="C8033" s="1" t="n">
        <v>45587</v>
      </c>
      <c r="D8033" t="inlineStr">
        <is>
          <t>GÄVLEBORGS LÄN</t>
        </is>
      </c>
      <c r="E8033" t="inlineStr">
        <is>
          <t>LJUSDAL</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40268-2023</t>
        </is>
      </c>
      <c r="B8034" s="1" t="n">
        <v>45169</v>
      </c>
      <c r="C8034" s="1" t="n">
        <v>45587</v>
      </c>
      <c r="D8034" t="inlineStr">
        <is>
          <t>GÄVLEBORGS LÄN</t>
        </is>
      </c>
      <c r="E8034" t="inlineStr">
        <is>
          <t>GÄVLE</t>
        </is>
      </c>
      <c r="F8034" t="inlineStr">
        <is>
          <t>Bergvik skog öst AB</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40272-2023</t>
        </is>
      </c>
      <c r="B8035" s="1" t="n">
        <v>45169</v>
      </c>
      <c r="C8035" s="1" t="n">
        <v>45587</v>
      </c>
      <c r="D8035" t="inlineStr">
        <is>
          <t>GÄVLEBORGS LÄN</t>
        </is>
      </c>
      <c r="E8035" t="inlineStr">
        <is>
          <t>NORDANSTIG</t>
        </is>
      </c>
      <c r="F8035" t="inlineStr">
        <is>
          <t>Holmen skog AB</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40276-2023</t>
        </is>
      </c>
      <c r="B8036" s="1" t="n">
        <v>45169</v>
      </c>
      <c r="C8036" s="1" t="n">
        <v>45587</v>
      </c>
      <c r="D8036" t="inlineStr">
        <is>
          <t>GÄVLEBORGS LÄN</t>
        </is>
      </c>
      <c r="E8036" t="inlineStr">
        <is>
          <t>LJUSDAL</t>
        </is>
      </c>
      <c r="F8036" t="inlineStr">
        <is>
          <t>Sveaskog</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40280-2023</t>
        </is>
      </c>
      <c r="B8037" s="1" t="n">
        <v>45169</v>
      </c>
      <c r="C8037" s="1" t="n">
        <v>45587</v>
      </c>
      <c r="D8037" t="inlineStr">
        <is>
          <t>GÄVLEBORGS LÄN</t>
        </is>
      </c>
      <c r="E8037" t="inlineStr">
        <is>
          <t>LJUSDAL</t>
        </is>
      </c>
      <c r="F8037" t="inlineStr">
        <is>
          <t>Sveaskog</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40300-2023</t>
        </is>
      </c>
      <c r="B8038" s="1" t="n">
        <v>45169</v>
      </c>
      <c r="C8038" s="1" t="n">
        <v>45587</v>
      </c>
      <c r="D8038" t="inlineStr">
        <is>
          <t>GÄVLEBORGS LÄN</t>
        </is>
      </c>
      <c r="E8038" t="inlineStr">
        <is>
          <t>BOLLNÄS</t>
        </is>
      </c>
      <c r="G8038" t="n">
        <v>6.8</v>
      </c>
      <c r="H8038" t="n">
        <v>0</v>
      </c>
      <c r="I8038" t="n">
        <v>0</v>
      </c>
      <c r="J8038" t="n">
        <v>0</v>
      </c>
      <c r="K8038" t="n">
        <v>0</v>
      </c>
      <c r="L8038" t="n">
        <v>0</v>
      </c>
      <c r="M8038" t="n">
        <v>0</v>
      </c>
      <c r="N8038" t="n">
        <v>0</v>
      </c>
      <c r="O8038" t="n">
        <v>0</v>
      </c>
      <c r="P8038" t="n">
        <v>0</v>
      </c>
      <c r="Q8038" t="n">
        <v>0</v>
      </c>
      <c r="R8038" s="2" t="inlineStr"/>
    </row>
    <row r="8039" ht="15" customHeight="1">
      <c r="A8039" t="inlineStr">
        <is>
          <t>A 40377-2023</t>
        </is>
      </c>
      <c r="B8039" s="1" t="n">
        <v>45169</v>
      </c>
      <c r="C8039" s="1" t="n">
        <v>45587</v>
      </c>
      <c r="D8039" t="inlineStr">
        <is>
          <t>GÄVLEBORGS LÄN</t>
        </is>
      </c>
      <c r="E8039" t="inlineStr">
        <is>
          <t>SÖDERHAMN</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40136-2023</t>
        </is>
      </c>
      <c r="B8040" s="1" t="n">
        <v>45169</v>
      </c>
      <c r="C8040" s="1" t="n">
        <v>45587</v>
      </c>
      <c r="D8040" t="inlineStr">
        <is>
          <t>GÄVLEBORGS LÄN</t>
        </is>
      </c>
      <c r="E8040" t="inlineStr">
        <is>
          <t>HUDIKSVALL</t>
        </is>
      </c>
      <c r="F8040" t="inlineStr">
        <is>
          <t>Holmen skog AB</t>
        </is>
      </c>
      <c r="G8040" t="n">
        <v>6.3</v>
      </c>
      <c r="H8040" t="n">
        <v>0</v>
      </c>
      <c r="I8040" t="n">
        <v>0</v>
      </c>
      <c r="J8040" t="n">
        <v>0</v>
      </c>
      <c r="K8040" t="n">
        <v>0</v>
      </c>
      <c r="L8040" t="n">
        <v>0</v>
      </c>
      <c r="M8040" t="n">
        <v>0</v>
      </c>
      <c r="N8040" t="n">
        <v>0</v>
      </c>
      <c r="O8040" t="n">
        <v>0</v>
      </c>
      <c r="P8040" t="n">
        <v>0</v>
      </c>
      <c r="Q8040" t="n">
        <v>0</v>
      </c>
      <c r="R8040" s="2" t="inlineStr"/>
    </row>
    <row r="8041" ht="15" customHeight="1">
      <c r="A8041" t="inlineStr">
        <is>
          <t>A 40170-2023</t>
        </is>
      </c>
      <c r="B8041" s="1" t="n">
        <v>45169</v>
      </c>
      <c r="C8041" s="1" t="n">
        <v>45587</v>
      </c>
      <c r="D8041" t="inlineStr">
        <is>
          <t>GÄVLEBORGS LÄN</t>
        </is>
      </c>
      <c r="E8041" t="inlineStr">
        <is>
          <t>NORDANSTIG</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40195-2023</t>
        </is>
      </c>
      <c r="B8042" s="1" t="n">
        <v>45169</v>
      </c>
      <c r="C8042" s="1" t="n">
        <v>45587</v>
      </c>
      <c r="D8042" t="inlineStr">
        <is>
          <t>GÄVLEBORGS LÄN</t>
        </is>
      </c>
      <c r="E8042" t="inlineStr">
        <is>
          <t>OCKELBO</t>
        </is>
      </c>
      <c r="G8042" t="n">
        <v>15.1</v>
      </c>
      <c r="H8042" t="n">
        <v>0</v>
      </c>
      <c r="I8042" t="n">
        <v>0</v>
      </c>
      <c r="J8042" t="n">
        <v>0</v>
      </c>
      <c r="K8042" t="n">
        <v>0</v>
      </c>
      <c r="L8042" t="n">
        <v>0</v>
      </c>
      <c r="M8042" t="n">
        <v>0</v>
      </c>
      <c r="N8042" t="n">
        <v>0</v>
      </c>
      <c r="O8042" t="n">
        <v>0</v>
      </c>
      <c r="P8042" t="n">
        <v>0</v>
      </c>
      <c r="Q8042" t="n">
        <v>0</v>
      </c>
      <c r="R8042" s="2" t="inlineStr"/>
    </row>
    <row r="8043" ht="15" customHeight="1">
      <c r="A8043" t="inlineStr">
        <is>
          <t>A 40209-2023</t>
        </is>
      </c>
      <c r="B8043" s="1" t="n">
        <v>45169</v>
      </c>
      <c r="C8043" s="1" t="n">
        <v>45587</v>
      </c>
      <c r="D8043" t="inlineStr">
        <is>
          <t>GÄVLEBORGS LÄN</t>
        </is>
      </c>
      <c r="E8043" t="inlineStr">
        <is>
          <t>SANDVIKEN</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40653-2023</t>
        </is>
      </c>
      <c r="B8044" s="1" t="n">
        <v>45169</v>
      </c>
      <c r="C8044" s="1" t="n">
        <v>45587</v>
      </c>
      <c r="D8044" t="inlineStr">
        <is>
          <t>GÄVLEBORGS LÄN</t>
        </is>
      </c>
      <c r="E8044" t="inlineStr">
        <is>
          <t>BOLLNÄS</t>
        </is>
      </c>
      <c r="G8044" t="n">
        <v>3.5</v>
      </c>
      <c r="H8044" t="n">
        <v>0</v>
      </c>
      <c r="I8044" t="n">
        <v>0</v>
      </c>
      <c r="J8044" t="n">
        <v>0</v>
      </c>
      <c r="K8044" t="n">
        <v>0</v>
      </c>
      <c r="L8044" t="n">
        <v>0</v>
      </c>
      <c r="M8044" t="n">
        <v>0</v>
      </c>
      <c r="N8044" t="n">
        <v>0</v>
      </c>
      <c r="O8044" t="n">
        <v>0</v>
      </c>
      <c r="P8044" t="n">
        <v>0</v>
      </c>
      <c r="Q8044" t="n">
        <v>0</v>
      </c>
      <c r="R8044" s="2" t="inlineStr"/>
    </row>
    <row r="8045" ht="15" customHeight="1">
      <c r="A8045" t="inlineStr">
        <is>
          <t>A 40363-2023</t>
        </is>
      </c>
      <c r="B8045" s="1" t="n">
        <v>45169</v>
      </c>
      <c r="C8045" s="1" t="n">
        <v>45587</v>
      </c>
      <c r="D8045" t="inlineStr">
        <is>
          <t>GÄVLEBORGS LÄN</t>
        </is>
      </c>
      <c r="E8045" t="inlineStr">
        <is>
          <t>SANDVIKEN</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40146-2023</t>
        </is>
      </c>
      <c r="B8046" s="1" t="n">
        <v>45169</v>
      </c>
      <c r="C8046" s="1" t="n">
        <v>45587</v>
      </c>
      <c r="D8046" t="inlineStr">
        <is>
          <t>GÄVLEBORGS LÄN</t>
        </is>
      </c>
      <c r="E8046" t="inlineStr">
        <is>
          <t>LJUSDAL</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40191-2023</t>
        </is>
      </c>
      <c r="B8047" s="1" t="n">
        <v>45169</v>
      </c>
      <c r="C8047" s="1" t="n">
        <v>45587</v>
      </c>
      <c r="D8047" t="inlineStr">
        <is>
          <t>GÄVLEBORGS LÄN</t>
        </is>
      </c>
      <c r="E8047" t="inlineStr">
        <is>
          <t>LJUSDAL</t>
        </is>
      </c>
      <c r="F8047" t="inlineStr">
        <is>
          <t>Sveaskog</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40196-2023</t>
        </is>
      </c>
      <c r="B8048" s="1" t="n">
        <v>45169</v>
      </c>
      <c r="C8048" s="1" t="n">
        <v>45587</v>
      </c>
      <c r="D8048" t="inlineStr">
        <is>
          <t>GÄVLEBORGS LÄN</t>
        </is>
      </c>
      <c r="E8048" t="inlineStr">
        <is>
          <t>SANDVIKEN</t>
        </is>
      </c>
      <c r="G8048" t="n">
        <v>4.9</v>
      </c>
      <c r="H8048" t="n">
        <v>0</v>
      </c>
      <c r="I8048" t="n">
        <v>0</v>
      </c>
      <c r="J8048" t="n">
        <v>0</v>
      </c>
      <c r="K8048" t="n">
        <v>0</v>
      </c>
      <c r="L8048" t="n">
        <v>0</v>
      </c>
      <c r="M8048" t="n">
        <v>0</v>
      </c>
      <c r="N8048" t="n">
        <v>0</v>
      </c>
      <c r="O8048" t="n">
        <v>0</v>
      </c>
      <c r="P8048" t="n">
        <v>0</v>
      </c>
      <c r="Q8048" t="n">
        <v>0</v>
      </c>
      <c r="R8048" s="2" t="inlineStr"/>
    </row>
    <row r="8049" ht="15" customHeight="1">
      <c r="A8049" t="inlineStr">
        <is>
          <t>A 40218-2023</t>
        </is>
      </c>
      <c r="B8049" s="1" t="n">
        <v>45169</v>
      </c>
      <c r="C8049" s="1" t="n">
        <v>45587</v>
      </c>
      <c r="D8049" t="inlineStr">
        <is>
          <t>GÄVLEBORGS LÄN</t>
        </is>
      </c>
      <c r="E8049" t="inlineStr">
        <is>
          <t>OCKELBO</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40241-2023</t>
        </is>
      </c>
      <c r="B8050" s="1" t="n">
        <v>45169</v>
      </c>
      <c r="C8050" s="1" t="n">
        <v>45587</v>
      </c>
      <c r="D8050" t="inlineStr">
        <is>
          <t>GÄVLEBORGS LÄN</t>
        </is>
      </c>
      <c r="E8050" t="inlineStr">
        <is>
          <t>NORDANSTIG</t>
        </is>
      </c>
      <c r="F8050" t="inlineStr">
        <is>
          <t>Holmen skog AB</t>
        </is>
      </c>
      <c r="G8050" t="n">
        <v>4.3</v>
      </c>
      <c r="H8050" t="n">
        <v>0</v>
      </c>
      <c r="I8050" t="n">
        <v>0</v>
      </c>
      <c r="J8050" t="n">
        <v>0</v>
      </c>
      <c r="K8050" t="n">
        <v>0</v>
      </c>
      <c r="L8050" t="n">
        <v>0</v>
      </c>
      <c r="M8050" t="n">
        <v>0</v>
      </c>
      <c r="N8050" t="n">
        <v>0</v>
      </c>
      <c r="O8050" t="n">
        <v>0</v>
      </c>
      <c r="P8050" t="n">
        <v>0</v>
      </c>
      <c r="Q8050" t="n">
        <v>0</v>
      </c>
      <c r="R8050" s="2" t="inlineStr"/>
    </row>
    <row r="8051" ht="15" customHeight="1">
      <c r="A8051" t="inlineStr">
        <is>
          <t>A 40365-2023</t>
        </is>
      </c>
      <c r="B8051" s="1" t="n">
        <v>45169</v>
      </c>
      <c r="C8051" s="1" t="n">
        <v>45587</v>
      </c>
      <c r="D8051" t="inlineStr">
        <is>
          <t>GÄVLEBORGS LÄN</t>
        </is>
      </c>
      <c r="E8051" t="inlineStr">
        <is>
          <t>SANDVIKEN</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40384-2023</t>
        </is>
      </c>
      <c r="B8052" s="1" t="n">
        <v>45169</v>
      </c>
      <c r="C8052" s="1" t="n">
        <v>45587</v>
      </c>
      <c r="D8052" t="inlineStr">
        <is>
          <t>GÄVLEBORGS LÄN</t>
        </is>
      </c>
      <c r="E8052" t="inlineStr">
        <is>
          <t>LJUSDAL</t>
        </is>
      </c>
      <c r="G8052" t="n">
        <v>4.5</v>
      </c>
      <c r="H8052" t="n">
        <v>0</v>
      </c>
      <c r="I8052" t="n">
        <v>0</v>
      </c>
      <c r="J8052" t="n">
        <v>0</v>
      </c>
      <c r="K8052" t="n">
        <v>0</v>
      </c>
      <c r="L8052" t="n">
        <v>0</v>
      </c>
      <c r="M8052" t="n">
        <v>0</v>
      </c>
      <c r="N8052" t="n">
        <v>0</v>
      </c>
      <c r="O8052" t="n">
        <v>0</v>
      </c>
      <c r="P8052" t="n">
        <v>0</v>
      </c>
      <c r="Q8052" t="n">
        <v>0</v>
      </c>
      <c r="R8052" s="2" t="inlineStr"/>
    </row>
    <row r="8053" ht="15" customHeight="1">
      <c r="A8053" t="inlineStr">
        <is>
          <t>A 40480-2023</t>
        </is>
      </c>
      <c r="B8053" s="1" t="n">
        <v>45170</v>
      </c>
      <c r="C8053" s="1" t="n">
        <v>45587</v>
      </c>
      <c r="D8053" t="inlineStr">
        <is>
          <t>GÄVLEBORGS LÄN</t>
        </is>
      </c>
      <c r="E8053" t="inlineStr">
        <is>
          <t>BOLLNÄS</t>
        </is>
      </c>
      <c r="F8053" t="inlineStr">
        <is>
          <t>Bergvik skog väst AB</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40500-2023</t>
        </is>
      </c>
      <c r="B8054" s="1" t="n">
        <v>45170</v>
      </c>
      <c r="C8054" s="1" t="n">
        <v>45587</v>
      </c>
      <c r="D8054" t="inlineStr">
        <is>
          <t>GÄVLEBORGS LÄN</t>
        </is>
      </c>
      <c r="E8054" t="inlineStr">
        <is>
          <t>NORDANSTIG</t>
        </is>
      </c>
      <c r="F8054" t="inlineStr">
        <is>
          <t>Holmen skog AB</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40513-2023</t>
        </is>
      </c>
      <c r="B8055" s="1" t="n">
        <v>45170</v>
      </c>
      <c r="C8055" s="1" t="n">
        <v>45587</v>
      </c>
      <c r="D8055" t="inlineStr">
        <is>
          <t>GÄVLEBORGS LÄN</t>
        </is>
      </c>
      <c r="E8055" t="inlineStr">
        <is>
          <t>BOLLNÄS</t>
        </is>
      </c>
      <c r="F8055" t="inlineStr">
        <is>
          <t>Bergvik skog väst AB</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40475-2023</t>
        </is>
      </c>
      <c r="B8056" s="1" t="n">
        <v>45170</v>
      </c>
      <c r="C8056" s="1" t="n">
        <v>45587</v>
      </c>
      <c r="D8056" t="inlineStr">
        <is>
          <t>GÄVLEBORGS LÄN</t>
        </is>
      </c>
      <c r="E8056" t="inlineStr">
        <is>
          <t>BOLLNÄS</t>
        </is>
      </c>
      <c r="F8056" t="inlineStr">
        <is>
          <t>Bergvik skog väst AB</t>
        </is>
      </c>
      <c r="G8056" t="n">
        <v>9.699999999999999</v>
      </c>
      <c r="H8056" t="n">
        <v>0</v>
      </c>
      <c r="I8056" t="n">
        <v>0</v>
      </c>
      <c r="J8056" t="n">
        <v>0</v>
      </c>
      <c r="K8056" t="n">
        <v>0</v>
      </c>
      <c r="L8056" t="n">
        <v>0</v>
      </c>
      <c r="M8056" t="n">
        <v>0</v>
      </c>
      <c r="N8056" t="n">
        <v>0</v>
      </c>
      <c r="O8056" t="n">
        <v>0</v>
      </c>
      <c r="P8056" t="n">
        <v>0</v>
      </c>
      <c r="Q8056" t="n">
        <v>0</v>
      </c>
      <c r="R8056" s="2" t="inlineStr"/>
    </row>
    <row r="8057" ht="15" customHeight="1">
      <c r="A8057" t="inlineStr">
        <is>
          <t>A 40609-2023</t>
        </is>
      </c>
      <c r="B8057" s="1" t="n">
        <v>45170</v>
      </c>
      <c r="C8057" s="1" t="n">
        <v>45587</v>
      </c>
      <c r="D8057" t="inlineStr">
        <is>
          <t>GÄVLEBORGS LÄN</t>
        </is>
      </c>
      <c r="E8057" t="inlineStr">
        <is>
          <t>SANDVIKEN</t>
        </is>
      </c>
      <c r="F8057" t="inlineStr">
        <is>
          <t>Bergvik skog öst AB</t>
        </is>
      </c>
      <c r="G8057" t="n">
        <v>31.1</v>
      </c>
      <c r="H8057" t="n">
        <v>0</v>
      </c>
      <c r="I8057" t="n">
        <v>0</v>
      </c>
      <c r="J8057" t="n">
        <v>0</v>
      </c>
      <c r="K8057" t="n">
        <v>0</v>
      </c>
      <c r="L8057" t="n">
        <v>0</v>
      </c>
      <c r="M8057" t="n">
        <v>0</v>
      </c>
      <c r="N8057" t="n">
        <v>0</v>
      </c>
      <c r="O8057" t="n">
        <v>0</v>
      </c>
      <c r="P8057" t="n">
        <v>0</v>
      </c>
      <c r="Q8057" t="n">
        <v>0</v>
      </c>
      <c r="R8057" s="2" t="inlineStr"/>
    </row>
    <row r="8058" ht="15" customHeight="1">
      <c r="A8058" t="inlineStr">
        <is>
          <t>A 40613-2023</t>
        </is>
      </c>
      <c r="B8058" s="1" t="n">
        <v>45170</v>
      </c>
      <c r="C8058" s="1" t="n">
        <v>45587</v>
      </c>
      <c r="D8058" t="inlineStr">
        <is>
          <t>GÄVLEBORGS LÄN</t>
        </is>
      </c>
      <c r="E8058" t="inlineStr">
        <is>
          <t>NORDANSTIG</t>
        </is>
      </c>
      <c r="F8058" t="inlineStr">
        <is>
          <t>Holmen skog AB</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40525-2023</t>
        </is>
      </c>
      <c r="B8059" s="1" t="n">
        <v>45170</v>
      </c>
      <c r="C8059" s="1" t="n">
        <v>45587</v>
      </c>
      <c r="D8059" t="inlineStr">
        <is>
          <t>GÄVLEBORGS LÄN</t>
        </is>
      </c>
      <c r="E8059" t="inlineStr">
        <is>
          <t>BOLLNÄS</t>
        </is>
      </c>
      <c r="F8059" t="inlineStr">
        <is>
          <t>Bergvik skog väst AB</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40685-2023</t>
        </is>
      </c>
      <c r="B8060" s="1" t="n">
        <v>45170</v>
      </c>
      <c r="C8060" s="1" t="n">
        <v>45587</v>
      </c>
      <c r="D8060" t="inlineStr">
        <is>
          <t>GÄVLEBORGS LÄN</t>
        </is>
      </c>
      <c r="E8060" t="inlineStr">
        <is>
          <t>BOLLNÄS</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40695-2023</t>
        </is>
      </c>
      <c r="B8061" s="1" t="n">
        <v>45170</v>
      </c>
      <c r="C8061" s="1" t="n">
        <v>45587</v>
      </c>
      <c r="D8061" t="inlineStr">
        <is>
          <t>GÄVLEBORGS LÄN</t>
        </is>
      </c>
      <c r="E8061" t="inlineStr">
        <is>
          <t>LJUSDAL</t>
        </is>
      </c>
      <c r="F8061" t="inlineStr">
        <is>
          <t>Holmen skog AB</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40733-2023</t>
        </is>
      </c>
      <c r="B8062" s="1" t="n">
        <v>45170</v>
      </c>
      <c r="C8062" s="1" t="n">
        <v>45587</v>
      </c>
      <c r="D8062" t="inlineStr">
        <is>
          <t>GÄVLEBORGS LÄN</t>
        </is>
      </c>
      <c r="E8062" t="inlineStr">
        <is>
          <t>NORDANSTIG</t>
        </is>
      </c>
      <c r="F8062" t="inlineStr">
        <is>
          <t>Holmen skog AB</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40745-2023</t>
        </is>
      </c>
      <c r="B8063" s="1" t="n">
        <v>45170</v>
      </c>
      <c r="C8063" s="1" t="n">
        <v>45587</v>
      </c>
      <c r="D8063" t="inlineStr">
        <is>
          <t>GÄVLEBORGS LÄN</t>
        </is>
      </c>
      <c r="E8063" t="inlineStr">
        <is>
          <t>SÖDERHAMN</t>
        </is>
      </c>
      <c r="G8063" t="n">
        <v>0.3</v>
      </c>
      <c r="H8063" t="n">
        <v>0</v>
      </c>
      <c r="I8063" t="n">
        <v>0</v>
      </c>
      <c r="J8063" t="n">
        <v>0</v>
      </c>
      <c r="K8063" t="n">
        <v>0</v>
      </c>
      <c r="L8063" t="n">
        <v>0</v>
      </c>
      <c r="M8063" t="n">
        <v>0</v>
      </c>
      <c r="N8063" t="n">
        <v>0</v>
      </c>
      <c r="O8063" t="n">
        <v>0</v>
      </c>
      <c r="P8063" t="n">
        <v>0</v>
      </c>
      <c r="Q8063" t="n">
        <v>0</v>
      </c>
      <c r="R8063" s="2" t="inlineStr"/>
    </row>
    <row r="8064" ht="15" customHeight="1">
      <c r="A8064" t="inlineStr">
        <is>
          <t>A 40628-2023</t>
        </is>
      </c>
      <c r="B8064" s="1" t="n">
        <v>45170</v>
      </c>
      <c r="C8064" s="1" t="n">
        <v>45587</v>
      </c>
      <c r="D8064" t="inlineStr">
        <is>
          <t>GÄVLEBORGS LÄN</t>
        </is>
      </c>
      <c r="E8064" t="inlineStr">
        <is>
          <t>OVANÅKER</t>
        </is>
      </c>
      <c r="G8064" t="n">
        <v>5.4</v>
      </c>
      <c r="H8064" t="n">
        <v>0</v>
      </c>
      <c r="I8064" t="n">
        <v>0</v>
      </c>
      <c r="J8064" t="n">
        <v>0</v>
      </c>
      <c r="K8064" t="n">
        <v>0</v>
      </c>
      <c r="L8064" t="n">
        <v>0</v>
      </c>
      <c r="M8064" t="n">
        <v>0</v>
      </c>
      <c r="N8064" t="n">
        <v>0</v>
      </c>
      <c r="O8064" t="n">
        <v>0</v>
      </c>
      <c r="P8064" t="n">
        <v>0</v>
      </c>
      <c r="Q8064" t="n">
        <v>0</v>
      </c>
      <c r="R8064" s="2" t="inlineStr"/>
    </row>
    <row r="8065" ht="15" customHeight="1">
      <c r="A8065" t="inlineStr">
        <is>
          <t>A 40738-2023</t>
        </is>
      </c>
      <c r="B8065" s="1" t="n">
        <v>45170</v>
      </c>
      <c r="C8065" s="1" t="n">
        <v>45587</v>
      </c>
      <c r="D8065" t="inlineStr">
        <is>
          <t>GÄVLEBORGS LÄN</t>
        </is>
      </c>
      <c r="E8065" t="inlineStr">
        <is>
          <t>NORDANSTIG</t>
        </is>
      </c>
      <c r="F8065" t="inlineStr">
        <is>
          <t>Holmen skog AB</t>
        </is>
      </c>
      <c r="G8065" t="n">
        <v>9.5</v>
      </c>
      <c r="H8065" t="n">
        <v>0</v>
      </c>
      <c r="I8065" t="n">
        <v>0</v>
      </c>
      <c r="J8065" t="n">
        <v>0</v>
      </c>
      <c r="K8065" t="n">
        <v>0</v>
      </c>
      <c r="L8065" t="n">
        <v>0</v>
      </c>
      <c r="M8065" t="n">
        <v>0</v>
      </c>
      <c r="N8065" t="n">
        <v>0</v>
      </c>
      <c r="O8065" t="n">
        <v>0</v>
      </c>
      <c r="P8065" t="n">
        <v>0</v>
      </c>
      <c r="Q8065" t="n">
        <v>0</v>
      </c>
      <c r="R8065" s="2" t="inlineStr"/>
    </row>
    <row r="8066" ht="15" customHeight="1">
      <c r="A8066" t="inlineStr">
        <is>
          <t>A 40699-2023</t>
        </is>
      </c>
      <c r="B8066" s="1" t="n">
        <v>45170</v>
      </c>
      <c r="C8066" s="1" t="n">
        <v>45587</v>
      </c>
      <c r="D8066" t="inlineStr">
        <is>
          <t>GÄVLEBORGS LÄN</t>
        </is>
      </c>
      <c r="E8066" t="inlineStr">
        <is>
          <t>SÖDERHAMN</t>
        </is>
      </c>
      <c r="F8066" t="inlineStr">
        <is>
          <t>Bergvik skog väst AB</t>
        </is>
      </c>
      <c r="G8066" t="n">
        <v>5.8</v>
      </c>
      <c r="H8066" t="n">
        <v>0</v>
      </c>
      <c r="I8066" t="n">
        <v>0</v>
      </c>
      <c r="J8066" t="n">
        <v>0</v>
      </c>
      <c r="K8066" t="n">
        <v>0</v>
      </c>
      <c r="L8066" t="n">
        <v>0</v>
      </c>
      <c r="M8066" t="n">
        <v>0</v>
      </c>
      <c r="N8066" t="n">
        <v>0</v>
      </c>
      <c r="O8066" t="n">
        <v>0</v>
      </c>
      <c r="P8066" t="n">
        <v>0</v>
      </c>
      <c r="Q8066" t="n">
        <v>0</v>
      </c>
      <c r="R8066" s="2" t="inlineStr"/>
    </row>
    <row r="8067" ht="15" customHeight="1">
      <c r="A8067" t="inlineStr">
        <is>
          <t>A 40740-2023</t>
        </is>
      </c>
      <c r="B8067" s="1" t="n">
        <v>45170</v>
      </c>
      <c r="C8067" s="1" t="n">
        <v>45587</v>
      </c>
      <c r="D8067" t="inlineStr">
        <is>
          <t>GÄVLEBORGS LÄN</t>
        </is>
      </c>
      <c r="E8067" t="inlineStr">
        <is>
          <t>SÖDERHAMN</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40744-2023</t>
        </is>
      </c>
      <c r="B8068" s="1" t="n">
        <v>45170</v>
      </c>
      <c r="C8068" s="1" t="n">
        <v>45587</v>
      </c>
      <c r="D8068" t="inlineStr">
        <is>
          <t>GÄVLEBORGS LÄN</t>
        </is>
      </c>
      <c r="E8068" t="inlineStr">
        <is>
          <t>LJUSDAL</t>
        </is>
      </c>
      <c r="F8068" t="inlineStr">
        <is>
          <t>Sveaskog</t>
        </is>
      </c>
      <c r="G8068" t="n">
        <v>14.1</v>
      </c>
      <c r="H8068" t="n">
        <v>0</v>
      </c>
      <c r="I8068" t="n">
        <v>0</v>
      </c>
      <c r="J8068" t="n">
        <v>0</v>
      </c>
      <c r="K8068" t="n">
        <v>0</v>
      </c>
      <c r="L8068" t="n">
        <v>0</v>
      </c>
      <c r="M8068" t="n">
        <v>0</v>
      </c>
      <c r="N8068" t="n">
        <v>0</v>
      </c>
      <c r="O8068" t="n">
        <v>0</v>
      </c>
      <c r="P8068" t="n">
        <v>0</v>
      </c>
      <c r="Q8068" t="n">
        <v>0</v>
      </c>
      <c r="R8068" s="2" t="inlineStr"/>
    </row>
    <row r="8069" ht="15" customHeight="1">
      <c r="A8069" t="inlineStr">
        <is>
          <t>A 40683-2023</t>
        </is>
      </c>
      <c r="B8069" s="1" t="n">
        <v>45170</v>
      </c>
      <c r="C8069" s="1" t="n">
        <v>45587</v>
      </c>
      <c r="D8069" t="inlineStr">
        <is>
          <t>GÄVLEBORGS LÄN</t>
        </is>
      </c>
      <c r="E8069" t="inlineStr">
        <is>
          <t>SÖDERHAMN</t>
        </is>
      </c>
      <c r="F8069" t="inlineStr">
        <is>
          <t>Bergvik skog väst AB</t>
        </is>
      </c>
      <c r="G8069" t="n">
        <v>3.2</v>
      </c>
      <c r="H8069" t="n">
        <v>0</v>
      </c>
      <c r="I8069" t="n">
        <v>0</v>
      </c>
      <c r="J8069" t="n">
        <v>0</v>
      </c>
      <c r="K8069" t="n">
        <v>0</v>
      </c>
      <c r="L8069" t="n">
        <v>0</v>
      </c>
      <c r="M8069" t="n">
        <v>0</v>
      </c>
      <c r="N8069" t="n">
        <v>0</v>
      </c>
      <c r="O8069" t="n">
        <v>0</v>
      </c>
      <c r="P8069" t="n">
        <v>0</v>
      </c>
      <c r="Q8069" t="n">
        <v>0</v>
      </c>
      <c r="R8069" s="2" t="inlineStr"/>
    </row>
    <row r="8070" ht="15" customHeight="1">
      <c r="A8070" t="inlineStr">
        <is>
          <t>A 40857-2023</t>
        </is>
      </c>
      <c r="B8070" s="1" t="n">
        <v>45173</v>
      </c>
      <c r="C8070" s="1" t="n">
        <v>45587</v>
      </c>
      <c r="D8070" t="inlineStr">
        <is>
          <t>GÄVLEBORGS LÄN</t>
        </is>
      </c>
      <c r="E8070" t="inlineStr">
        <is>
          <t>OVANÅKER</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40929-2023</t>
        </is>
      </c>
      <c r="B8071" s="1" t="n">
        <v>45173</v>
      </c>
      <c r="C8071" s="1" t="n">
        <v>45587</v>
      </c>
      <c r="D8071" t="inlineStr">
        <is>
          <t>GÄVLEBORGS LÄN</t>
        </is>
      </c>
      <c r="E8071" t="inlineStr">
        <is>
          <t>OVANÅKER</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40933-2023</t>
        </is>
      </c>
      <c r="B8072" s="1" t="n">
        <v>45173</v>
      </c>
      <c r="C8072" s="1" t="n">
        <v>45587</v>
      </c>
      <c r="D8072" t="inlineStr">
        <is>
          <t>GÄVLEBORGS LÄN</t>
        </is>
      </c>
      <c r="E8072" t="inlineStr">
        <is>
          <t>BOLLNÄS</t>
        </is>
      </c>
      <c r="F8072" t="inlineStr">
        <is>
          <t>Bergvik skog väst AB</t>
        </is>
      </c>
      <c r="G8072" t="n">
        <v>9.300000000000001</v>
      </c>
      <c r="H8072" t="n">
        <v>0</v>
      </c>
      <c r="I8072" t="n">
        <v>0</v>
      </c>
      <c r="J8072" t="n">
        <v>0</v>
      </c>
      <c r="K8072" t="n">
        <v>0</v>
      </c>
      <c r="L8072" t="n">
        <v>0</v>
      </c>
      <c r="M8072" t="n">
        <v>0</v>
      </c>
      <c r="N8072" t="n">
        <v>0</v>
      </c>
      <c r="O8072" t="n">
        <v>0</v>
      </c>
      <c r="P8072" t="n">
        <v>0</v>
      </c>
      <c r="Q8072" t="n">
        <v>0</v>
      </c>
      <c r="R8072" s="2" t="inlineStr"/>
    </row>
    <row r="8073" ht="15" customHeight="1">
      <c r="A8073" t="inlineStr">
        <is>
          <t>A 40941-2023</t>
        </is>
      </c>
      <c r="B8073" s="1" t="n">
        <v>45173</v>
      </c>
      <c r="C8073" s="1" t="n">
        <v>45587</v>
      </c>
      <c r="D8073" t="inlineStr">
        <is>
          <t>GÄVLEBORGS LÄN</t>
        </is>
      </c>
      <c r="E8073" t="inlineStr">
        <is>
          <t>HUDIKSVALL</t>
        </is>
      </c>
      <c r="F8073" t="inlineStr">
        <is>
          <t>Holmen skog AB</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40965-2023</t>
        </is>
      </c>
      <c r="B8074" s="1" t="n">
        <v>45173</v>
      </c>
      <c r="C8074" s="1" t="n">
        <v>45587</v>
      </c>
      <c r="D8074" t="inlineStr">
        <is>
          <t>GÄVLEBORGS LÄN</t>
        </is>
      </c>
      <c r="E8074" t="inlineStr">
        <is>
          <t>HUDIKSVALL</t>
        </is>
      </c>
      <c r="F8074" t="inlineStr">
        <is>
          <t>Holmen skog AB</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40989-2023</t>
        </is>
      </c>
      <c r="B8075" s="1" t="n">
        <v>45173</v>
      </c>
      <c r="C8075" s="1" t="n">
        <v>45587</v>
      </c>
      <c r="D8075" t="inlineStr">
        <is>
          <t>GÄVLEBORGS LÄN</t>
        </is>
      </c>
      <c r="E8075" t="inlineStr">
        <is>
          <t>SÖDERHAMN</t>
        </is>
      </c>
      <c r="F8075" t="inlineStr">
        <is>
          <t>Bergvik skog väst AB</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41020-2023</t>
        </is>
      </c>
      <c r="B8076" s="1" t="n">
        <v>45173</v>
      </c>
      <c r="C8076" s="1" t="n">
        <v>45587</v>
      </c>
      <c r="D8076" t="inlineStr">
        <is>
          <t>GÄVLEBORGS LÄN</t>
        </is>
      </c>
      <c r="E8076" t="inlineStr">
        <is>
          <t>HOFORS</t>
        </is>
      </c>
      <c r="F8076" t="inlineStr">
        <is>
          <t>Sveaskog</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41024-2023</t>
        </is>
      </c>
      <c r="B8077" s="1" t="n">
        <v>45173</v>
      </c>
      <c r="C8077" s="1" t="n">
        <v>45587</v>
      </c>
      <c r="D8077" t="inlineStr">
        <is>
          <t>GÄVLEBORGS LÄN</t>
        </is>
      </c>
      <c r="E8077" t="inlineStr">
        <is>
          <t>SANDVIKEN</t>
        </is>
      </c>
      <c r="F8077" t="inlineStr">
        <is>
          <t>Sveaskog</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40848-2023</t>
        </is>
      </c>
      <c r="B8078" s="1" t="n">
        <v>45173</v>
      </c>
      <c r="C8078" s="1" t="n">
        <v>45587</v>
      </c>
      <c r="D8078" t="inlineStr">
        <is>
          <t>GÄVLEBORGS LÄN</t>
        </is>
      </c>
      <c r="E8078" t="inlineStr">
        <is>
          <t>BOLLNÄS</t>
        </is>
      </c>
      <c r="G8078" t="n">
        <v>8.6</v>
      </c>
      <c r="H8078" t="n">
        <v>0</v>
      </c>
      <c r="I8078" t="n">
        <v>0</v>
      </c>
      <c r="J8078" t="n">
        <v>0</v>
      </c>
      <c r="K8078" t="n">
        <v>0</v>
      </c>
      <c r="L8078" t="n">
        <v>0</v>
      </c>
      <c r="M8078" t="n">
        <v>0</v>
      </c>
      <c r="N8078" t="n">
        <v>0</v>
      </c>
      <c r="O8078" t="n">
        <v>0</v>
      </c>
      <c r="P8078" t="n">
        <v>0</v>
      </c>
      <c r="Q8078" t="n">
        <v>0</v>
      </c>
      <c r="R8078" s="2" t="inlineStr"/>
    </row>
    <row r="8079" ht="15" customHeight="1">
      <c r="A8079" t="inlineStr">
        <is>
          <t>A 41048-2023</t>
        </is>
      </c>
      <c r="B8079" s="1" t="n">
        <v>45173</v>
      </c>
      <c r="C8079" s="1" t="n">
        <v>45587</v>
      </c>
      <c r="D8079" t="inlineStr">
        <is>
          <t>GÄVLEBORGS LÄN</t>
        </is>
      </c>
      <c r="E8079" t="inlineStr">
        <is>
          <t>LJUSDAL</t>
        </is>
      </c>
      <c r="G8079" t="n">
        <v>6.4</v>
      </c>
      <c r="H8079" t="n">
        <v>0</v>
      </c>
      <c r="I8079" t="n">
        <v>0</v>
      </c>
      <c r="J8079" t="n">
        <v>0</v>
      </c>
      <c r="K8079" t="n">
        <v>0</v>
      </c>
      <c r="L8079" t="n">
        <v>0</v>
      </c>
      <c r="M8079" t="n">
        <v>0</v>
      </c>
      <c r="N8079" t="n">
        <v>0</v>
      </c>
      <c r="O8079" t="n">
        <v>0</v>
      </c>
      <c r="P8079" t="n">
        <v>0</v>
      </c>
      <c r="Q8079" t="n">
        <v>0</v>
      </c>
      <c r="R8079" s="2" t="inlineStr"/>
    </row>
    <row r="8080" ht="15" customHeight="1">
      <c r="A8080" t="inlineStr">
        <is>
          <t>A 41097-2023</t>
        </is>
      </c>
      <c r="B8080" s="1" t="n">
        <v>45173</v>
      </c>
      <c r="C8080" s="1" t="n">
        <v>45587</v>
      </c>
      <c r="D8080" t="inlineStr">
        <is>
          <t>GÄVLEBORGS LÄN</t>
        </is>
      </c>
      <c r="E8080" t="inlineStr">
        <is>
          <t>SANDVIKEN</t>
        </is>
      </c>
      <c r="F8080" t="inlineStr">
        <is>
          <t>Sveaskog</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40969-2023</t>
        </is>
      </c>
      <c r="B8081" s="1" t="n">
        <v>45173</v>
      </c>
      <c r="C8081" s="1" t="n">
        <v>45587</v>
      </c>
      <c r="D8081" t="inlineStr">
        <is>
          <t>GÄVLEBORGS LÄN</t>
        </is>
      </c>
      <c r="E8081" t="inlineStr">
        <is>
          <t>HUDIKSVALL</t>
        </is>
      </c>
      <c r="F8081" t="inlineStr">
        <is>
          <t>Holmen skog AB</t>
        </is>
      </c>
      <c r="G8081" t="n">
        <v>15.8</v>
      </c>
      <c r="H8081" t="n">
        <v>0</v>
      </c>
      <c r="I8081" t="n">
        <v>0</v>
      </c>
      <c r="J8081" t="n">
        <v>0</v>
      </c>
      <c r="K8081" t="n">
        <v>0</v>
      </c>
      <c r="L8081" t="n">
        <v>0</v>
      </c>
      <c r="M8081" t="n">
        <v>0</v>
      </c>
      <c r="N8081" t="n">
        <v>0</v>
      </c>
      <c r="O8081" t="n">
        <v>0</v>
      </c>
      <c r="P8081" t="n">
        <v>0</v>
      </c>
      <c r="Q8081" t="n">
        <v>0</v>
      </c>
      <c r="R8081" s="2" t="inlineStr"/>
    </row>
    <row r="8082" ht="15" customHeight="1">
      <c r="A8082" t="inlineStr">
        <is>
          <t>A 41023-2023</t>
        </is>
      </c>
      <c r="B8082" s="1" t="n">
        <v>45173</v>
      </c>
      <c r="C8082" s="1" t="n">
        <v>45587</v>
      </c>
      <c r="D8082" t="inlineStr">
        <is>
          <t>GÄVLEBORGS LÄN</t>
        </is>
      </c>
      <c r="E8082" t="inlineStr">
        <is>
          <t>SANDVIKEN</t>
        </is>
      </c>
      <c r="F8082" t="inlineStr">
        <is>
          <t>Sveaskog</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41070-2023</t>
        </is>
      </c>
      <c r="B8083" s="1" t="n">
        <v>45173</v>
      </c>
      <c r="C8083" s="1" t="n">
        <v>45587</v>
      </c>
      <c r="D8083" t="inlineStr">
        <is>
          <t>GÄVLEBORGS LÄN</t>
        </is>
      </c>
      <c r="E8083" t="inlineStr">
        <is>
          <t>NORDANSTIG</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41123-2023</t>
        </is>
      </c>
      <c r="B8084" s="1" t="n">
        <v>45173</v>
      </c>
      <c r="C8084" s="1" t="n">
        <v>45587</v>
      </c>
      <c r="D8084" t="inlineStr">
        <is>
          <t>GÄVLEBORGS LÄN</t>
        </is>
      </c>
      <c r="E8084" t="inlineStr">
        <is>
          <t>LJUSDAL</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41124-2023</t>
        </is>
      </c>
      <c r="B8085" s="1" t="n">
        <v>45173</v>
      </c>
      <c r="C8085" s="1" t="n">
        <v>45587</v>
      </c>
      <c r="D8085" t="inlineStr">
        <is>
          <t>GÄVLEBORGS LÄN</t>
        </is>
      </c>
      <c r="E8085" t="inlineStr">
        <is>
          <t>LJUSDAL</t>
        </is>
      </c>
      <c r="G8085" t="n">
        <v>5.8</v>
      </c>
      <c r="H8085" t="n">
        <v>0</v>
      </c>
      <c r="I8085" t="n">
        <v>0</v>
      </c>
      <c r="J8085" t="n">
        <v>0</v>
      </c>
      <c r="K8085" t="n">
        <v>0</v>
      </c>
      <c r="L8085" t="n">
        <v>0</v>
      </c>
      <c r="M8085" t="n">
        <v>0</v>
      </c>
      <c r="N8085" t="n">
        <v>0</v>
      </c>
      <c r="O8085" t="n">
        <v>0</v>
      </c>
      <c r="P8085" t="n">
        <v>0</v>
      </c>
      <c r="Q8085" t="n">
        <v>0</v>
      </c>
      <c r="R8085" s="2" t="inlineStr"/>
    </row>
    <row r="8086" ht="15" customHeight="1">
      <c r="A8086" t="inlineStr">
        <is>
          <t>A 40892-2023</t>
        </is>
      </c>
      <c r="B8086" s="1" t="n">
        <v>45173</v>
      </c>
      <c r="C8086" s="1" t="n">
        <v>45587</v>
      </c>
      <c r="D8086" t="inlineStr">
        <is>
          <t>GÄVLEBORGS LÄN</t>
        </is>
      </c>
      <c r="E8086" t="inlineStr">
        <is>
          <t>OVANÅKER</t>
        </is>
      </c>
      <c r="G8086" t="n">
        <v>5.4</v>
      </c>
      <c r="H8086" t="n">
        <v>0</v>
      </c>
      <c r="I8086" t="n">
        <v>0</v>
      </c>
      <c r="J8086" t="n">
        <v>0</v>
      </c>
      <c r="K8086" t="n">
        <v>0</v>
      </c>
      <c r="L8086" t="n">
        <v>0</v>
      </c>
      <c r="M8086" t="n">
        <v>0</v>
      </c>
      <c r="N8086" t="n">
        <v>0</v>
      </c>
      <c r="O8086" t="n">
        <v>0</v>
      </c>
      <c r="P8086" t="n">
        <v>0</v>
      </c>
      <c r="Q8086" t="n">
        <v>0</v>
      </c>
      <c r="R8086" s="2" t="inlineStr"/>
    </row>
    <row r="8087" ht="15" customHeight="1">
      <c r="A8087" t="inlineStr">
        <is>
          <t>A 40901-2023</t>
        </is>
      </c>
      <c r="B8087" s="1" t="n">
        <v>45173</v>
      </c>
      <c r="C8087" s="1" t="n">
        <v>45587</v>
      </c>
      <c r="D8087" t="inlineStr">
        <is>
          <t>GÄVLEBORGS LÄN</t>
        </is>
      </c>
      <c r="E8087" t="inlineStr">
        <is>
          <t>SÖDERHAMN</t>
        </is>
      </c>
      <c r="G8087" t="n">
        <v>8.199999999999999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40958-2023</t>
        </is>
      </c>
      <c r="B8088" s="1" t="n">
        <v>45173</v>
      </c>
      <c r="C8088" s="1" t="n">
        <v>45587</v>
      </c>
      <c r="D8088" t="inlineStr">
        <is>
          <t>GÄVLEBORGS LÄN</t>
        </is>
      </c>
      <c r="E8088" t="inlineStr">
        <is>
          <t>HUDIKSVALL</t>
        </is>
      </c>
      <c r="F8088" t="inlineStr">
        <is>
          <t>Holmen skog AB</t>
        </is>
      </c>
      <c r="G8088" t="n">
        <v>4.9</v>
      </c>
      <c r="H8088" t="n">
        <v>0</v>
      </c>
      <c r="I8088" t="n">
        <v>0</v>
      </c>
      <c r="J8088" t="n">
        <v>0</v>
      </c>
      <c r="K8088" t="n">
        <v>0</v>
      </c>
      <c r="L8088" t="n">
        <v>0</v>
      </c>
      <c r="M8088" t="n">
        <v>0</v>
      </c>
      <c r="N8088" t="n">
        <v>0</v>
      </c>
      <c r="O8088" t="n">
        <v>0</v>
      </c>
      <c r="P8088" t="n">
        <v>0</v>
      </c>
      <c r="Q8088" t="n">
        <v>0</v>
      </c>
      <c r="R8088" s="2" t="inlineStr"/>
    </row>
    <row r="8089" ht="15" customHeight="1">
      <c r="A8089" t="inlineStr">
        <is>
          <t>A 40987-2023</t>
        </is>
      </c>
      <c r="B8089" s="1" t="n">
        <v>45173</v>
      </c>
      <c r="C8089" s="1" t="n">
        <v>45587</v>
      </c>
      <c r="D8089" t="inlineStr">
        <is>
          <t>GÄVLEBORGS LÄN</t>
        </is>
      </c>
      <c r="E8089" t="inlineStr">
        <is>
          <t>SÖDERHAMN</t>
        </is>
      </c>
      <c r="F8089" t="inlineStr">
        <is>
          <t>Bergvik skog väst AB</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41074-2023</t>
        </is>
      </c>
      <c r="B8090" s="1" t="n">
        <v>45173</v>
      </c>
      <c r="C8090" s="1" t="n">
        <v>45587</v>
      </c>
      <c r="D8090" t="inlineStr">
        <is>
          <t>GÄVLEBORGS LÄN</t>
        </is>
      </c>
      <c r="E8090" t="inlineStr">
        <is>
          <t>NORDANSTIG</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41110-2023</t>
        </is>
      </c>
      <c r="B8091" s="1" t="n">
        <v>45173</v>
      </c>
      <c r="C8091" s="1" t="n">
        <v>45587</v>
      </c>
      <c r="D8091" t="inlineStr">
        <is>
          <t>GÄVLEBORGS LÄN</t>
        </is>
      </c>
      <c r="E8091" t="inlineStr">
        <is>
          <t>OCKELBO</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41280-2023</t>
        </is>
      </c>
      <c r="B8092" s="1" t="n">
        <v>45174</v>
      </c>
      <c r="C8092" s="1" t="n">
        <v>45587</v>
      </c>
      <c r="D8092" t="inlineStr">
        <is>
          <t>GÄVLEBORGS LÄN</t>
        </is>
      </c>
      <c r="E8092" t="inlineStr">
        <is>
          <t>HUDIKSVALL</t>
        </is>
      </c>
      <c r="F8092" t="inlineStr">
        <is>
          <t>Holmen skog AB</t>
        </is>
      </c>
      <c r="G8092" t="n">
        <v>8.800000000000001</v>
      </c>
      <c r="H8092" t="n">
        <v>0</v>
      </c>
      <c r="I8092" t="n">
        <v>0</v>
      </c>
      <c r="J8092" t="n">
        <v>0</v>
      </c>
      <c r="K8092" t="n">
        <v>0</v>
      </c>
      <c r="L8092" t="n">
        <v>0</v>
      </c>
      <c r="M8092" t="n">
        <v>0</v>
      </c>
      <c r="N8092" t="n">
        <v>0</v>
      </c>
      <c r="O8092" t="n">
        <v>0</v>
      </c>
      <c r="P8092" t="n">
        <v>0</v>
      </c>
      <c r="Q8092" t="n">
        <v>0</v>
      </c>
      <c r="R8092" s="2" t="inlineStr"/>
    </row>
    <row r="8093" ht="15" customHeight="1">
      <c r="A8093" t="inlineStr">
        <is>
          <t>A 41162-2023</t>
        </is>
      </c>
      <c r="B8093" s="1" t="n">
        <v>45174</v>
      </c>
      <c r="C8093" s="1" t="n">
        <v>45587</v>
      </c>
      <c r="D8093" t="inlineStr">
        <is>
          <t>GÄVLEBORGS LÄN</t>
        </is>
      </c>
      <c r="E8093" t="inlineStr">
        <is>
          <t>OVANÅKER</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41248-2023</t>
        </is>
      </c>
      <c r="B8094" s="1" t="n">
        <v>45174</v>
      </c>
      <c r="C8094" s="1" t="n">
        <v>45587</v>
      </c>
      <c r="D8094" t="inlineStr">
        <is>
          <t>GÄVLEBORGS LÄN</t>
        </is>
      </c>
      <c r="E8094" t="inlineStr">
        <is>
          <t>NORDANSTIG</t>
        </is>
      </c>
      <c r="G8094" t="n">
        <v>5.7</v>
      </c>
      <c r="H8094" t="n">
        <v>0</v>
      </c>
      <c r="I8094" t="n">
        <v>0</v>
      </c>
      <c r="J8094" t="n">
        <v>0</v>
      </c>
      <c r="K8094" t="n">
        <v>0</v>
      </c>
      <c r="L8094" t="n">
        <v>0</v>
      </c>
      <c r="M8094" t="n">
        <v>0</v>
      </c>
      <c r="N8094" t="n">
        <v>0</v>
      </c>
      <c r="O8094" t="n">
        <v>0</v>
      </c>
      <c r="P8094" t="n">
        <v>0</v>
      </c>
      <c r="Q8094" t="n">
        <v>0</v>
      </c>
      <c r="R8094" s="2" t="inlineStr"/>
    </row>
    <row r="8095" ht="15" customHeight="1">
      <c r="A8095" t="inlineStr">
        <is>
          <t>A 41292-2023</t>
        </is>
      </c>
      <c r="B8095" s="1" t="n">
        <v>45174</v>
      </c>
      <c r="C8095" s="1" t="n">
        <v>45587</v>
      </c>
      <c r="D8095" t="inlineStr">
        <is>
          <t>GÄVLEBORGS LÄN</t>
        </is>
      </c>
      <c r="E8095" t="inlineStr">
        <is>
          <t>LJUSDAL</t>
        </is>
      </c>
      <c r="F8095" t="inlineStr">
        <is>
          <t>Sveaskog</t>
        </is>
      </c>
      <c r="G8095" t="n">
        <v>6.4</v>
      </c>
      <c r="H8095" t="n">
        <v>0</v>
      </c>
      <c r="I8095" t="n">
        <v>0</v>
      </c>
      <c r="J8095" t="n">
        <v>0</v>
      </c>
      <c r="K8095" t="n">
        <v>0</v>
      </c>
      <c r="L8095" t="n">
        <v>0</v>
      </c>
      <c r="M8095" t="n">
        <v>0</v>
      </c>
      <c r="N8095" t="n">
        <v>0</v>
      </c>
      <c r="O8095" t="n">
        <v>0</v>
      </c>
      <c r="P8095" t="n">
        <v>0</v>
      </c>
      <c r="Q8095" t="n">
        <v>0</v>
      </c>
      <c r="R8095" s="2" t="inlineStr"/>
    </row>
    <row r="8096" ht="15" customHeight="1">
      <c r="A8096" t="inlineStr">
        <is>
          <t>A 41299-2023</t>
        </is>
      </c>
      <c r="B8096" s="1" t="n">
        <v>45174</v>
      </c>
      <c r="C8096" s="1" t="n">
        <v>45587</v>
      </c>
      <c r="D8096" t="inlineStr">
        <is>
          <t>GÄVLEBORGS LÄN</t>
        </is>
      </c>
      <c r="E8096" t="inlineStr">
        <is>
          <t>SANDVIKEN</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41312-2023</t>
        </is>
      </c>
      <c r="B8097" s="1" t="n">
        <v>45174</v>
      </c>
      <c r="C8097" s="1" t="n">
        <v>45587</v>
      </c>
      <c r="D8097" t="inlineStr">
        <is>
          <t>GÄVLEBORGS LÄN</t>
        </is>
      </c>
      <c r="E8097" t="inlineStr">
        <is>
          <t>SANDVIKEN</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41237-2023</t>
        </is>
      </c>
      <c r="B8098" s="1" t="n">
        <v>45174</v>
      </c>
      <c r="C8098" s="1" t="n">
        <v>45587</v>
      </c>
      <c r="D8098" t="inlineStr">
        <is>
          <t>GÄVLEBORGS LÄN</t>
        </is>
      </c>
      <c r="E8098" t="inlineStr">
        <is>
          <t>NORDANSTIG</t>
        </is>
      </c>
      <c r="F8098" t="inlineStr">
        <is>
          <t>Holmen skog AB</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41251-2023</t>
        </is>
      </c>
      <c r="B8099" s="1" t="n">
        <v>45174</v>
      </c>
      <c r="C8099" s="1" t="n">
        <v>45587</v>
      </c>
      <c r="D8099" t="inlineStr">
        <is>
          <t>GÄVLEBORGS LÄN</t>
        </is>
      </c>
      <c r="E8099" t="inlineStr">
        <is>
          <t>HUDIKSVALL</t>
        </is>
      </c>
      <c r="G8099" t="n">
        <v>4.1</v>
      </c>
      <c r="H8099" t="n">
        <v>0</v>
      </c>
      <c r="I8099" t="n">
        <v>0</v>
      </c>
      <c r="J8099" t="n">
        <v>0</v>
      </c>
      <c r="K8099" t="n">
        <v>0</v>
      </c>
      <c r="L8099" t="n">
        <v>0</v>
      </c>
      <c r="M8099" t="n">
        <v>0</v>
      </c>
      <c r="N8099" t="n">
        <v>0</v>
      </c>
      <c r="O8099" t="n">
        <v>0</v>
      </c>
      <c r="P8099" t="n">
        <v>0</v>
      </c>
      <c r="Q8099" t="n">
        <v>0</v>
      </c>
      <c r="R8099" s="2" t="inlineStr"/>
    </row>
    <row r="8100" ht="15" customHeight="1">
      <c r="A8100" t="inlineStr">
        <is>
          <t>A 41266-2023</t>
        </is>
      </c>
      <c r="B8100" s="1" t="n">
        <v>45174</v>
      </c>
      <c r="C8100" s="1" t="n">
        <v>45587</v>
      </c>
      <c r="D8100" t="inlineStr">
        <is>
          <t>GÄVLEBORGS LÄN</t>
        </is>
      </c>
      <c r="E8100" t="inlineStr">
        <is>
          <t>BOLLNÄS</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41274-2023</t>
        </is>
      </c>
      <c r="B8101" s="1" t="n">
        <v>45174</v>
      </c>
      <c r="C8101" s="1" t="n">
        <v>45587</v>
      </c>
      <c r="D8101" t="inlineStr">
        <is>
          <t>GÄVLEBORGS LÄN</t>
        </is>
      </c>
      <c r="E8101" t="inlineStr">
        <is>
          <t>SANDVIKEN</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41284-2023</t>
        </is>
      </c>
      <c r="B8102" s="1" t="n">
        <v>45174</v>
      </c>
      <c r="C8102" s="1" t="n">
        <v>45587</v>
      </c>
      <c r="D8102" t="inlineStr">
        <is>
          <t>GÄVLEBORGS LÄN</t>
        </is>
      </c>
      <c r="E8102" t="inlineStr">
        <is>
          <t>SANDVIKEN</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41306-2023</t>
        </is>
      </c>
      <c r="B8103" s="1" t="n">
        <v>45174</v>
      </c>
      <c r="C8103" s="1" t="n">
        <v>45587</v>
      </c>
      <c r="D8103" t="inlineStr">
        <is>
          <t>GÄVLEBORGS LÄN</t>
        </is>
      </c>
      <c r="E8103" t="inlineStr">
        <is>
          <t>SANDVIKEN</t>
        </is>
      </c>
      <c r="F8103" t="inlineStr">
        <is>
          <t>Kommuner</t>
        </is>
      </c>
      <c r="G8103" t="n">
        <v>4</v>
      </c>
      <c r="H8103" t="n">
        <v>0</v>
      </c>
      <c r="I8103" t="n">
        <v>0</v>
      </c>
      <c r="J8103" t="n">
        <v>0</v>
      </c>
      <c r="K8103" t="n">
        <v>0</v>
      </c>
      <c r="L8103" t="n">
        <v>0</v>
      </c>
      <c r="M8103" t="n">
        <v>0</v>
      </c>
      <c r="N8103" t="n">
        <v>0</v>
      </c>
      <c r="O8103" t="n">
        <v>0</v>
      </c>
      <c r="P8103" t="n">
        <v>0</v>
      </c>
      <c r="Q8103" t="n">
        <v>0</v>
      </c>
      <c r="R8103" s="2" t="inlineStr"/>
    </row>
    <row r="8104" ht="15" customHeight="1">
      <c r="A8104" t="inlineStr">
        <is>
          <t>A 41362-2023</t>
        </is>
      </c>
      <c r="B8104" s="1" t="n">
        <v>45174</v>
      </c>
      <c r="C8104" s="1" t="n">
        <v>45587</v>
      </c>
      <c r="D8104" t="inlineStr">
        <is>
          <t>GÄVLEBORGS LÄN</t>
        </is>
      </c>
      <c r="E8104" t="inlineStr">
        <is>
          <t>NORDANSTIG</t>
        </is>
      </c>
      <c r="F8104" t="inlineStr">
        <is>
          <t>Holmen skog AB</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41240-2023</t>
        </is>
      </c>
      <c r="B8105" s="1" t="n">
        <v>45174</v>
      </c>
      <c r="C8105" s="1" t="n">
        <v>45587</v>
      </c>
      <c r="D8105" t="inlineStr">
        <is>
          <t>GÄVLEBORGS LÄN</t>
        </is>
      </c>
      <c r="E8105" t="inlineStr">
        <is>
          <t>NORDANSTIG</t>
        </is>
      </c>
      <c r="G8105" t="n">
        <v>5.1</v>
      </c>
      <c r="H8105" t="n">
        <v>0</v>
      </c>
      <c r="I8105" t="n">
        <v>0</v>
      </c>
      <c r="J8105" t="n">
        <v>0</v>
      </c>
      <c r="K8105" t="n">
        <v>0</v>
      </c>
      <c r="L8105" t="n">
        <v>0</v>
      </c>
      <c r="M8105" t="n">
        <v>0</v>
      </c>
      <c r="N8105" t="n">
        <v>0</v>
      </c>
      <c r="O8105" t="n">
        <v>0</v>
      </c>
      <c r="P8105" t="n">
        <v>0</v>
      </c>
      <c r="Q8105" t="n">
        <v>0</v>
      </c>
      <c r="R8105" s="2" t="inlineStr"/>
    </row>
    <row r="8106" ht="15" customHeight="1">
      <c r="A8106" t="inlineStr">
        <is>
          <t>A 41277-2023</t>
        </is>
      </c>
      <c r="B8106" s="1" t="n">
        <v>45174</v>
      </c>
      <c r="C8106" s="1" t="n">
        <v>45587</v>
      </c>
      <c r="D8106" t="inlineStr">
        <is>
          <t>GÄVLEBORGS LÄN</t>
        </is>
      </c>
      <c r="E8106" t="inlineStr">
        <is>
          <t>HUDIKSVALL</t>
        </is>
      </c>
      <c r="F8106" t="inlineStr">
        <is>
          <t>Holmen skog AB</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41293-2023</t>
        </is>
      </c>
      <c r="B8107" s="1" t="n">
        <v>45174</v>
      </c>
      <c r="C8107" s="1" t="n">
        <v>45587</v>
      </c>
      <c r="D8107" t="inlineStr">
        <is>
          <t>GÄVLEBORGS LÄN</t>
        </is>
      </c>
      <c r="E8107" t="inlineStr">
        <is>
          <t>LJUSDAL</t>
        </is>
      </c>
      <c r="F8107" t="inlineStr">
        <is>
          <t>Sveaskog</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41451-2023</t>
        </is>
      </c>
      <c r="B8108" s="1" t="n">
        <v>45175</v>
      </c>
      <c r="C8108" s="1" t="n">
        <v>45587</v>
      </c>
      <c r="D8108" t="inlineStr">
        <is>
          <t>GÄVLEBORGS LÄN</t>
        </is>
      </c>
      <c r="E8108" t="inlineStr">
        <is>
          <t>OVANÅKER</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41476-2023</t>
        </is>
      </c>
      <c r="B8109" s="1" t="n">
        <v>45175</v>
      </c>
      <c r="C8109" s="1" t="n">
        <v>45587</v>
      </c>
      <c r="D8109" t="inlineStr">
        <is>
          <t>GÄVLEBORGS LÄN</t>
        </is>
      </c>
      <c r="E8109" t="inlineStr">
        <is>
          <t>LJUSDAL</t>
        </is>
      </c>
      <c r="F8109" t="inlineStr">
        <is>
          <t>Allmännings- och besparingsskogar</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41497-2023</t>
        </is>
      </c>
      <c r="B8110" s="1" t="n">
        <v>45175</v>
      </c>
      <c r="C8110" s="1" t="n">
        <v>45587</v>
      </c>
      <c r="D8110" t="inlineStr">
        <is>
          <t>GÄVLEBORGS LÄN</t>
        </is>
      </c>
      <c r="E8110" t="inlineStr">
        <is>
          <t>OVANÅKER</t>
        </is>
      </c>
      <c r="G8110" t="n">
        <v>15.5</v>
      </c>
      <c r="H8110" t="n">
        <v>0</v>
      </c>
      <c r="I8110" t="n">
        <v>0</v>
      </c>
      <c r="J8110" t="n">
        <v>0</v>
      </c>
      <c r="K8110" t="n">
        <v>0</v>
      </c>
      <c r="L8110" t="n">
        <v>0</v>
      </c>
      <c r="M8110" t="n">
        <v>0</v>
      </c>
      <c r="N8110" t="n">
        <v>0</v>
      </c>
      <c r="O8110" t="n">
        <v>0</v>
      </c>
      <c r="P8110" t="n">
        <v>0</v>
      </c>
      <c r="Q8110" t="n">
        <v>0</v>
      </c>
      <c r="R8110" s="2" t="inlineStr"/>
    </row>
    <row r="8111" ht="15" customHeight="1">
      <c r="A8111" t="inlineStr">
        <is>
          <t>A 41535-2023</t>
        </is>
      </c>
      <c r="B8111" s="1" t="n">
        <v>45175</v>
      </c>
      <c r="C8111" s="1" t="n">
        <v>45587</v>
      </c>
      <c r="D8111" t="inlineStr">
        <is>
          <t>GÄVLEBORGS LÄN</t>
        </is>
      </c>
      <c r="E8111" t="inlineStr">
        <is>
          <t>OVANÅKER</t>
        </is>
      </c>
      <c r="G8111" t="n">
        <v>4</v>
      </c>
      <c r="H8111" t="n">
        <v>0</v>
      </c>
      <c r="I8111" t="n">
        <v>0</v>
      </c>
      <c r="J8111" t="n">
        <v>0</v>
      </c>
      <c r="K8111" t="n">
        <v>0</v>
      </c>
      <c r="L8111" t="n">
        <v>0</v>
      </c>
      <c r="M8111" t="n">
        <v>0</v>
      </c>
      <c r="N8111" t="n">
        <v>0</v>
      </c>
      <c r="O8111" t="n">
        <v>0</v>
      </c>
      <c r="P8111" t="n">
        <v>0</v>
      </c>
      <c r="Q8111" t="n">
        <v>0</v>
      </c>
      <c r="R8111" s="2" t="inlineStr"/>
    </row>
    <row r="8112" ht="15" customHeight="1">
      <c r="A8112" t="inlineStr">
        <is>
          <t>A 41571-2023</t>
        </is>
      </c>
      <c r="B8112" s="1" t="n">
        <v>45175</v>
      </c>
      <c r="C8112" s="1" t="n">
        <v>45587</v>
      </c>
      <c r="D8112" t="inlineStr">
        <is>
          <t>GÄVLEBORGS LÄN</t>
        </is>
      </c>
      <c r="E8112" t="inlineStr">
        <is>
          <t>BOLLNÄS</t>
        </is>
      </c>
      <c r="G8112" t="n">
        <v>9.4</v>
      </c>
      <c r="H8112" t="n">
        <v>0</v>
      </c>
      <c r="I8112" t="n">
        <v>0</v>
      </c>
      <c r="J8112" t="n">
        <v>0</v>
      </c>
      <c r="K8112" t="n">
        <v>0</v>
      </c>
      <c r="L8112" t="n">
        <v>0</v>
      </c>
      <c r="M8112" t="n">
        <v>0</v>
      </c>
      <c r="N8112" t="n">
        <v>0</v>
      </c>
      <c r="O8112" t="n">
        <v>0</v>
      </c>
      <c r="P8112" t="n">
        <v>0</v>
      </c>
      <c r="Q8112" t="n">
        <v>0</v>
      </c>
      <c r="R8112" s="2" t="inlineStr"/>
    </row>
    <row r="8113" ht="15" customHeight="1">
      <c r="A8113" t="inlineStr">
        <is>
          <t>A 41433-2023</t>
        </is>
      </c>
      <c r="B8113" s="1" t="n">
        <v>45175</v>
      </c>
      <c r="C8113" s="1" t="n">
        <v>45587</v>
      </c>
      <c r="D8113" t="inlineStr">
        <is>
          <t>GÄVLEBORGS LÄN</t>
        </is>
      </c>
      <c r="E8113" t="inlineStr">
        <is>
          <t>HUDIKSVALL</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41616-2023</t>
        </is>
      </c>
      <c r="B8114" s="1" t="n">
        <v>45175</v>
      </c>
      <c r="C8114" s="1" t="n">
        <v>45587</v>
      </c>
      <c r="D8114" t="inlineStr">
        <is>
          <t>GÄVLEBORGS LÄN</t>
        </is>
      </c>
      <c r="E8114" t="inlineStr">
        <is>
          <t>NORDANSTIG</t>
        </is>
      </c>
      <c r="G8114" t="n">
        <v>0.4</v>
      </c>
      <c r="H8114" t="n">
        <v>0</v>
      </c>
      <c r="I8114" t="n">
        <v>0</v>
      </c>
      <c r="J8114" t="n">
        <v>0</v>
      </c>
      <c r="K8114" t="n">
        <v>0</v>
      </c>
      <c r="L8114" t="n">
        <v>0</v>
      </c>
      <c r="M8114" t="n">
        <v>0</v>
      </c>
      <c r="N8114" t="n">
        <v>0</v>
      </c>
      <c r="O8114" t="n">
        <v>0</v>
      </c>
      <c r="P8114" t="n">
        <v>0</v>
      </c>
      <c r="Q8114" t="n">
        <v>0</v>
      </c>
      <c r="R8114" s="2" t="inlineStr"/>
    </row>
    <row r="8115" ht="15" customHeight="1">
      <c r="A8115" t="inlineStr">
        <is>
          <t>A 41540-2023</t>
        </is>
      </c>
      <c r="B8115" s="1" t="n">
        <v>45175</v>
      </c>
      <c r="C8115" s="1" t="n">
        <v>45587</v>
      </c>
      <c r="D8115" t="inlineStr">
        <is>
          <t>GÄVLEBORGS LÄN</t>
        </is>
      </c>
      <c r="E8115" t="inlineStr">
        <is>
          <t>OVANÅKER</t>
        </is>
      </c>
      <c r="G8115" t="n">
        <v>3.4</v>
      </c>
      <c r="H8115" t="n">
        <v>0</v>
      </c>
      <c r="I8115" t="n">
        <v>0</v>
      </c>
      <c r="J8115" t="n">
        <v>0</v>
      </c>
      <c r="K8115" t="n">
        <v>0</v>
      </c>
      <c r="L8115" t="n">
        <v>0</v>
      </c>
      <c r="M8115" t="n">
        <v>0</v>
      </c>
      <c r="N8115" t="n">
        <v>0</v>
      </c>
      <c r="O8115" t="n">
        <v>0</v>
      </c>
      <c r="P8115" t="n">
        <v>0</v>
      </c>
      <c r="Q8115" t="n">
        <v>0</v>
      </c>
      <c r="R8115" s="2" t="inlineStr"/>
    </row>
    <row r="8116" ht="15" customHeight="1">
      <c r="A8116" t="inlineStr">
        <is>
          <t>A 41658-2023</t>
        </is>
      </c>
      <c r="B8116" s="1" t="n">
        <v>45176</v>
      </c>
      <c r="C8116" s="1" t="n">
        <v>45587</v>
      </c>
      <c r="D8116" t="inlineStr">
        <is>
          <t>GÄVLEBORGS LÄN</t>
        </is>
      </c>
      <c r="E8116" t="inlineStr">
        <is>
          <t>LJUSDAL</t>
        </is>
      </c>
      <c r="F8116" t="inlineStr">
        <is>
          <t>SCA</t>
        </is>
      </c>
      <c r="G8116" t="n">
        <v>16.5</v>
      </c>
      <c r="H8116" t="n">
        <v>0</v>
      </c>
      <c r="I8116" t="n">
        <v>0</v>
      </c>
      <c r="J8116" t="n">
        <v>0</v>
      </c>
      <c r="K8116" t="n">
        <v>0</v>
      </c>
      <c r="L8116" t="n">
        <v>0</v>
      </c>
      <c r="M8116" t="n">
        <v>0</v>
      </c>
      <c r="N8116" t="n">
        <v>0</v>
      </c>
      <c r="O8116" t="n">
        <v>0</v>
      </c>
      <c r="P8116" t="n">
        <v>0</v>
      </c>
      <c r="Q8116" t="n">
        <v>0</v>
      </c>
      <c r="R8116" s="2" t="inlineStr"/>
    </row>
    <row r="8117" ht="15" customHeight="1">
      <c r="A8117" t="inlineStr">
        <is>
          <t>A 41463-2023</t>
        </is>
      </c>
      <c r="B8117" s="1" t="n">
        <v>45175</v>
      </c>
      <c r="C8117" s="1" t="n">
        <v>45587</v>
      </c>
      <c r="D8117" t="inlineStr">
        <is>
          <t>GÄVLEBORGS LÄN</t>
        </is>
      </c>
      <c r="E8117" t="inlineStr">
        <is>
          <t>LJUSDAL</t>
        </is>
      </c>
      <c r="F8117" t="inlineStr">
        <is>
          <t>Övriga Aktiebolag</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41474-2023</t>
        </is>
      </c>
      <c r="B8118" s="1" t="n">
        <v>45175</v>
      </c>
      <c r="C8118" s="1" t="n">
        <v>45587</v>
      </c>
      <c r="D8118" t="inlineStr">
        <is>
          <t>GÄVLEBORGS LÄN</t>
        </is>
      </c>
      <c r="E8118" t="inlineStr">
        <is>
          <t>OVANÅKER</t>
        </is>
      </c>
      <c r="F8118" t="inlineStr">
        <is>
          <t>Kyrkan</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41513-2023</t>
        </is>
      </c>
      <c r="B8119" s="1" t="n">
        <v>45175</v>
      </c>
      <c r="C8119" s="1" t="n">
        <v>45587</v>
      </c>
      <c r="D8119" t="inlineStr">
        <is>
          <t>GÄVLEBORGS LÄN</t>
        </is>
      </c>
      <c r="E8119" t="inlineStr">
        <is>
          <t>LJUSDAL</t>
        </is>
      </c>
      <c r="F8119" t="inlineStr">
        <is>
          <t>Bergvik skog väst AB</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41418-2023</t>
        </is>
      </c>
      <c r="B8120" s="1" t="n">
        <v>45175</v>
      </c>
      <c r="C8120" s="1" t="n">
        <v>45587</v>
      </c>
      <c r="D8120" t="inlineStr">
        <is>
          <t>GÄVLEBORGS LÄN</t>
        </is>
      </c>
      <c r="E8120" t="inlineStr">
        <is>
          <t>OCKELBO</t>
        </is>
      </c>
      <c r="F8120" t="inlineStr">
        <is>
          <t>Bergvik skog väst AB</t>
        </is>
      </c>
      <c r="G8120" t="n">
        <v>7.7</v>
      </c>
      <c r="H8120" t="n">
        <v>0</v>
      </c>
      <c r="I8120" t="n">
        <v>0</v>
      </c>
      <c r="J8120" t="n">
        <v>0</v>
      </c>
      <c r="K8120" t="n">
        <v>0</v>
      </c>
      <c r="L8120" t="n">
        <v>0</v>
      </c>
      <c r="M8120" t="n">
        <v>0</v>
      </c>
      <c r="N8120" t="n">
        <v>0</v>
      </c>
      <c r="O8120" t="n">
        <v>0</v>
      </c>
      <c r="P8120" t="n">
        <v>0</v>
      </c>
      <c r="Q8120" t="n">
        <v>0</v>
      </c>
      <c r="R8120" s="2" t="inlineStr"/>
    </row>
    <row r="8121" ht="15" customHeight="1">
      <c r="A8121" t="inlineStr">
        <is>
          <t>A 41615-2023</t>
        </is>
      </c>
      <c r="B8121" s="1" t="n">
        <v>45175</v>
      </c>
      <c r="C8121" s="1" t="n">
        <v>45587</v>
      </c>
      <c r="D8121" t="inlineStr">
        <is>
          <t>GÄVLEBORGS LÄN</t>
        </is>
      </c>
      <c r="E8121" t="inlineStr">
        <is>
          <t>NORDANSTIG</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41544-2023</t>
        </is>
      </c>
      <c r="B8122" s="1" t="n">
        <v>45175</v>
      </c>
      <c r="C8122" s="1" t="n">
        <v>45587</v>
      </c>
      <c r="D8122" t="inlineStr">
        <is>
          <t>GÄVLEBORGS LÄN</t>
        </is>
      </c>
      <c r="E8122" t="inlineStr">
        <is>
          <t>OVANÅKER</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41641-2023</t>
        </is>
      </c>
      <c r="B8123" s="1" t="n">
        <v>45175</v>
      </c>
      <c r="C8123" s="1" t="n">
        <v>45587</v>
      </c>
      <c r="D8123" t="inlineStr">
        <is>
          <t>GÄVLEBORGS LÄN</t>
        </is>
      </c>
      <c r="E8123" t="inlineStr">
        <is>
          <t>NORDANSTIG</t>
        </is>
      </c>
      <c r="F8123" t="inlineStr">
        <is>
          <t>Holmen skog AB</t>
        </is>
      </c>
      <c r="G8123" t="n">
        <v>10.7</v>
      </c>
      <c r="H8123" t="n">
        <v>0</v>
      </c>
      <c r="I8123" t="n">
        <v>0</v>
      </c>
      <c r="J8123" t="n">
        <v>0</v>
      </c>
      <c r="K8123" t="n">
        <v>0</v>
      </c>
      <c r="L8123" t="n">
        <v>0</v>
      </c>
      <c r="M8123" t="n">
        <v>0</v>
      </c>
      <c r="N8123" t="n">
        <v>0</v>
      </c>
      <c r="O8123" t="n">
        <v>0</v>
      </c>
      <c r="P8123" t="n">
        <v>0</v>
      </c>
      <c r="Q8123" t="n">
        <v>0</v>
      </c>
      <c r="R8123" s="2" t="inlineStr"/>
    </row>
    <row r="8124" ht="15" customHeight="1">
      <c r="A8124" t="inlineStr">
        <is>
          <t>A 41657-2023</t>
        </is>
      </c>
      <c r="B8124" s="1" t="n">
        <v>45176</v>
      </c>
      <c r="C8124" s="1" t="n">
        <v>45587</v>
      </c>
      <c r="D8124" t="inlineStr">
        <is>
          <t>GÄVLEBORGS LÄN</t>
        </is>
      </c>
      <c r="E8124" t="inlineStr">
        <is>
          <t>LJUSDAL</t>
        </is>
      </c>
      <c r="F8124" t="inlineStr">
        <is>
          <t>SCA</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41614-2023</t>
        </is>
      </c>
      <c r="B8125" s="1" t="n">
        <v>45175</v>
      </c>
      <c r="C8125" s="1" t="n">
        <v>45587</v>
      </c>
      <c r="D8125" t="inlineStr">
        <is>
          <t>GÄVLEBORGS LÄN</t>
        </is>
      </c>
      <c r="E8125" t="inlineStr">
        <is>
          <t>LJUSDAL</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41620-2023</t>
        </is>
      </c>
      <c r="B8126" s="1" t="n">
        <v>45175</v>
      </c>
      <c r="C8126" s="1" t="n">
        <v>45587</v>
      </c>
      <c r="D8126" t="inlineStr">
        <is>
          <t>GÄVLEBORGS LÄN</t>
        </is>
      </c>
      <c r="E8126" t="inlineStr">
        <is>
          <t>NORDANSTIG</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41512-2023</t>
        </is>
      </c>
      <c r="B8127" s="1" t="n">
        <v>45175</v>
      </c>
      <c r="C8127" s="1" t="n">
        <v>45587</v>
      </c>
      <c r="D8127" t="inlineStr">
        <is>
          <t>GÄVLEBORGS LÄN</t>
        </is>
      </c>
      <c r="E8127" t="inlineStr">
        <is>
          <t>OVANÅKER</t>
        </is>
      </c>
      <c r="G8127" t="n">
        <v>7.7</v>
      </c>
      <c r="H8127" t="n">
        <v>0</v>
      </c>
      <c r="I8127" t="n">
        <v>0</v>
      </c>
      <c r="J8127" t="n">
        <v>0</v>
      </c>
      <c r="K8127" t="n">
        <v>0</v>
      </c>
      <c r="L8127" t="n">
        <v>0</v>
      </c>
      <c r="M8127" t="n">
        <v>0</v>
      </c>
      <c r="N8127" t="n">
        <v>0</v>
      </c>
      <c r="O8127" t="n">
        <v>0</v>
      </c>
      <c r="P8127" t="n">
        <v>0</v>
      </c>
      <c r="Q8127" t="n">
        <v>0</v>
      </c>
      <c r="R8127" s="2" t="inlineStr"/>
    </row>
    <row r="8128" ht="15" customHeight="1">
      <c r="A8128" t="inlineStr">
        <is>
          <t>A 41522-2023</t>
        </is>
      </c>
      <c r="B8128" s="1" t="n">
        <v>45175</v>
      </c>
      <c r="C8128" s="1" t="n">
        <v>45587</v>
      </c>
      <c r="D8128" t="inlineStr">
        <is>
          <t>GÄVLEBORGS LÄN</t>
        </is>
      </c>
      <c r="E8128" t="inlineStr">
        <is>
          <t>SANDVIKEN</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41639-2023</t>
        </is>
      </c>
      <c r="B8129" s="1" t="n">
        <v>45175</v>
      </c>
      <c r="C8129" s="1" t="n">
        <v>45587</v>
      </c>
      <c r="D8129" t="inlineStr">
        <is>
          <t>GÄVLEBORGS LÄN</t>
        </is>
      </c>
      <c r="E8129" t="inlineStr">
        <is>
          <t>NORDANSTIG</t>
        </is>
      </c>
      <c r="F8129" t="inlineStr">
        <is>
          <t>Holmen skog AB</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41712-2023</t>
        </is>
      </c>
      <c r="B8130" s="1" t="n">
        <v>45176</v>
      </c>
      <c r="C8130" s="1" t="n">
        <v>45587</v>
      </c>
      <c r="D8130" t="inlineStr">
        <is>
          <t>GÄVLEBORGS LÄN</t>
        </is>
      </c>
      <c r="E8130" t="inlineStr">
        <is>
          <t>GÄVLE</t>
        </is>
      </c>
      <c r="G8130" t="n">
        <v>7.8</v>
      </c>
      <c r="H8130" t="n">
        <v>0</v>
      </c>
      <c r="I8130" t="n">
        <v>0</v>
      </c>
      <c r="J8130" t="n">
        <v>0</v>
      </c>
      <c r="K8130" t="n">
        <v>0</v>
      </c>
      <c r="L8130" t="n">
        <v>0</v>
      </c>
      <c r="M8130" t="n">
        <v>0</v>
      </c>
      <c r="N8130" t="n">
        <v>0</v>
      </c>
      <c r="O8130" t="n">
        <v>0</v>
      </c>
      <c r="P8130" t="n">
        <v>0</v>
      </c>
      <c r="Q8130" t="n">
        <v>0</v>
      </c>
      <c r="R8130" s="2" t="inlineStr"/>
    </row>
    <row r="8131" ht="15" customHeight="1">
      <c r="A8131" t="inlineStr">
        <is>
          <t>A 41740-2023</t>
        </is>
      </c>
      <c r="B8131" s="1" t="n">
        <v>45176</v>
      </c>
      <c r="C8131" s="1" t="n">
        <v>45587</v>
      </c>
      <c r="D8131" t="inlineStr">
        <is>
          <t>GÄVLEBORGS LÄN</t>
        </is>
      </c>
      <c r="E8131" t="inlineStr">
        <is>
          <t>BOLLNÄS</t>
        </is>
      </c>
      <c r="G8131" t="n">
        <v>0.4</v>
      </c>
      <c r="H8131" t="n">
        <v>0</v>
      </c>
      <c r="I8131" t="n">
        <v>0</v>
      </c>
      <c r="J8131" t="n">
        <v>0</v>
      </c>
      <c r="K8131" t="n">
        <v>0</v>
      </c>
      <c r="L8131" t="n">
        <v>0</v>
      </c>
      <c r="M8131" t="n">
        <v>0</v>
      </c>
      <c r="N8131" t="n">
        <v>0</v>
      </c>
      <c r="O8131" t="n">
        <v>0</v>
      </c>
      <c r="P8131" t="n">
        <v>0</v>
      </c>
      <c r="Q8131" t="n">
        <v>0</v>
      </c>
      <c r="R8131" s="2" t="inlineStr"/>
    </row>
    <row r="8132" ht="15" customHeight="1">
      <c r="A8132" t="inlineStr">
        <is>
          <t>A 41773-2023</t>
        </is>
      </c>
      <c r="B8132" s="1" t="n">
        <v>45176</v>
      </c>
      <c r="C8132" s="1" t="n">
        <v>45587</v>
      </c>
      <c r="D8132" t="inlineStr">
        <is>
          <t>GÄVLEBORGS LÄN</t>
        </is>
      </c>
      <c r="E8132" t="inlineStr">
        <is>
          <t>LJUSDAL</t>
        </is>
      </c>
      <c r="F8132" t="inlineStr">
        <is>
          <t>Holmen skog AB</t>
        </is>
      </c>
      <c r="G8132" t="n">
        <v>7.4</v>
      </c>
      <c r="H8132" t="n">
        <v>0</v>
      </c>
      <c r="I8132" t="n">
        <v>0</v>
      </c>
      <c r="J8132" t="n">
        <v>0</v>
      </c>
      <c r="K8132" t="n">
        <v>0</v>
      </c>
      <c r="L8132" t="n">
        <v>0</v>
      </c>
      <c r="M8132" t="n">
        <v>0</v>
      </c>
      <c r="N8132" t="n">
        <v>0</v>
      </c>
      <c r="O8132" t="n">
        <v>0</v>
      </c>
      <c r="P8132" t="n">
        <v>0</v>
      </c>
      <c r="Q8132" t="n">
        <v>0</v>
      </c>
      <c r="R8132" s="2" t="inlineStr"/>
    </row>
    <row r="8133" ht="15" customHeight="1">
      <c r="A8133" t="inlineStr">
        <is>
          <t>A 41801-2023</t>
        </is>
      </c>
      <c r="B8133" s="1" t="n">
        <v>45176</v>
      </c>
      <c r="C8133" s="1" t="n">
        <v>45587</v>
      </c>
      <c r="D8133" t="inlineStr">
        <is>
          <t>GÄVLEBORGS LÄN</t>
        </is>
      </c>
      <c r="E8133" t="inlineStr">
        <is>
          <t>OVANÅKER</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41842-2023</t>
        </is>
      </c>
      <c r="B8134" s="1" t="n">
        <v>45176</v>
      </c>
      <c r="C8134" s="1" t="n">
        <v>45587</v>
      </c>
      <c r="D8134" t="inlineStr">
        <is>
          <t>GÄVLEBORGS LÄN</t>
        </is>
      </c>
      <c r="E8134" t="inlineStr">
        <is>
          <t>GÄVLE</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41890-2023</t>
        </is>
      </c>
      <c r="B8135" s="1" t="n">
        <v>45176</v>
      </c>
      <c r="C8135" s="1" t="n">
        <v>45587</v>
      </c>
      <c r="D8135" t="inlineStr">
        <is>
          <t>GÄVLEBORGS LÄN</t>
        </is>
      </c>
      <c r="E8135" t="inlineStr">
        <is>
          <t>SANDVIKEN</t>
        </is>
      </c>
      <c r="F8135" t="inlineStr">
        <is>
          <t>Sveaskog</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41721-2023</t>
        </is>
      </c>
      <c r="B8136" s="1" t="n">
        <v>45176</v>
      </c>
      <c r="C8136" s="1" t="n">
        <v>45587</v>
      </c>
      <c r="D8136" t="inlineStr">
        <is>
          <t>GÄVLEBORGS LÄN</t>
        </is>
      </c>
      <c r="E8136" t="inlineStr">
        <is>
          <t>NORDANSTIG</t>
        </is>
      </c>
      <c r="G8136" t="n">
        <v>8.1</v>
      </c>
      <c r="H8136" t="n">
        <v>0</v>
      </c>
      <c r="I8136" t="n">
        <v>0</v>
      </c>
      <c r="J8136" t="n">
        <v>0</v>
      </c>
      <c r="K8136" t="n">
        <v>0</v>
      </c>
      <c r="L8136" t="n">
        <v>0</v>
      </c>
      <c r="M8136" t="n">
        <v>0</v>
      </c>
      <c r="N8136" t="n">
        <v>0</v>
      </c>
      <c r="O8136" t="n">
        <v>0</v>
      </c>
      <c r="P8136" t="n">
        <v>0</v>
      </c>
      <c r="Q8136" t="n">
        <v>0</v>
      </c>
      <c r="R8136" s="2" t="inlineStr"/>
    </row>
    <row r="8137" ht="15" customHeight="1">
      <c r="A8137" t="inlineStr">
        <is>
          <t>A 41729-2023</t>
        </is>
      </c>
      <c r="B8137" s="1" t="n">
        <v>45176</v>
      </c>
      <c r="C8137" s="1" t="n">
        <v>45587</v>
      </c>
      <c r="D8137" t="inlineStr">
        <is>
          <t>GÄVLEBORGS LÄN</t>
        </is>
      </c>
      <c r="E8137" t="inlineStr">
        <is>
          <t>NORDANSTIG</t>
        </is>
      </c>
      <c r="F8137" t="inlineStr">
        <is>
          <t>Holmen skog AB</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41745-2023</t>
        </is>
      </c>
      <c r="B8138" s="1" t="n">
        <v>45176</v>
      </c>
      <c r="C8138" s="1" t="n">
        <v>45587</v>
      </c>
      <c r="D8138" t="inlineStr">
        <is>
          <t>GÄVLEBORGS LÄN</t>
        </is>
      </c>
      <c r="E8138" t="inlineStr">
        <is>
          <t>HUDIKSVALL</t>
        </is>
      </c>
      <c r="F8138" t="inlineStr">
        <is>
          <t>Holmen skog AB</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41798-2023</t>
        </is>
      </c>
      <c r="B8139" s="1" t="n">
        <v>45176</v>
      </c>
      <c r="C8139" s="1" t="n">
        <v>45587</v>
      </c>
      <c r="D8139" t="inlineStr">
        <is>
          <t>GÄVLEBORGS LÄN</t>
        </is>
      </c>
      <c r="E8139" t="inlineStr">
        <is>
          <t>OVANÅKER</t>
        </is>
      </c>
      <c r="G8139" t="n">
        <v>10.4</v>
      </c>
      <c r="H8139" t="n">
        <v>0</v>
      </c>
      <c r="I8139" t="n">
        <v>0</v>
      </c>
      <c r="J8139" t="n">
        <v>0</v>
      </c>
      <c r="K8139" t="n">
        <v>0</v>
      </c>
      <c r="L8139" t="n">
        <v>0</v>
      </c>
      <c r="M8139" t="n">
        <v>0</v>
      </c>
      <c r="N8139" t="n">
        <v>0</v>
      </c>
      <c r="O8139" t="n">
        <v>0</v>
      </c>
      <c r="P8139" t="n">
        <v>0</v>
      </c>
      <c r="Q8139" t="n">
        <v>0</v>
      </c>
      <c r="R8139" s="2" t="inlineStr"/>
    </row>
    <row r="8140" ht="15" customHeight="1">
      <c r="A8140" t="inlineStr">
        <is>
          <t>A 41701-2023</t>
        </is>
      </c>
      <c r="B8140" s="1" t="n">
        <v>45176</v>
      </c>
      <c r="C8140" s="1" t="n">
        <v>45587</v>
      </c>
      <c r="D8140" t="inlineStr">
        <is>
          <t>GÄVLEBORGS LÄN</t>
        </is>
      </c>
      <c r="E8140" t="inlineStr">
        <is>
          <t>NORDANSTIG</t>
        </is>
      </c>
      <c r="F8140" t="inlineStr">
        <is>
          <t>Holmen skog AB</t>
        </is>
      </c>
      <c r="G8140" t="n">
        <v>5.6</v>
      </c>
      <c r="H8140" t="n">
        <v>0</v>
      </c>
      <c r="I8140" t="n">
        <v>0</v>
      </c>
      <c r="J8140" t="n">
        <v>0</v>
      </c>
      <c r="K8140" t="n">
        <v>0</v>
      </c>
      <c r="L8140" t="n">
        <v>0</v>
      </c>
      <c r="M8140" t="n">
        <v>0</v>
      </c>
      <c r="N8140" t="n">
        <v>0</v>
      </c>
      <c r="O8140" t="n">
        <v>0</v>
      </c>
      <c r="P8140" t="n">
        <v>0</v>
      </c>
      <c r="Q8140" t="n">
        <v>0</v>
      </c>
      <c r="R8140" s="2" t="inlineStr"/>
    </row>
    <row r="8141" ht="15" customHeight="1">
      <c r="A8141" t="inlineStr">
        <is>
          <t>A 41735-2023</t>
        </is>
      </c>
      <c r="B8141" s="1" t="n">
        <v>45176</v>
      </c>
      <c r="C8141" s="1" t="n">
        <v>45587</v>
      </c>
      <c r="D8141" t="inlineStr">
        <is>
          <t>GÄVLEBORGS LÄN</t>
        </is>
      </c>
      <c r="E8141" t="inlineStr">
        <is>
          <t>HUDIKSVALL</t>
        </is>
      </c>
      <c r="F8141" t="inlineStr">
        <is>
          <t>Holmen skog AB</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41747-2023</t>
        </is>
      </c>
      <c r="B8142" s="1" t="n">
        <v>45176</v>
      </c>
      <c r="C8142" s="1" t="n">
        <v>45587</v>
      </c>
      <c r="D8142" t="inlineStr">
        <is>
          <t>GÄVLEBORGS LÄN</t>
        </is>
      </c>
      <c r="E8142" t="inlineStr">
        <is>
          <t>HUDIKSVALL</t>
        </is>
      </c>
      <c r="F8142" t="inlineStr">
        <is>
          <t>Holmen skog AB</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41704-2023</t>
        </is>
      </c>
      <c r="B8143" s="1" t="n">
        <v>45176</v>
      </c>
      <c r="C8143" s="1" t="n">
        <v>45587</v>
      </c>
      <c r="D8143" t="inlineStr">
        <is>
          <t>GÄVLEBORGS LÄN</t>
        </is>
      </c>
      <c r="E8143" t="inlineStr">
        <is>
          <t>NORDANSTIG</t>
        </is>
      </c>
      <c r="G8143" t="n">
        <v>9.800000000000001</v>
      </c>
      <c r="H8143" t="n">
        <v>0</v>
      </c>
      <c r="I8143" t="n">
        <v>0</v>
      </c>
      <c r="J8143" t="n">
        <v>0</v>
      </c>
      <c r="K8143" t="n">
        <v>0</v>
      </c>
      <c r="L8143" t="n">
        <v>0</v>
      </c>
      <c r="M8143" t="n">
        <v>0</v>
      </c>
      <c r="N8143" t="n">
        <v>0</v>
      </c>
      <c r="O8143" t="n">
        <v>0</v>
      </c>
      <c r="P8143" t="n">
        <v>0</v>
      </c>
      <c r="Q8143" t="n">
        <v>0</v>
      </c>
      <c r="R8143" s="2" t="inlineStr"/>
    </row>
    <row r="8144" ht="15" customHeight="1">
      <c r="A8144" t="inlineStr">
        <is>
          <t>A 41901-2023</t>
        </is>
      </c>
      <c r="B8144" s="1" t="n">
        <v>45176</v>
      </c>
      <c r="C8144" s="1" t="n">
        <v>45587</v>
      </c>
      <c r="D8144" t="inlineStr">
        <is>
          <t>GÄVLEBORGS LÄN</t>
        </is>
      </c>
      <c r="E8144" t="inlineStr">
        <is>
          <t>NORDANSTIG</t>
        </is>
      </c>
      <c r="F8144" t="inlineStr">
        <is>
          <t>Holmen skog AB</t>
        </is>
      </c>
      <c r="G8144" t="n">
        <v>6.5</v>
      </c>
      <c r="H8144" t="n">
        <v>0</v>
      </c>
      <c r="I8144" t="n">
        <v>0</v>
      </c>
      <c r="J8144" t="n">
        <v>0</v>
      </c>
      <c r="K8144" t="n">
        <v>0</v>
      </c>
      <c r="L8144" t="n">
        <v>0</v>
      </c>
      <c r="M8144" t="n">
        <v>0</v>
      </c>
      <c r="N8144" t="n">
        <v>0</v>
      </c>
      <c r="O8144" t="n">
        <v>0</v>
      </c>
      <c r="P8144" t="n">
        <v>0</v>
      </c>
      <c r="Q8144" t="n">
        <v>0</v>
      </c>
      <c r="R8144" s="2" t="inlineStr"/>
    </row>
    <row r="8145" ht="15" customHeight="1">
      <c r="A8145" t="inlineStr">
        <is>
          <t>A 41708-2023</t>
        </is>
      </c>
      <c r="B8145" s="1" t="n">
        <v>45176</v>
      </c>
      <c r="C8145" s="1" t="n">
        <v>45587</v>
      </c>
      <c r="D8145" t="inlineStr">
        <is>
          <t>GÄVLEBORGS LÄN</t>
        </is>
      </c>
      <c r="E8145" t="inlineStr">
        <is>
          <t>GÄVLE</t>
        </is>
      </c>
      <c r="G8145" t="n">
        <v>6.5</v>
      </c>
      <c r="H8145" t="n">
        <v>0</v>
      </c>
      <c r="I8145" t="n">
        <v>0</v>
      </c>
      <c r="J8145" t="n">
        <v>0</v>
      </c>
      <c r="K8145" t="n">
        <v>0</v>
      </c>
      <c r="L8145" t="n">
        <v>0</v>
      </c>
      <c r="M8145" t="n">
        <v>0</v>
      </c>
      <c r="N8145" t="n">
        <v>0</v>
      </c>
      <c r="O8145" t="n">
        <v>0</v>
      </c>
      <c r="P8145" t="n">
        <v>0</v>
      </c>
      <c r="Q8145" t="n">
        <v>0</v>
      </c>
      <c r="R8145" s="2" t="inlineStr"/>
    </row>
    <row r="8146" ht="15" customHeight="1">
      <c r="A8146" t="inlineStr">
        <is>
          <t>A 41730-2023</t>
        </is>
      </c>
      <c r="B8146" s="1" t="n">
        <v>45176</v>
      </c>
      <c r="C8146" s="1" t="n">
        <v>45587</v>
      </c>
      <c r="D8146" t="inlineStr">
        <is>
          <t>GÄVLEBORGS LÄN</t>
        </is>
      </c>
      <c r="E8146" t="inlineStr">
        <is>
          <t>BOLLNÄS</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41783-2023</t>
        </is>
      </c>
      <c r="B8147" s="1" t="n">
        <v>45176</v>
      </c>
      <c r="C8147" s="1" t="n">
        <v>45587</v>
      </c>
      <c r="D8147" t="inlineStr">
        <is>
          <t>GÄVLEBORGS LÄN</t>
        </is>
      </c>
      <c r="E8147" t="inlineStr">
        <is>
          <t>SANDVIKEN</t>
        </is>
      </c>
      <c r="F8147" t="inlineStr">
        <is>
          <t>Bergvik skog öst AB</t>
        </is>
      </c>
      <c r="G8147" t="n">
        <v>4.9</v>
      </c>
      <c r="H8147" t="n">
        <v>0</v>
      </c>
      <c r="I8147" t="n">
        <v>0</v>
      </c>
      <c r="J8147" t="n">
        <v>0</v>
      </c>
      <c r="K8147" t="n">
        <v>0</v>
      </c>
      <c r="L8147" t="n">
        <v>0</v>
      </c>
      <c r="M8147" t="n">
        <v>0</v>
      </c>
      <c r="N8147" t="n">
        <v>0</v>
      </c>
      <c r="O8147" t="n">
        <v>0</v>
      </c>
      <c r="P8147" t="n">
        <v>0</v>
      </c>
      <c r="Q8147" t="n">
        <v>0</v>
      </c>
      <c r="R8147" s="2" t="inlineStr"/>
    </row>
    <row r="8148" ht="15" customHeight="1">
      <c r="A8148" t="inlineStr">
        <is>
          <t>A 41844-2023</t>
        </is>
      </c>
      <c r="B8148" s="1" t="n">
        <v>45176</v>
      </c>
      <c r="C8148" s="1" t="n">
        <v>45587</v>
      </c>
      <c r="D8148" t="inlineStr">
        <is>
          <t>GÄVLEBORGS LÄN</t>
        </is>
      </c>
      <c r="E8148" t="inlineStr">
        <is>
          <t>GÄVLE</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41839-2023</t>
        </is>
      </c>
      <c r="B8149" s="1" t="n">
        <v>45176</v>
      </c>
      <c r="C8149" s="1" t="n">
        <v>45587</v>
      </c>
      <c r="D8149" t="inlineStr">
        <is>
          <t>GÄVLEBORGS LÄN</t>
        </is>
      </c>
      <c r="E8149" t="inlineStr">
        <is>
          <t>NORDANSTIG</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41957-2023</t>
        </is>
      </c>
      <c r="B8150" s="1" t="n">
        <v>45177</v>
      </c>
      <c r="C8150" s="1" t="n">
        <v>45587</v>
      </c>
      <c r="D8150" t="inlineStr">
        <is>
          <t>GÄVLEBORGS LÄN</t>
        </is>
      </c>
      <c r="E8150" t="inlineStr">
        <is>
          <t>NORDANSTIG</t>
        </is>
      </c>
      <c r="F8150" t="inlineStr">
        <is>
          <t>Holmen skog AB</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41990-2023</t>
        </is>
      </c>
      <c r="B8151" s="1" t="n">
        <v>45177</v>
      </c>
      <c r="C8151" s="1" t="n">
        <v>45587</v>
      </c>
      <c r="D8151" t="inlineStr">
        <is>
          <t>GÄVLEBORGS LÄN</t>
        </is>
      </c>
      <c r="E8151" t="inlineStr">
        <is>
          <t>OVANÅKER</t>
        </is>
      </c>
      <c r="F8151" t="inlineStr">
        <is>
          <t>Bergvik skog väst AB</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42029-2023</t>
        </is>
      </c>
      <c r="B8152" s="1" t="n">
        <v>45177</v>
      </c>
      <c r="C8152" s="1" t="n">
        <v>45587</v>
      </c>
      <c r="D8152" t="inlineStr">
        <is>
          <t>GÄVLEBORGS LÄN</t>
        </is>
      </c>
      <c r="E8152" t="inlineStr">
        <is>
          <t>SÖDERHAMN</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42061-2023</t>
        </is>
      </c>
      <c r="B8153" s="1" t="n">
        <v>45177</v>
      </c>
      <c r="C8153" s="1" t="n">
        <v>45587</v>
      </c>
      <c r="D8153" t="inlineStr">
        <is>
          <t>GÄVLEBORGS LÄN</t>
        </is>
      </c>
      <c r="E8153" t="inlineStr">
        <is>
          <t>OCKELBO</t>
        </is>
      </c>
      <c r="F8153" t="inlineStr">
        <is>
          <t>Bergvik skog väst AB</t>
        </is>
      </c>
      <c r="G8153" t="n">
        <v>4.9</v>
      </c>
      <c r="H8153" t="n">
        <v>0</v>
      </c>
      <c r="I8153" t="n">
        <v>0</v>
      </c>
      <c r="J8153" t="n">
        <v>0</v>
      </c>
      <c r="K8153" t="n">
        <v>0</v>
      </c>
      <c r="L8153" t="n">
        <v>0</v>
      </c>
      <c r="M8153" t="n">
        <v>0</v>
      </c>
      <c r="N8153" t="n">
        <v>0</v>
      </c>
      <c r="O8153" t="n">
        <v>0</v>
      </c>
      <c r="P8153" t="n">
        <v>0</v>
      </c>
      <c r="Q8153" t="n">
        <v>0</v>
      </c>
      <c r="R8153" s="2" t="inlineStr"/>
    </row>
    <row r="8154" ht="15" customHeight="1">
      <c r="A8154" t="inlineStr">
        <is>
          <t>A 42065-2023</t>
        </is>
      </c>
      <c r="B8154" s="1" t="n">
        <v>45177</v>
      </c>
      <c r="C8154" s="1" t="n">
        <v>45587</v>
      </c>
      <c r="D8154" t="inlineStr">
        <is>
          <t>GÄVLEBORGS LÄN</t>
        </is>
      </c>
      <c r="E8154" t="inlineStr">
        <is>
          <t>OCKELBO</t>
        </is>
      </c>
      <c r="F8154" t="inlineStr">
        <is>
          <t>Bergvik skog väst AB</t>
        </is>
      </c>
      <c r="G8154" t="n">
        <v>12.8</v>
      </c>
      <c r="H8154" t="n">
        <v>0</v>
      </c>
      <c r="I8154" t="n">
        <v>0</v>
      </c>
      <c r="J8154" t="n">
        <v>0</v>
      </c>
      <c r="K8154" t="n">
        <v>0</v>
      </c>
      <c r="L8154" t="n">
        <v>0</v>
      </c>
      <c r="M8154" t="n">
        <v>0</v>
      </c>
      <c r="N8154" t="n">
        <v>0</v>
      </c>
      <c r="O8154" t="n">
        <v>0</v>
      </c>
      <c r="P8154" t="n">
        <v>0</v>
      </c>
      <c r="Q8154" t="n">
        <v>0</v>
      </c>
      <c r="R8154" s="2" t="inlineStr"/>
    </row>
    <row r="8155" ht="15" customHeight="1">
      <c r="A8155" t="inlineStr">
        <is>
          <t>A 42006-2023</t>
        </is>
      </c>
      <c r="B8155" s="1" t="n">
        <v>45177</v>
      </c>
      <c r="C8155" s="1" t="n">
        <v>45587</v>
      </c>
      <c r="D8155" t="inlineStr">
        <is>
          <t>GÄVLEBORGS LÄN</t>
        </is>
      </c>
      <c r="E8155" t="inlineStr">
        <is>
          <t>OVANÅKER</t>
        </is>
      </c>
      <c r="F8155" t="inlineStr">
        <is>
          <t>Bergvik skog väst AB</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42031-2023</t>
        </is>
      </c>
      <c r="B8156" s="1" t="n">
        <v>45177</v>
      </c>
      <c r="C8156" s="1" t="n">
        <v>45587</v>
      </c>
      <c r="D8156" t="inlineStr">
        <is>
          <t>GÄVLEBORGS LÄN</t>
        </is>
      </c>
      <c r="E8156" t="inlineStr">
        <is>
          <t>SÖDERHAMN</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42052-2023</t>
        </is>
      </c>
      <c r="B8157" s="1" t="n">
        <v>45177</v>
      </c>
      <c r="C8157" s="1" t="n">
        <v>45587</v>
      </c>
      <c r="D8157" t="inlineStr">
        <is>
          <t>GÄVLEBORGS LÄN</t>
        </is>
      </c>
      <c r="E8157" t="inlineStr">
        <is>
          <t>OVANÅKER</t>
        </is>
      </c>
      <c r="F8157" t="inlineStr">
        <is>
          <t>Bergvik skog väst AB</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42058-2023</t>
        </is>
      </c>
      <c r="B8158" s="1" t="n">
        <v>45177</v>
      </c>
      <c r="C8158" s="1" t="n">
        <v>45587</v>
      </c>
      <c r="D8158" t="inlineStr">
        <is>
          <t>GÄVLEBORGS LÄN</t>
        </is>
      </c>
      <c r="E8158" t="inlineStr">
        <is>
          <t>OCKELBO</t>
        </is>
      </c>
      <c r="F8158" t="inlineStr">
        <is>
          <t>Bergvik skog väst AB</t>
        </is>
      </c>
      <c r="G8158" t="n">
        <v>3.5</v>
      </c>
      <c r="H8158" t="n">
        <v>0</v>
      </c>
      <c r="I8158" t="n">
        <v>0</v>
      </c>
      <c r="J8158" t="n">
        <v>0</v>
      </c>
      <c r="K8158" t="n">
        <v>0</v>
      </c>
      <c r="L8158" t="n">
        <v>0</v>
      </c>
      <c r="M8158" t="n">
        <v>0</v>
      </c>
      <c r="N8158" t="n">
        <v>0</v>
      </c>
      <c r="O8158" t="n">
        <v>0</v>
      </c>
      <c r="P8158" t="n">
        <v>0</v>
      </c>
      <c r="Q8158" t="n">
        <v>0</v>
      </c>
      <c r="R8158" s="2" t="inlineStr"/>
    </row>
    <row r="8159" ht="15" customHeight="1">
      <c r="A8159" t="inlineStr">
        <is>
          <t>A 42067-2023</t>
        </is>
      </c>
      <c r="B8159" s="1" t="n">
        <v>45177</v>
      </c>
      <c r="C8159" s="1" t="n">
        <v>45587</v>
      </c>
      <c r="D8159" t="inlineStr">
        <is>
          <t>GÄVLEBORGS LÄN</t>
        </is>
      </c>
      <c r="E8159" t="inlineStr">
        <is>
          <t>OVANÅKER</t>
        </is>
      </c>
      <c r="G8159" t="n">
        <v>5.8</v>
      </c>
      <c r="H8159" t="n">
        <v>0</v>
      </c>
      <c r="I8159" t="n">
        <v>0</v>
      </c>
      <c r="J8159" t="n">
        <v>0</v>
      </c>
      <c r="K8159" t="n">
        <v>0</v>
      </c>
      <c r="L8159" t="n">
        <v>0</v>
      </c>
      <c r="M8159" t="n">
        <v>0</v>
      </c>
      <c r="N8159" t="n">
        <v>0</v>
      </c>
      <c r="O8159" t="n">
        <v>0</v>
      </c>
      <c r="P8159" t="n">
        <v>0</v>
      </c>
      <c r="Q8159" t="n">
        <v>0</v>
      </c>
      <c r="R8159" s="2" t="inlineStr"/>
    </row>
    <row r="8160" ht="15" customHeight="1">
      <c r="A8160" t="inlineStr">
        <is>
          <t>A 42128-2023</t>
        </is>
      </c>
      <c r="B8160" s="1" t="n">
        <v>45177</v>
      </c>
      <c r="C8160" s="1" t="n">
        <v>45587</v>
      </c>
      <c r="D8160" t="inlineStr">
        <is>
          <t>GÄVLEBORGS LÄN</t>
        </is>
      </c>
      <c r="E8160" t="inlineStr">
        <is>
          <t>HUDIKSVALL</t>
        </is>
      </c>
      <c r="F8160" t="inlineStr">
        <is>
          <t>Holmen skog AB</t>
        </is>
      </c>
      <c r="G8160" t="n">
        <v>9.1</v>
      </c>
      <c r="H8160" t="n">
        <v>0</v>
      </c>
      <c r="I8160" t="n">
        <v>0</v>
      </c>
      <c r="J8160" t="n">
        <v>0</v>
      </c>
      <c r="K8160" t="n">
        <v>0</v>
      </c>
      <c r="L8160" t="n">
        <v>0</v>
      </c>
      <c r="M8160" t="n">
        <v>0</v>
      </c>
      <c r="N8160" t="n">
        <v>0</v>
      </c>
      <c r="O8160" t="n">
        <v>0</v>
      </c>
      <c r="P8160" t="n">
        <v>0</v>
      </c>
      <c r="Q8160" t="n">
        <v>0</v>
      </c>
      <c r="R8160" s="2" t="inlineStr"/>
    </row>
    <row r="8161" ht="15" customHeight="1">
      <c r="A8161" t="inlineStr">
        <is>
          <t>A 42020-2023</t>
        </is>
      </c>
      <c r="B8161" s="1" t="n">
        <v>45177</v>
      </c>
      <c r="C8161" s="1" t="n">
        <v>45587</v>
      </c>
      <c r="D8161" t="inlineStr">
        <is>
          <t>GÄVLEBORGS LÄN</t>
        </is>
      </c>
      <c r="E8161" t="inlineStr">
        <is>
          <t>HOFORS</t>
        </is>
      </c>
      <c r="F8161" t="inlineStr">
        <is>
          <t>Sveaskog</t>
        </is>
      </c>
      <c r="G8161" t="n">
        <v>13.1</v>
      </c>
      <c r="H8161" t="n">
        <v>0</v>
      </c>
      <c r="I8161" t="n">
        <v>0</v>
      </c>
      <c r="J8161" t="n">
        <v>0</v>
      </c>
      <c r="K8161" t="n">
        <v>0</v>
      </c>
      <c r="L8161" t="n">
        <v>0</v>
      </c>
      <c r="M8161" t="n">
        <v>0</v>
      </c>
      <c r="N8161" t="n">
        <v>0</v>
      </c>
      <c r="O8161" t="n">
        <v>0</v>
      </c>
      <c r="P8161" t="n">
        <v>0</v>
      </c>
      <c r="Q8161" t="n">
        <v>0</v>
      </c>
      <c r="R8161" s="2" t="inlineStr"/>
    </row>
    <row r="8162" ht="15" customHeight="1">
      <c r="A8162" t="inlineStr">
        <is>
          <t>A 42101-2023</t>
        </is>
      </c>
      <c r="B8162" s="1" t="n">
        <v>45177</v>
      </c>
      <c r="C8162" s="1" t="n">
        <v>45587</v>
      </c>
      <c r="D8162" t="inlineStr">
        <is>
          <t>GÄVLEBORGS LÄN</t>
        </is>
      </c>
      <c r="E8162" t="inlineStr">
        <is>
          <t>OVANÅKER</t>
        </is>
      </c>
      <c r="G8162" t="n">
        <v>12.1</v>
      </c>
      <c r="H8162" t="n">
        <v>0</v>
      </c>
      <c r="I8162" t="n">
        <v>0</v>
      </c>
      <c r="J8162" t="n">
        <v>0</v>
      </c>
      <c r="K8162" t="n">
        <v>0</v>
      </c>
      <c r="L8162" t="n">
        <v>0</v>
      </c>
      <c r="M8162" t="n">
        <v>0</v>
      </c>
      <c r="N8162" t="n">
        <v>0</v>
      </c>
      <c r="O8162" t="n">
        <v>0</v>
      </c>
      <c r="P8162" t="n">
        <v>0</v>
      </c>
      <c r="Q8162" t="n">
        <v>0</v>
      </c>
      <c r="R8162" s="2" t="inlineStr"/>
    </row>
    <row r="8163" ht="15" customHeight="1">
      <c r="A8163" t="inlineStr">
        <is>
          <t>A 42076-2023</t>
        </is>
      </c>
      <c r="B8163" s="1" t="n">
        <v>45177</v>
      </c>
      <c r="C8163" s="1" t="n">
        <v>45587</v>
      </c>
      <c r="D8163" t="inlineStr">
        <is>
          <t>GÄVLEBORGS LÄN</t>
        </is>
      </c>
      <c r="E8163" t="inlineStr">
        <is>
          <t>OVANÅKER</t>
        </is>
      </c>
      <c r="G8163" t="n">
        <v>3.6</v>
      </c>
      <c r="H8163" t="n">
        <v>0</v>
      </c>
      <c r="I8163" t="n">
        <v>0</v>
      </c>
      <c r="J8163" t="n">
        <v>0</v>
      </c>
      <c r="K8163" t="n">
        <v>0</v>
      </c>
      <c r="L8163" t="n">
        <v>0</v>
      </c>
      <c r="M8163" t="n">
        <v>0</v>
      </c>
      <c r="N8163" t="n">
        <v>0</v>
      </c>
      <c r="O8163" t="n">
        <v>0</v>
      </c>
      <c r="P8163" t="n">
        <v>0</v>
      </c>
      <c r="Q8163" t="n">
        <v>0</v>
      </c>
      <c r="R8163" s="2" t="inlineStr"/>
    </row>
    <row r="8164" ht="15" customHeight="1">
      <c r="A8164" t="inlineStr">
        <is>
          <t>A 42098-2023</t>
        </is>
      </c>
      <c r="B8164" s="1" t="n">
        <v>45177</v>
      </c>
      <c r="C8164" s="1" t="n">
        <v>45587</v>
      </c>
      <c r="D8164" t="inlineStr">
        <is>
          <t>GÄVLEBORGS LÄN</t>
        </is>
      </c>
      <c r="E8164" t="inlineStr">
        <is>
          <t>BOLLNÄS</t>
        </is>
      </c>
      <c r="G8164" t="n">
        <v>10.1</v>
      </c>
      <c r="H8164" t="n">
        <v>0</v>
      </c>
      <c r="I8164" t="n">
        <v>0</v>
      </c>
      <c r="J8164" t="n">
        <v>0</v>
      </c>
      <c r="K8164" t="n">
        <v>0</v>
      </c>
      <c r="L8164" t="n">
        <v>0</v>
      </c>
      <c r="M8164" t="n">
        <v>0</v>
      </c>
      <c r="N8164" t="n">
        <v>0</v>
      </c>
      <c r="O8164" t="n">
        <v>0</v>
      </c>
      <c r="P8164" t="n">
        <v>0</v>
      </c>
      <c r="Q8164" t="n">
        <v>0</v>
      </c>
      <c r="R8164" s="2" t="inlineStr"/>
    </row>
    <row r="8165" ht="15" customHeight="1">
      <c r="A8165" t="inlineStr">
        <is>
          <t>A 42145-2023</t>
        </is>
      </c>
      <c r="B8165" s="1" t="n">
        <v>45178</v>
      </c>
      <c r="C8165" s="1" t="n">
        <v>45587</v>
      </c>
      <c r="D8165" t="inlineStr">
        <is>
          <t>GÄVLEBORGS LÄN</t>
        </is>
      </c>
      <c r="E8165" t="inlineStr">
        <is>
          <t>LJUSDAL</t>
        </is>
      </c>
      <c r="G8165" t="n">
        <v>16.2</v>
      </c>
      <c r="H8165" t="n">
        <v>0</v>
      </c>
      <c r="I8165" t="n">
        <v>0</v>
      </c>
      <c r="J8165" t="n">
        <v>0</v>
      </c>
      <c r="K8165" t="n">
        <v>0</v>
      </c>
      <c r="L8165" t="n">
        <v>0</v>
      </c>
      <c r="M8165" t="n">
        <v>0</v>
      </c>
      <c r="N8165" t="n">
        <v>0</v>
      </c>
      <c r="O8165" t="n">
        <v>0</v>
      </c>
      <c r="P8165" t="n">
        <v>0</v>
      </c>
      <c r="Q8165" t="n">
        <v>0</v>
      </c>
      <c r="R8165" s="2" t="inlineStr"/>
    </row>
    <row r="8166" ht="15" customHeight="1">
      <c r="A8166" t="inlineStr">
        <is>
          <t>A 42930-2023</t>
        </is>
      </c>
      <c r="B8166" s="1" t="n">
        <v>45177</v>
      </c>
      <c r="C8166" s="1" t="n">
        <v>45587</v>
      </c>
      <c r="D8166" t="inlineStr">
        <is>
          <t>GÄVLEBORGS LÄN</t>
        </is>
      </c>
      <c r="E8166" t="inlineStr">
        <is>
          <t>SANDVIKEN</t>
        </is>
      </c>
      <c r="F8166" t="inlineStr">
        <is>
          <t>Bergvik skog väst AB</t>
        </is>
      </c>
      <c r="G8166" t="n">
        <v>20.6</v>
      </c>
      <c r="H8166" t="n">
        <v>0</v>
      </c>
      <c r="I8166" t="n">
        <v>0</v>
      </c>
      <c r="J8166" t="n">
        <v>0</v>
      </c>
      <c r="K8166" t="n">
        <v>0</v>
      </c>
      <c r="L8166" t="n">
        <v>0</v>
      </c>
      <c r="M8166" t="n">
        <v>0</v>
      </c>
      <c r="N8166" t="n">
        <v>0</v>
      </c>
      <c r="O8166" t="n">
        <v>0</v>
      </c>
      <c r="P8166" t="n">
        <v>0</v>
      </c>
      <c r="Q8166" t="n">
        <v>0</v>
      </c>
      <c r="R8166" s="2" t="inlineStr"/>
    </row>
    <row r="8167" ht="15" customHeight="1">
      <c r="A8167" t="inlineStr">
        <is>
          <t>A 42950-2023</t>
        </is>
      </c>
      <c r="B8167" s="1" t="n">
        <v>45178</v>
      </c>
      <c r="C8167" s="1" t="n">
        <v>45587</v>
      </c>
      <c r="D8167" t="inlineStr">
        <is>
          <t>GÄVLEBORGS LÄN</t>
        </is>
      </c>
      <c r="E8167" t="inlineStr">
        <is>
          <t>SANDVIKEN</t>
        </is>
      </c>
      <c r="F8167" t="inlineStr">
        <is>
          <t>Bergvik skog väst AB</t>
        </is>
      </c>
      <c r="G8167" t="n">
        <v>16.5</v>
      </c>
      <c r="H8167" t="n">
        <v>0</v>
      </c>
      <c r="I8167" t="n">
        <v>0</v>
      </c>
      <c r="J8167" t="n">
        <v>0</v>
      </c>
      <c r="K8167" t="n">
        <v>0</v>
      </c>
      <c r="L8167" t="n">
        <v>0</v>
      </c>
      <c r="M8167" t="n">
        <v>0</v>
      </c>
      <c r="N8167" t="n">
        <v>0</v>
      </c>
      <c r="O8167" t="n">
        <v>0</v>
      </c>
      <c r="P8167" t="n">
        <v>0</v>
      </c>
      <c r="Q8167" t="n">
        <v>0</v>
      </c>
      <c r="R8167" s="2" t="inlineStr"/>
    </row>
    <row r="8168" ht="15" customHeight="1">
      <c r="A8168" t="inlineStr">
        <is>
          <t>A 42233-2023</t>
        </is>
      </c>
      <c r="B8168" s="1" t="n">
        <v>45180</v>
      </c>
      <c r="C8168" s="1" t="n">
        <v>45587</v>
      </c>
      <c r="D8168" t="inlineStr">
        <is>
          <t>GÄVLEBORGS LÄN</t>
        </is>
      </c>
      <c r="E8168" t="inlineStr">
        <is>
          <t>BOLLNÄS</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42254-2023</t>
        </is>
      </c>
      <c r="B8169" s="1" t="n">
        <v>45180</v>
      </c>
      <c r="C8169" s="1" t="n">
        <v>45587</v>
      </c>
      <c r="D8169" t="inlineStr">
        <is>
          <t>GÄVLEBORGS LÄN</t>
        </is>
      </c>
      <c r="E8169" t="inlineStr">
        <is>
          <t>OCKELBO</t>
        </is>
      </c>
      <c r="F8169" t="inlineStr">
        <is>
          <t>Bergvik skog väst AB</t>
        </is>
      </c>
      <c r="G8169" t="n">
        <v>10.7</v>
      </c>
      <c r="H8169" t="n">
        <v>0</v>
      </c>
      <c r="I8169" t="n">
        <v>0</v>
      </c>
      <c r="J8169" t="n">
        <v>0</v>
      </c>
      <c r="K8169" t="n">
        <v>0</v>
      </c>
      <c r="L8169" t="n">
        <v>0</v>
      </c>
      <c r="M8169" t="n">
        <v>0</v>
      </c>
      <c r="N8169" t="n">
        <v>0</v>
      </c>
      <c r="O8169" t="n">
        <v>0</v>
      </c>
      <c r="P8169" t="n">
        <v>0</v>
      </c>
      <c r="Q8169" t="n">
        <v>0</v>
      </c>
      <c r="R8169" s="2" t="inlineStr"/>
    </row>
    <row r="8170" ht="15" customHeight="1">
      <c r="A8170" t="inlineStr">
        <is>
          <t>A 42306-2023</t>
        </is>
      </c>
      <c r="B8170" s="1" t="n">
        <v>45180</v>
      </c>
      <c r="C8170" s="1" t="n">
        <v>45587</v>
      </c>
      <c r="D8170" t="inlineStr">
        <is>
          <t>GÄVLEBORGS LÄN</t>
        </is>
      </c>
      <c r="E8170" t="inlineStr">
        <is>
          <t>BOLLNÄS</t>
        </is>
      </c>
      <c r="G8170" t="n">
        <v>4.8</v>
      </c>
      <c r="H8170" t="n">
        <v>0</v>
      </c>
      <c r="I8170" t="n">
        <v>0</v>
      </c>
      <c r="J8170" t="n">
        <v>0</v>
      </c>
      <c r="K8170" t="n">
        <v>0</v>
      </c>
      <c r="L8170" t="n">
        <v>0</v>
      </c>
      <c r="M8170" t="n">
        <v>0</v>
      </c>
      <c r="N8170" t="n">
        <v>0</v>
      </c>
      <c r="O8170" t="n">
        <v>0</v>
      </c>
      <c r="P8170" t="n">
        <v>0</v>
      </c>
      <c r="Q8170" t="n">
        <v>0</v>
      </c>
      <c r="R8170" s="2" t="inlineStr"/>
    </row>
    <row r="8171" ht="15" customHeight="1">
      <c r="A8171" t="inlineStr">
        <is>
          <t>A 42313-2023</t>
        </is>
      </c>
      <c r="B8171" s="1" t="n">
        <v>45180</v>
      </c>
      <c r="C8171" s="1" t="n">
        <v>45587</v>
      </c>
      <c r="D8171" t="inlineStr">
        <is>
          <t>GÄVLEBORGS LÄN</t>
        </is>
      </c>
      <c r="E8171" t="inlineStr">
        <is>
          <t>OCKELBO</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42239-2023</t>
        </is>
      </c>
      <c r="B8172" s="1" t="n">
        <v>45180</v>
      </c>
      <c r="C8172" s="1" t="n">
        <v>45587</v>
      </c>
      <c r="D8172" t="inlineStr">
        <is>
          <t>GÄVLEBORGS LÄN</t>
        </is>
      </c>
      <c r="E8172" t="inlineStr">
        <is>
          <t>HUDIKSVALL</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42244-2023</t>
        </is>
      </c>
      <c r="B8173" s="1" t="n">
        <v>45180</v>
      </c>
      <c r="C8173" s="1" t="n">
        <v>45587</v>
      </c>
      <c r="D8173" t="inlineStr">
        <is>
          <t>GÄVLEBORGS LÄN</t>
        </is>
      </c>
      <c r="E8173" t="inlineStr">
        <is>
          <t>HUDIKSVALL</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42276-2023</t>
        </is>
      </c>
      <c r="B8174" s="1" t="n">
        <v>45180</v>
      </c>
      <c r="C8174" s="1" t="n">
        <v>45587</v>
      </c>
      <c r="D8174" t="inlineStr">
        <is>
          <t>GÄVLEBORGS LÄN</t>
        </is>
      </c>
      <c r="E8174" t="inlineStr">
        <is>
          <t>LJUSDAL</t>
        </is>
      </c>
      <c r="G8174" t="n">
        <v>6.9</v>
      </c>
      <c r="H8174" t="n">
        <v>0</v>
      </c>
      <c r="I8174" t="n">
        <v>0</v>
      </c>
      <c r="J8174" t="n">
        <v>0</v>
      </c>
      <c r="K8174" t="n">
        <v>0</v>
      </c>
      <c r="L8174" t="n">
        <v>0</v>
      </c>
      <c r="M8174" t="n">
        <v>0</v>
      </c>
      <c r="N8174" t="n">
        <v>0</v>
      </c>
      <c r="O8174" t="n">
        <v>0</v>
      </c>
      <c r="P8174" t="n">
        <v>0</v>
      </c>
      <c r="Q8174" t="n">
        <v>0</v>
      </c>
      <c r="R8174" s="2" t="inlineStr"/>
    </row>
    <row r="8175" ht="15" customHeight="1">
      <c r="A8175" t="inlineStr">
        <is>
          <t>A 42314-2023</t>
        </is>
      </c>
      <c r="B8175" s="1" t="n">
        <v>45180</v>
      </c>
      <c r="C8175" s="1" t="n">
        <v>45587</v>
      </c>
      <c r="D8175" t="inlineStr">
        <is>
          <t>GÄVLEBORGS LÄN</t>
        </is>
      </c>
      <c r="E8175" t="inlineStr">
        <is>
          <t>BOLLNÄS</t>
        </is>
      </c>
      <c r="G8175" t="n">
        <v>11.9</v>
      </c>
      <c r="H8175" t="n">
        <v>0</v>
      </c>
      <c r="I8175" t="n">
        <v>0</v>
      </c>
      <c r="J8175" t="n">
        <v>0</v>
      </c>
      <c r="K8175" t="n">
        <v>0</v>
      </c>
      <c r="L8175" t="n">
        <v>0</v>
      </c>
      <c r="M8175" t="n">
        <v>0</v>
      </c>
      <c r="N8175" t="n">
        <v>0</v>
      </c>
      <c r="O8175" t="n">
        <v>0</v>
      </c>
      <c r="P8175" t="n">
        <v>0</v>
      </c>
      <c r="Q8175" t="n">
        <v>0</v>
      </c>
      <c r="R8175" s="2" t="inlineStr"/>
    </row>
    <row r="8176" ht="15" customHeight="1">
      <c r="A8176" t="inlineStr">
        <is>
          <t>A 42419-2023</t>
        </is>
      </c>
      <c r="B8176" s="1" t="n">
        <v>45180</v>
      </c>
      <c r="C8176" s="1" t="n">
        <v>45587</v>
      </c>
      <c r="D8176" t="inlineStr">
        <is>
          <t>GÄVLEBORGS LÄN</t>
        </is>
      </c>
      <c r="E8176" t="inlineStr">
        <is>
          <t>LJUSDAL</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42336-2023</t>
        </is>
      </c>
      <c r="B8177" s="1" t="n">
        <v>45180</v>
      </c>
      <c r="C8177" s="1" t="n">
        <v>45587</v>
      </c>
      <c r="D8177" t="inlineStr">
        <is>
          <t>GÄVLEBORGS LÄN</t>
        </is>
      </c>
      <c r="E8177" t="inlineStr">
        <is>
          <t>SÖDERHAMN</t>
        </is>
      </c>
      <c r="F8177" t="inlineStr">
        <is>
          <t>Bergvik skog väst AB</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42555-2023</t>
        </is>
      </c>
      <c r="B8178" s="1" t="n">
        <v>45181</v>
      </c>
      <c r="C8178" s="1" t="n">
        <v>45587</v>
      </c>
      <c r="D8178" t="inlineStr">
        <is>
          <t>GÄVLEBORGS LÄN</t>
        </is>
      </c>
      <c r="E8178" t="inlineStr">
        <is>
          <t>HUDIKSVALL</t>
        </is>
      </c>
      <c r="G8178" t="n">
        <v>6.2</v>
      </c>
      <c r="H8178" t="n">
        <v>0</v>
      </c>
      <c r="I8178" t="n">
        <v>0</v>
      </c>
      <c r="J8178" t="n">
        <v>0</v>
      </c>
      <c r="K8178" t="n">
        <v>0</v>
      </c>
      <c r="L8178" t="n">
        <v>0</v>
      </c>
      <c r="M8178" t="n">
        <v>0</v>
      </c>
      <c r="N8178" t="n">
        <v>0</v>
      </c>
      <c r="O8178" t="n">
        <v>0</v>
      </c>
      <c r="P8178" t="n">
        <v>0</v>
      </c>
      <c r="Q8178" t="n">
        <v>0</v>
      </c>
      <c r="R8178" s="2" t="inlineStr"/>
    </row>
    <row r="8179" ht="15" customHeight="1">
      <c r="A8179" t="inlineStr">
        <is>
          <t>A 42567-2023</t>
        </is>
      </c>
      <c r="B8179" s="1" t="n">
        <v>45181</v>
      </c>
      <c r="C8179" s="1" t="n">
        <v>45587</v>
      </c>
      <c r="D8179" t="inlineStr">
        <is>
          <t>GÄVLEBORGS LÄN</t>
        </is>
      </c>
      <c r="E8179" t="inlineStr">
        <is>
          <t>OVANÅKER</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42576-2023</t>
        </is>
      </c>
      <c r="B8180" s="1" t="n">
        <v>45181</v>
      </c>
      <c r="C8180" s="1" t="n">
        <v>45587</v>
      </c>
      <c r="D8180" t="inlineStr">
        <is>
          <t>GÄVLEBORGS LÄN</t>
        </is>
      </c>
      <c r="E8180" t="inlineStr">
        <is>
          <t>OCKELBO</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42580-2023</t>
        </is>
      </c>
      <c r="B8181" s="1" t="n">
        <v>45181</v>
      </c>
      <c r="C8181" s="1" t="n">
        <v>45587</v>
      </c>
      <c r="D8181" t="inlineStr">
        <is>
          <t>GÄVLEBORGS LÄN</t>
        </is>
      </c>
      <c r="E8181" t="inlineStr">
        <is>
          <t>LJUSDAL</t>
        </is>
      </c>
      <c r="F8181" t="inlineStr">
        <is>
          <t>Bergvik skog väst AB</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42599-2023</t>
        </is>
      </c>
      <c r="B8182" s="1" t="n">
        <v>45181</v>
      </c>
      <c r="C8182" s="1" t="n">
        <v>45587</v>
      </c>
      <c r="D8182" t="inlineStr">
        <is>
          <t>GÄVLEBORGS LÄN</t>
        </is>
      </c>
      <c r="E8182" t="inlineStr">
        <is>
          <t>OCKELBO</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42585-2023</t>
        </is>
      </c>
      <c r="B8183" s="1" t="n">
        <v>45181</v>
      </c>
      <c r="C8183" s="1" t="n">
        <v>45587</v>
      </c>
      <c r="D8183" t="inlineStr">
        <is>
          <t>GÄVLEBORGS LÄN</t>
        </is>
      </c>
      <c r="E8183" t="inlineStr">
        <is>
          <t>OCKELBO</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42639-2023</t>
        </is>
      </c>
      <c r="B8184" s="1" t="n">
        <v>45181</v>
      </c>
      <c r="C8184" s="1" t="n">
        <v>45587</v>
      </c>
      <c r="D8184" t="inlineStr">
        <is>
          <t>GÄVLEBORGS LÄN</t>
        </is>
      </c>
      <c r="E8184" t="inlineStr">
        <is>
          <t>BOLLNÄS</t>
        </is>
      </c>
      <c r="G8184" t="n">
        <v>4.8</v>
      </c>
      <c r="H8184" t="n">
        <v>0</v>
      </c>
      <c r="I8184" t="n">
        <v>0</v>
      </c>
      <c r="J8184" t="n">
        <v>0</v>
      </c>
      <c r="K8184" t="n">
        <v>0</v>
      </c>
      <c r="L8184" t="n">
        <v>0</v>
      </c>
      <c r="M8184" t="n">
        <v>0</v>
      </c>
      <c r="N8184" t="n">
        <v>0</v>
      </c>
      <c r="O8184" t="n">
        <v>0</v>
      </c>
      <c r="P8184" t="n">
        <v>0</v>
      </c>
      <c r="Q8184" t="n">
        <v>0</v>
      </c>
      <c r="R8184" s="2" t="inlineStr"/>
    </row>
    <row r="8185" ht="15" customHeight="1">
      <c r="A8185" t="inlineStr">
        <is>
          <t>A 42660-2023</t>
        </is>
      </c>
      <c r="B8185" s="1" t="n">
        <v>45181</v>
      </c>
      <c r="C8185" s="1" t="n">
        <v>45587</v>
      </c>
      <c r="D8185" t="inlineStr">
        <is>
          <t>GÄVLEBORGS LÄN</t>
        </is>
      </c>
      <c r="E8185" t="inlineStr">
        <is>
          <t>SANDVIKEN</t>
        </is>
      </c>
      <c r="G8185" t="n">
        <v>5.8</v>
      </c>
      <c r="H8185" t="n">
        <v>0</v>
      </c>
      <c r="I8185" t="n">
        <v>0</v>
      </c>
      <c r="J8185" t="n">
        <v>0</v>
      </c>
      <c r="K8185" t="n">
        <v>0</v>
      </c>
      <c r="L8185" t="n">
        <v>0</v>
      </c>
      <c r="M8185" t="n">
        <v>0</v>
      </c>
      <c r="N8185" t="n">
        <v>0</v>
      </c>
      <c r="O8185" t="n">
        <v>0</v>
      </c>
      <c r="P8185" t="n">
        <v>0</v>
      </c>
      <c r="Q8185" t="n">
        <v>0</v>
      </c>
      <c r="R8185" s="2" t="inlineStr"/>
    </row>
    <row r="8186" ht="15" customHeight="1">
      <c r="A8186" t="inlineStr">
        <is>
          <t>A 42732-2023</t>
        </is>
      </c>
      <c r="B8186" s="1" t="n">
        <v>45181</v>
      </c>
      <c r="C8186" s="1" t="n">
        <v>45587</v>
      </c>
      <c r="D8186" t="inlineStr">
        <is>
          <t>GÄVLEBORGS LÄN</t>
        </is>
      </c>
      <c r="E8186" t="inlineStr">
        <is>
          <t>LJUSDAL</t>
        </is>
      </c>
      <c r="F8186" t="inlineStr">
        <is>
          <t>Kommuner</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42572-2023</t>
        </is>
      </c>
      <c r="B8187" s="1" t="n">
        <v>45181</v>
      </c>
      <c r="C8187" s="1" t="n">
        <v>45587</v>
      </c>
      <c r="D8187" t="inlineStr">
        <is>
          <t>GÄVLEBORGS LÄN</t>
        </is>
      </c>
      <c r="E8187" t="inlineStr">
        <is>
          <t>LJUSDAL</t>
        </is>
      </c>
      <c r="F8187" t="inlineStr">
        <is>
          <t>Bergvik skog väst AB</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42729-2023</t>
        </is>
      </c>
      <c r="B8188" s="1" t="n">
        <v>45181</v>
      </c>
      <c r="C8188" s="1" t="n">
        <v>45587</v>
      </c>
      <c r="D8188" t="inlineStr">
        <is>
          <t>GÄVLEBORGS LÄN</t>
        </is>
      </c>
      <c r="E8188" t="inlineStr">
        <is>
          <t>HUDIKSVALL</t>
        </is>
      </c>
      <c r="F8188" t="inlineStr">
        <is>
          <t>Holmen skog AB</t>
        </is>
      </c>
      <c r="G8188" t="n">
        <v>7.8</v>
      </c>
      <c r="H8188" t="n">
        <v>0</v>
      </c>
      <c r="I8188" t="n">
        <v>0</v>
      </c>
      <c r="J8188" t="n">
        <v>0</v>
      </c>
      <c r="K8188" t="n">
        <v>0</v>
      </c>
      <c r="L8188" t="n">
        <v>0</v>
      </c>
      <c r="M8188" t="n">
        <v>0</v>
      </c>
      <c r="N8188" t="n">
        <v>0</v>
      </c>
      <c r="O8188" t="n">
        <v>0</v>
      </c>
      <c r="P8188" t="n">
        <v>0</v>
      </c>
      <c r="Q8188" t="n">
        <v>0</v>
      </c>
      <c r="R8188" s="2" t="inlineStr"/>
    </row>
    <row r="8189" ht="15" customHeight="1">
      <c r="A8189" t="inlineStr">
        <is>
          <t>A 42596-2023</t>
        </is>
      </c>
      <c r="B8189" s="1" t="n">
        <v>45181</v>
      </c>
      <c r="C8189" s="1" t="n">
        <v>45587</v>
      </c>
      <c r="D8189" t="inlineStr">
        <is>
          <t>GÄVLEBORGS LÄN</t>
        </is>
      </c>
      <c r="E8189" t="inlineStr">
        <is>
          <t>LJUSDAL</t>
        </is>
      </c>
      <c r="F8189" t="inlineStr">
        <is>
          <t>Holmen skog AB</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42685-2023</t>
        </is>
      </c>
      <c r="B8190" s="1" t="n">
        <v>45181</v>
      </c>
      <c r="C8190" s="1" t="n">
        <v>45587</v>
      </c>
      <c r="D8190" t="inlineStr">
        <is>
          <t>GÄVLEBORGS LÄN</t>
        </is>
      </c>
      <c r="E8190" t="inlineStr">
        <is>
          <t>LJUSDAL</t>
        </is>
      </c>
      <c r="F8190" t="inlineStr">
        <is>
          <t>Holmen skog AB</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42934-2023</t>
        </is>
      </c>
      <c r="B8191" s="1" t="n">
        <v>45182</v>
      </c>
      <c r="C8191" s="1" t="n">
        <v>45587</v>
      </c>
      <c r="D8191" t="inlineStr">
        <is>
          <t>GÄVLEBORGS LÄN</t>
        </is>
      </c>
      <c r="E8191" t="inlineStr">
        <is>
          <t>GÄVLE</t>
        </is>
      </c>
      <c r="F8191" t="inlineStr">
        <is>
          <t>Bergvik skog väst AB</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42979-2023</t>
        </is>
      </c>
      <c r="B8192" s="1" t="n">
        <v>45182</v>
      </c>
      <c r="C8192" s="1" t="n">
        <v>45587</v>
      </c>
      <c r="D8192" t="inlineStr">
        <is>
          <t>GÄVLEBORGS LÄN</t>
        </is>
      </c>
      <c r="E8192" t="inlineStr">
        <is>
          <t>LJUSDAL</t>
        </is>
      </c>
      <c r="G8192" t="n">
        <v>13.2</v>
      </c>
      <c r="H8192" t="n">
        <v>0</v>
      </c>
      <c r="I8192" t="n">
        <v>0</v>
      </c>
      <c r="J8192" t="n">
        <v>0</v>
      </c>
      <c r="K8192" t="n">
        <v>0</v>
      </c>
      <c r="L8192" t="n">
        <v>0</v>
      </c>
      <c r="M8192" t="n">
        <v>0</v>
      </c>
      <c r="N8192" t="n">
        <v>0</v>
      </c>
      <c r="O8192" t="n">
        <v>0</v>
      </c>
      <c r="P8192" t="n">
        <v>0</v>
      </c>
      <c r="Q8192" t="n">
        <v>0</v>
      </c>
      <c r="R8192" s="2" t="inlineStr"/>
    </row>
    <row r="8193" ht="15" customHeight="1">
      <c r="A8193" t="inlineStr">
        <is>
          <t>A 43007-2023</t>
        </is>
      </c>
      <c r="B8193" s="1" t="n">
        <v>45182</v>
      </c>
      <c r="C8193" s="1" t="n">
        <v>45587</v>
      </c>
      <c r="D8193" t="inlineStr">
        <is>
          <t>GÄVLEBORGS LÄN</t>
        </is>
      </c>
      <c r="E8193" t="inlineStr">
        <is>
          <t>HUDIKSVALL</t>
        </is>
      </c>
      <c r="F8193" t="inlineStr">
        <is>
          <t>Holmen skog AB</t>
        </is>
      </c>
      <c r="G8193" t="n">
        <v>5.8</v>
      </c>
      <c r="H8193" t="n">
        <v>0</v>
      </c>
      <c r="I8193" t="n">
        <v>0</v>
      </c>
      <c r="J8193" t="n">
        <v>0</v>
      </c>
      <c r="K8193" t="n">
        <v>0</v>
      </c>
      <c r="L8193" t="n">
        <v>0</v>
      </c>
      <c r="M8193" t="n">
        <v>0</v>
      </c>
      <c r="N8193" t="n">
        <v>0</v>
      </c>
      <c r="O8193" t="n">
        <v>0</v>
      </c>
      <c r="P8193" t="n">
        <v>0</v>
      </c>
      <c r="Q8193" t="n">
        <v>0</v>
      </c>
      <c r="R8193" s="2" t="inlineStr"/>
    </row>
    <row r="8194" ht="15" customHeight="1">
      <c r="A8194" t="inlineStr">
        <is>
          <t>A 43021-2023</t>
        </is>
      </c>
      <c r="B8194" s="1" t="n">
        <v>45182</v>
      </c>
      <c r="C8194" s="1" t="n">
        <v>45587</v>
      </c>
      <c r="D8194" t="inlineStr">
        <is>
          <t>GÄVLEBORGS LÄN</t>
        </is>
      </c>
      <c r="E8194" t="inlineStr">
        <is>
          <t>OVANÅKER</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42876-2023</t>
        </is>
      </c>
      <c r="B8195" s="1" t="n">
        <v>45182</v>
      </c>
      <c r="C8195" s="1" t="n">
        <v>45587</v>
      </c>
      <c r="D8195" t="inlineStr">
        <is>
          <t>GÄVLEBORGS LÄN</t>
        </is>
      </c>
      <c r="E8195" t="inlineStr">
        <is>
          <t>GÄVLE</t>
        </is>
      </c>
      <c r="F8195" t="inlineStr">
        <is>
          <t>Bergvik skog väst AB</t>
        </is>
      </c>
      <c r="G8195" t="n">
        <v>22.7</v>
      </c>
      <c r="H8195" t="n">
        <v>0</v>
      </c>
      <c r="I8195" t="n">
        <v>0</v>
      </c>
      <c r="J8195" t="n">
        <v>0</v>
      </c>
      <c r="K8195" t="n">
        <v>0</v>
      </c>
      <c r="L8195" t="n">
        <v>0</v>
      </c>
      <c r="M8195" t="n">
        <v>0</v>
      </c>
      <c r="N8195" t="n">
        <v>0</v>
      </c>
      <c r="O8195" t="n">
        <v>0</v>
      </c>
      <c r="P8195" t="n">
        <v>0</v>
      </c>
      <c r="Q8195" t="n">
        <v>0</v>
      </c>
      <c r="R8195" s="2" t="inlineStr"/>
    </row>
    <row r="8196" ht="15" customHeight="1">
      <c r="A8196" t="inlineStr">
        <is>
          <t>A 42841-2023</t>
        </is>
      </c>
      <c r="B8196" s="1" t="n">
        <v>45182</v>
      </c>
      <c r="C8196" s="1" t="n">
        <v>45587</v>
      </c>
      <c r="D8196" t="inlineStr">
        <is>
          <t>GÄVLEBORGS LÄN</t>
        </is>
      </c>
      <c r="E8196" t="inlineStr">
        <is>
          <t>LJUSDAL</t>
        </is>
      </c>
      <c r="F8196" t="inlineStr">
        <is>
          <t>Allmännings- och besparingsskogar</t>
        </is>
      </c>
      <c r="G8196" t="n">
        <v>28.8</v>
      </c>
      <c r="H8196" t="n">
        <v>0</v>
      </c>
      <c r="I8196" t="n">
        <v>0</v>
      </c>
      <c r="J8196" t="n">
        <v>0</v>
      </c>
      <c r="K8196" t="n">
        <v>0</v>
      </c>
      <c r="L8196" t="n">
        <v>0</v>
      </c>
      <c r="M8196" t="n">
        <v>0</v>
      </c>
      <c r="N8196" t="n">
        <v>0</v>
      </c>
      <c r="O8196" t="n">
        <v>0</v>
      </c>
      <c r="P8196" t="n">
        <v>0</v>
      </c>
      <c r="Q8196" t="n">
        <v>0</v>
      </c>
      <c r="R8196" s="2" t="inlineStr"/>
    </row>
    <row r="8197" ht="15" customHeight="1">
      <c r="A8197" t="inlineStr">
        <is>
          <t>A 42862-2023</t>
        </is>
      </c>
      <c r="B8197" s="1" t="n">
        <v>45182</v>
      </c>
      <c r="C8197" s="1" t="n">
        <v>45587</v>
      </c>
      <c r="D8197" t="inlineStr">
        <is>
          <t>GÄVLEBORGS LÄN</t>
        </is>
      </c>
      <c r="E8197" t="inlineStr">
        <is>
          <t>BOLLNÄS</t>
        </is>
      </c>
      <c r="F8197" t="inlineStr">
        <is>
          <t>Sveaskog</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42949-2023</t>
        </is>
      </c>
      <c r="B8198" s="1" t="n">
        <v>45182</v>
      </c>
      <c r="C8198" s="1" t="n">
        <v>45587</v>
      </c>
      <c r="D8198" t="inlineStr">
        <is>
          <t>GÄVLEBORGS LÄN</t>
        </is>
      </c>
      <c r="E8198" t="inlineStr">
        <is>
          <t>LJUSDAL</t>
        </is>
      </c>
      <c r="G8198" t="n">
        <v>10.4</v>
      </c>
      <c r="H8198" t="n">
        <v>0</v>
      </c>
      <c r="I8198" t="n">
        <v>0</v>
      </c>
      <c r="J8198" t="n">
        <v>0</v>
      </c>
      <c r="K8198" t="n">
        <v>0</v>
      </c>
      <c r="L8198" t="n">
        <v>0</v>
      </c>
      <c r="M8198" t="n">
        <v>0</v>
      </c>
      <c r="N8198" t="n">
        <v>0</v>
      </c>
      <c r="O8198" t="n">
        <v>0</v>
      </c>
      <c r="P8198" t="n">
        <v>0</v>
      </c>
      <c r="Q8198" t="n">
        <v>0</v>
      </c>
      <c r="R8198" s="2" t="inlineStr"/>
    </row>
    <row r="8199" ht="15" customHeight="1">
      <c r="A8199" t="inlineStr">
        <is>
          <t>A 43090-2023</t>
        </is>
      </c>
      <c r="B8199" s="1" t="n">
        <v>45182</v>
      </c>
      <c r="C8199" s="1" t="n">
        <v>45587</v>
      </c>
      <c r="D8199" t="inlineStr">
        <is>
          <t>GÄVLEBORGS LÄN</t>
        </is>
      </c>
      <c r="E8199" t="inlineStr">
        <is>
          <t>SANDVIKEN</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43087-2023</t>
        </is>
      </c>
      <c r="B8200" s="1" t="n">
        <v>45182</v>
      </c>
      <c r="C8200" s="1" t="n">
        <v>45587</v>
      </c>
      <c r="D8200" t="inlineStr">
        <is>
          <t>GÄVLEBORGS LÄN</t>
        </is>
      </c>
      <c r="E8200" t="inlineStr">
        <is>
          <t>SANDVIKEN</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43018-2023</t>
        </is>
      </c>
      <c r="B8201" s="1" t="n">
        <v>45182</v>
      </c>
      <c r="C8201" s="1" t="n">
        <v>45587</v>
      </c>
      <c r="D8201" t="inlineStr">
        <is>
          <t>GÄVLEBORGS LÄN</t>
        </is>
      </c>
      <c r="E8201" t="inlineStr">
        <is>
          <t>LJUSDAL</t>
        </is>
      </c>
      <c r="G8201" t="n">
        <v>8.199999999999999</v>
      </c>
      <c r="H8201" t="n">
        <v>0</v>
      </c>
      <c r="I8201" t="n">
        <v>0</v>
      </c>
      <c r="J8201" t="n">
        <v>0</v>
      </c>
      <c r="K8201" t="n">
        <v>0</v>
      </c>
      <c r="L8201" t="n">
        <v>0</v>
      </c>
      <c r="M8201" t="n">
        <v>0</v>
      </c>
      <c r="N8201" t="n">
        <v>0</v>
      </c>
      <c r="O8201" t="n">
        <v>0</v>
      </c>
      <c r="P8201" t="n">
        <v>0</v>
      </c>
      <c r="Q8201" t="n">
        <v>0</v>
      </c>
      <c r="R8201" s="2" t="inlineStr"/>
    </row>
    <row r="8202" ht="15" customHeight="1">
      <c r="A8202" t="inlineStr">
        <is>
          <t>A 43023-2023</t>
        </is>
      </c>
      <c r="B8202" s="1" t="n">
        <v>45182</v>
      </c>
      <c r="C8202" s="1" t="n">
        <v>45587</v>
      </c>
      <c r="D8202" t="inlineStr">
        <is>
          <t>GÄVLEBORGS LÄN</t>
        </is>
      </c>
      <c r="E8202" t="inlineStr">
        <is>
          <t>OVANÅKER</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42926-2023</t>
        </is>
      </c>
      <c r="B8203" s="1" t="n">
        <v>45182</v>
      </c>
      <c r="C8203" s="1" t="n">
        <v>45587</v>
      </c>
      <c r="D8203" t="inlineStr">
        <is>
          <t>GÄVLEBORGS LÄN</t>
        </is>
      </c>
      <c r="E8203" t="inlineStr">
        <is>
          <t>NORDANSTIG</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43080-2023</t>
        </is>
      </c>
      <c r="B8204" s="1" t="n">
        <v>45182</v>
      </c>
      <c r="C8204" s="1" t="n">
        <v>45587</v>
      </c>
      <c r="D8204" t="inlineStr">
        <is>
          <t>GÄVLEBORGS LÄN</t>
        </is>
      </c>
      <c r="E8204" t="inlineStr">
        <is>
          <t>NORDANSTIG</t>
        </is>
      </c>
      <c r="G8204" t="n">
        <v>11.6</v>
      </c>
      <c r="H8204" t="n">
        <v>0</v>
      </c>
      <c r="I8204" t="n">
        <v>0</v>
      </c>
      <c r="J8204" t="n">
        <v>0</v>
      </c>
      <c r="K8204" t="n">
        <v>0</v>
      </c>
      <c r="L8204" t="n">
        <v>0</v>
      </c>
      <c r="M8204" t="n">
        <v>0</v>
      </c>
      <c r="N8204" t="n">
        <v>0</v>
      </c>
      <c r="O8204" t="n">
        <v>0</v>
      </c>
      <c r="P8204" t="n">
        <v>0</v>
      </c>
      <c r="Q8204" t="n">
        <v>0</v>
      </c>
      <c r="R8204" s="2" t="inlineStr"/>
    </row>
    <row r="8205" ht="15" customHeight="1">
      <c r="A8205" t="inlineStr">
        <is>
          <t>A 43073-2023</t>
        </is>
      </c>
      <c r="B8205" s="1" t="n">
        <v>45182</v>
      </c>
      <c r="C8205" s="1" t="n">
        <v>45587</v>
      </c>
      <c r="D8205" t="inlineStr">
        <is>
          <t>GÄVLEBORGS LÄN</t>
        </is>
      </c>
      <c r="E8205" t="inlineStr">
        <is>
          <t>BOLLNÄS</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43089-2023</t>
        </is>
      </c>
      <c r="B8206" s="1" t="n">
        <v>45182</v>
      </c>
      <c r="C8206" s="1" t="n">
        <v>45587</v>
      </c>
      <c r="D8206" t="inlineStr">
        <is>
          <t>GÄVLEBORGS LÄN</t>
        </is>
      </c>
      <c r="E8206" t="inlineStr">
        <is>
          <t>SANDVIKEN</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43121-2023</t>
        </is>
      </c>
      <c r="B8207" s="1" t="n">
        <v>45183</v>
      </c>
      <c r="C8207" s="1" t="n">
        <v>45587</v>
      </c>
      <c r="D8207" t="inlineStr">
        <is>
          <t>GÄVLEBORGS LÄN</t>
        </is>
      </c>
      <c r="E8207" t="inlineStr">
        <is>
          <t>LJUSDAL</t>
        </is>
      </c>
      <c r="F8207" t="inlineStr">
        <is>
          <t>SCA</t>
        </is>
      </c>
      <c r="G8207" t="n">
        <v>7.6</v>
      </c>
      <c r="H8207" t="n">
        <v>0</v>
      </c>
      <c r="I8207" t="n">
        <v>0</v>
      </c>
      <c r="J8207" t="n">
        <v>0</v>
      </c>
      <c r="K8207" t="n">
        <v>0</v>
      </c>
      <c r="L8207" t="n">
        <v>0</v>
      </c>
      <c r="M8207" t="n">
        <v>0</v>
      </c>
      <c r="N8207" t="n">
        <v>0</v>
      </c>
      <c r="O8207" t="n">
        <v>0</v>
      </c>
      <c r="P8207" t="n">
        <v>0</v>
      </c>
      <c r="Q8207" t="n">
        <v>0</v>
      </c>
      <c r="R8207" s="2" t="inlineStr"/>
    </row>
    <row r="8208" ht="15" customHeight="1">
      <c r="A8208" t="inlineStr">
        <is>
          <t>A 43152-2023</t>
        </is>
      </c>
      <c r="B8208" s="1" t="n">
        <v>45183</v>
      </c>
      <c r="C8208" s="1" t="n">
        <v>45587</v>
      </c>
      <c r="D8208" t="inlineStr">
        <is>
          <t>GÄVLEBORGS LÄN</t>
        </is>
      </c>
      <c r="E8208" t="inlineStr">
        <is>
          <t>BOLLNÄS</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43145-2023</t>
        </is>
      </c>
      <c r="B8209" s="1" t="n">
        <v>45183</v>
      </c>
      <c r="C8209" s="1" t="n">
        <v>45587</v>
      </c>
      <c r="D8209" t="inlineStr">
        <is>
          <t>GÄVLEBORGS LÄN</t>
        </is>
      </c>
      <c r="E8209" t="inlineStr">
        <is>
          <t>OVANÅKER</t>
        </is>
      </c>
      <c r="G8209" t="n">
        <v>4</v>
      </c>
      <c r="H8209" t="n">
        <v>0</v>
      </c>
      <c r="I8209" t="n">
        <v>0</v>
      </c>
      <c r="J8209" t="n">
        <v>0</v>
      </c>
      <c r="K8209" t="n">
        <v>0</v>
      </c>
      <c r="L8209" t="n">
        <v>0</v>
      </c>
      <c r="M8209" t="n">
        <v>0</v>
      </c>
      <c r="N8209" t="n">
        <v>0</v>
      </c>
      <c r="O8209" t="n">
        <v>0</v>
      </c>
      <c r="P8209" t="n">
        <v>0</v>
      </c>
      <c r="Q8209" t="n">
        <v>0</v>
      </c>
      <c r="R8209" s="2" t="inlineStr"/>
    </row>
    <row r="8210" ht="15" customHeight="1">
      <c r="A8210" t="inlineStr">
        <is>
          <t>A 43149-2023</t>
        </is>
      </c>
      <c r="B8210" s="1" t="n">
        <v>45183</v>
      </c>
      <c r="C8210" s="1" t="n">
        <v>45587</v>
      </c>
      <c r="D8210" t="inlineStr">
        <is>
          <t>GÄVLEBORGS LÄN</t>
        </is>
      </c>
      <c r="E8210" t="inlineStr">
        <is>
          <t>BOLLNÄS</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43169-2023</t>
        </is>
      </c>
      <c r="B8211" s="1" t="n">
        <v>45183</v>
      </c>
      <c r="C8211" s="1" t="n">
        <v>45587</v>
      </c>
      <c r="D8211" t="inlineStr">
        <is>
          <t>GÄVLEBORGS LÄN</t>
        </is>
      </c>
      <c r="E8211" t="inlineStr">
        <is>
          <t>OVANÅKER</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43274-2023</t>
        </is>
      </c>
      <c r="B8212" s="1" t="n">
        <v>45183</v>
      </c>
      <c r="C8212" s="1" t="n">
        <v>45587</v>
      </c>
      <c r="D8212" t="inlineStr">
        <is>
          <t>GÄVLEBORGS LÄN</t>
        </is>
      </c>
      <c r="E8212" t="inlineStr">
        <is>
          <t>OVANÅKER</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43299-2023</t>
        </is>
      </c>
      <c r="B8213" s="1" t="n">
        <v>45183</v>
      </c>
      <c r="C8213" s="1" t="n">
        <v>45587</v>
      </c>
      <c r="D8213" t="inlineStr">
        <is>
          <t>GÄVLEBORGS LÄN</t>
        </is>
      </c>
      <c r="E8213" t="inlineStr">
        <is>
          <t>OVANÅKER</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43381-2023</t>
        </is>
      </c>
      <c r="B8214" s="1" t="n">
        <v>45183</v>
      </c>
      <c r="C8214" s="1" t="n">
        <v>45587</v>
      </c>
      <c r="D8214" t="inlineStr">
        <is>
          <t>GÄVLEBORGS LÄN</t>
        </is>
      </c>
      <c r="E8214" t="inlineStr">
        <is>
          <t>NORDANSTIG</t>
        </is>
      </c>
      <c r="F8214" t="inlineStr">
        <is>
          <t>Holmen skog AB</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43259-2023</t>
        </is>
      </c>
      <c r="B8215" s="1" t="n">
        <v>45183</v>
      </c>
      <c r="C8215" s="1" t="n">
        <v>45587</v>
      </c>
      <c r="D8215" t="inlineStr">
        <is>
          <t>GÄVLEBORGS LÄN</t>
        </is>
      </c>
      <c r="E8215" t="inlineStr">
        <is>
          <t>OVANÅKER</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43395-2023</t>
        </is>
      </c>
      <c r="B8216" s="1" t="n">
        <v>45184</v>
      </c>
      <c r="C8216" s="1" t="n">
        <v>45587</v>
      </c>
      <c r="D8216" t="inlineStr">
        <is>
          <t>GÄVLEBORGS LÄN</t>
        </is>
      </c>
      <c r="E8216" t="inlineStr">
        <is>
          <t>SÖDERHAMN</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43318-2023</t>
        </is>
      </c>
      <c r="B8217" s="1" t="n">
        <v>45183</v>
      </c>
      <c r="C8217" s="1" t="n">
        <v>45587</v>
      </c>
      <c r="D8217" t="inlineStr">
        <is>
          <t>GÄVLEBORGS LÄN</t>
        </is>
      </c>
      <c r="E8217" t="inlineStr">
        <is>
          <t>HOFORS</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43322-2023</t>
        </is>
      </c>
      <c r="B8218" s="1" t="n">
        <v>45183</v>
      </c>
      <c r="C8218" s="1" t="n">
        <v>45587</v>
      </c>
      <c r="D8218" t="inlineStr">
        <is>
          <t>GÄVLEBORGS LÄN</t>
        </is>
      </c>
      <c r="E8218" t="inlineStr">
        <is>
          <t>NORDANSTIG</t>
        </is>
      </c>
      <c r="G8218" t="n">
        <v>11.4</v>
      </c>
      <c r="H8218" t="n">
        <v>0</v>
      </c>
      <c r="I8218" t="n">
        <v>0</v>
      </c>
      <c r="J8218" t="n">
        <v>0</v>
      </c>
      <c r="K8218" t="n">
        <v>0</v>
      </c>
      <c r="L8218" t="n">
        <v>0</v>
      </c>
      <c r="M8218" t="n">
        <v>0</v>
      </c>
      <c r="N8218" t="n">
        <v>0</v>
      </c>
      <c r="O8218" t="n">
        <v>0</v>
      </c>
      <c r="P8218" t="n">
        <v>0</v>
      </c>
      <c r="Q8218" t="n">
        <v>0</v>
      </c>
      <c r="R8218" s="2" t="inlineStr"/>
    </row>
    <row r="8219" ht="15" customHeight="1">
      <c r="A8219" t="inlineStr">
        <is>
          <t>A 43400-2023</t>
        </is>
      </c>
      <c r="B8219" s="1" t="n">
        <v>45184</v>
      </c>
      <c r="C8219" s="1" t="n">
        <v>45587</v>
      </c>
      <c r="D8219" t="inlineStr">
        <is>
          <t>GÄVLEBORGS LÄN</t>
        </is>
      </c>
      <c r="E8219" t="inlineStr">
        <is>
          <t>NORDANSTIG</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43378-2023</t>
        </is>
      </c>
      <c r="B8220" s="1" t="n">
        <v>45183</v>
      </c>
      <c r="C8220" s="1" t="n">
        <v>45587</v>
      </c>
      <c r="D8220" t="inlineStr">
        <is>
          <t>GÄVLEBORGS LÄN</t>
        </is>
      </c>
      <c r="E8220" t="inlineStr">
        <is>
          <t>NORDANSTIG</t>
        </is>
      </c>
      <c r="F8220" t="inlineStr">
        <is>
          <t>Holmen skog AB</t>
        </is>
      </c>
      <c r="G8220" t="n">
        <v>8</v>
      </c>
      <c r="H8220" t="n">
        <v>0</v>
      </c>
      <c r="I8220" t="n">
        <v>0</v>
      </c>
      <c r="J8220" t="n">
        <v>0</v>
      </c>
      <c r="K8220" t="n">
        <v>0</v>
      </c>
      <c r="L8220" t="n">
        <v>0</v>
      </c>
      <c r="M8220" t="n">
        <v>0</v>
      </c>
      <c r="N8220" t="n">
        <v>0</v>
      </c>
      <c r="O8220" t="n">
        <v>0</v>
      </c>
      <c r="P8220" t="n">
        <v>0</v>
      </c>
      <c r="Q8220" t="n">
        <v>0</v>
      </c>
      <c r="R8220" s="2" t="inlineStr"/>
    </row>
    <row r="8221" ht="15" customHeight="1">
      <c r="A8221" t="inlineStr">
        <is>
          <t>A 44576-2023</t>
        </is>
      </c>
      <c r="B8221" s="1" t="n">
        <v>45183</v>
      </c>
      <c r="C8221" s="1" t="n">
        <v>45587</v>
      </c>
      <c r="D8221" t="inlineStr">
        <is>
          <t>GÄVLEBORGS LÄN</t>
        </is>
      </c>
      <c r="E8221" t="inlineStr">
        <is>
          <t>BOLLNÄS</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44558-2023</t>
        </is>
      </c>
      <c r="B8222" s="1" t="n">
        <v>45183</v>
      </c>
      <c r="C8222" s="1" t="n">
        <v>45587</v>
      </c>
      <c r="D8222" t="inlineStr">
        <is>
          <t>GÄVLEBORGS LÄN</t>
        </is>
      </c>
      <c r="E8222" t="inlineStr">
        <is>
          <t>BOLLNÄS</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43453-2023</t>
        </is>
      </c>
      <c r="B8223" s="1" t="n">
        <v>45184</v>
      </c>
      <c r="C8223" s="1" t="n">
        <v>45587</v>
      </c>
      <c r="D8223" t="inlineStr">
        <is>
          <t>GÄVLEBORGS LÄN</t>
        </is>
      </c>
      <c r="E8223" t="inlineStr">
        <is>
          <t>SÖDERHAMN</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43465-2023</t>
        </is>
      </c>
      <c r="B8224" s="1" t="n">
        <v>45184</v>
      </c>
      <c r="C8224" s="1" t="n">
        <v>45587</v>
      </c>
      <c r="D8224" t="inlineStr">
        <is>
          <t>GÄVLEBORGS LÄN</t>
        </is>
      </c>
      <c r="E8224" t="inlineStr">
        <is>
          <t>HUDIKSVALL</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43469-2023</t>
        </is>
      </c>
      <c r="B8225" s="1" t="n">
        <v>45184</v>
      </c>
      <c r="C8225" s="1" t="n">
        <v>45587</v>
      </c>
      <c r="D8225" t="inlineStr">
        <is>
          <t>GÄVLEBORGS LÄN</t>
        </is>
      </c>
      <c r="E8225" t="inlineStr">
        <is>
          <t>HUDIKSVALL</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43480-2023</t>
        </is>
      </c>
      <c r="B8226" s="1" t="n">
        <v>45184</v>
      </c>
      <c r="C8226" s="1" t="n">
        <v>45587</v>
      </c>
      <c r="D8226" t="inlineStr">
        <is>
          <t>GÄVLEBORGS LÄN</t>
        </is>
      </c>
      <c r="E8226" t="inlineStr">
        <is>
          <t>OCKELBO</t>
        </is>
      </c>
      <c r="F8226" t="inlineStr">
        <is>
          <t>Bergvik skog väst AB</t>
        </is>
      </c>
      <c r="G8226" t="n">
        <v>9.699999999999999</v>
      </c>
      <c r="H8226" t="n">
        <v>0</v>
      </c>
      <c r="I8226" t="n">
        <v>0</v>
      </c>
      <c r="J8226" t="n">
        <v>0</v>
      </c>
      <c r="K8226" t="n">
        <v>0</v>
      </c>
      <c r="L8226" t="n">
        <v>0</v>
      </c>
      <c r="M8226" t="n">
        <v>0</v>
      </c>
      <c r="N8226" t="n">
        <v>0</v>
      </c>
      <c r="O8226" t="n">
        <v>0</v>
      </c>
      <c r="P8226" t="n">
        <v>0</v>
      </c>
      <c r="Q8226" t="n">
        <v>0</v>
      </c>
      <c r="R8226" s="2" t="inlineStr"/>
    </row>
    <row r="8227" ht="15" customHeight="1">
      <c r="A8227" t="inlineStr">
        <is>
          <t>A 43490-2023</t>
        </is>
      </c>
      <c r="B8227" s="1" t="n">
        <v>45184</v>
      </c>
      <c r="C8227" s="1" t="n">
        <v>45587</v>
      </c>
      <c r="D8227" t="inlineStr">
        <is>
          <t>GÄVLEBORGS LÄN</t>
        </is>
      </c>
      <c r="E8227" t="inlineStr">
        <is>
          <t>LJUSDAL</t>
        </is>
      </c>
      <c r="F8227" t="inlineStr">
        <is>
          <t>Allmännings- och besparingsskogar</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43537-2023</t>
        </is>
      </c>
      <c r="B8228" s="1" t="n">
        <v>45184</v>
      </c>
      <c r="C8228" s="1" t="n">
        <v>45587</v>
      </c>
      <c r="D8228" t="inlineStr">
        <is>
          <t>GÄVLEBORGS LÄN</t>
        </is>
      </c>
      <c r="E8228" t="inlineStr">
        <is>
          <t>BOLLNÄS</t>
        </is>
      </c>
      <c r="G8228" t="n">
        <v>7.4</v>
      </c>
      <c r="H8228" t="n">
        <v>0</v>
      </c>
      <c r="I8228" t="n">
        <v>0</v>
      </c>
      <c r="J8228" t="n">
        <v>0</v>
      </c>
      <c r="K8228" t="n">
        <v>0</v>
      </c>
      <c r="L8228" t="n">
        <v>0</v>
      </c>
      <c r="M8228" t="n">
        <v>0</v>
      </c>
      <c r="N8228" t="n">
        <v>0</v>
      </c>
      <c r="O8228" t="n">
        <v>0</v>
      </c>
      <c r="P8228" t="n">
        <v>0</v>
      </c>
      <c r="Q8228" t="n">
        <v>0</v>
      </c>
      <c r="R8228" s="2" t="inlineStr"/>
    </row>
    <row r="8229" ht="15" customHeight="1">
      <c r="A8229" t="inlineStr">
        <is>
          <t>A 43588-2023</t>
        </is>
      </c>
      <c r="B8229" s="1" t="n">
        <v>45184</v>
      </c>
      <c r="C8229" s="1" t="n">
        <v>45587</v>
      </c>
      <c r="D8229" t="inlineStr">
        <is>
          <t>GÄVLEBORGS LÄN</t>
        </is>
      </c>
      <c r="E8229" t="inlineStr">
        <is>
          <t>OCKELBO</t>
        </is>
      </c>
      <c r="F8229" t="inlineStr">
        <is>
          <t>Bergvik skog väst AB</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43517-2023</t>
        </is>
      </c>
      <c r="B8230" s="1" t="n">
        <v>45184</v>
      </c>
      <c r="C8230" s="1" t="n">
        <v>45587</v>
      </c>
      <c r="D8230" t="inlineStr">
        <is>
          <t>GÄVLEBORGS LÄN</t>
        </is>
      </c>
      <c r="E8230" t="inlineStr">
        <is>
          <t>LJUSDAL</t>
        </is>
      </c>
      <c r="G8230" t="n">
        <v>23.5</v>
      </c>
      <c r="H8230" t="n">
        <v>0</v>
      </c>
      <c r="I8230" t="n">
        <v>0</v>
      </c>
      <c r="J8230" t="n">
        <v>0</v>
      </c>
      <c r="K8230" t="n">
        <v>0</v>
      </c>
      <c r="L8230" t="n">
        <v>0</v>
      </c>
      <c r="M8230" t="n">
        <v>0</v>
      </c>
      <c r="N8230" t="n">
        <v>0</v>
      </c>
      <c r="O8230" t="n">
        <v>0</v>
      </c>
      <c r="P8230" t="n">
        <v>0</v>
      </c>
      <c r="Q8230" t="n">
        <v>0</v>
      </c>
      <c r="R8230" s="2" t="inlineStr"/>
    </row>
    <row r="8231" ht="15" customHeight="1">
      <c r="A8231" t="inlineStr">
        <is>
          <t>A 43553-2023</t>
        </is>
      </c>
      <c r="B8231" s="1" t="n">
        <v>45184</v>
      </c>
      <c r="C8231" s="1" t="n">
        <v>45587</v>
      </c>
      <c r="D8231" t="inlineStr">
        <is>
          <t>GÄVLEBORGS LÄN</t>
        </is>
      </c>
      <c r="E8231" t="inlineStr">
        <is>
          <t>GÄVLE</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43538-2023</t>
        </is>
      </c>
      <c r="B8232" s="1" t="n">
        <v>45184</v>
      </c>
      <c r="C8232" s="1" t="n">
        <v>45587</v>
      </c>
      <c r="D8232" t="inlineStr">
        <is>
          <t>GÄVLEBORGS LÄN</t>
        </is>
      </c>
      <c r="E8232" t="inlineStr">
        <is>
          <t>OCKELBO</t>
        </is>
      </c>
      <c r="F8232" t="inlineStr">
        <is>
          <t>Bergvik skog väst AB</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43539-2023</t>
        </is>
      </c>
      <c r="B8233" s="1" t="n">
        <v>45184</v>
      </c>
      <c r="C8233" s="1" t="n">
        <v>45587</v>
      </c>
      <c r="D8233" t="inlineStr">
        <is>
          <t>GÄVLEBORGS LÄN</t>
        </is>
      </c>
      <c r="E8233" t="inlineStr">
        <is>
          <t>NORDANSTIG</t>
        </is>
      </c>
      <c r="G8233" t="n">
        <v>3.9</v>
      </c>
      <c r="H8233" t="n">
        <v>0</v>
      </c>
      <c r="I8233" t="n">
        <v>0</v>
      </c>
      <c r="J8233" t="n">
        <v>0</v>
      </c>
      <c r="K8233" t="n">
        <v>0</v>
      </c>
      <c r="L8233" t="n">
        <v>0</v>
      </c>
      <c r="M8233" t="n">
        <v>0</v>
      </c>
      <c r="N8233" t="n">
        <v>0</v>
      </c>
      <c r="O8233" t="n">
        <v>0</v>
      </c>
      <c r="P8233" t="n">
        <v>0</v>
      </c>
      <c r="Q8233" t="n">
        <v>0</v>
      </c>
      <c r="R8233" s="2" t="inlineStr"/>
    </row>
    <row r="8234" ht="15" customHeight="1">
      <c r="A8234" t="inlineStr">
        <is>
          <t>A 43550-2023</t>
        </is>
      </c>
      <c r="B8234" s="1" t="n">
        <v>45184</v>
      </c>
      <c r="C8234" s="1" t="n">
        <v>45587</v>
      </c>
      <c r="D8234" t="inlineStr">
        <is>
          <t>GÄVLEBORGS LÄN</t>
        </is>
      </c>
      <c r="E8234" t="inlineStr">
        <is>
          <t>OCKELBO</t>
        </is>
      </c>
      <c r="F8234" t="inlineStr">
        <is>
          <t>Bergvik skog väst AB</t>
        </is>
      </c>
      <c r="G8234" t="n">
        <v>3.2</v>
      </c>
      <c r="H8234" t="n">
        <v>0</v>
      </c>
      <c r="I8234" t="n">
        <v>0</v>
      </c>
      <c r="J8234" t="n">
        <v>0</v>
      </c>
      <c r="K8234" t="n">
        <v>0</v>
      </c>
      <c r="L8234" t="n">
        <v>0</v>
      </c>
      <c r="M8234" t="n">
        <v>0</v>
      </c>
      <c r="N8234" t="n">
        <v>0</v>
      </c>
      <c r="O8234" t="n">
        <v>0</v>
      </c>
      <c r="P8234" t="n">
        <v>0</v>
      </c>
      <c r="Q8234" t="n">
        <v>0</v>
      </c>
      <c r="R8234" s="2" t="inlineStr"/>
    </row>
    <row r="8235" ht="15" customHeight="1">
      <c r="A8235" t="inlineStr">
        <is>
          <t>A 43556-2023</t>
        </is>
      </c>
      <c r="B8235" s="1" t="n">
        <v>45184</v>
      </c>
      <c r="C8235" s="1" t="n">
        <v>45587</v>
      </c>
      <c r="D8235" t="inlineStr">
        <is>
          <t>GÄVLEBORGS LÄN</t>
        </is>
      </c>
      <c r="E8235" t="inlineStr">
        <is>
          <t>GÄVLE</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43657-2023</t>
        </is>
      </c>
      <c r="B8236" s="1" t="n">
        <v>45187</v>
      </c>
      <c r="C8236" s="1" t="n">
        <v>45587</v>
      </c>
      <c r="D8236" t="inlineStr">
        <is>
          <t>GÄVLEBORGS LÄN</t>
        </is>
      </c>
      <c r="E8236" t="inlineStr">
        <is>
          <t>NORDANSTIG</t>
        </is>
      </c>
      <c r="F8236" t="inlineStr">
        <is>
          <t>Holmen skog AB</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43665-2023</t>
        </is>
      </c>
      <c r="B8237" s="1" t="n">
        <v>45187</v>
      </c>
      <c r="C8237" s="1" t="n">
        <v>45587</v>
      </c>
      <c r="D8237" t="inlineStr">
        <is>
          <t>GÄVLEBORGS LÄN</t>
        </is>
      </c>
      <c r="E8237" t="inlineStr">
        <is>
          <t>HUDIKSVALL</t>
        </is>
      </c>
      <c r="F8237" t="inlineStr">
        <is>
          <t>Holmen skog AB</t>
        </is>
      </c>
      <c r="G8237" t="n">
        <v>8</v>
      </c>
      <c r="H8237" t="n">
        <v>0</v>
      </c>
      <c r="I8237" t="n">
        <v>0</v>
      </c>
      <c r="J8237" t="n">
        <v>0</v>
      </c>
      <c r="K8237" t="n">
        <v>0</v>
      </c>
      <c r="L8237" t="n">
        <v>0</v>
      </c>
      <c r="M8237" t="n">
        <v>0</v>
      </c>
      <c r="N8237" t="n">
        <v>0</v>
      </c>
      <c r="O8237" t="n">
        <v>0</v>
      </c>
      <c r="P8237" t="n">
        <v>0</v>
      </c>
      <c r="Q8237" t="n">
        <v>0</v>
      </c>
      <c r="R8237" s="2" t="inlineStr"/>
    </row>
    <row r="8238" ht="15" customHeight="1">
      <c r="A8238" t="inlineStr">
        <is>
          <t>A 43669-2023</t>
        </is>
      </c>
      <c r="B8238" s="1" t="n">
        <v>45187</v>
      </c>
      <c r="C8238" s="1" t="n">
        <v>45587</v>
      </c>
      <c r="D8238" t="inlineStr">
        <is>
          <t>GÄVLEBORGS LÄN</t>
        </is>
      </c>
      <c r="E8238" t="inlineStr">
        <is>
          <t>LJUSDAL</t>
        </is>
      </c>
      <c r="F8238" t="inlineStr">
        <is>
          <t>Bergvik skog väst AB</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43673-2023</t>
        </is>
      </c>
      <c r="B8239" s="1" t="n">
        <v>45187</v>
      </c>
      <c r="C8239" s="1" t="n">
        <v>45587</v>
      </c>
      <c r="D8239" t="inlineStr">
        <is>
          <t>GÄVLEBORGS LÄN</t>
        </is>
      </c>
      <c r="E8239" t="inlineStr">
        <is>
          <t>LJUSDAL</t>
        </is>
      </c>
      <c r="F8239" t="inlineStr">
        <is>
          <t>Bergvik skog väst AB</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43716-2023</t>
        </is>
      </c>
      <c r="B8240" s="1" t="n">
        <v>45187</v>
      </c>
      <c r="C8240" s="1" t="n">
        <v>45587</v>
      </c>
      <c r="D8240" t="inlineStr">
        <is>
          <t>GÄVLEBORGS LÄN</t>
        </is>
      </c>
      <c r="E8240" t="inlineStr">
        <is>
          <t>SANDVIKEN</t>
        </is>
      </c>
      <c r="F8240" t="inlineStr">
        <is>
          <t>Sveaskog</t>
        </is>
      </c>
      <c r="G8240" t="n">
        <v>1.6</v>
      </c>
      <c r="H8240" t="n">
        <v>0</v>
      </c>
      <c r="I8240" t="n">
        <v>0</v>
      </c>
      <c r="J8240" t="n">
        <v>0</v>
      </c>
      <c r="K8240" t="n">
        <v>0</v>
      </c>
      <c r="L8240" t="n">
        <v>0</v>
      </c>
      <c r="M8240" t="n">
        <v>0</v>
      </c>
      <c r="N8240" t="n">
        <v>0</v>
      </c>
      <c r="O8240" t="n">
        <v>0</v>
      </c>
      <c r="P8240" t="n">
        <v>0</v>
      </c>
      <c r="Q8240" t="n">
        <v>0</v>
      </c>
      <c r="R8240" s="2" t="inlineStr"/>
      <c r="U8240">
        <f>HYPERLINK("https://klasma.github.io/Logging_2181/knärot/A 43716-2023 karta knärot.png", "A 43716-2023")</f>
        <v/>
      </c>
      <c r="V8240">
        <f>HYPERLINK("https://klasma.github.io/Logging_2181/klagomål/A 43716-2023 FSC-klagomål.docx", "A 43716-2023")</f>
        <v/>
      </c>
      <c r="W8240">
        <f>HYPERLINK("https://klasma.github.io/Logging_2181/klagomålsmail/A 43716-2023 FSC-klagomål mail.docx", "A 43716-2023")</f>
        <v/>
      </c>
      <c r="X8240">
        <f>HYPERLINK("https://klasma.github.io/Logging_2181/tillsyn/A 43716-2023 tillsynsbegäran.docx", "A 43716-2023")</f>
        <v/>
      </c>
      <c r="Y8240">
        <f>HYPERLINK("https://klasma.github.io/Logging_2181/tillsynsmail/A 43716-2023 tillsynsbegäran mail.docx", "A 43716-2023")</f>
        <v/>
      </c>
    </row>
    <row r="8241" ht="15" customHeight="1">
      <c r="A8241" t="inlineStr">
        <is>
          <t>A 43721-2023</t>
        </is>
      </c>
      <c r="B8241" s="1" t="n">
        <v>45187</v>
      </c>
      <c r="C8241" s="1" t="n">
        <v>45587</v>
      </c>
      <c r="D8241" t="inlineStr">
        <is>
          <t>GÄVLEBORGS LÄN</t>
        </is>
      </c>
      <c r="E8241" t="inlineStr">
        <is>
          <t>NORDANSTIG</t>
        </is>
      </c>
      <c r="G8241" t="n">
        <v>3.9</v>
      </c>
      <c r="H8241" t="n">
        <v>0</v>
      </c>
      <c r="I8241" t="n">
        <v>0</v>
      </c>
      <c r="J8241" t="n">
        <v>0</v>
      </c>
      <c r="K8241" t="n">
        <v>0</v>
      </c>
      <c r="L8241" t="n">
        <v>0</v>
      </c>
      <c r="M8241" t="n">
        <v>0</v>
      </c>
      <c r="N8241" t="n">
        <v>0</v>
      </c>
      <c r="O8241" t="n">
        <v>0</v>
      </c>
      <c r="P8241" t="n">
        <v>0</v>
      </c>
      <c r="Q8241" t="n">
        <v>0</v>
      </c>
      <c r="R8241" s="2" t="inlineStr"/>
    </row>
    <row r="8242" ht="15" customHeight="1">
      <c r="A8242" t="inlineStr">
        <is>
          <t>A 43798-2023</t>
        </is>
      </c>
      <c r="B8242" s="1" t="n">
        <v>45187</v>
      </c>
      <c r="C8242" s="1" t="n">
        <v>45587</v>
      </c>
      <c r="D8242" t="inlineStr">
        <is>
          <t>GÄVLEBORGS LÄN</t>
        </is>
      </c>
      <c r="E8242" t="inlineStr">
        <is>
          <t>SANDVIKEN</t>
        </is>
      </c>
      <c r="F8242" t="inlineStr">
        <is>
          <t>Sveaskog</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43659-2023</t>
        </is>
      </c>
      <c r="B8243" s="1" t="n">
        <v>45187</v>
      </c>
      <c r="C8243" s="1" t="n">
        <v>45587</v>
      </c>
      <c r="D8243" t="inlineStr">
        <is>
          <t>GÄVLEBORGS LÄN</t>
        </is>
      </c>
      <c r="E8243" t="inlineStr">
        <is>
          <t>HUDIKSVALL</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43683-2023</t>
        </is>
      </c>
      <c r="B8244" s="1" t="n">
        <v>45187</v>
      </c>
      <c r="C8244" s="1" t="n">
        <v>45587</v>
      </c>
      <c r="D8244" t="inlineStr">
        <is>
          <t>GÄVLEBORGS LÄN</t>
        </is>
      </c>
      <c r="E8244" t="inlineStr">
        <is>
          <t>BOLLNÄS</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43682-2023</t>
        </is>
      </c>
      <c r="B8245" s="1" t="n">
        <v>45187</v>
      </c>
      <c r="C8245" s="1" t="n">
        <v>45587</v>
      </c>
      <c r="D8245" t="inlineStr">
        <is>
          <t>GÄVLEBORGS LÄN</t>
        </is>
      </c>
      <c r="E8245" t="inlineStr">
        <is>
          <t>LJUSDAL</t>
        </is>
      </c>
      <c r="F8245" t="inlineStr">
        <is>
          <t>Bergvik skog väst AB</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43711-2023</t>
        </is>
      </c>
      <c r="B8246" s="1" t="n">
        <v>45187</v>
      </c>
      <c r="C8246" s="1" t="n">
        <v>45587</v>
      </c>
      <c r="D8246" t="inlineStr">
        <is>
          <t>GÄVLEBORGS LÄN</t>
        </is>
      </c>
      <c r="E8246" t="inlineStr">
        <is>
          <t>BOLLNÄS</t>
        </is>
      </c>
      <c r="F8246" t="inlineStr">
        <is>
          <t>Kyrkan</t>
        </is>
      </c>
      <c r="G8246" t="n">
        <v>4.1</v>
      </c>
      <c r="H8246" t="n">
        <v>0</v>
      </c>
      <c r="I8246" t="n">
        <v>0</v>
      </c>
      <c r="J8246" t="n">
        <v>0</v>
      </c>
      <c r="K8246" t="n">
        <v>0</v>
      </c>
      <c r="L8246" t="n">
        <v>0</v>
      </c>
      <c r="M8246" t="n">
        <v>0</v>
      </c>
      <c r="N8246" t="n">
        <v>0</v>
      </c>
      <c r="O8246" t="n">
        <v>0</v>
      </c>
      <c r="P8246" t="n">
        <v>0</v>
      </c>
      <c r="Q8246" t="n">
        <v>0</v>
      </c>
      <c r="R8246" s="2" t="inlineStr"/>
    </row>
    <row r="8247" ht="15" customHeight="1">
      <c r="A8247" t="inlineStr">
        <is>
          <t>A 43715-2023</t>
        </is>
      </c>
      <c r="B8247" s="1" t="n">
        <v>45187</v>
      </c>
      <c r="C8247" s="1" t="n">
        <v>45587</v>
      </c>
      <c r="D8247" t="inlineStr">
        <is>
          <t>GÄVLEBORGS LÄN</t>
        </is>
      </c>
      <c r="E8247" t="inlineStr">
        <is>
          <t>NORDANSTIG</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43741-2023</t>
        </is>
      </c>
      <c r="B8248" s="1" t="n">
        <v>45187</v>
      </c>
      <c r="C8248" s="1" t="n">
        <v>45587</v>
      </c>
      <c r="D8248" t="inlineStr">
        <is>
          <t>GÄVLEBORGS LÄN</t>
        </is>
      </c>
      <c r="E8248" t="inlineStr">
        <is>
          <t>SANDVIKEN</t>
        </is>
      </c>
      <c r="F8248" t="inlineStr">
        <is>
          <t>Sveaskog</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43750-2023</t>
        </is>
      </c>
      <c r="B8249" s="1" t="n">
        <v>45187</v>
      </c>
      <c r="C8249" s="1" t="n">
        <v>45587</v>
      </c>
      <c r="D8249" t="inlineStr">
        <is>
          <t>GÄVLEBORGS LÄN</t>
        </is>
      </c>
      <c r="E8249" t="inlineStr">
        <is>
          <t>BOLLNÄS</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43800-2023</t>
        </is>
      </c>
      <c r="B8250" s="1" t="n">
        <v>45187</v>
      </c>
      <c r="C8250" s="1" t="n">
        <v>45587</v>
      </c>
      <c r="D8250" t="inlineStr">
        <is>
          <t>GÄVLEBORGS LÄN</t>
        </is>
      </c>
      <c r="E8250" t="inlineStr">
        <is>
          <t>LJUSDAL</t>
        </is>
      </c>
      <c r="F8250" t="inlineStr">
        <is>
          <t>Bergvik skog väst AB</t>
        </is>
      </c>
      <c r="G8250" t="n">
        <v>6.9</v>
      </c>
      <c r="H8250" t="n">
        <v>0</v>
      </c>
      <c r="I8250" t="n">
        <v>0</v>
      </c>
      <c r="J8250" t="n">
        <v>0</v>
      </c>
      <c r="K8250" t="n">
        <v>0</v>
      </c>
      <c r="L8250" t="n">
        <v>0</v>
      </c>
      <c r="M8250" t="n">
        <v>0</v>
      </c>
      <c r="N8250" t="n">
        <v>0</v>
      </c>
      <c r="O8250" t="n">
        <v>0</v>
      </c>
      <c r="P8250" t="n">
        <v>0</v>
      </c>
      <c r="Q8250" t="n">
        <v>0</v>
      </c>
      <c r="R8250" s="2" t="inlineStr"/>
    </row>
    <row r="8251" ht="15" customHeight="1">
      <c r="A8251" t="inlineStr">
        <is>
          <t>A 43893-2023</t>
        </is>
      </c>
      <c r="B8251" s="1" t="n">
        <v>45187</v>
      </c>
      <c r="C8251" s="1" t="n">
        <v>45587</v>
      </c>
      <c r="D8251" t="inlineStr">
        <is>
          <t>GÄVLEBORGS LÄN</t>
        </is>
      </c>
      <c r="E8251" t="inlineStr">
        <is>
          <t>NORDANSTIG</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43930-2023</t>
        </is>
      </c>
      <c r="B8252" s="1" t="n">
        <v>45187</v>
      </c>
      <c r="C8252" s="1" t="n">
        <v>45587</v>
      </c>
      <c r="D8252" t="inlineStr">
        <is>
          <t>GÄVLEBORGS LÄN</t>
        </is>
      </c>
      <c r="E8252" t="inlineStr">
        <is>
          <t>HUDIKSVALL</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43718-2023</t>
        </is>
      </c>
      <c r="B8253" s="1" t="n">
        <v>45187</v>
      </c>
      <c r="C8253" s="1" t="n">
        <v>45587</v>
      </c>
      <c r="D8253" t="inlineStr">
        <is>
          <t>GÄVLEBORGS LÄN</t>
        </is>
      </c>
      <c r="E8253" t="inlineStr">
        <is>
          <t>LJUSDAL</t>
        </is>
      </c>
      <c r="F8253" t="inlineStr">
        <is>
          <t>Sveaskog</t>
        </is>
      </c>
      <c r="G8253" t="n">
        <v>4.4</v>
      </c>
      <c r="H8253" t="n">
        <v>0</v>
      </c>
      <c r="I8253" t="n">
        <v>0</v>
      </c>
      <c r="J8253" t="n">
        <v>0</v>
      </c>
      <c r="K8253" t="n">
        <v>0</v>
      </c>
      <c r="L8253" t="n">
        <v>0</v>
      </c>
      <c r="M8253" t="n">
        <v>0</v>
      </c>
      <c r="N8253" t="n">
        <v>0</v>
      </c>
      <c r="O8253" t="n">
        <v>0</v>
      </c>
      <c r="P8253" t="n">
        <v>0</v>
      </c>
      <c r="Q8253" t="n">
        <v>0</v>
      </c>
      <c r="R8253" s="2" t="inlineStr"/>
    </row>
    <row r="8254" ht="15" customHeight="1">
      <c r="A8254" t="inlineStr">
        <is>
          <t>A 43726-2023</t>
        </is>
      </c>
      <c r="B8254" s="1" t="n">
        <v>45187</v>
      </c>
      <c r="C8254" s="1" t="n">
        <v>45587</v>
      </c>
      <c r="D8254" t="inlineStr">
        <is>
          <t>GÄVLEBORGS LÄN</t>
        </is>
      </c>
      <c r="E8254" t="inlineStr">
        <is>
          <t>HOFORS</t>
        </is>
      </c>
      <c r="F8254" t="inlineStr">
        <is>
          <t>Sveaskog</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43730-2023</t>
        </is>
      </c>
      <c r="B8255" s="1" t="n">
        <v>45187</v>
      </c>
      <c r="C8255" s="1" t="n">
        <v>45587</v>
      </c>
      <c r="D8255" t="inlineStr">
        <is>
          <t>GÄVLEBORGS LÄN</t>
        </is>
      </c>
      <c r="E8255" t="inlineStr">
        <is>
          <t>HOFORS</t>
        </is>
      </c>
      <c r="F8255" t="inlineStr">
        <is>
          <t>Sveaskog</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43734-2023</t>
        </is>
      </c>
      <c r="B8256" s="1" t="n">
        <v>45187</v>
      </c>
      <c r="C8256" s="1" t="n">
        <v>45587</v>
      </c>
      <c r="D8256" t="inlineStr">
        <is>
          <t>GÄVLEBORGS LÄN</t>
        </is>
      </c>
      <c r="E8256" t="inlineStr">
        <is>
          <t>BOLLNÄS</t>
        </is>
      </c>
      <c r="F8256" t="inlineStr">
        <is>
          <t>Kyrkan</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43739-2023</t>
        </is>
      </c>
      <c r="B8257" s="1" t="n">
        <v>45187</v>
      </c>
      <c r="C8257" s="1" t="n">
        <v>45587</v>
      </c>
      <c r="D8257" t="inlineStr">
        <is>
          <t>GÄVLEBORGS LÄN</t>
        </is>
      </c>
      <c r="E8257" t="inlineStr">
        <is>
          <t>SANDVIKEN</t>
        </is>
      </c>
      <c r="F8257" t="inlineStr">
        <is>
          <t>Sveaskog</t>
        </is>
      </c>
      <c r="G8257" t="n">
        <v>5.2</v>
      </c>
      <c r="H8257" t="n">
        <v>0</v>
      </c>
      <c r="I8257" t="n">
        <v>0</v>
      </c>
      <c r="J8257" t="n">
        <v>0</v>
      </c>
      <c r="K8257" t="n">
        <v>0</v>
      </c>
      <c r="L8257" t="n">
        <v>0</v>
      </c>
      <c r="M8257" t="n">
        <v>0</v>
      </c>
      <c r="N8257" t="n">
        <v>0</v>
      </c>
      <c r="O8257" t="n">
        <v>0</v>
      </c>
      <c r="P8257" t="n">
        <v>0</v>
      </c>
      <c r="Q8257" t="n">
        <v>0</v>
      </c>
      <c r="R8257" s="2" t="inlineStr"/>
    </row>
    <row r="8258" ht="15" customHeight="1">
      <c r="A8258" t="inlineStr">
        <is>
          <t>A 43782-2023</t>
        </is>
      </c>
      <c r="B8258" s="1" t="n">
        <v>45187</v>
      </c>
      <c r="C8258" s="1" t="n">
        <v>45587</v>
      </c>
      <c r="D8258" t="inlineStr">
        <is>
          <t>GÄVLEBORGS LÄN</t>
        </is>
      </c>
      <c r="E8258" t="inlineStr">
        <is>
          <t>HUDIKSVALL</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43794-2023</t>
        </is>
      </c>
      <c r="B8259" s="1" t="n">
        <v>45187</v>
      </c>
      <c r="C8259" s="1" t="n">
        <v>45587</v>
      </c>
      <c r="D8259" t="inlineStr">
        <is>
          <t>GÄVLEBORGS LÄN</t>
        </is>
      </c>
      <c r="E8259" t="inlineStr">
        <is>
          <t>SANDVIKEN</t>
        </is>
      </c>
      <c r="F8259" t="inlineStr">
        <is>
          <t>Sveaskog</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43799-2023</t>
        </is>
      </c>
      <c r="B8260" s="1" t="n">
        <v>45187</v>
      </c>
      <c r="C8260" s="1" t="n">
        <v>45587</v>
      </c>
      <c r="D8260" t="inlineStr">
        <is>
          <t>GÄVLEBORGS LÄN</t>
        </is>
      </c>
      <c r="E8260" t="inlineStr">
        <is>
          <t>LJUSDAL</t>
        </is>
      </c>
      <c r="F8260" t="inlineStr">
        <is>
          <t>Bergvik skog väst AB</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43929-2023</t>
        </is>
      </c>
      <c r="B8261" s="1" t="n">
        <v>45187</v>
      </c>
      <c r="C8261" s="1" t="n">
        <v>45587</v>
      </c>
      <c r="D8261" t="inlineStr">
        <is>
          <t>GÄVLEBORGS LÄN</t>
        </is>
      </c>
      <c r="E8261" t="inlineStr">
        <is>
          <t>HUDIKSVALL</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44009-2023</t>
        </is>
      </c>
      <c r="B8262" s="1" t="n">
        <v>45188</v>
      </c>
      <c r="C8262" s="1" t="n">
        <v>45587</v>
      </c>
      <c r="D8262" t="inlineStr">
        <is>
          <t>GÄVLEBORGS LÄN</t>
        </is>
      </c>
      <c r="E8262" t="inlineStr">
        <is>
          <t>NORDANSTIG</t>
        </is>
      </c>
      <c r="F8262" t="inlineStr">
        <is>
          <t>Holmen skog AB</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44089-2023</t>
        </is>
      </c>
      <c r="B8263" s="1" t="n">
        <v>45188</v>
      </c>
      <c r="C8263" s="1" t="n">
        <v>45587</v>
      </c>
      <c r="D8263" t="inlineStr">
        <is>
          <t>GÄVLEBORGS LÄN</t>
        </is>
      </c>
      <c r="E8263" t="inlineStr">
        <is>
          <t>OVANÅKER</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44058-2023</t>
        </is>
      </c>
      <c r="B8264" s="1" t="n">
        <v>45188</v>
      </c>
      <c r="C8264" s="1" t="n">
        <v>45587</v>
      </c>
      <c r="D8264" t="inlineStr">
        <is>
          <t>GÄVLEBORGS LÄN</t>
        </is>
      </c>
      <c r="E8264" t="inlineStr">
        <is>
          <t>BOLLNÄS</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44020-2023</t>
        </is>
      </c>
      <c r="B8265" s="1" t="n">
        <v>45188</v>
      </c>
      <c r="C8265" s="1" t="n">
        <v>45587</v>
      </c>
      <c r="D8265" t="inlineStr">
        <is>
          <t>GÄVLEBORGS LÄN</t>
        </is>
      </c>
      <c r="E8265" t="inlineStr">
        <is>
          <t>LJUSDAL</t>
        </is>
      </c>
      <c r="F8265" t="inlineStr">
        <is>
          <t>Sveaskog</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44045-2023</t>
        </is>
      </c>
      <c r="B8266" s="1" t="n">
        <v>45188</v>
      </c>
      <c r="C8266" s="1" t="n">
        <v>45587</v>
      </c>
      <c r="D8266" t="inlineStr">
        <is>
          <t>GÄVLEBORGS LÄN</t>
        </is>
      </c>
      <c r="E8266" t="inlineStr">
        <is>
          <t>HUDIKSVALL</t>
        </is>
      </c>
      <c r="F8266" t="inlineStr">
        <is>
          <t>Holmen skog AB</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44055-2023</t>
        </is>
      </c>
      <c r="B8267" s="1" t="n">
        <v>45188</v>
      </c>
      <c r="C8267" s="1" t="n">
        <v>45587</v>
      </c>
      <c r="D8267" t="inlineStr">
        <is>
          <t>GÄVLEBORGS LÄN</t>
        </is>
      </c>
      <c r="E8267" t="inlineStr">
        <is>
          <t>BOLLNÄS</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44063-2023</t>
        </is>
      </c>
      <c r="B8268" s="1" t="n">
        <v>45188</v>
      </c>
      <c r="C8268" s="1" t="n">
        <v>45587</v>
      </c>
      <c r="D8268" t="inlineStr">
        <is>
          <t>GÄVLEBORGS LÄN</t>
        </is>
      </c>
      <c r="E8268" t="inlineStr">
        <is>
          <t>GÄVLE</t>
        </is>
      </c>
      <c r="F8268" t="inlineStr">
        <is>
          <t>Bergvik skog väst AB</t>
        </is>
      </c>
      <c r="G8268" t="n">
        <v>36.7</v>
      </c>
      <c r="H8268" t="n">
        <v>0</v>
      </c>
      <c r="I8268" t="n">
        <v>0</v>
      </c>
      <c r="J8268" t="n">
        <v>0</v>
      </c>
      <c r="K8268" t="n">
        <v>0</v>
      </c>
      <c r="L8268" t="n">
        <v>0</v>
      </c>
      <c r="M8268" t="n">
        <v>0</v>
      </c>
      <c r="N8268" t="n">
        <v>0</v>
      </c>
      <c r="O8268" t="n">
        <v>0</v>
      </c>
      <c r="P8268" t="n">
        <v>0</v>
      </c>
      <c r="Q8268" t="n">
        <v>0</v>
      </c>
      <c r="R8268" s="2" t="inlineStr"/>
    </row>
    <row r="8269" ht="15" customHeight="1">
      <c r="A8269" t="inlineStr">
        <is>
          <t>A 44135-2023</t>
        </is>
      </c>
      <c r="B8269" s="1" t="n">
        <v>45188</v>
      </c>
      <c r="C8269" s="1" t="n">
        <v>45587</v>
      </c>
      <c r="D8269" t="inlineStr">
        <is>
          <t>GÄVLEBORGS LÄN</t>
        </is>
      </c>
      <c r="E8269" t="inlineStr">
        <is>
          <t>NORDANSTIG</t>
        </is>
      </c>
      <c r="F8269" t="inlineStr">
        <is>
          <t>Holmen skog AB</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44071-2023</t>
        </is>
      </c>
      <c r="B8270" s="1" t="n">
        <v>45188</v>
      </c>
      <c r="C8270" s="1" t="n">
        <v>45587</v>
      </c>
      <c r="D8270" t="inlineStr">
        <is>
          <t>GÄVLEBORGS LÄN</t>
        </is>
      </c>
      <c r="E8270" t="inlineStr">
        <is>
          <t>SANDVIKEN</t>
        </is>
      </c>
      <c r="F8270" t="inlineStr">
        <is>
          <t>Bergvik skog öst AB</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44084-2023</t>
        </is>
      </c>
      <c r="B8271" s="1" t="n">
        <v>45188</v>
      </c>
      <c r="C8271" s="1" t="n">
        <v>45587</v>
      </c>
      <c r="D8271" t="inlineStr">
        <is>
          <t>GÄVLEBORGS LÄN</t>
        </is>
      </c>
      <c r="E8271" t="inlineStr">
        <is>
          <t>HUDIKSVALL</t>
        </is>
      </c>
      <c r="F8271" t="inlineStr">
        <is>
          <t>Holmen skog AB</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44182-2023</t>
        </is>
      </c>
      <c r="B8272" s="1" t="n">
        <v>45188</v>
      </c>
      <c r="C8272" s="1" t="n">
        <v>45587</v>
      </c>
      <c r="D8272" t="inlineStr">
        <is>
          <t>GÄVLEBORGS LÄN</t>
        </is>
      </c>
      <c r="E8272" t="inlineStr">
        <is>
          <t>HUDIKSVALL</t>
        </is>
      </c>
      <c r="F8272" t="inlineStr">
        <is>
          <t>Holmen skog AB</t>
        </is>
      </c>
      <c r="G8272" t="n">
        <v>14.6</v>
      </c>
      <c r="H8272" t="n">
        <v>0</v>
      </c>
      <c r="I8272" t="n">
        <v>0</v>
      </c>
      <c r="J8272" t="n">
        <v>0</v>
      </c>
      <c r="K8272" t="n">
        <v>0</v>
      </c>
      <c r="L8272" t="n">
        <v>0</v>
      </c>
      <c r="M8272" t="n">
        <v>0</v>
      </c>
      <c r="N8272" t="n">
        <v>0</v>
      </c>
      <c r="O8272" t="n">
        <v>0</v>
      </c>
      <c r="P8272" t="n">
        <v>0</v>
      </c>
      <c r="Q8272" t="n">
        <v>0</v>
      </c>
      <c r="R8272" s="2" t="inlineStr"/>
    </row>
    <row r="8273" ht="15" customHeight="1">
      <c r="A8273" t="inlineStr">
        <is>
          <t>A 44214-2023</t>
        </is>
      </c>
      <c r="B8273" s="1" t="n">
        <v>45188</v>
      </c>
      <c r="C8273" s="1" t="n">
        <v>45587</v>
      </c>
      <c r="D8273" t="inlineStr">
        <is>
          <t>GÄVLEBORGS LÄN</t>
        </is>
      </c>
      <c r="E8273" t="inlineStr">
        <is>
          <t>NORDANSTIG</t>
        </is>
      </c>
      <c r="F8273" t="inlineStr">
        <is>
          <t>Holmen skog AB</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44066-2023</t>
        </is>
      </c>
      <c r="B8274" s="1" t="n">
        <v>45188</v>
      </c>
      <c r="C8274" s="1" t="n">
        <v>45587</v>
      </c>
      <c r="D8274" t="inlineStr">
        <is>
          <t>GÄVLEBORGS LÄN</t>
        </is>
      </c>
      <c r="E8274" t="inlineStr">
        <is>
          <t>SANDVIKEN</t>
        </is>
      </c>
      <c r="F8274" t="inlineStr">
        <is>
          <t>Bergvik skog öst AB</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44070-2023</t>
        </is>
      </c>
      <c r="B8275" s="1" t="n">
        <v>45188</v>
      </c>
      <c r="C8275" s="1" t="n">
        <v>45587</v>
      </c>
      <c r="D8275" t="inlineStr">
        <is>
          <t>GÄVLEBORGS LÄN</t>
        </is>
      </c>
      <c r="E8275" t="inlineStr">
        <is>
          <t>HUDIKSVALL</t>
        </is>
      </c>
      <c r="F8275" t="inlineStr">
        <is>
          <t>Holmen skog AB</t>
        </is>
      </c>
      <c r="G8275" t="n">
        <v>11.6</v>
      </c>
      <c r="H8275" t="n">
        <v>0</v>
      </c>
      <c r="I8275" t="n">
        <v>0</v>
      </c>
      <c r="J8275" t="n">
        <v>0</v>
      </c>
      <c r="K8275" t="n">
        <v>0</v>
      </c>
      <c r="L8275" t="n">
        <v>0</v>
      </c>
      <c r="M8275" t="n">
        <v>0</v>
      </c>
      <c r="N8275" t="n">
        <v>0</v>
      </c>
      <c r="O8275" t="n">
        <v>0</v>
      </c>
      <c r="P8275" t="n">
        <v>0</v>
      </c>
      <c r="Q8275" t="n">
        <v>0</v>
      </c>
      <c r="R8275" s="2" t="inlineStr"/>
    </row>
    <row r="8276" ht="15" customHeight="1">
      <c r="A8276" t="inlineStr">
        <is>
          <t>A 44289-2023</t>
        </is>
      </c>
      <c r="B8276" s="1" t="n">
        <v>45188</v>
      </c>
      <c r="C8276" s="1" t="n">
        <v>45587</v>
      </c>
      <c r="D8276" t="inlineStr">
        <is>
          <t>GÄVLEBORGS LÄN</t>
        </is>
      </c>
      <c r="E8276" t="inlineStr">
        <is>
          <t>SANDVIKEN</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44114-2023</t>
        </is>
      </c>
      <c r="B8277" s="1" t="n">
        <v>45188</v>
      </c>
      <c r="C8277" s="1" t="n">
        <v>45587</v>
      </c>
      <c r="D8277" t="inlineStr">
        <is>
          <t>GÄVLEBORGS LÄN</t>
        </is>
      </c>
      <c r="E8277" t="inlineStr">
        <is>
          <t>SANDVIKEN</t>
        </is>
      </c>
      <c r="F8277" t="inlineStr">
        <is>
          <t>Bergvik skog öst AB</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44204-2023</t>
        </is>
      </c>
      <c r="B8278" s="1" t="n">
        <v>45188</v>
      </c>
      <c r="C8278" s="1" t="n">
        <v>45587</v>
      </c>
      <c r="D8278" t="inlineStr">
        <is>
          <t>GÄVLEBORGS LÄN</t>
        </is>
      </c>
      <c r="E8278" t="inlineStr">
        <is>
          <t>LJUSDAL</t>
        </is>
      </c>
      <c r="F8278" t="inlineStr">
        <is>
          <t>Bergvik skog väst AB</t>
        </is>
      </c>
      <c r="G8278" t="n">
        <v>9.800000000000001</v>
      </c>
      <c r="H8278" t="n">
        <v>0</v>
      </c>
      <c r="I8278" t="n">
        <v>0</v>
      </c>
      <c r="J8278" t="n">
        <v>0</v>
      </c>
      <c r="K8278" t="n">
        <v>0</v>
      </c>
      <c r="L8278" t="n">
        <v>0</v>
      </c>
      <c r="M8278" t="n">
        <v>0</v>
      </c>
      <c r="N8278" t="n">
        <v>0</v>
      </c>
      <c r="O8278" t="n">
        <v>0</v>
      </c>
      <c r="P8278" t="n">
        <v>0</v>
      </c>
      <c r="Q8278" t="n">
        <v>0</v>
      </c>
      <c r="R8278" s="2" t="inlineStr"/>
    </row>
    <row r="8279" ht="15" customHeight="1">
      <c r="A8279" t="inlineStr">
        <is>
          <t>A 44254-2023</t>
        </is>
      </c>
      <c r="B8279" s="1" t="n">
        <v>45188</v>
      </c>
      <c r="C8279" s="1" t="n">
        <v>45587</v>
      </c>
      <c r="D8279" t="inlineStr">
        <is>
          <t>GÄVLEBORGS LÄN</t>
        </is>
      </c>
      <c r="E8279" t="inlineStr">
        <is>
          <t>OCKELBO</t>
        </is>
      </c>
      <c r="F8279" t="inlineStr">
        <is>
          <t>Bergvik skog väst AB</t>
        </is>
      </c>
      <c r="G8279" t="n">
        <v>4.5</v>
      </c>
      <c r="H8279" t="n">
        <v>0</v>
      </c>
      <c r="I8279" t="n">
        <v>0</v>
      </c>
      <c r="J8279" t="n">
        <v>0</v>
      </c>
      <c r="K8279" t="n">
        <v>0</v>
      </c>
      <c r="L8279" t="n">
        <v>0</v>
      </c>
      <c r="M8279" t="n">
        <v>0</v>
      </c>
      <c r="N8279" t="n">
        <v>0</v>
      </c>
      <c r="O8279" t="n">
        <v>0</v>
      </c>
      <c r="P8279" t="n">
        <v>0</v>
      </c>
      <c r="Q8279" t="n">
        <v>0</v>
      </c>
      <c r="R8279" s="2" t="inlineStr"/>
    </row>
    <row r="8280" ht="15" customHeight="1">
      <c r="A8280" t="inlineStr">
        <is>
          <t>A 44291-2023</t>
        </is>
      </c>
      <c r="B8280" s="1" t="n">
        <v>45188</v>
      </c>
      <c r="C8280" s="1" t="n">
        <v>45587</v>
      </c>
      <c r="D8280" t="inlineStr">
        <is>
          <t>GÄVLEBORGS LÄN</t>
        </is>
      </c>
      <c r="E8280" t="inlineStr">
        <is>
          <t>LJUSDAL</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44081-2023</t>
        </is>
      </c>
      <c r="B8281" s="1" t="n">
        <v>45188</v>
      </c>
      <c r="C8281" s="1" t="n">
        <v>45587</v>
      </c>
      <c r="D8281" t="inlineStr">
        <is>
          <t>GÄVLEBORGS LÄN</t>
        </is>
      </c>
      <c r="E8281" t="inlineStr">
        <is>
          <t>SANDVIKEN</t>
        </is>
      </c>
      <c r="F8281" t="inlineStr">
        <is>
          <t>Bergvik skog öst AB</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44101-2023</t>
        </is>
      </c>
      <c r="B8282" s="1" t="n">
        <v>45188</v>
      </c>
      <c r="C8282" s="1" t="n">
        <v>45587</v>
      </c>
      <c r="D8282" t="inlineStr">
        <is>
          <t>GÄVLEBORGS LÄN</t>
        </is>
      </c>
      <c r="E8282" t="inlineStr">
        <is>
          <t>SANDVIKEN</t>
        </is>
      </c>
      <c r="F8282" t="inlineStr">
        <is>
          <t>Bergvik skog öst AB</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44109-2023</t>
        </is>
      </c>
      <c r="B8283" s="1" t="n">
        <v>45188</v>
      </c>
      <c r="C8283" s="1" t="n">
        <v>45587</v>
      </c>
      <c r="D8283" t="inlineStr">
        <is>
          <t>GÄVLEBORGS LÄN</t>
        </is>
      </c>
      <c r="E8283" t="inlineStr">
        <is>
          <t>HUDIKSVALL</t>
        </is>
      </c>
      <c r="F8283" t="inlineStr">
        <is>
          <t>Holmen skog AB</t>
        </is>
      </c>
      <c r="G8283" t="n">
        <v>7.2</v>
      </c>
      <c r="H8283" t="n">
        <v>0</v>
      </c>
      <c r="I8283" t="n">
        <v>0</v>
      </c>
      <c r="J8283" t="n">
        <v>0</v>
      </c>
      <c r="K8283" t="n">
        <v>0</v>
      </c>
      <c r="L8283" t="n">
        <v>0</v>
      </c>
      <c r="M8283" t="n">
        <v>0</v>
      </c>
      <c r="N8283" t="n">
        <v>0</v>
      </c>
      <c r="O8283" t="n">
        <v>0</v>
      </c>
      <c r="P8283" t="n">
        <v>0</v>
      </c>
      <c r="Q8283" t="n">
        <v>0</v>
      </c>
      <c r="R8283" s="2" t="inlineStr"/>
    </row>
    <row r="8284" ht="15" customHeight="1">
      <c r="A8284" t="inlineStr">
        <is>
          <t>A 44155-2023</t>
        </is>
      </c>
      <c r="B8284" s="1" t="n">
        <v>45188</v>
      </c>
      <c r="C8284" s="1" t="n">
        <v>45587</v>
      </c>
      <c r="D8284" t="inlineStr">
        <is>
          <t>GÄVLEBORGS LÄN</t>
        </is>
      </c>
      <c r="E8284" t="inlineStr">
        <is>
          <t>SANDVIKEN</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44188-2023</t>
        </is>
      </c>
      <c r="B8285" s="1" t="n">
        <v>45188</v>
      </c>
      <c r="C8285" s="1" t="n">
        <v>45587</v>
      </c>
      <c r="D8285" t="inlineStr">
        <is>
          <t>GÄVLEBORGS LÄN</t>
        </is>
      </c>
      <c r="E8285" t="inlineStr">
        <is>
          <t>LJUSDAL</t>
        </is>
      </c>
      <c r="F8285" t="inlineStr">
        <is>
          <t>Bergvik skog väst AB</t>
        </is>
      </c>
      <c r="G8285" t="n">
        <v>29.6</v>
      </c>
      <c r="H8285" t="n">
        <v>0</v>
      </c>
      <c r="I8285" t="n">
        <v>0</v>
      </c>
      <c r="J8285" t="n">
        <v>0</v>
      </c>
      <c r="K8285" t="n">
        <v>0</v>
      </c>
      <c r="L8285" t="n">
        <v>0</v>
      </c>
      <c r="M8285" t="n">
        <v>0</v>
      </c>
      <c r="N8285" t="n">
        <v>0</v>
      </c>
      <c r="O8285" t="n">
        <v>0</v>
      </c>
      <c r="P8285" t="n">
        <v>0</v>
      </c>
      <c r="Q8285" t="n">
        <v>0</v>
      </c>
      <c r="R8285" s="2" t="inlineStr"/>
    </row>
    <row r="8286" ht="15" customHeight="1">
      <c r="A8286" t="inlineStr">
        <is>
          <t>A 44192-2023</t>
        </is>
      </c>
      <c r="B8286" s="1" t="n">
        <v>45188</v>
      </c>
      <c r="C8286" s="1" t="n">
        <v>45587</v>
      </c>
      <c r="D8286" t="inlineStr">
        <is>
          <t>GÄVLEBORGS LÄN</t>
        </is>
      </c>
      <c r="E8286" t="inlineStr">
        <is>
          <t>LJUSDAL</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44341-2023</t>
        </is>
      </c>
      <c r="B8287" s="1" t="n">
        <v>45188</v>
      </c>
      <c r="C8287" s="1" t="n">
        <v>45587</v>
      </c>
      <c r="D8287" t="inlineStr">
        <is>
          <t>GÄVLEBORGS LÄN</t>
        </is>
      </c>
      <c r="E8287" t="inlineStr">
        <is>
          <t>SÖDERHAMN</t>
        </is>
      </c>
      <c r="F8287" t="inlineStr">
        <is>
          <t>Kommuner</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44356-2023</t>
        </is>
      </c>
      <c r="B8288" s="1" t="n">
        <v>45188</v>
      </c>
      <c r="C8288" s="1" t="n">
        <v>45587</v>
      </c>
      <c r="D8288" t="inlineStr">
        <is>
          <t>GÄVLEBORGS LÄN</t>
        </is>
      </c>
      <c r="E8288" t="inlineStr">
        <is>
          <t>HOFORS</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44376-2023</t>
        </is>
      </c>
      <c r="B8289" s="1" t="n">
        <v>45188</v>
      </c>
      <c r="C8289" s="1" t="n">
        <v>45587</v>
      </c>
      <c r="D8289" t="inlineStr">
        <is>
          <t>GÄVLEBORGS LÄN</t>
        </is>
      </c>
      <c r="E8289" t="inlineStr">
        <is>
          <t>HUDIKSVALL</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44239-2023</t>
        </is>
      </c>
      <c r="B8290" s="1" t="n">
        <v>45188</v>
      </c>
      <c r="C8290" s="1" t="n">
        <v>45587</v>
      </c>
      <c r="D8290" t="inlineStr">
        <is>
          <t>GÄVLEBORGS LÄN</t>
        </is>
      </c>
      <c r="E8290" t="inlineStr">
        <is>
          <t>NORDANSTIG</t>
        </is>
      </c>
      <c r="F8290" t="inlineStr">
        <is>
          <t>Holmen skog AB</t>
        </is>
      </c>
      <c r="G8290" t="n">
        <v>6.8</v>
      </c>
      <c r="H8290" t="n">
        <v>0</v>
      </c>
      <c r="I8290" t="n">
        <v>0</v>
      </c>
      <c r="J8290" t="n">
        <v>0</v>
      </c>
      <c r="K8290" t="n">
        <v>0</v>
      </c>
      <c r="L8290" t="n">
        <v>0</v>
      </c>
      <c r="M8290" t="n">
        <v>0</v>
      </c>
      <c r="N8290" t="n">
        <v>0</v>
      </c>
      <c r="O8290" t="n">
        <v>0</v>
      </c>
      <c r="P8290" t="n">
        <v>0</v>
      </c>
      <c r="Q8290" t="n">
        <v>0</v>
      </c>
      <c r="R8290" s="2" t="inlineStr"/>
    </row>
    <row r="8291" ht="15" customHeight="1">
      <c r="A8291" t="inlineStr">
        <is>
          <t>A 44344-2023</t>
        </is>
      </c>
      <c r="B8291" s="1" t="n">
        <v>45188</v>
      </c>
      <c r="C8291" s="1" t="n">
        <v>45587</v>
      </c>
      <c r="D8291" t="inlineStr">
        <is>
          <t>GÄVLEBORGS LÄN</t>
        </is>
      </c>
      <c r="E8291" t="inlineStr">
        <is>
          <t>OVANÅKER</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45558-2023</t>
        </is>
      </c>
      <c r="B8292" s="1" t="n">
        <v>45188</v>
      </c>
      <c r="C8292" s="1" t="n">
        <v>45587</v>
      </c>
      <c r="D8292" t="inlineStr">
        <is>
          <t>GÄVLEBORGS LÄN</t>
        </is>
      </c>
      <c r="E8292" t="inlineStr">
        <is>
          <t>HUDIKSVALL</t>
        </is>
      </c>
      <c r="G8292" t="n">
        <v>4.9</v>
      </c>
      <c r="H8292" t="n">
        <v>0</v>
      </c>
      <c r="I8292" t="n">
        <v>0</v>
      </c>
      <c r="J8292" t="n">
        <v>0</v>
      </c>
      <c r="K8292" t="n">
        <v>0</v>
      </c>
      <c r="L8292" t="n">
        <v>0</v>
      </c>
      <c r="M8292" t="n">
        <v>0</v>
      </c>
      <c r="N8292" t="n">
        <v>0</v>
      </c>
      <c r="O8292" t="n">
        <v>0</v>
      </c>
      <c r="P8292" t="n">
        <v>0</v>
      </c>
      <c r="Q8292" t="n">
        <v>0</v>
      </c>
      <c r="R8292" s="2" t="inlineStr"/>
    </row>
    <row r="8293" ht="15" customHeight="1">
      <c r="A8293" t="inlineStr">
        <is>
          <t>A 44330-2023</t>
        </is>
      </c>
      <c r="B8293" s="1" t="n">
        <v>45188</v>
      </c>
      <c r="C8293" s="1" t="n">
        <v>45587</v>
      </c>
      <c r="D8293" t="inlineStr">
        <is>
          <t>GÄVLEBORGS LÄN</t>
        </is>
      </c>
      <c r="E8293" t="inlineStr">
        <is>
          <t>NORDANSTIG</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44343-2023</t>
        </is>
      </c>
      <c r="B8294" s="1" t="n">
        <v>45188</v>
      </c>
      <c r="C8294" s="1" t="n">
        <v>45587</v>
      </c>
      <c r="D8294" t="inlineStr">
        <is>
          <t>GÄVLEBORGS LÄN</t>
        </is>
      </c>
      <c r="E8294" t="inlineStr">
        <is>
          <t>OVANÅKER</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44347-2023</t>
        </is>
      </c>
      <c r="B8295" s="1" t="n">
        <v>45188</v>
      </c>
      <c r="C8295" s="1" t="n">
        <v>45587</v>
      </c>
      <c r="D8295" t="inlineStr">
        <is>
          <t>GÄVLEBORGS LÄN</t>
        </is>
      </c>
      <c r="E8295" t="inlineStr">
        <is>
          <t>OVANÅKER</t>
        </is>
      </c>
      <c r="G8295" t="n">
        <v>4.1</v>
      </c>
      <c r="H8295" t="n">
        <v>0</v>
      </c>
      <c r="I8295" t="n">
        <v>0</v>
      </c>
      <c r="J8295" t="n">
        <v>0</v>
      </c>
      <c r="K8295" t="n">
        <v>0</v>
      </c>
      <c r="L8295" t="n">
        <v>0</v>
      </c>
      <c r="M8295" t="n">
        <v>0</v>
      </c>
      <c r="N8295" t="n">
        <v>0</v>
      </c>
      <c r="O8295" t="n">
        <v>0</v>
      </c>
      <c r="P8295" t="n">
        <v>0</v>
      </c>
      <c r="Q8295" t="n">
        <v>0</v>
      </c>
      <c r="R8295" s="2" t="inlineStr"/>
    </row>
    <row r="8296" ht="15" customHeight="1">
      <c r="A8296" t="inlineStr">
        <is>
          <t>A 44338-2023</t>
        </is>
      </c>
      <c r="B8296" s="1" t="n">
        <v>45188</v>
      </c>
      <c r="C8296" s="1" t="n">
        <v>45587</v>
      </c>
      <c r="D8296" t="inlineStr">
        <is>
          <t>GÄVLEBORGS LÄN</t>
        </is>
      </c>
      <c r="E8296" t="inlineStr">
        <is>
          <t>SÖDERHAMN</t>
        </is>
      </c>
      <c r="F8296" t="inlineStr">
        <is>
          <t>Kommuner</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44346-2023</t>
        </is>
      </c>
      <c r="B8297" s="1" t="n">
        <v>45188</v>
      </c>
      <c r="C8297" s="1" t="n">
        <v>45587</v>
      </c>
      <c r="D8297" t="inlineStr">
        <is>
          <t>GÄVLEBORGS LÄN</t>
        </is>
      </c>
      <c r="E8297" t="inlineStr">
        <is>
          <t>OVANÅKER</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44538-2023</t>
        </is>
      </c>
      <c r="B8298" s="1" t="n">
        <v>45189</v>
      </c>
      <c r="C8298" s="1" t="n">
        <v>45587</v>
      </c>
      <c r="D8298" t="inlineStr">
        <is>
          <t>GÄVLEBORGS LÄN</t>
        </is>
      </c>
      <c r="E8298" t="inlineStr">
        <is>
          <t>BOLLNÄS</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44617-2023</t>
        </is>
      </c>
      <c r="B8299" s="1" t="n">
        <v>45189</v>
      </c>
      <c r="C8299" s="1" t="n">
        <v>45587</v>
      </c>
      <c r="D8299" t="inlineStr">
        <is>
          <t>GÄVLEBORGS LÄN</t>
        </is>
      </c>
      <c r="E8299" t="inlineStr">
        <is>
          <t>BOLLNÄS</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44620-2023</t>
        </is>
      </c>
      <c r="B8300" s="1" t="n">
        <v>45189</v>
      </c>
      <c r="C8300" s="1" t="n">
        <v>45587</v>
      </c>
      <c r="D8300" t="inlineStr">
        <is>
          <t>GÄVLEBORGS LÄN</t>
        </is>
      </c>
      <c r="E8300" t="inlineStr">
        <is>
          <t>BOLLNÄS</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44644-2023</t>
        </is>
      </c>
      <c r="B8301" s="1" t="n">
        <v>45189</v>
      </c>
      <c r="C8301" s="1" t="n">
        <v>45587</v>
      </c>
      <c r="D8301" t="inlineStr">
        <is>
          <t>GÄVLEBORGS LÄN</t>
        </is>
      </c>
      <c r="E8301" t="inlineStr">
        <is>
          <t>SANDVIKEN</t>
        </is>
      </c>
      <c r="F8301" t="inlineStr">
        <is>
          <t>Bergvik skog öst AB</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44665-2023</t>
        </is>
      </c>
      <c r="B8302" s="1" t="n">
        <v>45189</v>
      </c>
      <c r="C8302" s="1" t="n">
        <v>45587</v>
      </c>
      <c r="D8302" t="inlineStr">
        <is>
          <t>GÄVLEBORGS LÄN</t>
        </is>
      </c>
      <c r="E8302" t="inlineStr">
        <is>
          <t>LJUSDAL</t>
        </is>
      </c>
      <c r="F8302" t="inlineStr">
        <is>
          <t>Sveaskog</t>
        </is>
      </c>
      <c r="G8302" t="n">
        <v>25.1</v>
      </c>
      <c r="H8302" t="n">
        <v>0</v>
      </c>
      <c r="I8302" t="n">
        <v>0</v>
      </c>
      <c r="J8302" t="n">
        <v>0</v>
      </c>
      <c r="K8302" t="n">
        <v>0</v>
      </c>
      <c r="L8302" t="n">
        <v>0</v>
      </c>
      <c r="M8302" t="n">
        <v>0</v>
      </c>
      <c r="N8302" t="n">
        <v>0</v>
      </c>
      <c r="O8302" t="n">
        <v>0</v>
      </c>
      <c r="P8302" t="n">
        <v>0</v>
      </c>
      <c r="Q8302" t="n">
        <v>0</v>
      </c>
      <c r="R8302" s="2" t="inlineStr"/>
    </row>
    <row r="8303" ht="15" customHeight="1">
      <c r="A8303" t="inlineStr">
        <is>
          <t>A 44510-2023</t>
        </is>
      </c>
      <c r="B8303" s="1" t="n">
        <v>45189</v>
      </c>
      <c r="C8303" s="1" t="n">
        <v>45587</v>
      </c>
      <c r="D8303" t="inlineStr">
        <is>
          <t>GÄVLEBORGS LÄN</t>
        </is>
      </c>
      <c r="E8303" t="inlineStr">
        <is>
          <t>SANDVIKEN</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44541-2023</t>
        </is>
      </c>
      <c r="B8304" s="1" t="n">
        <v>45189</v>
      </c>
      <c r="C8304" s="1" t="n">
        <v>45587</v>
      </c>
      <c r="D8304" t="inlineStr">
        <is>
          <t>GÄVLEBORGS LÄN</t>
        </is>
      </c>
      <c r="E8304" t="inlineStr">
        <is>
          <t>HUDIKSVALL</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44611-2023</t>
        </is>
      </c>
      <c r="B8305" s="1" t="n">
        <v>45189</v>
      </c>
      <c r="C8305" s="1" t="n">
        <v>45587</v>
      </c>
      <c r="D8305" t="inlineStr">
        <is>
          <t>GÄVLEBORGS LÄN</t>
        </is>
      </c>
      <c r="E8305" t="inlineStr">
        <is>
          <t>OVANÅKER</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44625-2023</t>
        </is>
      </c>
      <c r="B8306" s="1" t="n">
        <v>45189</v>
      </c>
      <c r="C8306" s="1" t="n">
        <v>45587</v>
      </c>
      <c r="D8306" t="inlineStr">
        <is>
          <t>GÄVLEBORGS LÄN</t>
        </is>
      </c>
      <c r="E8306" t="inlineStr">
        <is>
          <t>BOLLNÄS</t>
        </is>
      </c>
      <c r="G8306" t="n">
        <v>5.1</v>
      </c>
      <c r="H8306" t="n">
        <v>0</v>
      </c>
      <c r="I8306" t="n">
        <v>0</v>
      </c>
      <c r="J8306" t="n">
        <v>0</v>
      </c>
      <c r="K8306" t="n">
        <v>0</v>
      </c>
      <c r="L8306" t="n">
        <v>0</v>
      </c>
      <c r="M8306" t="n">
        <v>0</v>
      </c>
      <c r="N8306" t="n">
        <v>0</v>
      </c>
      <c r="O8306" t="n">
        <v>0</v>
      </c>
      <c r="P8306" t="n">
        <v>0</v>
      </c>
      <c r="Q8306" t="n">
        <v>0</v>
      </c>
      <c r="R8306" s="2" t="inlineStr"/>
    </row>
    <row r="8307" ht="15" customHeight="1">
      <c r="A8307" t="inlineStr">
        <is>
          <t>A 44418-2023</t>
        </is>
      </c>
      <c r="B8307" s="1" t="n">
        <v>45189</v>
      </c>
      <c r="C8307" s="1" t="n">
        <v>45587</v>
      </c>
      <c r="D8307" t="inlineStr">
        <is>
          <t>GÄVLEBORGS LÄN</t>
        </is>
      </c>
      <c r="E8307" t="inlineStr">
        <is>
          <t>NORDANSTIG</t>
        </is>
      </c>
      <c r="F8307" t="inlineStr">
        <is>
          <t>Holmen skog AB</t>
        </is>
      </c>
      <c r="G8307" t="n">
        <v>5.2</v>
      </c>
      <c r="H8307" t="n">
        <v>0</v>
      </c>
      <c r="I8307" t="n">
        <v>0</v>
      </c>
      <c r="J8307" t="n">
        <v>0</v>
      </c>
      <c r="K8307" t="n">
        <v>0</v>
      </c>
      <c r="L8307" t="n">
        <v>0</v>
      </c>
      <c r="M8307" t="n">
        <v>0</v>
      </c>
      <c r="N8307" t="n">
        <v>0</v>
      </c>
      <c r="O8307" t="n">
        <v>0</v>
      </c>
      <c r="P8307" t="n">
        <v>0</v>
      </c>
      <c r="Q8307" t="n">
        <v>0</v>
      </c>
      <c r="R8307" s="2" t="inlineStr"/>
    </row>
    <row r="8308" ht="15" customHeight="1">
      <c r="A8308" t="inlineStr">
        <is>
          <t>A 44446-2023</t>
        </is>
      </c>
      <c r="B8308" s="1" t="n">
        <v>45189</v>
      </c>
      <c r="C8308" s="1" t="n">
        <v>45587</v>
      </c>
      <c r="D8308" t="inlineStr">
        <is>
          <t>GÄVLEBORGS LÄN</t>
        </is>
      </c>
      <c r="E8308" t="inlineStr">
        <is>
          <t>NORDANSTIG</t>
        </is>
      </c>
      <c r="F8308" t="inlineStr">
        <is>
          <t>Holmen skog AB</t>
        </is>
      </c>
      <c r="G8308" t="n">
        <v>4.9</v>
      </c>
      <c r="H8308" t="n">
        <v>0</v>
      </c>
      <c r="I8308" t="n">
        <v>0</v>
      </c>
      <c r="J8308" t="n">
        <v>0</v>
      </c>
      <c r="K8308" t="n">
        <v>0</v>
      </c>
      <c r="L8308" t="n">
        <v>0</v>
      </c>
      <c r="M8308" t="n">
        <v>0</v>
      </c>
      <c r="N8308" t="n">
        <v>0</v>
      </c>
      <c r="O8308" t="n">
        <v>0</v>
      </c>
      <c r="P8308" t="n">
        <v>0</v>
      </c>
      <c r="Q8308" t="n">
        <v>0</v>
      </c>
      <c r="R8308" s="2" t="inlineStr"/>
    </row>
    <row r="8309" ht="15" customHeight="1">
      <c r="A8309" t="inlineStr">
        <is>
          <t>A 44692-2023</t>
        </is>
      </c>
      <c r="B8309" s="1" t="n">
        <v>45190</v>
      </c>
      <c r="C8309" s="1" t="n">
        <v>45587</v>
      </c>
      <c r="D8309" t="inlineStr">
        <is>
          <t>GÄVLEBORGS LÄN</t>
        </is>
      </c>
      <c r="E8309" t="inlineStr">
        <is>
          <t>HUDIKSVALL</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44699-2023</t>
        </is>
      </c>
      <c r="B8310" s="1" t="n">
        <v>45190</v>
      </c>
      <c r="C8310" s="1" t="n">
        <v>45587</v>
      </c>
      <c r="D8310" t="inlineStr">
        <is>
          <t>GÄVLEBORGS LÄN</t>
        </is>
      </c>
      <c r="E8310" t="inlineStr">
        <is>
          <t>LJUSDAL</t>
        </is>
      </c>
      <c r="G8310" t="n">
        <v>4.8</v>
      </c>
      <c r="H8310" t="n">
        <v>0</v>
      </c>
      <c r="I8310" t="n">
        <v>0</v>
      </c>
      <c r="J8310" t="n">
        <v>0</v>
      </c>
      <c r="K8310" t="n">
        <v>0</v>
      </c>
      <c r="L8310" t="n">
        <v>0</v>
      </c>
      <c r="M8310" t="n">
        <v>0</v>
      </c>
      <c r="N8310" t="n">
        <v>0</v>
      </c>
      <c r="O8310" t="n">
        <v>0</v>
      </c>
      <c r="P8310" t="n">
        <v>0</v>
      </c>
      <c r="Q8310" t="n">
        <v>0</v>
      </c>
      <c r="R8310" s="2" t="inlineStr"/>
    </row>
    <row r="8311" ht="15" customHeight="1">
      <c r="A8311" t="inlineStr">
        <is>
          <t>A 44920-2023</t>
        </is>
      </c>
      <c r="B8311" s="1" t="n">
        <v>45190</v>
      </c>
      <c r="C8311" s="1" t="n">
        <v>45587</v>
      </c>
      <c r="D8311" t="inlineStr">
        <is>
          <t>GÄVLEBORGS LÄN</t>
        </is>
      </c>
      <c r="E8311" t="inlineStr">
        <is>
          <t>SÖDERHAMN</t>
        </is>
      </c>
      <c r="F8311" t="inlineStr">
        <is>
          <t>Bergvik skog väst AB</t>
        </is>
      </c>
      <c r="G8311" t="n">
        <v>4.3</v>
      </c>
      <c r="H8311" t="n">
        <v>0</v>
      </c>
      <c r="I8311" t="n">
        <v>0</v>
      </c>
      <c r="J8311" t="n">
        <v>0</v>
      </c>
      <c r="K8311" t="n">
        <v>0</v>
      </c>
      <c r="L8311" t="n">
        <v>0</v>
      </c>
      <c r="M8311" t="n">
        <v>0</v>
      </c>
      <c r="N8311" t="n">
        <v>0</v>
      </c>
      <c r="O8311" t="n">
        <v>0</v>
      </c>
      <c r="P8311" t="n">
        <v>0</v>
      </c>
      <c r="Q8311" t="n">
        <v>0</v>
      </c>
      <c r="R8311" s="2" t="inlineStr"/>
    </row>
    <row r="8312" ht="15" customHeight="1">
      <c r="A8312" t="inlineStr">
        <is>
          <t>A 44802-2023</t>
        </is>
      </c>
      <c r="B8312" s="1" t="n">
        <v>45190</v>
      </c>
      <c r="C8312" s="1" t="n">
        <v>45587</v>
      </c>
      <c r="D8312" t="inlineStr">
        <is>
          <t>GÄVLEBORGS LÄN</t>
        </is>
      </c>
      <c r="E8312" t="inlineStr">
        <is>
          <t>OVANÅKER</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44967-2023</t>
        </is>
      </c>
      <c r="B8313" s="1" t="n">
        <v>45191</v>
      </c>
      <c r="C8313" s="1" t="n">
        <v>45587</v>
      </c>
      <c r="D8313" t="inlineStr">
        <is>
          <t>GÄVLEBORGS LÄN</t>
        </is>
      </c>
      <c r="E8313" t="inlineStr">
        <is>
          <t>LJUSDAL</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45175-2023</t>
        </is>
      </c>
      <c r="B8314" s="1" t="n">
        <v>45191</v>
      </c>
      <c r="C8314" s="1" t="n">
        <v>45587</v>
      </c>
      <c r="D8314" t="inlineStr">
        <is>
          <t>GÄVLEBORGS LÄN</t>
        </is>
      </c>
      <c r="E8314" t="inlineStr">
        <is>
          <t>LJUSDAL</t>
        </is>
      </c>
      <c r="F8314" t="inlineStr">
        <is>
          <t>Sveaskog</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45068-2023</t>
        </is>
      </c>
      <c r="B8315" s="1" t="n">
        <v>45191</v>
      </c>
      <c r="C8315" s="1" t="n">
        <v>45587</v>
      </c>
      <c r="D8315" t="inlineStr">
        <is>
          <t>GÄVLEBORGS LÄN</t>
        </is>
      </c>
      <c r="E8315" t="inlineStr">
        <is>
          <t>HUDIKSVALL</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45078-2023</t>
        </is>
      </c>
      <c r="B8316" s="1" t="n">
        <v>45191</v>
      </c>
      <c r="C8316" s="1" t="n">
        <v>45587</v>
      </c>
      <c r="D8316" t="inlineStr">
        <is>
          <t>GÄVLEBORGS LÄN</t>
        </is>
      </c>
      <c r="E8316" t="inlineStr">
        <is>
          <t>HUDIKSVALL</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45096-2023</t>
        </is>
      </c>
      <c r="B8317" s="1" t="n">
        <v>45191</v>
      </c>
      <c r="C8317" s="1" t="n">
        <v>45587</v>
      </c>
      <c r="D8317" t="inlineStr">
        <is>
          <t>GÄVLEBORGS LÄN</t>
        </is>
      </c>
      <c r="E8317" t="inlineStr">
        <is>
          <t>HUDIKSVALL</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45110-2023</t>
        </is>
      </c>
      <c r="B8318" s="1" t="n">
        <v>45191</v>
      </c>
      <c r="C8318" s="1" t="n">
        <v>45587</v>
      </c>
      <c r="D8318" t="inlineStr">
        <is>
          <t>GÄVLEBORGS LÄN</t>
        </is>
      </c>
      <c r="E8318" t="inlineStr">
        <is>
          <t>LJUSDAL</t>
        </is>
      </c>
      <c r="F8318" t="inlineStr">
        <is>
          <t>Bergvik skog väst AB</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45181-2023</t>
        </is>
      </c>
      <c r="B8319" s="1" t="n">
        <v>45191</v>
      </c>
      <c r="C8319" s="1" t="n">
        <v>45587</v>
      </c>
      <c r="D8319" t="inlineStr">
        <is>
          <t>GÄVLEBORGS LÄN</t>
        </is>
      </c>
      <c r="E8319" t="inlineStr">
        <is>
          <t>OCKELBO</t>
        </is>
      </c>
      <c r="F8319" t="inlineStr">
        <is>
          <t>Bergvik skog väst AB</t>
        </is>
      </c>
      <c r="G8319" t="n">
        <v>4.5</v>
      </c>
      <c r="H8319" t="n">
        <v>0</v>
      </c>
      <c r="I8319" t="n">
        <v>0</v>
      </c>
      <c r="J8319" t="n">
        <v>0</v>
      </c>
      <c r="K8319" t="n">
        <v>0</v>
      </c>
      <c r="L8319" t="n">
        <v>0</v>
      </c>
      <c r="M8319" t="n">
        <v>0</v>
      </c>
      <c r="N8319" t="n">
        <v>0</v>
      </c>
      <c r="O8319" t="n">
        <v>0</v>
      </c>
      <c r="P8319" t="n">
        <v>0</v>
      </c>
      <c r="Q8319" t="n">
        <v>0</v>
      </c>
      <c r="R8319" s="2" t="inlineStr"/>
    </row>
    <row r="8320" ht="15" customHeight="1">
      <c r="A8320" t="inlineStr">
        <is>
          <t>A 45212-2023</t>
        </is>
      </c>
      <c r="B8320" s="1" t="n">
        <v>45191</v>
      </c>
      <c r="C8320" s="1" t="n">
        <v>45587</v>
      </c>
      <c r="D8320" t="inlineStr">
        <is>
          <t>GÄVLEBORGS LÄN</t>
        </is>
      </c>
      <c r="E8320" t="inlineStr">
        <is>
          <t>NORDANSTIG</t>
        </is>
      </c>
      <c r="F8320" t="inlineStr">
        <is>
          <t>Holmen skog AB</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45259-2023</t>
        </is>
      </c>
      <c r="B8321" s="1" t="n">
        <v>45191</v>
      </c>
      <c r="C8321" s="1" t="n">
        <v>45587</v>
      </c>
      <c r="D8321" t="inlineStr">
        <is>
          <t>GÄVLEBORGS LÄN</t>
        </is>
      </c>
      <c r="E8321" t="inlineStr">
        <is>
          <t>SÖDERHAMN</t>
        </is>
      </c>
      <c r="F8321" t="inlineStr">
        <is>
          <t>Bergvik skog väst AB</t>
        </is>
      </c>
      <c r="G8321" t="n">
        <v>19.4</v>
      </c>
      <c r="H8321" t="n">
        <v>0</v>
      </c>
      <c r="I8321" t="n">
        <v>0</v>
      </c>
      <c r="J8321" t="n">
        <v>0</v>
      </c>
      <c r="K8321" t="n">
        <v>0</v>
      </c>
      <c r="L8321" t="n">
        <v>0</v>
      </c>
      <c r="M8321" t="n">
        <v>0</v>
      </c>
      <c r="N8321" t="n">
        <v>0</v>
      </c>
      <c r="O8321" t="n">
        <v>0</v>
      </c>
      <c r="P8321" t="n">
        <v>0</v>
      </c>
      <c r="Q8321" t="n">
        <v>0</v>
      </c>
      <c r="R8321" s="2" t="inlineStr"/>
    </row>
    <row r="8322" ht="15" customHeight="1">
      <c r="A8322" t="inlineStr">
        <is>
          <t>A 45286-2023</t>
        </is>
      </c>
      <c r="B8322" s="1" t="n">
        <v>45191</v>
      </c>
      <c r="C8322" s="1" t="n">
        <v>45587</v>
      </c>
      <c r="D8322" t="inlineStr">
        <is>
          <t>GÄVLEBORGS LÄN</t>
        </is>
      </c>
      <c r="E8322" t="inlineStr">
        <is>
          <t>SANDVIKEN</t>
        </is>
      </c>
      <c r="F8322" t="inlineStr">
        <is>
          <t>Bergvik skog öst AB</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45221-2023</t>
        </is>
      </c>
      <c r="B8323" s="1" t="n">
        <v>45191</v>
      </c>
      <c r="C8323" s="1" t="n">
        <v>45587</v>
      </c>
      <c r="D8323" t="inlineStr">
        <is>
          <t>GÄVLEBORGS LÄN</t>
        </is>
      </c>
      <c r="E8323" t="inlineStr">
        <is>
          <t>HUDIKSVALL</t>
        </is>
      </c>
      <c r="F8323" t="inlineStr">
        <is>
          <t>Holmen skog AB</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45248-2023</t>
        </is>
      </c>
      <c r="B8324" s="1" t="n">
        <v>45191</v>
      </c>
      <c r="C8324" s="1" t="n">
        <v>45587</v>
      </c>
      <c r="D8324" t="inlineStr">
        <is>
          <t>GÄVLEBORGS LÄN</t>
        </is>
      </c>
      <c r="E8324" t="inlineStr">
        <is>
          <t>BOLLNÄS</t>
        </is>
      </c>
      <c r="F8324" t="inlineStr">
        <is>
          <t>Bergvik skog väst AB</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45258-2023</t>
        </is>
      </c>
      <c r="B8325" s="1" t="n">
        <v>45191</v>
      </c>
      <c r="C8325" s="1" t="n">
        <v>45587</v>
      </c>
      <c r="D8325" t="inlineStr">
        <is>
          <t>GÄVLEBORGS LÄN</t>
        </is>
      </c>
      <c r="E8325" t="inlineStr">
        <is>
          <t>BOLLNÄS</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45267-2023</t>
        </is>
      </c>
      <c r="B8326" s="1" t="n">
        <v>45191</v>
      </c>
      <c r="C8326" s="1" t="n">
        <v>45587</v>
      </c>
      <c r="D8326" t="inlineStr">
        <is>
          <t>GÄVLEBORGS LÄN</t>
        </is>
      </c>
      <c r="E8326" t="inlineStr">
        <is>
          <t>SANDVIKEN</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45312-2023</t>
        </is>
      </c>
      <c r="B8327" s="1" t="n">
        <v>45191</v>
      </c>
      <c r="C8327" s="1" t="n">
        <v>45587</v>
      </c>
      <c r="D8327" t="inlineStr">
        <is>
          <t>GÄVLEBORGS LÄN</t>
        </is>
      </c>
      <c r="E8327" t="inlineStr">
        <is>
          <t>NORDANSTIG</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45243-2023</t>
        </is>
      </c>
      <c r="B8328" s="1" t="n">
        <v>45191</v>
      </c>
      <c r="C8328" s="1" t="n">
        <v>45587</v>
      </c>
      <c r="D8328" t="inlineStr">
        <is>
          <t>GÄVLEBORGS LÄN</t>
        </is>
      </c>
      <c r="E8328" t="inlineStr">
        <is>
          <t>LJUSDAL</t>
        </is>
      </c>
      <c r="G8328" t="n">
        <v>9.6</v>
      </c>
      <c r="H8328" t="n">
        <v>0</v>
      </c>
      <c r="I8328" t="n">
        <v>0</v>
      </c>
      <c r="J8328" t="n">
        <v>0</v>
      </c>
      <c r="K8328" t="n">
        <v>0</v>
      </c>
      <c r="L8328" t="n">
        <v>0</v>
      </c>
      <c r="M8328" t="n">
        <v>0</v>
      </c>
      <c r="N8328" t="n">
        <v>0</v>
      </c>
      <c r="O8328" t="n">
        <v>0</v>
      </c>
      <c r="P8328" t="n">
        <v>0</v>
      </c>
      <c r="Q8328" t="n">
        <v>0</v>
      </c>
      <c r="R8328" s="2" t="inlineStr"/>
    </row>
    <row r="8329" ht="15" customHeight="1">
      <c r="A8329" t="inlineStr">
        <is>
          <t>A 45251-2023</t>
        </is>
      </c>
      <c r="B8329" s="1" t="n">
        <v>45191</v>
      </c>
      <c r="C8329" s="1" t="n">
        <v>45587</v>
      </c>
      <c r="D8329" t="inlineStr">
        <is>
          <t>GÄVLEBORGS LÄN</t>
        </is>
      </c>
      <c r="E8329" t="inlineStr">
        <is>
          <t>LJUSDAL</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45266-2023</t>
        </is>
      </c>
      <c r="B8330" s="1" t="n">
        <v>45191</v>
      </c>
      <c r="C8330" s="1" t="n">
        <v>45587</v>
      </c>
      <c r="D8330" t="inlineStr">
        <is>
          <t>GÄVLEBORGS LÄN</t>
        </is>
      </c>
      <c r="E8330" t="inlineStr">
        <is>
          <t>HUDIKSVALL</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45279-2023</t>
        </is>
      </c>
      <c r="B8331" s="1" t="n">
        <v>45191</v>
      </c>
      <c r="C8331" s="1" t="n">
        <v>45587</v>
      </c>
      <c r="D8331" t="inlineStr">
        <is>
          <t>GÄVLEBORGS LÄN</t>
        </is>
      </c>
      <c r="E8331" t="inlineStr">
        <is>
          <t>SANDVIKEN</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45284-2023</t>
        </is>
      </c>
      <c r="B8332" s="1" t="n">
        <v>45191</v>
      </c>
      <c r="C8332" s="1" t="n">
        <v>45587</v>
      </c>
      <c r="D8332" t="inlineStr">
        <is>
          <t>GÄVLEBORGS LÄN</t>
        </is>
      </c>
      <c r="E8332" t="inlineStr">
        <is>
          <t>SANDVIKEN</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45289-2023</t>
        </is>
      </c>
      <c r="B8333" s="1" t="n">
        <v>45191</v>
      </c>
      <c r="C8333" s="1" t="n">
        <v>45587</v>
      </c>
      <c r="D8333" t="inlineStr">
        <is>
          <t>GÄVLEBORGS LÄN</t>
        </is>
      </c>
      <c r="E8333" t="inlineStr">
        <is>
          <t>LJUSDAL</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45299-2023</t>
        </is>
      </c>
      <c r="B8334" s="1" t="n">
        <v>45191</v>
      </c>
      <c r="C8334" s="1" t="n">
        <v>45587</v>
      </c>
      <c r="D8334" t="inlineStr">
        <is>
          <t>GÄVLEBORGS LÄN</t>
        </is>
      </c>
      <c r="E8334" t="inlineStr">
        <is>
          <t>SANDVIKEN</t>
        </is>
      </c>
      <c r="F8334" t="inlineStr">
        <is>
          <t>Bergvik skog öst AB</t>
        </is>
      </c>
      <c r="G8334" t="n">
        <v>5.1</v>
      </c>
      <c r="H8334" t="n">
        <v>0</v>
      </c>
      <c r="I8334" t="n">
        <v>0</v>
      </c>
      <c r="J8334" t="n">
        <v>0</v>
      </c>
      <c r="K8334" t="n">
        <v>0</v>
      </c>
      <c r="L8334" t="n">
        <v>0</v>
      </c>
      <c r="M8334" t="n">
        <v>0</v>
      </c>
      <c r="N8334" t="n">
        <v>0</v>
      </c>
      <c r="O8334" t="n">
        <v>0</v>
      </c>
      <c r="P8334" t="n">
        <v>0</v>
      </c>
      <c r="Q8334" t="n">
        <v>0</v>
      </c>
      <c r="R8334" s="2" t="inlineStr"/>
    </row>
    <row r="8335" ht="15" customHeight="1">
      <c r="A8335" t="inlineStr">
        <is>
          <t>A 45089-2023</t>
        </is>
      </c>
      <c r="B8335" s="1" t="n">
        <v>45191</v>
      </c>
      <c r="C8335" s="1" t="n">
        <v>45587</v>
      </c>
      <c r="D8335" t="inlineStr">
        <is>
          <t>GÄVLEBORGS LÄN</t>
        </is>
      </c>
      <c r="E8335" t="inlineStr">
        <is>
          <t>LJUSDAL</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45241-2023</t>
        </is>
      </c>
      <c r="B8336" s="1" t="n">
        <v>45191</v>
      </c>
      <c r="C8336" s="1" t="n">
        <v>45587</v>
      </c>
      <c r="D8336" t="inlineStr">
        <is>
          <t>GÄVLEBORGS LÄN</t>
        </is>
      </c>
      <c r="E8336" t="inlineStr">
        <is>
          <t>BOLLNÄS</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45250-2023</t>
        </is>
      </c>
      <c r="B8337" s="1" t="n">
        <v>45191</v>
      </c>
      <c r="C8337" s="1" t="n">
        <v>45587</v>
      </c>
      <c r="D8337" t="inlineStr">
        <is>
          <t>GÄVLEBORGS LÄN</t>
        </is>
      </c>
      <c r="E8337" t="inlineStr">
        <is>
          <t>LJUSDAL</t>
        </is>
      </c>
      <c r="G8337" t="n">
        <v>5.5</v>
      </c>
      <c r="H8337" t="n">
        <v>0</v>
      </c>
      <c r="I8337" t="n">
        <v>0</v>
      </c>
      <c r="J8337" t="n">
        <v>0</v>
      </c>
      <c r="K8337" t="n">
        <v>0</v>
      </c>
      <c r="L8337" t="n">
        <v>0</v>
      </c>
      <c r="M8337" t="n">
        <v>0</v>
      </c>
      <c r="N8337" t="n">
        <v>0</v>
      </c>
      <c r="O8337" t="n">
        <v>0</v>
      </c>
      <c r="P8337" t="n">
        <v>0</v>
      </c>
      <c r="Q8337" t="n">
        <v>0</v>
      </c>
      <c r="R8337" s="2" t="inlineStr"/>
    </row>
    <row r="8338" ht="15" customHeight="1">
      <c r="A8338" t="inlineStr">
        <is>
          <t>A 45255-2023</t>
        </is>
      </c>
      <c r="B8338" s="1" t="n">
        <v>45191</v>
      </c>
      <c r="C8338" s="1" t="n">
        <v>45587</v>
      </c>
      <c r="D8338" t="inlineStr">
        <is>
          <t>GÄVLEBORGS LÄN</t>
        </is>
      </c>
      <c r="E8338" t="inlineStr">
        <is>
          <t>LJUSDAL</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45260-2023</t>
        </is>
      </c>
      <c r="B8339" s="1" t="n">
        <v>45191</v>
      </c>
      <c r="C8339" s="1" t="n">
        <v>45587</v>
      </c>
      <c r="D8339" t="inlineStr">
        <is>
          <t>GÄVLEBORGS LÄN</t>
        </is>
      </c>
      <c r="E8339" t="inlineStr">
        <is>
          <t>LJUSDAL</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45278-2023</t>
        </is>
      </c>
      <c r="B8340" s="1" t="n">
        <v>45191</v>
      </c>
      <c r="C8340" s="1" t="n">
        <v>45587</v>
      </c>
      <c r="D8340" t="inlineStr">
        <is>
          <t>GÄVLEBORGS LÄN</t>
        </is>
      </c>
      <c r="E8340" t="inlineStr">
        <is>
          <t>LJUSDAL</t>
        </is>
      </c>
      <c r="G8340" t="n">
        <v>7.7</v>
      </c>
      <c r="H8340" t="n">
        <v>0</v>
      </c>
      <c r="I8340" t="n">
        <v>0</v>
      </c>
      <c r="J8340" t="n">
        <v>0</v>
      </c>
      <c r="K8340" t="n">
        <v>0</v>
      </c>
      <c r="L8340" t="n">
        <v>0</v>
      </c>
      <c r="M8340" t="n">
        <v>0</v>
      </c>
      <c r="N8340" t="n">
        <v>0</v>
      </c>
      <c r="O8340" t="n">
        <v>0</v>
      </c>
      <c r="P8340" t="n">
        <v>0</v>
      </c>
      <c r="Q8340" t="n">
        <v>0</v>
      </c>
      <c r="R8340" s="2" t="inlineStr"/>
    </row>
    <row r="8341" ht="15" customHeight="1">
      <c r="A8341" t="inlineStr">
        <is>
          <t>A 45302-2023</t>
        </is>
      </c>
      <c r="B8341" s="1" t="n">
        <v>45191</v>
      </c>
      <c r="C8341" s="1" t="n">
        <v>45587</v>
      </c>
      <c r="D8341" t="inlineStr">
        <is>
          <t>GÄVLEBORGS LÄN</t>
        </is>
      </c>
      <c r="E8341" t="inlineStr">
        <is>
          <t>SANDVIKEN</t>
        </is>
      </c>
      <c r="F8341" t="inlineStr">
        <is>
          <t>Sveaskog</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45318-2023</t>
        </is>
      </c>
      <c r="B8342" s="1" t="n">
        <v>45191</v>
      </c>
      <c r="C8342" s="1" t="n">
        <v>45587</v>
      </c>
      <c r="D8342" t="inlineStr">
        <is>
          <t>GÄVLEBORGS LÄN</t>
        </is>
      </c>
      <c r="E8342" t="inlineStr">
        <is>
          <t>HUDIKSVALL</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46414-2023</t>
        </is>
      </c>
      <c r="B8343" s="1" t="n">
        <v>45191</v>
      </c>
      <c r="C8343" s="1" t="n">
        <v>45587</v>
      </c>
      <c r="D8343" t="inlineStr">
        <is>
          <t>GÄVLEBORGS LÄN</t>
        </is>
      </c>
      <c r="E8343" t="inlineStr">
        <is>
          <t>SANDVIKEN</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45356-2023</t>
        </is>
      </c>
      <c r="B8344" s="1" t="n">
        <v>45192</v>
      </c>
      <c r="C8344" s="1" t="n">
        <v>45587</v>
      </c>
      <c r="D8344" t="inlineStr">
        <is>
          <t>GÄVLEBORGS LÄN</t>
        </is>
      </c>
      <c r="E8344" t="inlineStr">
        <is>
          <t>GÄVLE</t>
        </is>
      </c>
      <c r="G8344" t="n">
        <v>5.1</v>
      </c>
      <c r="H8344" t="n">
        <v>0</v>
      </c>
      <c r="I8344" t="n">
        <v>0</v>
      </c>
      <c r="J8344" t="n">
        <v>0</v>
      </c>
      <c r="K8344" t="n">
        <v>0</v>
      </c>
      <c r="L8344" t="n">
        <v>0</v>
      </c>
      <c r="M8344" t="n">
        <v>0</v>
      </c>
      <c r="N8344" t="n">
        <v>0</v>
      </c>
      <c r="O8344" t="n">
        <v>0</v>
      </c>
      <c r="P8344" t="n">
        <v>0</v>
      </c>
      <c r="Q8344" t="n">
        <v>0</v>
      </c>
      <c r="R8344" s="2" t="inlineStr"/>
    </row>
    <row r="8345" ht="15" customHeight="1">
      <c r="A8345" t="inlineStr">
        <is>
          <t>A 45360-2023</t>
        </is>
      </c>
      <c r="B8345" s="1" t="n">
        <v>45192</v>
      </c>
      <c r="C8345" s="1" t="n">
        <v>45587</v>
      </c>
      <c r="D8345" t="inlineStr">
        <is>
          <t>GÄVLEBORGS LÄN</t>
        </is>
      </c>
      <c r="E8345" t="inlineStr">
        <is>
          <t>GÄVLE</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45418-2023</t>
        </is>
      </c>
      <c r="B8346" s="1" t="n">
        <v>45194</v>
      </c>
      <c r="C8346" s="1" t="n">
        <v>45587</v>
      </c>
      <c r="D8346" t="inlineStr">
        <is>
          <t>GÄVLEBORGS LÄN</t>
        </is>
      </c>
      <c r="E8346" t="inlineStr">
        <is>
          <t>SANDVIKEN</t>
        </is>
      </c>
      <c r="F8346" t="inlineStr">
        <is>
          <t>Bergvik skog öst AB</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45536-2023</t>
        </is>
      </c>
      <c r="B8347" s="1" t="n">
        <v>45194</v>
      </c>
      <c r="C8347" s="1" t="n">
        <v>45587</v>
      </c>
      <c r="D8347" t="inlineStr">
        <is>
          <t>GÄVLEBORGS LÄN</t>
        </is>
      </c>
      <c r="E8347" t="inlineStr">
        <is>
          <t>LJUSDAL</t>
        </is>
      </c>
      <c r="G8347" t="n">
        <v>10.7</v>
      </c>
      <c r="H8347" t="n">
        <v>0</v>
      </c>
      <c r="I8347" t="n">
        <v>0</v>
      </c>
      <c r="J8347" t="n">
        <v>0</v>
      </c>
      <c r="K8347" t="n">
        <v>0</v>
      </c>
      <c r="L8347" t="n">
        <v>0</v>
      </c>
      <c r="M8347" t="n">
        <v>0</v>
      </c>
      <c r="N8347" t="n">
        <v>0</v>
      </c>
      <c r="O8347" t="n">
        <v>0</v>
      </c>
      <c r="P8347" t="n">
        <v>0</v>
      </c>
      <c r="Q8347" t="n">
        <v>0</v>
      </c>
      <c r="R8347" s="2" t="inlineStr"/>
    </row>
    <row r="8348" ht="15" customHeight="1">
      <c r="A8348" t="inlineStr">
        <is>
          <t>A 45557-2023</t>
        </is>
      </c>
      <c r="B8348" s="1" t="n">
        <v>45194</v>
      </c>
      <c r="C8348" s="1" t="n">
        <v>45587</v>
      </c>
      <c r="D8348" t="inlineStr">
        <is>
          <t>GÄVLEBORGS LÄN</t>
        </is>
      </c>
      <c r="E8348" t="inlineStr">
        <is>
          <t>BOLLNÄS</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45615-2023</t>
        </is>
      </c>
      <c r="B8349" s="1" t="n">
        <v>45194</v>
      </c>
      <c r="C8349" s="1" t="n">
        <v>45587</v>
      </c>
      <c r="D8349" t="inlineStr">
        <is>
          <t>GÄVLEBORGS LÄN</t>
        </is>
      </c>
      <c r="E8349" t="inlineStr">
        <is>
          <t>NORDANSTIG</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45645-2023</t>
        </is>
      </c>
      <c r="B8350" s="1" t="n">
        <v>45194</v>
      </c>
      <c r="C8350" s="1" t="n">
        <v>45587</v>
      </c>
      <c r="D8350" t="inlineStr">
        <is>
          <t>GÄVLEBORGS LÄN</t>
        </is>
      </c>
      <c r="E8350" t="inlineStr">
        <is>
          <t>LJUSDAL</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45569-2023</t>
        </is>
      </c>
      <c r="B8351" s="1" t="n">
        <v>45194</v>
      </c>
      <c r="C8351" s="1" t="n">
        <v>45587</v>
      </c>
      <c r="D8351" t="inlineStr">
        <is>
          <t>GÄVLEBORGS LÄN</t>
        </is>
      </c>
      <c r="E8351" t="inlineStr">
        <is>
          <t>GÄVLE</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45593-2023</t>
        </is>
      </c>
      <c r="B8352" s="1" t="n">
        <v>45194</v>
      </c>
      <c r="C8352" s="1" t="n">
        <v>45587</v>
      </c>
      <c r="D8352" t="inlineStr">
        <is>
          <t>GÄVLEBORGS LÄN</t>
        </is>
      </c>
      <c r="E8352" t="inlineStr">
        <is>
          <t>HUDIKSVALL</t>
        </is>
      </c>
      <c r="G8352" t="n">
        <v>3.9</v>
      </c>
      <c r="H8352" t="n">
        <v>0</v>
      </c>
      <c r="I8352" t="n">
        <v>0</v>
      </c>
      <c r="J8352" t="n">
        <v>0</v>
      </c>
      <c r="K8352" t="n">
        <v>0</v>
      </c>
      <c r="L8352" t="n">
        <v>0</v>
      </c>
      <c r="M8352" t="n">
        <v>0</v>
      </c>
      <c r="N8352" t="n">
        <v>0</v>
      </c>
      <c r="O8352" t="n">
        <v>0</v>
      </c>
      <c r="P8352" t="n">
        <v>0</v>
      </c>
      <c r="Q8352" t="n">
        <v>0</v>
      </c>
      <c r="R8352" s="2" t="inlineStr"/>
    </row>
    <row r="8353" ht="15" customHeight="1">
      <c r="A8353" t="inlineStr">
        <is>
          <t>A 45559-2023</t>
        </is>
      </c>
      <c r="B8353" s="1" t="n">
        <v>45194</v>
      </c>
      <c r="C8353" s="1" t="n">
        <v>45587</v>
      </c>
      <c r="D8353" t="inlineStr">
        <is>
          <t>GÄVLEBORGS LÄN</t>
        </is>
      </c>
      <c r="E8353" t="inlineStr">
        <is>
          <t>GÄVLE</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45582-2023</t>
        </is>
      </c>
      <c r="B8354" s="1" t="n">
        <v>45194</v>
      </c>
      <c r="C8354" s="1" t="n">
        <v>45587</v>
      </c>
      <c r="D8354" t="inlineStr">
        <is>
          <t>GÄVLEBORGS LÄN</t>
        </is>
      </c>
      <c r="E8354" t="inlineStr">
        <is>
          <t>BOLLNÄS</t>
        </is>
      </c>
      <c r="G8354" t="n">
        <v>18.1</v>
      </c>
      <c r="H8354" t="n">
        <v>0</v>
      </c>
      <c r="I8354" t="n">
        <v>0</v>
      </c>
      <c r="J8354" t="n">
        <v>0</v>
      </c>
      <c r="K8354" t="n">
        <v>0</v>
      </c>
      <c r="L8354" t="n">
        <v>0</v>
      </c>
      <c r="M8354" t="n">
        <v>0</v>
      </c>
      <c r="N8354" t="n">
        <v>0</v>
      </c>
      <c r="O8354" t="n">
        <v>0</v>
      </c>
      <c r="P8354" t="n">
        <v>0</v>
      </c>
      <c r="Q8354" t="n">
        <v>0</v>
      </c>
      <c r="R8354" s="2" t="inlineStr"/>
    </row>
    <row r="8355" ht="15" customHeight="1">
      <c r="A8355" t="inlineStr">
        <is>
          <t>A 45629-2023</t>
        </is>
      </c>
      <c r="B8355" s="1" t="n">
        <v>45194</v>
      </c>
      <c r="C8355" s="1" t="n">
        <v>45587</v>
      </c>
      <c r="D8355" t="inlineStr">
        <is>
          <t>GÄVLEBORGS LÄN</t>
        </is>
      </c>
      <c r="E8355" t="inlineStr">
        <is>
          <t>BOLLNÄS</t>
        </is>
      </c>
      <c r="G8355" t="n">
        <v>11.5</v>
      </c>
      <c r="H8355" t="n">
        <v>0</v>
      </c>
      <c r="I8355" t="n">
        <v>0</v>
      </c>
      <c r="J8355" t="n">
        <v>0</v>
      </c>
      <c r="K8355" t="n">
        <v>0</v>
      </c>
      <c r="L8355" t="n">
        <v>0</v>
      </c>
      <c r="M8355" t="n">
        <v>0</v>
      </c>
      <c r="N8355" t="n">
        <v>0</v>
      </c>
      <c r="O8355" t="n">
        <v>0</v>
      </c>
      <c r="P8355" t="n">
        <v>0</v>
      </c>
      <c r="Q8355" t="n">
        <v>0</v>
      </c>
      <c r="R8355" s="2" t="inlineStr"/>
    </row>
    <row r="8356" ht="15" customHeight="1">
      <c r="A8356" t="inlineStr">
        <is>
          <t>A 45639-2023</t>
        </is>
      </c>
      <c r="B8356" s="1" t="n">
        <v>45194</v>
      </c>
      <c r="C8356" s="1" t="n">
        <v>45587</v>
      </c>
      <c r="D8356" t="inlineStr">
        <is>
          <t>GÄVLEBORGS LÄN</t>
        </is>
      </c>
      <c r="E8356" t="inlineStr">
        <is>
          <t>BOLLNÄS</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45680-2023</t>
        </is>
      </c>
      <c r="B8357" s="1" t="n">
        <v>45195</v>
      </c>
      <c r="C8357" s="1" t="n">
        <v>45587</v>
      </c>
      <c r="D8357" t="inlineStr">
        <is>
          <t>GÄVLEBORGS LÄN</t>
        </is>
      </c>
      <c r="E8357" t="inlineStr">
        <is>
          <t>OVANÅKER</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45733-2023</t>
        </is>
      </c>
      <c r="B8358" s="1" t="n">
        <v>45195</v>
      </c>
      <c r="C8358" s="1" t="n">
        <v>45587</v>
      </c>
      <c r="D8358" t="inlineStr">
        <is>
          <t>GÄVLEBORGS LÄN</t>
        </is>
      </c>
      <c r="E8358" t="inlineStr">
        <is>
          <t>LJUSDAL</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45752-2023</t>
        </is>
      </c>
      <c r="B8359" s="1" t="n">
        <v>45195</v>
      </c>
      <c r="C8359" s="1" t="n">
        <v>45587</v>
      </c>
      <c r="D8359" t="inlineStr">
        <is>
          <t>GÄVLEBORGS LÄN</t>
        </is>
      </c>
      <c r="E8359" t="inlineStr">
        <is>
          <t>LJUSDAL</t>
        </is>
      </c>
      <c r="G8359" t="n">
        <v>7.6</v>
      </c>
      <c r="H8359" t="n">
        <v>0</v>
      </c>
      <c r="I8359" t="n">
        <v>0</v>
      </c>
      <c r="J8359" t="n">
        <v>0</v>
      </c>
      <c r="K8359" t="n">
        <v>0</v>
      </c>
      <c r="L8359" t="n">
        <v>0</v>
      </c>
      <c r="M8359" t="n">
        <v>0</v>
      </c>
      <c r="N8359" t="n">
        <v>0</v>
      </c>
      <c r="O8359" t="n">
        <v>0</v>
      </c>
      <c r="P8359" t="n">
        <v>0</v>
      </c>
      <c r="Q8359" t="n">
        <v>0</v>
      </c>
      <c r="R8359" s="2" t="inlineStr"/>
    </row>
    <row r="8360" ht="15" customHeight="1">
      <c r="A8360" t="inlineStr">
        <is>
          <t>A 45762-2023</t>
        </is>
      </c>
      <c r="B8360" s="1" t="n">
        <v>45195</v>
      </c>
      <c r="C8360" s="1" t="n">
        <v>45587</v>
      </c>
      <c r="D8360" t="inlineStr">
        <is>
          <t>GÄVLEBORGS LÄN</t>
        </is>
      </c>
      <c r="E8360" t="inlineStr">
        <is>
          <t>NORDANSTIG</t>
        </is>
      </c>
      <c r="G8360" t="n">
        <v>5.7</v>
      </c>
      <c r="H8360" t="n">
        <v>0</v>
      </c>
      <c r="I8360" t="n">
        <v>0</v>
      </c>
      <c r="J8360" t="n">
        <v>0</v>
      </c>
      <c r="K8360" t="n">
        <v>0</v>
      </c>
      <c r="L8360" t="n">
        <v>0</v>
      </c>
      <c r="M8360" t="n">
        <v>0</v>
      </c>
      <c r="N8360" t="n">
        <v>0</v>
      </c>
      <c r="O8360" t="n">
        <v>0</v>
      </c>
      <c r="P8360" t="n">
        <v>0</v>
      </c>
      <c r="Q8360" t="n">
        <v>0</v>
      </c>
      <c r="R8360" s="2" t="inlineStr"/>
    </row>
    <row r="8361" ht="15" customHeight="1">
      <c r="A8361" t="inlineStr">
        <is>
          <t>A 45763-2023</t>
        </is>
      </c>
      <c r="B8361" s="1" t="n">
        <v>45195</v>
      </c>
      <c r="C8361" s="1" t="n">
        <v>45587</v>
      </c>
      <c r="D8361" t="inlineStr">
        <is>
          <t>GÄVLEBORGS LÄN</t>
        </is>
      </c>
      <c r="E8361" t="inlineStr">
        <is>
          <t>LJUSDAL</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45877-2023</t>
        </is>
      </c>
      <c r="B8362" s="1" t="n">
        <v>45195</v>
      </c>
      <c r="C8362" s="1" t="n">
        <v>45587</v>
      </c>
      <c r="D8362" t="inlineStr">
        <is>
          <t>GÄVLEBORGS LÄN</t>
        </is>
      </c>
      <c r="E8362" t="inlineStr">
        <is>
          <t>SANDVIKEN</t>
        </is>
      </c>
      <c r="F8362" t="inlineStr">
        <is>
          <t>Bergvik skog öst AB</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45842-2023</t>
        </is>
      </c>
      <c r="B8363" s="1" t="n">
        <v>45195</v>
      </c>
      <c r="C8363" s="1" t="n">
        <v>45587</v>
      </c>
      <c r="D8363" t="inlineStr">
        <is>
          <t>GÄVLEBORGS LÄN</t>
        </is>
      </c>
      <c r="E8363" t="inlineStr">
        <is>
          <t>BOLLNÄS</t>
        </is>
      </c>
      <c r="F8363" t="inlineStr">
        <is>
          <t>Bergvik skog väst AB</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45909-2023</t>
        </is>
      </c>
      <c r="B8364" s="1" t="n">
        <v>45195</v>
      </c>
      <c r="C8364" s="1" t="n">
        <v>45587</v>
      </c>
      <c r="D8364" t="inlineStr">
        <is>
          <t>GÄVLEBORGS LÄN</t>
        </is>
      </c>
      <c r="E8364" t="inlineStr">
        <is>
          <t>SANDVIKEN</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45703-2023</t>
        </is>
      </c>
      <c r="B8365" s="1" t="n">
        <v>45195</v>
      </c>
      <c r="C8365" s="1" t="n">
        <v>45587</v>
      </c>
      <c r="D8365" t="inlineStr">
        <is>
          <t>GÄVLEBORGS LÄN</t>
        </is>
      </c>
      <c r="E8365" t="inlineStr">
        <is>
          <t>LJUSDAL</t>
        </is>
      </c>
      <c r="F8365" t="inlineStr">
        <is>
          <t>Holmen skog AB</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45709-2023</t>
        </is>
      </c>
      <c r="B8366" s="1" t="n">
        <v>45195</v>
      </c>
      <c r="C8366" s="1" t="n">
        <v>45587</v>
      </c>
      <c r="D8366" t="inlineStr">
        <is>
          <t>GÄVLEBORGS LÄN</t>
        </is>
      </c>
      <c r="E8366" t="inlineStr">
        <is>
          <t>LJUSDAL</t>
        </is>
      </c>
      <c r="F8366" t="inlineStr">
        <is>
          <t>Holmen skog AB</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45726-2023</t>
        </is>
      </c>
      <c r="B8367" s="1" t="n">
        <v>45195</v>
      </c>
      <c r="C8367" s="1" t="n">
        <v>45587</v>
      </c>
      <c r="D8367" t="inlineStr">
        <is>
          <t>GÄVLEBORGS LÄN</t>
        </is>
      </c>
      <c r="E8367" t="inlineStr">
        <is>
          <t>LJUSDAL</t>
        </is>
      </c>
      <c r="G8367" t="n">
        <v>5.1</v>
      </c>
      <c r="H8367" t="n">
        <v>0</v>
      </c>
      <c r="I8367" t="n">
        <v>0</v>
      </c>
      <c r="J8367" t="n">
        <v>0</v>
      </c>
      <c r="K8367" t="n">
        <v>0</v>
      </c>
      <c r="L8367" t="n">
        <v>0</v>
      </c>
      <c r="M8367" t="n">
        <v>0</v>
      </c>
      <c r="N8367" t="n">
        <v>0</v>
      </c>
      <c r="O8367" t="n">
        <v>0</v>
      </c>
      <c r="P8367" t="n">
        <v>0</v>
      </c>
      <c r="Q8367" t="n">
        <v>0</v>
      </c>
      <c r="R8367" s="2" t="inlineStr"/>
    </row>
    <row r="8368" ht="15" customHeight="1">
      <c r="A8368" t="inlineStr">
        <is>
          <t>A 45751-2023</t>
        </is>
      </c>
      <c r="B8368" s="1" t="n">
        <v>45195</v>
      </c>
      <c r="C8368" s="1" t="n">
        <v>45587</v>
      </c>
      <c r="D8368" t="inlineStr">
        <is>
          <t>GÄVLEBORGS LÄN</t>
        </is>
      </c>
      <c r="E8368" t="inlineStr">
        <is>
          <t>LJUSDAL</t>
        </is>
      </c>
      <c r="G8368" t="n">
        <v>6.7</v>
      </c>
      <c r="H8368" t="n">
        <v>0</v>
      </c>
      <c r="I8368" t="n">
        <v>0</v>
      </c>
      <c r="J8368" t="n">
        <v>0</v>
      </c>
      <c r="K8368" t="n">
        <v>0</v>
      </c>
      <c r="L8368" t="n">
        <v>0</v>
      </c>
      <c r="M8368" t="n">
        <v>0</v>
      </c>
      <c r="N8368" t="n">
        <v>0</v>
      </c>
      <c r="O8368" t="n">
        <v>0</v>
      </c>
      <c r="P8368" t="n">
        <v>0</v>
      </c>
      <c r="Q8368" t="n">
        <v>0</v>
      </c>
      <c r="R8368" s="2" t="inlineStr"/>
    </row>
    <row r="8369" ht="15" customHeight="1">
      <c r="A8369" t="inlineStr">
        <is>
          <t>A 45770-2023</t>
        </is>
      </c>
      <c r="B8369" s="1" t="n">
        <v>45195</v>
      </c>
      <c r="C8369" s="1" t="n">
        <v>45587</v>
      </c>
      <c r="D8369" t="inlineStr">
        <is>
          <t>GÄVLEBORGS LÄN</t>
        </is>
      </c>
      <c r="E8369" t="inlineStr">
        <is>
          <t>GÄVLE</t>
        </is>
      </c>
      <c r="G8369" t="n">
        <v>3.9</v>
      </c>
      <c r="H8369" t="n">
        <v>0</v>
      </c>
      <c r="I8369" t="n">
        <v>0</v>
      </c>
      <c r="J8369" t="n">
        <v>0</v>
      </c>
      <c r="K8369" t="n">
        <v>0</v>
      </c>
      <c r="L8369" t="n">
        <v>0</v>
      </c>
      <c r="M8369" t="n">
        <v>0</v>
      </c>
      <c r="N8369" t="n">
        <v>0</v>
      </c>
      <c r="O8369" t="n">
        <v>0</v>
      </c>
      <c r="P8369" t="n">
        <v>0</v>
      </c>
      <c r="Q8369" t="n">
        <v>0</v>
      </c>
      <c r="R8369" s="2" t="inlineStr"/>
    </row>
    <row r="8370" ht="15" customHeight="1">
      <c r="A8370" t="inlineStr">
        <is>
          <t>A 45802-2023</t>
        </is>
      </c>
      <c r="B8370" s="1" t="n">
        <v>45195</v>
      </c>
      <c r="C8370" s="1" t="n">
        <v>45587</v>
      </c>
      <c r="D8370" t="inlineStr">
        <is>
          <t>GÄVLEBORGS LÄN</t>
        </is>
      </c>
      <c r="E8370" t="inlineStr">
        <is>
          <t>HUDIKSVALL</t>
        </is>
      </c>
      <c r="F8370" t="inlineStr">
        <is>
          <t>Holmen skog AB</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45840-2023</t>
        </is>
      </c>
      <c r="B8371" s="1" t="n">
        <v>45195</v>
      </c>
      <c r="C8371" s="1" t="n">
        <v>45587</v>
      </c>
      <c r="D8371" t="inlineStr">
        <is>
          <t>GÄVLEBORGS LÄN</t>
        </is>
      </c>
      <c r="E8371" t="inlineStr">
        <is>
          <t>BOLLNÄS</t>
        </is>
      </c>
      <c r="F8371" t="inlineStr">
        <is>
          <t>Bergvik skog väst AB</t>
        </is>
      </c>
      <c r="G8371" t="n">
        <v>8.1</v>
      </c>
      <c r="H8371" t="n">
        <v>0</v>
      </c>
      <c r="I8371" t="n">
        <v>0</v>
      </c>
      <c r="J8371" t="n">
        <v>0</v>
      </c>
      <c r="K8371" t="n">
        <v>0</v>
      </c>
      <c r="L8371" t="n">
        <v>0</v>
      </c>
      <c r="M8371" t="n">
        <v>0</v>
      </c>
      <c r="N8371" t="n">
        <v>0</v>
      </c>
      <c r="O8371" t="n">
        <v>0</v>
      </c>
      <c r="P8371" t="n">
        <v>0</v>
      </c>
      <c r="Q8371" t="n">
        <v>0</v>
      </c>
      <c r="R8371" s="2" t="inlineStr"/>
    </row>
    <row r="8372" ht="15" customHeight="1">
      <c r="A8372" t="inlineStr">
        <is>
          <t>A 45844-2023</t>
        </is>
      </c>
      <c r="B8372" s="1" t="n">
        <v>45195</v>
      </c>
      <c r="C8372" s="1" t="n">
        <v>45587</v>
      </c>
      <c r="D8372" t="inlineStr">
        <is>
          <t>GÄVLEBORGS LÄN</t>
        </is>
      </c>
      <c r="E8372" t="inlineStr">
        <is>
          <t>NORDANSTIG</t>
        </is>
      </c>
      <c r="G8372" t="n">
        <v>4.3</v>
      </c>
      <c r="H8372" t="n">
        <v>0</v>
      </c>
      <c r="I8372" t="n">
        <v>0</v>
      </c>
      <c r="J8372" t="n">
        <v>0</v>
      </c>
      <c r="K8372" t="n">
        <v>0</v>
      </c>
      <c r="L8372" t="n">
        <v>0</v>
      </c>
      <c r="M8372" t="n">
        <v>0</v>
      </c>
      <c r="N8372" t="n">
        <v>0</v>
      </c>
      <c r="O8372" t="n">
        <v>0</v>
      </c>
      <c r="P8372" t="n">
        <v>0</v>
      </c>
      <c r="Q8372" t="n">
        <v>0</v>
      </c>
      <c r="R8372" s="2" t="inlineStr"/>
    </row>
    <row r="8373" ht="15" customHeight="1">
      <c r="A8373" t="inlineStr">
        <is>
          <t>A 45725-2023</t>
        </is>
      </c>
      <c r="B8373" s="1" t="n">
        <v>45195</v>
      </c>
      <c r="C8373" s="1" t="n">
        <v>45587</v>
      </c>
      <c r="D8373" t="inlineStr">
        <is>
          <t>GÄVLEBORGS LÄN</t>
        </is>
      </c>
      <c r="E8373" t="inlineStr">
        <is>
          <t>HUDIKSVALL</t>
        </is>
      </c>
      <c r="F8373" t="inlineStr">
        <is>
          <t>Holmen skog AB</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45730-2023</t>
        </is>
      </c>
      <c r="B8374" s="1" t="n">
        <v>45195</v>
      </c>
      <c r="C8374" s="1" t="n">
        <v>45587</v>
      </c>
      <c r="D8374" t="inlineStr">
        <is>
          <t>GÄVLEBORGS LÄN</t>
        </is>
      </c>
      <c r="E8374" t="inlineStr">
        <is>
          <t>LJUSDAL</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45745-2023</t>
        </is>
      </c>
      <c r="B8375" s="1" t="n">
        <v>45195</v>
      </c>
      <c r="C8375" s="1" t="n">
        <v>45587</v>
      </c>
      <c r="D8375" t="inlineStr">
        <is>
          <t>GÄVLEBORGS LÄN</t>
        </is>
      </c>
      <c r="E8375" t="inlineStr">
        <is>
          <t>GÄVLE</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45750-2023</t>
        </is>
      </c>
      <c r="B8376" s="1" t="n">
        <v>45195</v>
      </c>
      <c r="C8376" s="1" t="n">
        <v>45587</v>
      </c>
      <c r="D8376" t="inlineStr">
        <is>
          <t>GÄVLEBORGS LÄN</t>
        </is>
      </c>
      <c r="E8376" t="inlineStr">
        <is>
          <t>GÄVLE</t>
        </is>
      </c>
      <c r="F8376" t="inlineStr">
        <is>
          <t>Bergvik skog väst AB</t>
        </is>
      </c>
      <c r="G8376" t="n">
        <v>5.9</v>
      </c>
      <c r="H8376" t="n">
        <v>0</v>
      </c>
      <c r="I8376" t="n">
        <v>0</v>
      </c>
      <c r="J8376" t="n">
        <v>0</v>
      </c>
      <c r="K8376" t="n">
        <v>0</v>
      </c>
      <c r="L8376" t="n">
        <v>0</v>
      </c>
      <c r="M8376" t="n">
        <v>0</v>
      </c>
      <c r="N8376" t="n">
        <v>0</v>
      </c>
      <c r="O8376" t="n">
        <v>0</v>
      </c>
      <c r="P8376" t="n">
        <v>0</v>
      </c>
      <c r="Q8376" t="n">
        <v>0</v>
      </c>
      <c r="R8376" s="2" t="inlineStr"/>
    </row>
    <row r="8377" ht="15" customHeight="1">
      <c r="A8377" t="inlineStr">
        <is>
          <t>A 45883-2023</t>
        </is>
      </c>
      <c r="B8377" s="1" t="n">
        <v>45195</v>
      </c>
      <c r="C8377" s="1" t="n">
        <v>45587</v>
      </c>
      <c r="D8377" t="inlineStr">
        <is>
          <t>GÄVLEBORGS LÄN</t>
        </is>
      </c>
      <c r="E8377" t="inlineStr">
        <is>
          <t>SANDVIKEN</t>
        </is>
      </c>
      <c r="F8377" t="inlineStr">
        <is>
          <t>Bergvik skog öst AB</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45989-2023</t>
        </is>
      </c>
      <c r="B8378" s="1" t="n">
        <v>45196</v>
      </c>
      <c r="C8378" s="1" t="n">
        <v>45587</v>
      </c>
      <c r="D8378" t="inlineStr">
        <is>
          <t>GÄVLEBORGS LÄN</t>
        </is>
      </c>
      <c r="E8378" t="inlineStr">
        <is>
          <t>SANDVIKEN</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45994-2023</t>
        </is>
      </c>
      <c r="B8379" s="1" t="n">
        <v>45196</v>
      </c>
      <c r="C8379" s="1" t="n">
        <v>45587</v>
      </c>
      <c r="D8379" t="inlineStr">
        <is>
          <t>GÄVLEBORGS LÄN</t>
        </is>
      </c>
      <c r="E8379" t="inlineStr">
        <is>
          <t>OCKELBO</t>
        </is>
      </c>
      <c r="F8379" t="inlineStr">
        <is>
          <t>Bergvik skog väst AB</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46034-2023</t>
        </is>
      </c>
      <c r="B8380" s="1" t="n">
        <v>45196</v>
      </c>
      <c r="C8380" s="1" t="n">
        <v>45587</v>
      </c>
      <c r="D8380" t="inlineStr">
        <is>
          <t>GÄVLEBORGS LÄN</t>
        </is>
      </c>
      <c r="E8380" t="inlineStr">
        <is>
          <t>LJUSDAL</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46029-2023</t>
        </is>
      </c>
      <c r="B8381" s="1" t="n">
        <v>45196</v>
      </c>
      <c r="C8381" s="1" t="n">
        <v>45587</v>
      </c>
      <c r="D8381" t="inlineStr">
        <is>
          <t>GÄVLEBORGS LÄN</t>
        </is>
      </c>
      <c r="E8381" t="inlineStr">
        <is>
          <t>LJUSDAL</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46031-2023</t>
        </is>
      </c>
      <c r="B8382" s="1" t="n">
        <v>45196</v>
      </c>
      <c r="C8382" s="1" t="n">
        <v>45587</v>
      </c>
      <c r="D8382" t="inlineStr">
        <is>
          <t>GÄVLEBORGS LÄN</t>
        </is>
      </c>
      <c r="E8382" t="inlineStr">
        <is>
          <t>GÄVLE</t>
        </is>
      </c>
      <c r="F8382" t="inlineStr">
        <is>
          <t>Bergvik skog väst AB</t>
        </is>
      </c>
      <c r="G8382" t="n">
        <v>26.8</v>
      </c>
      <c r="H8382" t="n">
        <v>0</v>
      </c>
      <c r="I8382" t="n">
        <v>0</v>
      </c>
      <c r="J8382" t="n">
        <v>0</v>
      </c>
      <c r="K8382" t="n">
        <v>0</v>
      </c>
      <c r="L8382" t="n">
        <v>0</v>
      </c>
      <c r="M8382" t="n">
        <v>0</v>
      </c>
      <c r="N8382" t="n">
        <v>0</v>
      </c>
      <c r="O8382" t="n">
        <v>0</v>
      </c>
      <c r="P8382" t="n">
        <v>0</v>
      </c>
      <c r="Q8382" t="n">
        <v>0</v>
      </c>
      <c r="R8382" s="2" t="inlineStr"/>
    </row>
    <row r="8383" ht="15" customHeight="1">
      <c r="A8383" t="inlineStr">
        <is>
          <t>A 46153-2023</t>
        </is>
      </c>
      <c r="B8383" s="1" t="n">
        <v>45196</v>
      </c>
      <c r="C8383" s="1" t="n">
        <v>45587</v>
      </c>
      <c r="D8383" t="inlineStr">
        <is>
          <t>GÄVLEBORGS LÄN</t>
        </is>
      </c>
      <c r="E8383" t="inlineStr">
        <is>
          <t>HUDIKSVALL</t>
        </is>
      </c>
      <c r="F8383" t="inlineStr">
        <is>
          <t>Holmen skog AB</t>
        </is>
      </c>
      <c r="G8383" t="n">
        <v>4.9</v>
      </c>
      <c r="H8383" t="n">
        <v>0</v>
      </c>
      <c r="I8383" t="n">
        <v>0</v>
      </c>
      <c r="J8383" t="n">
        <v>0</v>
      </c>
      <c r="K8383" t="n">
        <v>0</v>
      </c>
      <c r="L8383" t="n">
        <v>0</v>
      </c>
      <c r="M8383" t="n">
        <v>0</v>
      </c>
      <c r="N8383" t="n">
        <v>0</v>
      </c>
      <c r="O8383" t="n">
        <v>0</v>
      </c>
      <c r="P8383" t="n">
        <v>0</v>
      </c>
      <c r="Q8383" t="n">
        <v>0</v>
      </c>
      <c r="R8383" s="2" t="inlineStr"/>
    </row>
    <row r="8384" ht="15" customHeight="1">
      <c r="A8384" t="inlineStr">
        <is>
          <t>A 46105-2023</t>
        </is>
      </c>
      <c r="B8384" s="1" t="n">
        <v>45196</v>
      </c>
      <c r="C8384" s="1" t="n">
        <v>45587</v>
      </c>
      <c r="D8384" t="inlineStr">
        <is>
          <t>GÄVLEBORGS LÄN</t>
        </is>
      </c>
      <c r="E8384" t="inlineStr">
        <is>
          <t>OVANÅKER</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46210-2023</t>
        </is>
      </c>
      <c r="B8385" s="1" t="n">
        <v>45196</v>
      </c>
      <c r="C8385" s="1" t="n">
        <v>45587</v>
      </c>
      <c r="D8385" t="inlineStr">
        <is>
          <t>GÄVLEBORGS LÄN</t>
        </is>
      </c>
      <c r="E8385" t="inlineStr">
        <is>
          <t>OVANÅKER</t>
        </is>
      </c>
      <c r="G8385" t="n">
        <v>5.9</v>
      </c>
      <c r="H8385" t="n">
        <v>0</v>
      </c>
      <c r="I8385" t="n">
        <v>0</v>
      </c>
      <c r="J8385" t="n">
        <v>0</v>
      </c>
      <c r="K8385" t="n">
        <v>0</v>
      </c>
      <c r="L8385" t="n">
        <v>0</v>
      </c>
      <c r="M8385" t="n">
        <v>0</v>
      </c>
      <c r="N8385" t="n">
        <v>0</v>
      </c>
      <c r="O8385" t="n">
        <v>0</v>
      </c>
      <c r="P8385" t="n">
        <v>0</v>
      </c>
      <c r="Q8385" t="n">
        <v>0</v>
      </c>
      <c r="R8385" s="2" t="inlineStr"/>
    </row>
    <row r="8386" ht="15" customHeight="1">
      <c r="A8386" t="inlineStr">
        <is>
          <t>A 46111-2023</t>
        </is>
      </c>
      <c r="B8386" s="1" t="n">
        <v>45196</v>
      </c>
      <c r="C8386" s="1" t="n">
        <v>45587</v>
      </c>
      <c r="D8386" t="inlineStr">
        <is>
          <t>GÄVLEBORGS LÄN</t>
        </is>
      </c>
      <c r="E8386" t="inlineStr">
        <is>
          <t>NORDANSTIG</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46296-2023</t>
        </is>
      </c>
      <c r="B8387" s="1" t="n">
        <v>45197</v>
      </c>
      <c r="C8387" s="1" t="n">
        <v>45587</v>
      </c>
      <c r="D8387" t="inlineStr">
        <is>
          <t>GÄVLEBORGS LÄN</t>
        </is>
      </c>
      <c r="E8387" t="inlineStr">
        <is>
          <t>NORDANSTIG</t>
        </is>
      </c>
      <c r="F8387" t="inlineStr">
        <is>
          <t>Holmen skog AB</t>
        </is>
      </c>
      <c r="G8387" t="n">
        <v>4.3</v>
      </c>
      <c r="H8387" t="n">
        <v>0</v>
      </c>
      <c r="I8387" t="n">
        <v>0</v>
      </c>
      <c r="J8387" t="n">
        <v>0</v>
      </c>
      <c r="K8387" t="n">
        <v>0</v>
      </c>
      <c r="L8387" t="n">
        <v>0</v>
      </c>
      <c r="M8387" t="n">
        <v>0</v>
      </c>
      <c r="N8387" t="n">
        <v>0</v>
      </c>
      <c r="O8387" t="n">
        <v>0</v>
      </c>
      <c r="P8387" t="n">
        <v>0</v>
      </c>
      <c r="Q8387" t="n">
        <v>0</v>
      </c>
      <c r="R8387" s="2" t="inlineStr"/>
    </row>
    <row r="8388" ht="15" customHeight="1">
      <c r="A8388" t="inlineStr">
        <is>
          <t>A 46300-2023</t>
        </is>
      </c>
      <c r="B8388" s="1" t="n">
        <v>45197</v>
      </c>
      <c r="C8388" s="1" t="n">
        <v>45587</v>
      </c>
      <c r="D8388" t="inlineStr">
        <is>
          <t>GÄVLEBORGS LÄN</t>
        </is>
      </c>
      <c r="E8388" t="inlineStr">
        <is>
          <t>OVANÅKER</t>
        </is>
      </c>
      <c r="G8388" t="n">
        <v>8.1</v>
      </c>
      <c r="H8388" t="n">
        <v>0</v>
      </c>
      <c r="I8388" t="n">
        <v>0</v>
      </c>
      <c r="J8388" t="n">
        <v>0</v>
      </c>
      <c r="K8388" t="n">
        <v>0</v>
      </c>
      <c r="L8388" t="n">
        <v>0</v>
      </c>
      <c r="M8388" t="n">
        <v>0</v>
      </c>
      <c r="N8388" t="n">
        <v>0</v>
      </c>
      <c r="O8388" t="n">
        <v>0</v>
      </c>
      <c r="P8388" t="n">
        <v>0</v>
      </c>
      <c r="Q8388" t="n">
        <v>0</v>
      </c>
      <c r="R8388" s="2" t="inlineStr"/>
    </row>
    <row r="8389" ht="15" customHeight="1">
      <c r="A8389" t="inlineStr">
        <is>
          <t>A 46413-2023</t>
        </is>
      </c>
      <c r="B8389" s="1" t="n">
        <v>45197</v>
      </c>
      <c r="C8389" s="1" t="n">
        <v>45587</v>
      </c>
      <c r="D8389" t="inlineStr">
        <is>
          <t>GÄVLEBORGS LÄN</t>
        </is>
      </c>
      <c r="E8389" t="inlineStr">
        <is>
          <t>LJUSDAL</t>
        </is>
      </c>
      <c r="F8389" t="inlineStr">
        <is>
          <t>Allmännings- och besparingsskogar</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46482-2023</t>
        </is>
      </c>
      <c r="B8390" s="1" t="n">
        <v>45197</v>
      </c>
      <c r="C8390" s="1" t="n">
        <v>45587</v>
      </c>
      <c r="D8390" t="inlineStr">
        <is>
          <t>GÄVLEBORGS LÄN</t>
        </is>
      </c>
      <c r="E8390" t="inlineStr">
        <is>
          <t>SANDVIKEN</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46490-2023</t>
        </is>
      </c>
      <c r="B8391" s="1" t="n">
        <v>45197</v>
      </c>
      <c r="C8391" s="1" t="n">
        <v>45587</v>
      </c>
      <c r="D8391" t="inlineStr">
        <is>
          <t>GÄVLEBORGS LÄN</t>
        </is>
      </c>
      <c r="E8391" t="inlineStr">
        <is>
          <t>SANDVIKEN</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46532-2023</t>
        </is>
      </c>
      <c r="B8392" s="1" t="n">
        <v>45197</v>
      </c>
      <c r="C8392" s="1" t="n">
        <v>45587</v>
      </c>
      <c r="D8392" t="inlineStr">
        <is>
          <t>GÄVLEBORGS LÄN</t>
        </is>
      </c>
      <c r="E8392" t="inlineStr">
        <is>
          <t>GÄVLE</t>
        </is>
      </c>
      <c r="G8392" t="n">
        <v>6.4</v>
      </c>
      <c r="H8392" t="n">
        <v>0</v>
      </c>
      <c r="I8392" t="n">
        <v>0</v>
      </c>
      <c r="J8392" t="n">
        <v>0</v>
      </c>
      <c r="K8392" t="n">
        <v>0</v>
      </c>
      <c r="L8392" t="n">
        <v>0</v>
      </c>
      <c r="M8392" t="n">
        <v>0</v>
      </c>
      <c r="N8392" t="n">
        <v>0</v>
      </c>
      <c r="O8392" t="n">
        <v>0</v>
      </c>
      <c r="P8392" t="n">
        <v>0</v>
      </c>
      <c r="Q8392" t="n">
        <v>0</v>
      </c>
      <c r="R8392" s="2" t="inlineStr"/>
    </row>
    <row r="8393" ht="15" customHeight="1">
      <c r="A8393" t="inlineStr">
        <is>
          <t>A 46286-2023</t>
        </is>
      </c>
      <c r="B8393" s="1" t="n">
        <v>45197</v>
      </c>
      <c r="C8393" s="1" t="n">
        <v>45587</v>
      </c>
      <c r="D8393" t="inlineStr">
        <is>
          <t>GÄVLEBORGS LÄN</t>
        </is>
      </c>
      <c r="E8393" t="inlineStr">
        <is>
          <t>OVANÅKER</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46488-2023</t>
        </is>
      </c>
      <c r="B8394" s="1" t="n">
        <v>45197</v>
      </c>
      <c r="C8394" s="1" t="n">
        <v>45587</v>
      </c>
      <c r="D8394" t="inlineStr">
        <is>
          <t>GÄVLEBORGS LÄN</t>
        </is>
      </c>
      <c r="E8394" t="inlineStr">
        <is>
          <t>SANDVIKEN</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46299-2023</t>
        </is>
      </c>
      <c r="B8395" s="1" t="n">
        <v>45197</v>
      </c>
      <c r="C8395" s="1" t="n">
        <v>45587</v>
      </c>
      <c r="D8395" t="inlineStr">
        <is>
          <t>GÄVLEBORGS LÄN</t>
        </is>
      </c>
      <c r="E8395" t="inlineStr">
        <is>
          <t>NORDANSTIG</t>
        </is>
      </c>
      <c r="F8395" t="inlineStr">
        <is>
          <t>Holmen skog AB</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46567-2023</t>
        </is>
      </c>
      <c r="B8396" s="1" t="n">
        <v>45198</v>
      </c>
      <c r="C8396" s="1" t="n">
        <v>45587</v>
      </c>
      <c r="D8396" t="inlineStr">
        <is>
          <t>GÄVLEBORGS LÄN</t>
        </is>
      </c>
      <c r="E8396" t="inlineStr">
        <is>
          <t>LJUSDAL</t>
        </is>
      </c>
      <c r="G8396" t="n">
        <v>6.5</v>
      </c>
      <c r="H8396" t="n">
        <v>0</v>
      </c>
      <c r="I8396" t="n">
        <v>0</v>
      </c>
      <c r="J8396" t="n">
        <v>0</v>
      </c>
      <c r="K8396" t="n">
        <v>0</v>
      </c>
      <c r="L8396" t="n">
        <v>0</v>
      </c>
      <c r="M8396" t="n">
        <v>0</v>
      </c>
      <c r="N8396" t="n">
        <v>0</v>
      </c>
      <c r="O8396" t="n">
        <v>0</v>
      </c>
      <c r="P8396" t="n">
        <v>0</v>
      </c>
      <c r="Q8396" t="n">
        <v>0</v>
      </c>
      <c r="R8396" s="2" t="inlineStr"/>
    </row>
    <row r="8397" ht="15" customHeight="1">
      <c r="A8397" t="inlineStr">
        <is>
          <t>A 46586-2023</t>
        </is>
      </c>
      <c r="B8397" s="1" t="n">
        <v>45198</v>
      </c>
      <c r="C8397" s="1" t="n">
        <v>45587</v>
      </c>
      <c r="D8397" t="inlineStr">
        <is>
          <t>GÄVLEBORGS LÄN</t>
        </is>
      </c>
      <c r="E8397" t="inlineStr">
        <is>
          <t>HUDIKSVALL</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46627-2023</t>
        </is>
      </c>
      <c r="B8398" s="1" t="n">
        <v>45198</v>
      </c>
      <c r="C8398" s="1" t="n">
        <v>45587</v>
      </c>
      <c r="D8398" t="inlineStr">
        <is>
          <t>GÄVLEBORGS LÄN</t>
        </is>
      </c>
      <c r="E8398" t="inlineStr">
        <is>
          <t>GÄVLE</t>
        </is>
      </c>
      <c r="F8398" t="inlineStr">
        <is>
          <t>Bergvik skog väst AB</t>
        </is>
      </c>
      <c r="G8398" t="n">
        <v>4.5</v>
      </c>
      <c r="H8398" t="n">
        <v>0</v>
      </c>
      <c r="I8398" t="n">
        <v>0</v>
      </c>
      <c r="J8398" t="n">
        <v>0</v>
      </c>
      <c r="K8398" t="n">
        <v>0</v>
      </c>
      <c r="L8398" t="n">
        <v>0</v>
      </c>
      <c r="M8398" t="n">
        <v>0</v>
      </c>
      <c r="N8398" t="n">
        <v>0</v>
      </c>
      <c r="O8398" t="n">
        <v>0</v>
      </c>
      <c r="P8398" t="n">
        <v>0</v>
      </c>
      <c r="Q8398" t="n">
        <v>0</v>
      </c>
      <c r="R8398" s="2" t="inlineStr"/>
    </row>
    <row r="8399" ht="15" customHeight="1">
      <c r="A8399" t="inlineStr">
        <is>
          <t>A 46715-2023</t>
        </is>
      </c>
      <c r="B8399" s="1" t="n">
        <v>45198</v>
      </c>
      <c r="C8399" s="1" t="n">
        <v>45587</v>
      </c>
      <c r="D8399" t="inlineStr">
        <is>
          <t>GÄVLEBORGS LÄN</t>
        </is>
      </c>
      <c r="E8399" t="inlineStr">
        <is>
          <t>OVANÅKER</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46781-2023</t>
        </is>
      </c>
      <c r="B8400" s="1" t="n">
        <v>45198</v>
      </c>
      <c r="C8400" s="1" t="n">
        <v>45587</v>
      </c>
      <c r="D8400" t="inlineStr">
        <is>
          <t>GÄVLEBORGS LÄN</t>
        </is>
      </c>
      <c r="E8400" t="inlineStr">
        <is>
          <t>LJUSDAL</t>
        </is>
      </c>
      <c r="F8400" t="inlineStr">
        <is>
          <t>Sveaskog</t>
        </is>
      </c>
      <c r="G8400" t="n">
        <v>5</v>
      </c>
      <c r="H8400" t="n">
        <v>0</v>
      </c>
      <c r="I8400" t="n">
        <v>0</v>
      </c>
      <c r="J8400" t="n">
        <v>0</v>
      </c>
      <c r="K8400" t="n">
        <v>0</v>
      </c>
      <c r="L8400" t="n">
        <v>0</v>
      </c>
      <c r="M8400" t="n">
        <v>0</v>
      </c>
      <c r="N8400" t="n">
        <v>0</v>
      </c>
      <c r="O8400" t="n">
        <v>0</v>
      </c>
      <c r="P8400" t="n">
        <v>0</v>
      </c>
      <c r="Q8400" t="n">
        <v>0</v>
      </c>
      <c r="R8400" s="2" t="inlineStr"/>
    </row>
    <row r="8401" ht="15" customHeight="1">
      <c r="A8401" t="inlineStr">
        <is>
          <t>A 46568-2023</t>
        </is>
      </c>
      <c r="B8401" s="1" t="n">
        <v>45198</v>
      </c>
      <c r="C8401" s="1" t="n">
        <v>45587</v>
      </c>
      <c r="D8401" t="inlineStr">
        <is>
          <t>GÄVLEBORGS LÄN</t>
        </is>
      </c>
      <c r="E8401" t="inlineStr">
        <is>
          <t>LJUSDAL</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46588-2023</t>
        </is>
      </c>
      <c r="B8402" s="1" t="n">
        <v>45198</v>
      </c>
      <c r="C8402" s="1" t="n">
        <v>45587</v>
      </c>
      <c r="D8402" t="inlineStr">
        <is>
          <t>GÄVLEBORGS LÄN</t>
        </is>
      </c>
      <c r="E8402" t="inlineStr">
        <is>
          <t>HUDIKSVALL</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46725-2023</t>
        </is>
      </c>
      <c r="B8403" s="1" t="n">
        <v>45198</v>
      </c>
      <c r="C8403" s="1" t="n">
        <v>45587</v>
      </c>
      <c r="D8403" t="inlineStr">
        <is>
          <t>GÄVLEBORGS LÄN</t>
        </is>
      </c>
      <c r="E8403" t="inlineStr">
        <is>
          <t>SÖDERHAMN</t>
        </is>
      </c>
      <c r="G8403" t="n">
        <v>5.7</v>
      </c>
      <c r="H8403" t="n">
        <v>0</v>
      </c>
      <c r="I8403" t="n">
        <v>0</v>
      </c>
      <c r="J8403" t="n">
        <v>0</v>
      </c>
      <c r="K8403" t="n">
        <v>0</v>
      </c>
      <c r="L8403" t="n">
        <v>0</v>
      </c>
      <c r="M8403" t="n">
        <v>0</v>
      </c>
      <c r="N8403" t="n">
        <v>0</v>
      </c>
      <c r="O8403" t="n">
        <v>0</v>
      </c>
      <c r="P8403" t="n">
        <v>0</v>
      </c>
      <c r="Q8403" t="n">
        <v>0</v>
      </c>
      <c r="R8403" s="2" t="inlineStr"/>
    </row>
    <row r="8404" ht="15" customHeight="1">
      <c r="A8404" t="inlineStr">
        <is>
          <t>A 46629-2023</t>
        </is>
      </c>
      <c r="B8404" s="1" t="n">
        <v>45198</v>
      </c>
      <c r="C8404" s="1" t="n">
        <v>45587</v>
      </c>
      <c r="D8404" t="inlineStr">
        <is>
          <t>GÄVLEBORGS LÄN</t>
        </is>
      </c>
      <c r="E8404" t="inlineStr">
        <is>
          <t>HUDIKSVALL</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46652-2023</t>
        </is>
      </c>
      <c r="B8405" s="1" t="n">
        <v>45198</v>
      </c>
      <c r="C8405" s="1" t="n">
        <v>45587</v>
      </c>
      <c r="D8405" t="inlineStr">
        <is>
          <t>GÄVLEBORGS LÄN</t>
        </is>
      </c>
      <c r="E8405" t="inlineStr">
        <is>
          <t>OVANÅKER</t>
        </is>
      </c>
      <c r="G8405" t="n">
        <v>4.2</v>
      </c>
      <c r="H8405" t="n">
        <v>0</v>
      </c>
      <c r="I8405" t="n">
        <v>0</v>
      </c>
      <c r="J8405" t="n">
        <v>0</v>
      </c>
      <c r="K8405" t="n">
        <v>0</v>
      </c>
      <c r="L8405" t="n">
        <v>0</v>
      </c>
      <c r="M8405" t="n">
        <v>0</v>
      </c>
      <c r="N8405" t="n">
        <v>0</v>
      </c>
      <c r="O8405" t="n">
        <v>0</v>
      </c>
      <c r="P8405" t="n">
        <v>0</v>
      </c>
      <c r="Q8405" t="n">
        <v>0</v>
      </c>
      <c r="R8405" s="2" t="inlineStr"/>
    </row>
    <row r="8406" ht="15" customHeight="1">
      <c r="A8406" t="inlineStr">
        <is>
          <t>A 46699-2023</t>
        </is>
      </c>
      <c r="B8406" s="1" t="n">
        <v>45198</v>
      </c>
      <c r="C8406" s="1" t="n">
        <v>45587</v>
      </c>
      <c r="D8406" t="inlineStr">
        <is>
          <t>GÄVLEBORGS LÄN</t>
        </is>
      </c>
      <c r="E8406" t="inlineStr">
        <is>
          <t>OVANÅKER</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46706-2023</t>
        </is>
      </c>
      <c r="B8407" s="1" t="n">
        <v>45198</v>
      </c>
      <c r="C8407" s="1" t="n">
        <v>45587</v>
      </c>
      <c r="D8407" t="inlineStr">
        <is>
          <t>GÄVLEBORGS LÄN</t>
        </is>
      </c>
      <c r="E8407" t="inlineStr">
        <is>
          <t>OVANÅKER</t>
        </is>
      </c>
      <c r="G8407" t="n">
        <v>3.7</v>
      </c>
      <c r="H8407" t="n">
        <v>0</v>
      </c>
      <c r="I8407" t="n">
        <v>0</v>
      </c>
      <c r="J8407" t="n">
        <v>0</v>
      </c>
      <c r="K8407" t="n">
        <v>0</v>
      </c>
      <c r="L8407" t="n">
        <v>0</v>
      </c>
      <c r="M8407" t="n">
        <v>0</v>
      </c>
      <c r="N8407" t="n">
        <v>0</v>
      </c>
      <c r="O8407" t="n">
        <v>0</v>
      </c>
      <c r="P8407" t="n">
        <v>0</v>
      </c>
      <c r="Q8407" t="n">
        <v>0</v>
      </c>
      <c r="R8407" s="2" t="inlineStr"/>
    </row>
    <row r="8408" ht="15" customHeight="1">
      <c r="A8408" t="inlineStr">
        <is>
          <t>A 46713-2023</t>
        </is>
      </c>
      <c r="B8408" s="1" t="n">
        <v>45198</v>
      </c>
      <c r="C8408" s="1" t="n">
        <v>45587</v>
      </c>
      <c r="D8408" t="inlineStr">
        <is>
          <t>GÄVLEBORGS LÄN</t>
        </is>
      </c>
      <c r="E8408" t="inlineStr">
        <is>
          <t>BOLLNÄS</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46844-2023</t>
        </is>
      </c>
      <c r="B8409" s="1" t="n">
        <v>45199</v>
      </c>
      <c r="C8409" s="1" t="n">
        <v>45587</v>
      </c>
      <c r="D8409" t="inlineStr">
        <is>
          <t>GÄVLEBORGS LÄN</t>
        </is>
      </c>
      <c r="E8409" t="inlineStr">
        <is>
          <t>SÖDERHAMN</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46847-2023</t>
        </is>
      </c>
      <c r="B8410" s="1" t="n">
        <v>45199</v>
      </c>
      <c r="C8410" s="1" t="n">
        <v>45587</v>
      </c>
      <c r="D8410" t="inlineStr">
        <is>
          <t>GÄVLEBORGS LÄN</t>
        </is>
      </c>
      <c r="E8410" t="inlineStr">
        <is>
          <t>SÖDERHAMN</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47122-2023</t>
        </is>
      </c>
      <c r="B8411" s="1" t="n">
        <v>45201</v>
      </c>
      <c r="C8411" s="1" t="n">
        <v>45587</v>
      </c>
      <c r="D8411" t="inlineStr">
        <is>
          <t>GÄVLEBORGS LÄN</t>
        </is>
      </c>
      <c r="E8411" t="inlineStr">
        <is>
          <t>OVANÅKER</t>
        </is>
      </c>
      <c r="G8411" t="n">
        <v>17.2</v>
      </c>
      <c r="H8411" t="n">
        <v>0</v>
      </c>
      <c r="I8411" t="n">
        <v>0</v>
      </c>
      <c r="J8411" t="n">
        <v>0</v>
      </c>
      <c r="K8411" t="n">
        <v>0</v>
      </c>
      <c r="L8411" t="n">
        <v>0</v>
      </c>
      <c r="M8411" t="n">
        <v>0</v>
      </c>
      <c r="N8411" t="n">
        <v>0</v>
      </c>
      <c r="O8411" t="n">
        <v>0</v>
      </c>
      <c r="P8411" t="n">
        <v>0</v>
      </c>
      <c r="Q8411" t="n">
        <v>0</v>
      </c>
      <c r="R8411" s="2" t="inlineStr"/>
    </row>
    <row r="8412" ht="15" customHeight="1">
      <c r="A8412" t="inlineStr">
        <is>
          <t>A 47133-2023</t>
        </is>
      </c>
      <c r="B8412" s="1" t="n">
        <v>45201</v>
      </c>
      <c r="C8412" s="1" t="n">
        <v>45587</v>
      </c>
      <c r="D8412" t="inlineStr">
        <is>
          <t>GÄVLEBORGS LÄN</t>
        </is>
      </c>
      <c r="E8412" t="inlineStr">
        <is>
          <t>HUDIKSVALL</t>
        </is>
      </c>
      <c r="G8412" t="n">
        <v>9</v>
      </c>
      <c r="H8412" t="n">
        <v>0</v>
      </c>
      <c r="I8412" t="n">
        <v>0</v>
      </c>
      <c r="J8412" t="n">
        <v>0</v>
      </c>
      <c r="K8412" t="n">
        <v>0</v>
      </c>
      <c r="L8412" t="n">
        <v>0</v>
      </c>
      <c r="M8412" t="n">
        <v>0</v>
      </c>
      <c r="N8412" t="n">
        <v>0</v>
      </c>
      <c r="O8412" t="n">
        <v>0</v>
      </c>
      <c r="P8412" t="n">
        <v>0</v>
      </c>
      <c r="Q8412" t="n">
        <v>0</v>
      </c>
      <c r="R8412" s="2" t="inlineStr"/>
    </row>
    <row r="8413" ht="15" customHeight="1">
      <c r="A8413" t="inlineStr">
        <is>
          <t>A 46892-2023</t>
        </is>
      </c>
      <c r="B8413" s="1" t="n">
        <v>45201</v>
      </c>
      <c r="C8413" s="1" t="n">
        <v>45587</v>
      </c>
      <c r="D8413" t="inlineStr">
        <is>
          <t>GÄVLEBORGS LÄN</t>
        </is>
      </c>
      <c r="E8413" t="inlineStr">
        <is>
          <t>LJUSDAL</t>
        </is>
      </c>
      <c r="G8413" t="n">
        <v>3.9</v>
      </c>
      <c r="H8413" t="n">
        <v>0</v>
      </c>
      <c r="I8413" t="n">
        <v>0</v>
      </c>
      <c r="J8413" t="n">
        <v>0</v>
      </c>
      <c r="K8413" t="n">
        <v>0</v>
      </c>
      <c r="L8413" t="n">
        <v>0</v>
      </c>
      <c r="M8413" t="n">
        <v>0</v>
      </c>
      <c r="N8413" t="n">
        <v>0</v>
      </c>
      <c r="O8413" t="n">
        <v>0</v>
      </c>
      <c r="P8413" t="n">
        <v>0</v>
      </c>
      <c r="Q8413" t="n">
        <v>0</v>
      </c>
      <c r="R8413" s="2" t="inlineStr"/>
    </row>
    <row r="8414" ht="15" customHeight="1">
      <c r="A8414" t="inlineStr">
        <is>
          <t>A 47026-2023</t>
        </is>
      </c>
      <c r="B8414" s="1" t="n">
        <v>45201</v>
      </c>
      <c r="C8414" s="1" t="n">
        <v>45587</v>
      </c>
      <c r="D8414" t="inlineStr">
        <is>
          <t>GÄVLEBORGS LÄN</t>
        </is>
      </c>
      <c r="E8414" t="inlineStr">
        <is>
          <t>LJUSDAL</t>
        </is>
      </c>
      <c r="G8414" t="n">
        <v>6.6</v>
      </c>
      <c r="H8414" t="n">
        <v>0</v>
      </c>
      <c r="I8414" t="n">
        <v>0</v>
      </c>
      <c r="J8414" t="n">
        <v>0</v>
      </c>
      <c r="K8414" t="n">
        <v>0</v>
      </c>
      <c r="L8414" t="n">
        <v>0</v>
      </c>
      <c r="M8414" t="n">
        <v>0</v>
      </c>
      <c r="N8414" t="n">
        <v>0</v>
      </c>
      <c r="O8414" t="n">
        <v>0</v>
      </c>
      <c r="P8414" t="n">
        <v>0</v>
      </c>
      <c r="Q8414" t="n">
        <v>0</v>
      </c>
      <c r="R8414" s="2" t="inlineStr"/>
    </row>
    <row r="8415" ht="15" customHeight="1">
      <c r="A8415" t="inlineStr">
        <is>
          <t>A 46890-2023</t>
        </is>
      </c>
      <c r="B8415" s="1" t="n">
        <v>45201</v>
      </c>
      <c r="C8415" s="1" t="n">
        <v>45587</v>
      </c>
      <c r="D8415" t="inlineStr">
        <is>
          <t>GÄVLEBORGS LÄN</t>
        </is>
      </c>
      <c r="E8415" t="inlineStr">
        <is>
          <t>HUDIKSVALL</t>
        </is>
      </c>
      <c r="F8415" t="inlineStr">
        <is>
          <t>Holmen skog AB</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47009-2023</t>
        </is>
      </c>
      <c r="B8416" s="1" t="n">
        <v>45201</v>
      </c>
      <c r="C8416" s="1" t="n">
        <v>45587</v>
      </c>
      <c r="D8416" t="inlineStr">
        <is>
          <t>GÄVLEBORGS LÄN</t>
        </is>
      </c>
      <c r="E8416" t="inlineStr">
        <is>
          <t>SÖDERHAMN</t>
        </is>
      </c>
      <c r="G8416" t="n">
        <v>7.7</v>
      </c>
      <c r="H8416" t="n">
        <v>0</v>
      </c>
      <c r="I8416" t="n">
        <v>0</v>
      </c>
      <c r="J8416" t="n">
        <v>0</v>
      </c>
      <c r="K8416" t="n">
        <v>0</v>
      </c>
      <c r="L8416" t="n">
        <v>0</v>
      </c>
      <c r="M8416" t="n">
        <v>0</v>
      </c>
      <c r="N8416" t="n">
        <v>0</v>
      </c>
      <c r="O8416" t="n">
        <v>0</v>
      </c>
      <c r="P8416" t="n">
        <v>0</v>
      </c>
      <c r="Q8416" t="n">
        <v>0</v>
      </c>
      <c r="R8416" s="2" t="inlineStr"/>
    </row>
    <row r="8417" ht="15" customHeight="1">
      <c r="A8417" t="inlineStr">
        <is>
          <t>A 46962-2023</t>
        </is>
      </c>
      <c r="B8417" s="1" t="n">
        <v>45201</v>
      </c>
      <c r="C8417" s="1" t="n">
        <v>45587</v>
      </c>
      <c r="D8417" t="inlineStr">
        <is>
          <t>GÄVLEBORGS LÄN</t>
        </is>
      </c>
      <c r="E8417" t="inlineStr">
        <is>
          <t>OVANÅKER</t>
        </is>
      </c>
      <c r="F8417" t="inlineStr">
        <is>
          <t>Kyrkan</t>
        </is>
      </c>
      <c r="G8417" t="n">
        <v>4.1</v>
      </c>
      <c r="H8417" t="n">
        <v>0</v>
      </c>
      <c r="I8417" t="n">
        <v>0</v>
      </c>
      <c r="J8417" t="n">
        <v>0</v>
      </c>
      <c r="K8417" t="n">
        <v>0</v>
      </c>
      <c r="L8417" t="n">
        <v>0</v>
      </c>
      <c r="M8417" t="n">
        <v>0</v>
      </c>
      <c r="N8417" t="n">
        <v>0</v>
      </c>
      <c r="O8417" t="n">
        <v>0</v>
      </c>
      <c r="P8417" t="n">
        <v>0</v>
      </c>
      <c r="Q8417" t="n">
        <v>0</v>
      </c>
      <c r="R8417" s="2" t="inlineStr"/>
    </row>
    <row r="8418" ht="15" customHeight="1">
      <c r="A8418" t="inlineStr">
        <is>
          <t>A 47145-2023</t>
        </is>
      </c>
      <c r="B8418" s="1" t="n">
        <v>45201</v>
      </c>
      <c r="C8418" s="1" t="n">
        <v>45587</v>
      </c>
      <c r="D8418" t="inlineStr">
        <is>
          <t>GÄVLEBORGS LÄN</t>
        </is>
      </c>
      <c r="E8418" t="inlineStr">
        <is>
          <t>HUDIKSVALL</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46983-2023</t>
        </is>
      </c>
      <c r="B8419" s="1" t="n">
        <v>45201</v>
      </c>
      <c r="C8419" s="1" t="n">
        <v>45587</v>
      </c>
      <c r="D8419" t="inlineStr">
        <is>
          <t>GÄVLEBORGS LÄN</t>
        </is>
      </c>
      <c r="E8419" t="inlineStr">
        <is>
          <t>LJUSDAL</t>
        </is>
      </c>
      <c r="F8419" t="inlineStr">
        <is>
          <t>Allmännings- och besparingsskogar</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47046-2023</t>
        </is>
      </c>
      <c r="B8420" s="1" t="n">
        <v>45201</v>
      </c>
      <c r="C8420" s="1" t="n">
        <v>45587</v>
      </c>
      <c r="D8420" t="inlineStr">
        <is>
          <t>GÄVLEBORGS LÄN</t>
        </is>
      </c>
      <c r="E8420" t="inlineStr">
        <is>
          <t>SANDVIKEN</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47192-2023</t>
        </is>
      </c>
      <c r="B8421" s="1" t="n">
        <v>45202</v>
      </c>
      <c r="C8421" s="1" t="n">
        <v>45587</v>
      </c>
      <c r="D8421" t="inlineStr">
        <is>
          <t>GÄVLEBORGS LÄN</t>
        </is>
      </c>
      <c r="E8421" t="inlineStr">
        <is>
          <t>NORDANSTIG</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47197-2023</t>
        </is>
      </c>
      <c r="B8422" s="1" t="n">
        <v>45202</v>
      </c>
      <c r="C8422" s="1" t="n">
        <v>45587</v>
      </c>
      <c r="D8422" t="inlineStr">
        <is>
          <t>GÄVLEBORGS LÄN</t>
        </is>
      </c>
      <c r="E8422" t="inlineStr">
        <is>
          <t>SÖDERHAMN</t>
        </is>
      </c>
      <c r="F8422" t="inlineStr">
        <is>
          <t>Bergvik skog väst AB</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47189-2023</t>
        </is>
      </c>
      <c r="B8423" s="1" t="n">
        <v>45202</v>
      </c>
      <c r="C8423" s="1" t="n">
        <v>45587</v>
      </c>
      <c r="D8423" t="inlineStr">
        <is>
          <t>GÄVLEBORGS LÄN</t>
        </is>
      </c>
      <c r="E8423" t="inlineStr">
        <is>
          <t>LJUSDAL</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47206-2023</t>
        </is>
      </c>
      <c r="B8424" s="1" t="n">
        <v>45202</v>
      </c>
      <c r="C8424" s="1" t="n">
        <v>45587</v>
      </c>
      <c r="D8424" t="inlineStr">
        <is>
          <t>GÄVLEBORGS LÄN</t>
        </is>
      </c>
      <c r="E8424" t="inlineStr">
        <is>
          <t>LJUSDAL</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47243-2023</t>
        </is>
      </c>
      <c r="B8425" s="1" t="n">
        <v>45202</v>
      </c>
      <c r="C8425" s="1" t="n">
        <v>45587</v>
      </c>
      <c r="D8425" t="inlineStr">
        <is>
          <t>GÄVLEBORGS LÄN</t>
        </is>
      </c>
      <c r="E8425" t="inlineStr">
        <is>
          <t>HUDIKSVALL</t>
        </is>
      </c>
      <c r="F8425" t="inlineStr">
        <is>
          <t>Holmen skog AB</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47246-2023</t>
        </is>
      </c>
      <c r="B8426" s="1" t="n">
        <v>45202</v>
      </c>
      <c r="C8426" s="1" t="n">
        <v>45587</v>
      </c>
      <c r="D8426" t="inlineStr">
        <is>
          <t>GÄVLEBORGS LÄN</t>
        </is>
      </c>
      <c r="E8426" t="inlineStr">
        <is>
          <t>HUDIKSVALL</t>
        </is>
      </c>
      <c r="F8426" t="inlineStr">
        <is>
          <t>Holmen skog AB</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47274-2023</t>
        </is>
      </c>
      <c r="B8427" s="1" t="n">
        <v>45202</v>
      </c>
      <c r="C8427" s="1" t="n">
        <v>45587</v>
      </c>
      <c r="D8427" t="inlineStr">
        <is>
          <t>GÄVLEBORGS LÄN</t>
        </is>
      </c>
      <c r="E8427" t="inlineStr">
        <is>
          <t>HUDIKSVALL</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47278-2023</t>
        </is>
      </c>
      <c r="B8428" s="1" t="n">
        <v>45202</v>
      </c>
      <c r="C8428" s="1" t="n">
        <v>45587</v>
      </c>
      <c r="D8428" t="inlineStr">
        <is>
          <t>GÄVLEBORGS LÄN</t>
        </is>
      </c>
      <c r="E8428" t="inlineStr">
        <is>
          <t>HUDIKSVALL</t>
        </is>
      </c>
      <c r="F8428" t="inlineStr">
        <is>
          <t>Holmen skog AB</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47284-2023</t>
        </is>
      </c>
      <c r="B8429" s="1" t="n">
        <v>45202</v>
      </c>
      <c r="C8429" s="1" t="n">
        <v>45587</v>
      </c>
      <c r="D8429" t="inlineStr">
        <is>
          <t>GÄVLEBORGS LÄN</t>
        </is>
      </c>
      <c r="E8429" t="inlineStr">
        <is>
          <t>HOFORS</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47288-2023</t>
        </is>
      </c>
      <c r="B8430" s="1" t="n">
        <v>45202</v>
      </c>
      <c r="C8430" s="1" t="n">
        <v>45587</v>
      </c>
      <c r="D8430" t="inlineStr">
        <is>
          <t>GÄVLEBORGS LÄN</t>
        </is>
      </c>
      <c r="E8430" t="inlineStr">
        <is>
          <t>SÖDERHAMN</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47292-2023</t>
        </is>
      </c>
      <c r="B8431" s="1" t="n">
        <v>45202</v>
      </c>
      <c r="C8431" s="1" t="n">
        <v>45587</v>
      </c>
      <c r="D8431" t="inlineStr">
        <is>
          <t>GÄVLEBORGS LÄN</t>
        </is>
      </c>
      <c r="E8431" t="inlineStr">
        <is>
          <t>LJUSDAL</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47335-2023</t>
        </is>
      </c>
      <c r="B8432" s="1" t="n">
        <v>45202</v>
      </c>
      <c r="C8432" s="1" t="n">
        <v>45587</v>
      </c>
      <c r="D8432" t="inlineStr">
        <is>
          <t>GÄVLEBORGS LÄN</t>
        </is>
      </c>
      <c r="E8432" t="inlineStr">
        <is>
          <t>HUDIKSVALL</t>
        </is>
      </c>
      <c r="F8432" t="inlineStr">
        <is>
          <t>Holmen skog AB</t>
        </is>
      </c>
      <c r="G8432" t="n">
        <v>4.2</v>
      </c>
      <c r="H8432" t="n">
        <v>0</v>
      </c>
      <c r="I8432" t="n">
        <v>0</v>
      </c>
      <c r="J8432" t="n">
        <v>0</v>
      </c>
      <c r="K8432" t="n">
        <v>0</v>
      </c>
      <c r="L8432" t="n">
        <v>0</v>
      </c>
      <c r="M8432" t="n">
        <v>0</v>
      </c>
      <c r="N8432" t="n">
        <v>0</v>
      </c>
      <c r="O8432" t="n">
        <v>0</v>
      </c>
      <c r="P8432" t="n">
        <v>0</v>
      </c>
      <c r="Q8432" t="n">
        <v>0</v>
      </c>
      <c r="R8432" s="2" t="inlineStr"/>
    </row>
    <row r="8433" ht="15" customHeight="1">
      <c r="A8433" t="inlineStr">
        <is>
          <t>A 47415-2023</t>
        </is>
      </c>
      <c r="B8433" s="1" t="n">
        <v>45202</v>
      </c>
      <c r="C8433" s="1" t="n">
        <v>45587</v>
      </c>
      <c r="D8433" t="inlineStr">
        <is>
          <t>GÄVLEBORGS LÄN</t>
        </is>
      </c>
      <c r="E8433" t="inlineStr">
        <is>
          <t>HUDIKSVALL</t>
        </is>
      </c>
      <c r="F8433" t="inlineStr">
        <is>
          <t>Holmen skog AB</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47238-2023</t>
        </is>
      </c>
      <c r="B8434" s="1" t="n">
        <v>45202</v>
      </c>
      <c r="C8434" s="1" t="n">
        <v>45587</v>
      </c>
      <c r="D8434" t="inlineStr">
        <is>
          <t>GÄVLEBORGS LÄN</t>
        </is>
      </c>
      <c r="E8434" t="inlineStr">
        <is>
          <t>HUDIKSVALL</t>
        </is>
      </c>
      <c r="F8434" t="inlineStr">
        <is>
          <t>Holmen skog AB</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47261-2023</t>
        </is>
      </c>
      <c r="B8435" s="1" t="n">
        <v>45202</v>
      </c>
      <c r="C8435" s="1" t="n">
        <v>45587</v>
      </c>
      <c r="D8435" t="inlineStr">
        <is>
          <t>GÄVLEBORGS LÄN</t>
        </is>
      </c>
      <c r="E8435" t="inlineStr">
        <is>
          <t>LJUSDAL</t>
        </is>
      </c>
      <c r="G8435" t="n">
        <v>7.6</v>
      </c>
      <c r="H8435" t="n">
        <v>0</v>
      </c>
      <c r="I8435" t="n">
        <v>0</v>
      </c>
      <c r="J8435" t="n">
        <v>0</v>
      </c>
      <c r="K8435" t="n">
        <v>0</v>
      </c>
      <c r="L8435" t="n">
        <v>0</v>
      </c>
      <c r="M8435" t="n">
        <v>0</v>
      </c>
      <c r="N8435" t="n">
        <v>0</v>
      </c>
      <c r="O8435" t="n">
        <v>0</v>
      </c>
      <c r="P8435" t="n">
        <v>0</v>
      </c>
      <c r="Q8435" t="n">
        <v>0</v>
      </c>
      <c r="R8435" s="2" t="inlineStr"/>
    </row>
    <row r="8436" ht="15" customHeight="1">
      <c r="A8436" t="inlineStr">
        <is>
          <t>A 47276-2023</t>
        </is>
      </c>
      <c r="B8436" s="1" t="n">
        <v>45202</v>
      </c>
      <c r="C8436" s="1" t="n">
        <v>45587</v>
      </c>
      <c r="D8436" t="inlineStr">
        <is>
          <t>GÄVLEBORGS LÄN</t>
        </is>
      </c>
      <c r="E8436" t="inlineStr">
        <is>
          <t>LJUSDAL</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47320-2023</t>
        </is>
      </c>
      <c r="B8437" s="1" t="n">
        <v>45202</v>
      </c>
      <c r="C8437" s="1" t="n">
        <v>45587</v>
      </c>
      <c r="D8437" t="inlineStr">
        <is>
          <t>GÄVLEBORGS LÄN</t>
        </is>
      </c>
      <c r="E8437" t="inlineStr">
        <is>
          <t>HUDIKSVALL</t>
        </is>
      </c>
      <c r="F8437" t="inlineStr">
        <is>
          <t>Holmen skog AB</t>
        </is>
      </c>
      <c r="G8437" t="n">
        <v>6</v>
      </c>
      <c r="H8437" t="n">
        <v>0</v>
      </c>
      <c r="I8437" t="n">
        <v>0</v>
      </c>
      <c r="J8437" t="n">
        <v>0</v>
      </c>
      <c r="K8437" t="n">
        <v>0</v>
      </c>
      <c r="L8437" t="n">
        <v>0</v>
      </c>
      <c r="M8437" t="n">
        <v>0</v>
      </c>
      <c r="N8437" t="n">
        <v>0</v>
      </c>
      <c r="O8437" t="n">
        <v>0</v>
      </c>
      <c r="P8437" t="n">
        <v>0</v>
      </c>
      <c r="Q8437" t="n">
        <v>0</v>
      </c>
      <c r="R8437" s="2" t="inlineStr"/>
    </row>
    <row r="8438" ht="15" customHeight="1">
      <c r="A8438" t="inlineStr">
        <is>
          <t>A 47358-2023</t>
        </is>
      </c>
      <c r="B8438" s="1" t="n">
        <v>45202</v>
      </c>
      <c r="C8438" s="1" t="n">
        <v>45587</v>
      </c>
      <c r="D8438" t="inlineStr">
        <is>
          <t>GÄVLEBORGS LÄN</t>
        </is>
      </c>
      <c r="E8438" t="inlineStr">
        <is>
          <t>NORDANSTIG</t>
        </is>
      </c>
      <c r="G8438" t="n">
        <v>3.7</v>
      </c>
      <c r="H8438" t="n">
        <v>0</v>
      </c>
      <c r="I8438" t="n">
        <v>0</v>
      </c>
      <c r="J8438" t="n">
        <v>0</v>
      </c>
      <c r="K8438" t="n">
        <v>0</v>
      </c>
      <c r="L8438" t="n">
        <v>0</v>
      </c>
      <c r="M8438" t="n">
        <v>0</v>
      </c>
      <c r="N8438" t="n">
        <v>0</v>
      </c>
      <c r="O8438" t="n">
        <v>0</v>
      </c>
      <c r="P8438" t="n">
        <v>0</v>
      </c>
      <c r="Q8438" t="n">
        <v>0</v>
      </c>
      <c r="R8438" s="2" t="inlineStr"/>
    </row>
    <row r="8439" ht="15" customHeight="1">
      <c r="A8439" t="inlineStr">
        <is>
          <t>A 47400-2023</t>
        </is>
      </c>
      <c r="B8439" s="1" t="n">
        <v>45202</v>
      </c>
      <c r="C8439" s="1" t="n">
        <v>45587</v>
      </c>
      <c r="D8439" t="inlineStr">
        <is>
          <t>GÄVLEBORGS LÄN</t>
        </is>
      </c>
      <c r="E8439" t="inlineStr">
        <is>
          <t>HUDIKSVALL</t>
        </is>
      </c>
      <c r="G8439" t="n">
        <v>5.7</v>
      </c>
      <c r="H8439" t="n">
        <v>0</v>
      </c>
      <c r="I8439" t="n">
        <v>0</v>
      </c>
      <c r="J8439" t="n">
        <v>0</v>
      </c>
      <c r="K8439" t="n">
        <v>0</v>
      </c>
      <c r="L8439" t="n">
        <v>0</v>
      </c>
      <c r="M8439" t="n">
        <v>0</v>
      </c>
      <c r="N8439" t="n">
        <v>0</v>
      </c>
      <c r="O8439" t="n">
        <v>0</v>
      </c>
      <c r="P8439" t="n">
        <v>0</v>
      </c>
      <c r="Q8439" t="n">
        <v>0</v>
      </c>
      <c r="R8439" s="2" t="inlineStr"/>
    </row>
    <row r="8440" ht="15" customHeight="1">
      <c r="A8440" t="inlineStr">
        <is>
          <t>A 47273-2023</t>
        </is>
      </c>
      <c r="B8440" s="1" t="n">
        <v>45202</v>
      </c>
      <c r="C8440" s="1" t="n">
        <v>45587</v>
      </c>
      <c r="D8440" t="inlineStr">
        <is>
          <t>GÄVLEBORGS LÄN</t>
        </is>
      </c>
      <c r="E8440" t="inlineStr">
        <is>
          <t>BOLLNÄS</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47346-2023</t>
        </is>
      </c>
      <c r="B8441" s="1" t="n">
        <v>45202</v>
      </c>
      <c r="C8441" s="1" t="n">
        <v>45587</v>
      </c>
      <c r="D8441" t="inlineStr">
        <is>
          <t>GÄVLEBORGS LÄN</t>
        </is>
      </c>
      <c r="E8441" t="inlineStr">
        <is>
          <t>HUDIKSVALL</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47397-2023</t>
        </is>
      </c>
      <c r="B8442" s="1" t="n">
        <v>45202</v>
      </c>
      <c r="C8442" s="1" t="n">
        <v>45587</v>
      </c>
      <c r="D8442" t="inlineStr">
        <is>
          <t>GÄVLEBORGS LÄN</t>
        </is>
      </c>
      <c r="E8442" t="inlineStr">
        <is>
          <t>OCKELBO</t>
        </is>
      </c>
      <c r="F8442" t="inlineStr">
        <is>
          <t>Bergvik skog väst AB</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47438-2023</t>
        </is>
      </c>
      <c r="B8443" s="1" t="n">
        <v>45202</v>
      </c>
      <c r="C8443" s="1" t="n">
        <v>45587</v>
      </c>
      <c r="D8443" t="inlineStr">
        <is>
          <t>GÄVLEBORGS LÄN</t>
        </is>
      </c>
      <c r="E8443" t="inlineStr">
        <is>
          <t>BOLLNÄS</t>
        </is>
      </c>
      <c r="G8443" t="n">
        <v>9.1</v>
      </c>
      <c r="H8443" t="n">
        <v>0</v>
      </c>
      <c r="I8443" t="n">
        <v>0</v>
      </c>
      <c r="J8443" t="n">
        <v>0</v>
      </c>
      <c r="K8443" t="n">
        <v>0</v>
      </c>
      <c r="L8443" t="n">
        <v>0</v>
      </c>
      <c r="M8443" t="n">
        <v>0</v>
      </c>
      <c r="N8443" t="n">
        <v>0</v>
      </c>
      <c r="O8443" t="n">
        <v>0</v>
      </c>
      <c r="P8443" t="n">
        <v>0</v>
      </c>
      <c r="Q8443" t="n">
        <v>0</v>
      </c>
      <c r="R8443" s="2" t="inlineStr"/>
    </row>
    <row r="8444" ht="15" customHeight="1">
      <c r="A8444" t="inlineStr">
        <is>
          <t>A 47473-2023</t>
        </is>
      </c>
      <c r="B8444" s="1" t="n">
        <v>45203</v>
      </c>
      <c r="C8444" s="1" t="n">
        <v>45587</v>
      </c>
      <c r="D8444" t="inlineStr">
        <is>
          <t>GÄVLEBORGS LÄN</t>
        </is>
      </c>
      <c r="E8444" t="inlineStr">
        <is>
          <t>HUDIKSVALL</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47472-2023</t>
        </is>
      </c>
      <c r="B8445" s="1" t="n">
        <v>45203</v>
      </c>
      <c r="C8445" s="1" t="n">
        <v>45587</v>
      </c>
      <c r="D8445" t="inlineStr">
        <is>
          <t>GÄVLEBORGS LÄN</t>
        </is>
      </c>
      <c r="E8445" t="inlineStr">
        <is>
          <t>HUDIKSVALL</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47471-2023</t>
        </is>
      </c>
      <c r="B8446" s="1" t="n">
        <v>45203</v>
      </c>
      <c r="C8446" s="1" t="n">
        <v>45587</v>
      </c>
      <c r="D8446" t="inlineStr">
        <is>
          <t>GÄVLEBORGS LÄN</t>
        </is>
      </c>
      <c r="E8446" t="inlineStr">
        <is>
          <t>HUDIKSVALL</t>
        </is>
      </c>
      <c r="G8446" t="n">
        <v>6.2</v>
      </c>
      <c r="H8446" t="n">
        <v>0</v>
      </c>
      <c r="I8446" t="n">
        <v>0</v>
      </c>
      <c r="J8446" t="n">
        <v>0</v>
      </c>
      <c r="K8446" t="n">
        <v>0</v>
      </c>
      <c r="L8446" t="n">
        <v>0</v>
      </c>
      <c r="M8446" t="n">
        <v>0</v>
      </c>
      <c r="N8446" t="n">
        <v>0</v>
      </c>
      <c r="O8446" t="n">
        <v>0</v>
      </c>
      <c r="P8446" t="n">
        <v>0</v>
      </c>
      <c r="Q8446" t="n">
        <v>0</v>
      </c>
      <c r="R8446" s="2" t="inlineStr"/>
    </row>
    <row r="8447" ht="15" customHeight="1">
      <c r="A8447" t="inlineStr">
        <is>
          <t>A 47742-2023</t>
        </is>
      </c>
      <c r="B8447" s="1" t="n">
        <v>45203</v>
      </c>
      <c r="C8447" s="1" t="n">
        <v>45587</v>
      </c>
      <c r="D8447" t="inlineStr">
        <is>
          <t>GÄVLEBORGS LÄN</t>
        </is>
      </c>
      <c r="E8447" t="inlineStr">
        <is>
          <t>GÄVLE</t>
        </is>
      </c>
      <c r="G8447" t="n">
        <v>5.1</v>
      </c>
      <c r="H8447" t="n">
        <v>0</v>
      </c>
      <c r="I8447" t="n">
        <v>0</v>
      </c>
      <c r="J8447" t="n">
        <v>0</v>
      </c>
      <c r="K8447" t="n">
        <v>0</v>
      </c>
      <c r="L8447" t="n">
        <v>0</v>
      </c>
      <c r="M8447" t="n">
        <v>0</v>
      </c>
      <c r="N8447" t="n">
        <v>0</v>
      </c>
      <c r="O8447" t="n">
        <v>0</v>
      </c>
      <c r="P8447" t="n">
        <v>0</v>
      </c>
      <c r="Q8447" t="n">
        <v>0</v>
      </c>
      <c r="R8447" s="2" t="inlineStr"/>
    </row>
    <row r="8448" ht="15" customHeight="1">
      <c r="A8448" t="inlineStr">
        <is>
          <t>A 47746-2023</t>
        </is>
      </c>
      <c r="B8448" s="1" t="n">
        <v>45203</v>
      </c>
      <c r="C8448" s="1" t="n">
        <v>45587</v>
      </c>
      <c r="D8448" t="inlineStr">
        <is>
          <t>GÄVLEBORGS LÄN</t>
        </is>
      </c>
      <c r="E8448" t="inlineStr">
        <is>
          <t>GÄVLE</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47651-2023</t>
        </is>
      </c>
      <c r="B8449" s="1" t="n">
        <v>45203</v>
      </c>
      <c r="C8449" s="1" t="n">
        <v>45587</v>
      </c>
      <c r="D8449" t="inlineStr">
        <is>
          <t>GÄVLEBORGS LÄN</t>
        </is>
      </c>
      <c r="E8449" t="inlineStr">
        <is>
          <t>SANDVIKEN</t>
        </is>
      </c>
      <c r="F8449" t="inlineStr">
        <is>
          <t>Kommuner</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47657-2023</t>
        </is>
      </c>
      <c r="B8450" s="1" t="n">
        <v>45203</v>
      </c>
      <c r="C8450" s="1" t="n">
        <v>45587</v>
      </c>
      <c r="D8450" t="inlineStr">
        <is>
          <t>GÄVLEBORGS LÄN</t>
        </is>
      </c>
      <c r="E8450" t="inlineStr">
        <is>
          <t>SANDVIKEN</t>
        </is>
      </c>
      <c r="F8450" t="inlineStr">
        <is>
          <t>Kommuner</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47701-2023</t>
        </is>
      </c>
      <c r="B8451" s="1" t="n">
        <v>45203</v>
      </c>
      <c r="C8451" s="1" t="n">
        <v>45587</v>
      </c>
      <c r="D8451" t="inlineStr">
        <is>
          <t>GÄVLEBORGS LÄN</t>
        </is>
      </c>
      <c r="E8451" t="inlineStr">
        <is>
          <t>BOLLNÄS</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47743-2023</t>
        </is>
      </c>
      <c r="B8452" s="1" t="n">
        <v>45203</v>
      </c>
      <c r="C8452" s="1" t="n">
        <v>45587</v>
      </c>
      <c r="D8452" t="inlineStr">
        <is>
          <t>GÄVLEBORGS LÄN</t>
        </is>
      </c>
      <c r="E8452" t="inlineStr">
        <is>
          <t>GÄVLE</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47747-2023</t>
        </is>
      </c>
      <c r="B8453" s="1" t="n">
        <v>45203</v>
      </c>
      <c r="C8453" s="1" t="n">
        <v>45587</v>
      </c>
      <c r="D8453" t="inlineStr">
        <is>
          <t>GÄVLEBORGS LÄN</t>
        </is>
      </c>
      <c r="E8453" t="inlineStr">
        <is>
          <t>GÄVLE</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47530-2023</t>
        </is>
      </c>
      <c r="B8454" s="1" t="n">
        <v>45203</v>
      </c>
      <c r="C8454" s="1" t="n">
        <v>45587</v>
      </c>
      <c r="D8454" t="inlineStr">
        <is>
          <t>GÄVLEBORGS LÄN</t>
        </is>
      </c>
      <c r="E8454" t="inlineStr">
        <is>
          <t>HUDIKSVALL</t>
        </is>
      </c>
      <c r="F8454" t="inlineStr">
        <is>
          <t>Holmen skog AB</t>
        </is>
      </c>
      <c r="G8454" t="n">
        <v>37.8</v>
      </c>
      <c r="H8454" t="n">
        <v>0</v>
      </c>
      <c r="I8454" t="n">
        <v>0</v>
      </c>
      <c r="J8454" t="n">
        <v>0</v>
      </c>
      <c r="K8454" t="n">
        <v>0</v>
      </c>
      <c r="L8454" t="n">
        <v>0</v>
      </c>
      <c r="M8454" t="n">
        <v>0</v>
      </c>
      <c r="N8454" t="n">
        <v>0</v>
      </c>
      <c r="O8454" t="n">
        <v>0</v>
      </c>
      <c r="P8454" t="n">
        <v>0</v>
      </c>
      <c r="Q8454" t="n">
        <v>0</v>
      </c>
      <c r="R8454" s="2" t="inlineStr"/>
    </row>
    <row r="8455" ht="15" customHeight="1">
      <c r="A8455" t="inlineStr">
        <is>
          <t>A 47575-2023</t>
        </is>
      </c>
      <c r="B8455" s="1" t="n">
        <v>45203</v>
      </c>
      <c r="C8455" s="1" t="n">
        <v>45587</v>
      </c>
      <c r="D8455" t="inlineStr">
        <is>
          <t>GÄVLEBORGS LÄN</t>
        </is>
      </c>
      <c r="E8455" t="inlineStr">
        <is>
          <t>BOLLNÄS</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47674-2023</t>
        </is>
      </c>
      <c r="B8456" s="1" t="n">
        <v>45203</v>
      </c>
      <c r="C8456" s="1" t="n">
        <v>45587</v>
      </c>
      <c r="D8456" t="inlineStr">
        <is>
          <t>GÄVLEBORGS LÄN</t>
        </is>
      </c>
      <c r="E8456" t="inlineStr">
        <is>
          <t>OCKELBO</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47678-2023</t>
        </is>
      </c>
      <c r="B8457" s="1" t="n">
        <v>45203</v>
      </c>
      <c r="C8457" s="1" t="n">
        <v>45587</v>
      </c>
      <c r="D8457" t="inlineStr">
        <is>
          <t>GÄVLEBORGS LÄN</t>
        </is>
      </c>
      <c r="E8457" t="inlineStr">
        <is>
          <t>OCKELBO</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47723-2023</t>
        </is>
      </c>
      <c r="B8458" s="1" t="n">
        <v>45203</v>
      </c>
      <c r="C8458" s="1" t="n">
        <v>45587</v>
      </c>
      <c r="D8458" t="inlineStr">
        <is>
          <t>GÄVLEBORGS LÄN</t>
        </is>
      </c>
      <c r="E8458" t="inlineStr">
        <is>
          <t>OCKELBO</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47739-2023</t>
        </is>
      </c>
      <c r="B8459" s="1" t="n">
        <v>45203</v>
      </c>
      <c r="C8459" s="1" t="n">
        <v>45587</v>
      </c>
      <c r="D8459" t="inlineStr">
        <is>
          <t>GÄVLEBORGS LÄN</t>
        </is>
      </c>
      <c r="E8459" t="inlineStr">
        <is>
          <t>GÄVLE</t>
        </is>
      </c>
      <c r="G8459" t="n">
        <v>6.4</v>
      </c>
      <c r="H8459" t="n">
        <v>0</v>
      </c>
      <c r="I8459" t="n">
        <v>0</v>
      </c>
      <c r="J8459" t="n">
        <v>0</v>
      </c>
      <c r="K8459" t="n">
        <v>0</v>
      </c>
      <c r="L8459" t="n">
        <v>0</v>
      </c>
      <c r="M8459" t="n">
        <v>0</v>
      </c>
      <c r="N8459" t="n">
        <v>0</v>
      </c>
      <c r="O8459" t="n">
        <v>0</v>
      </c>
      <c r="P8459" t="n">
        <v>0</v>
      </c>
      <c r="Q8459" t="n">
        <v>0</v>
      </c>
      <c r="R8459" s="2" t="inlineStr"/>
    </row>
    <row r="8460" ht="15" customHeight="1">
      <c r="A8460" t="inlineStr">
        <is>
          <t>A 47823-2023</t>
        </is>
      </c>
      <c r="B8460" s="1" t="n">
        <v>45204</v>
      </c>
      <c r="C8460" s="1" t="n">
        <v>45587</v>
      </c>
      <c r="D8460" t="inlineStr">
        <is>
          <t>GÄVLEBORGS LÄN</t>
        </is>
      </c>
      <c r="E8460" t="inlineStr">
        <is>
          <t>LJUSDAL</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47827-2023</t>
        </is>
      </c>
      <c r="B8461" s="1" t="n">
        <v>45204</v>
      </c>
      <c r="C8461" s="1" t="n">
        <v>45587</v>
      </c>
      <c r="D8461" t="inlineStr">
        <is>
          <t>GÄVLEBORGS LÄN</t>
        </is>
      </c>
      <c r="E8461" t="inlineStr">
        <is>
          <t>LJUSDAL</t>
        </is>
      </c>
      <c r="G8461" t="n">
        <v>6.1</v>
      </c>
      <c r="H8461" t="n">
        <v>0</v>
      </c>
      <c r="I8461" t="n">
        <v>0</v>
      </c>
      <c r="J8461" t="n">
        <v>0</v>
      </c>
      <c r="K8461" t="n">
        <v>0</v>
      </c>
      <c r="L8461" t="n">
        <v>0</v>
      </c>
      <c r="M8461" t="n">
        <v>0</v>
      </c>
      <c r="N8461" t="n">
        <v>0</v>
      </c>
      <c r="O8461" t="n">
        <v>0</v>
      </c>
      <c r="P8461" t="n">
        <v>0</v>
      </c>
      <c r="Q8461" t="n">
        <v>0</v>
      </c>
      <c r="R8461" s="2" t="inlineStr"/>
    </row>
    <row r="8462" ht="15" customHeight="1">
      <c r="A8462" t="inlineStr">
        <is>
          <t>A 47841-2023</t>
        </is>
      </c>
      <c r="B8462" s="1" t="n">
        <v>45204</v>
      </c>
      <c r="C8462" s="1" t="n">
        <v>45587</v>
      </c>
      <c r="D8462" t="inlineStr">
        <is>
          <t>GÄVLEBORGS LÄN</t>
        </is>
      </c>
      <c r="E8462" t="inlineStr">
        <is>
          <t>OCKELBO</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47864-2023</t>
        </is>
      </c>
      <c r="B8463" s="1" t="n">
        <v>45204</v>
      </c>
      <c r="C8463" s="1" t="n">
        <v>45587</v>
      </c>
      <c r="D8463" t="inlineStr">
        <is>
          <t>GÄVLEBORGS LÄN</t>
        </is>
      </c>
      <c r="E8463" t="inlineStr">
        <is>
          <t>LJUSDAL</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47875-2023</t>
        </is>
      </c>
      <c r="B8464" s="1" t="n">
        <v>45204</v>
      </c>
      <c r="C8464" s="1" t="n">
        <v>45587</v>
      </c>
      <c r="D8464" t="inlineStr">
        <is>
          <t>GÄVLEBORGS LÄN</t>
        </is>
      </c>
      <c r="E8464" t="inlineStr">
        <is>
          <t>LJUSDAL</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47970-2023</t>
        </is>
      </c>
      <c r="B8465" s="1" t="n">
        <v>45204</v>
      </c>
      <c r="C8465" s="1" t="n">
        <v>45587</v>
      </c>
      <c r="D8465" t="inlineStr">
        <is>
          <t>GÄVLEBORGS LÄN</t>
        </is>
      </c>
      <c r="E8465" t="inlineStr">
        <is>
          <t>GÄVLE</t>
        </is>
      </c>
      <c r="F8465" t="inlineStr">
        <is>
          <t>Bergvik skog väst AB</t>
        </is>
      </c>
      <c r="G8465" t="n">
        <v>6.5</v>
      </c>
      <c r="H8465" t="n">
        <v>0</v>
      </c>
      <c r="I8465" t="n">
        <v>0</v>
      </c>
      <c r="J8465" t="n">
        <v>0</v>
      </c>
      <c r="K8465" t="n">
        <v>0</v>
      </c>
      <c r="L8465" t="n">
        <v>0</v>
      </c>
      <c r="M8465" t="n">
        <v>0</v>
      </c>
      <c r="N8465" t="n">
        <v>0</v>
      </c>
      <c r="O8465" t="n">
        <v>0</v>
      </c>
      <c r="P8465" t="n">
        <v>0</v>
      </c>
      <c r="Q8465" t="n">
        <v>0</v>
      </c>
      <c r="R8465" s="2" t="inlineStr"/>
    </row>
    <row r="8466" ht="15" customHeight="1">
      <c r="A8466" t="inlineStr">
        <is>
          <t>A 48012-2023</t>
        </is>
      </c>
      <c r="B8466" s="1" t="n">
        <v>45204</v>
      </c>
      <c r="C8466" s="1" t="n">
        <v>45587</v>
      </c>
      <c r="D8466" t="inlineStr">
        <is>
          <t>GÄVLEBORGS LÄN</t>
        </is>
      </c>
      <c r="E8466" t="inlineStr">
        <is>
          <t>GÄVLE</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48015-2023</t>
        </is>
      </c>
      <c r="B8467" s="1" t="n">
        <v>45204</v>
      </c>
      <c r="C8467" s="1" t="n">
        <v>45587</v>
      </c>
      <c r="D8467" t="inlineStr">
        <is>
          <t>GÄVLEBORGS LÄN</t>
        </is>
      </c>
      <c r="E8467" t="inlineStr">
        <is>
          <t>LJUSDAL</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47852-2023</t>
        </is>
      </c>
      <c r="B8468" s="1" t="n">
        <v>45204</v>
      </c>
      <c r="C8468" s="1" t="n">
        <v>45587</v>
      </c>
      <c r="D8468" t="inlineStr">
        <is>
          <t>GÄVLEBORGS LÄN</t>
        </is>
      </c>
      <c r="E8468" t="inlineStr">
        <is>
          <t>BOLLNÄS</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47876-2023</t>
        </is>
      </c>
      <c r="B8469" s="1" t="n">
        <v>45204</v>
      </c>
      <c r="C8469" s="1" t="n">
        <v>45587</v>
      </c>
      <c r="D8469" t="inlineStr">
        <is>
          <t>GÄVLEBORGS LÄN</t>
        </is>
      </c>
      <c r="E8469" t="inlineStr">
        <is>
          <t>NORDANSTIG</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47895-2023</t>
        </is>
      </c>
      <c r="B8470" s="1" t="n">
        <v>45204</v>
      </c>
      <c r="C8470" s="1" t="n">
        <v>45587</v>
      </c>
      <c r="D8470" t="inlineStr">
        <is>
          <t>GÄVLEBORGS LÄN</t>
        </is>
      </c>
      <c r="E8470" t="inlineStr">
        <is>
          <t>SANDVIKEN</t>
        </is>
      </c>
      <c r="F8470" t="inlineStr">
        <is>
          <t>Bergvik skog öst AB</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48023-2023</t>
        </is>
      </c>
      <c r="B8471" s="1" t="n">
        <v>45204</v>
      </c>
      <c r="C8471" s="1" t="n">
        <v>45587</v>
      </c>
      <c r="D8471" t="inlineStr">
        <is>
          <t>GÄVLEBORGS LÄN</t>
        </is>
      </c>
      <c r="E8471" t="inlineStr">
        <is>
          <t>NORDANSTIG</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48104-2023</t>
        </is>
      </c>
      <c r="B8472" s="1" t="n">
        <v>45205</v>
      </c>
      <c r="C8472" s="1" t="n">
        <v>45587</v>
      </c>
      <c r="D8472" t="inlineStr">
        <is>
          <t>GÄVLEBORGS LÄN</t>
        </is>
      </c>
      <c r="E8472" t="inlineStr">
        <is>
          <t>OCKELBO</t>
        </is>
      </c>
      <c r="F8472" t="inlineStr">
        <is>
          <t>Bergvik skog väst AB</t>
        </is>
      </c>
      <c r="G8472" t="n">
        <v>6.7</v>
      </c>
      <c r="H8472" t="n">
        <v>0</v>
      </c>
      <c r="I8472" t="n">
        <v>0</v>
      </c>
      <c r="J8472" t="n">
        <v>0</v>
      </c>
      <c r="K8472" t="n">
        <v>0</v>
      </c>
      <c r="L8472" t="n">
        <v>0</v>
      </c>
      <c r="M8472" t="n">
        <v>0</v>
      </c>
      <c r="N8472" t="n">
        <v>0</v>
      </c>
      <c r="O8472" t="n">
        <v>0</v>
      </c>
      <c r="P8472" t="n">
        <v>0</v>
      </c>
      <c r="Q8472" t="n">
        <v>0</v>
      </c>
      <c r="R8472" s="2" t="inlineStr"/>
    </row>
    <row r="8473" ht="15" customHeight="1">
      <c r="A8473" t="inlineStr">
        <is>
          <t>A 48094-2023</t>
        </is>
      </c>
      <c r="B8473" s="1" t="n">
        <v>45205</v>
      </c>
      <c r="C8473" s="1" t="n">
        <v>45587</v>
      </c>
      <c r="D8473" t="inlineStr">
        <is>
          <t>GÄVLEBORGS LÄN</t>
        </is>
      </c>
      <c r="E8473" t="inlineStr">
        <is>
          <t>SANDVIKEN</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48136-2023</t>
        </is>
      </c>
      <c r="B8474" s="1" t="n">
        <v>45205</v>
      </c>
      <c r="C8474" s="1" t="n">
        <v>45587</v>
      </c>
      <c r="D8474" t="inlineStr">
        <is>
          <t>GÄVLEBORGS LÄN</t>
        </is>
      </c>
      <c r="E8474" t="inlineStr">
        <is>
          <t>SÖDERHAMN</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48196-2023</t>
        </is>
      </c>
      <c r="B8475" s="1" t="n">
        <v>45205</v>
      </c>
      <c r="C8475" s="1" t="n">
        <v>45587</v>
      </c>
      <c r="D8475" t="inlineStr">
        <is>
          <t>GÄVLEBORGS LÄN</t>
        </is>
      </c>
      <c r="E8475" t="inlineStr">
        <is>
          <t>OVANÅKER</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48188-2023</t>
        </is>
      </c>
      <c r="B8476" s="1" t="n">
        <v>45205</v>
      </c>
      <c r="C8476" s="1" t="n">
        <v>45587</v>
      </c>
      <c r="D8476" t="inlineStr">
        <is>
          <t>GÄVLEBORGS LÄN</t>
        </is>
      </c>
      <c r="E8476" t="inlineStr">
        <is>
          <t>LJUSDAL</t>
        </is>
      </c>
      <c r="G8476" t="n">
        <v>4.2</v>
      </c>
      <c r="H8476" t="n">
        <v>0</v>
      </c>
      <c r="I8476" t="n">
        <v>0</v>
      </c>
      <c r="J8476" t="n">
        <v>0</v>
      </c>
      <c r="K8476" t="n">
        <v>0</v>
      </c>
      <c r="L8476" t="n">
        <v>0</v>
      </c>
      <c r="M8476" t="n">
        <v>0</v>
      </c>
      <c r="N8476" t="n">
        <v>0</v>
      </c>
      <c r="O8476" t="n">
        <v>0</v>
      </c>
      <c r="P8476" t="n">
        <v>0</v>
      </c>
      <c r="Q8476" t="n">
        <v>0</v>
      </c>
      <c r="R8476" s="2" t="inlineStr"/>
    </row>
    <row r="8477" ht="15" customHeight="1">
      <c r="A8477" t="inlineStr">
        <is>
          <t>A 48137-2023</t>
        </is>
      </c>
      <c r="B8477" s="1" t="n">
        <v>45205</v>
      </c>
      <c r="C8477" s="1" t="n">
        <v>45587</v>
      </c>
      <c r="D8477" t="inlineStr">
        <is>
          <t>GÄVLEBORGS LÄN</t>
        </is>
      </c>
      <c r="E8477" t="inlineStr">
        <is>
          <t>OCKELBO</t>
        </is>
      </c>
      <c r="F8477" t="inlineStr">
        <is>
          <t>Bergvik skog väst AB</t>
        </is>
      </c>
      <c r="G8477" t="n">
        <v>3.6</v>
      </c>
      <c r="H8477" t="n">
        <v>0</v>
      </c>
      <c r="I8477" t="n">
        <v>0</v>
      </c>
      <c r="J8477" t="n">
        <v>0</v>
      </c>
      <c r="K8477" t="n">
        <v>0</v>
      </c>
      <c r="L8477" t="n">
        <v>0</v>
      </c>
      <c r="M8477" t="n">
        <v>0</v>
      </c>
      <c r="N8477" t="n">
        <v>0</v>
      </c>
      <c r="O8477" t="n">
        <v>0</v>
      </c>
      <c r="P8477" t="n">
        <v>0</v>
      </c>
      <c r="Q8477" t="n">
        <v>0</v>
      </c>
      <c r="R8477" s="2" t="inlineStr"/>
    </row>
    <row r="8478" ht="15" customHeight="1">
      <c r="A8478" t="inlineStr">
        <is>
          <t>A 48251-2023</t>
        </is>
      </c>
      <c r="B8478" s="1" t="n">
        <v>45205</v>
      </c>
      <c r="C8478" s="1" t="n">
        <v>45587</v>
      </c>
      <c r="D8478" t="inlineStr">
        <is>
          <t>GÄVLEBORGS LÄN</t>
        </is>
      </c>
      <c r="E8478" t="inlineStr">
        <is>
          <t>SÖDERHAMN</t>
        </is>
      </c>
      <c r="F8478" t="inlineStr">
        <is>
          <t>Bergvik skog väst AB</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48256-2023</t>
        </is>
      </c>
      <c r="B8479" s="1" t="n">
        <v>45205</v>
      </c>
      <c r="C8479" s="1" t="n">
        <v>45587</v>
      </c>
      <c r="D8479" t="inlineStr">
        <is>
          <t>GÄVLEBORGS LÄN</t>
        </is>
      </c>
      <c r="E8479" t="inlineStr">
        <is>
          <t>SANDVIKEN</t>
        </is>
      </c>
      <c r="F8479" t="inlineStr">
        <is>
          <t>Sveaskog</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48280-2023</t>
        </is>
      </c>
      <c r="B8480" s="1" t="n">
        <v>45205</v>
      </c>
      <c r="C8480" s="1" t="n">
        <v>45587</v>
      </c>
      <c r="D8480" t="inlineStr">
        <is>
          <t>GÄVLEBORGS LÄN</t>
        </is>
      </c>
      <c r="E8480" t="inlineStr">
        <is>
          <t>GÄVLE</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48303-2023</t>
        </is>
      </c>
      <c r="B8481" s="1" t="n">
        <v>45205</v>
      </c>
      <c r="C8481" s="1" t="n">
        <v>45587</v>
      </c>
      <c r="D8481" t="inlineStr">
        <is>
          <t>GÄVLEBORGS LÄN</t>
        </is>
      </c>
      <c r="E8481" t="inlineStr">
        <is>
          <t>SANDVIKEN</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48249-2023</t>
        </is>
      </c>
      <c r="B8482" s="1" t="n">
        <v>45205</v>
      </c>
      <c r="C8482" s="1" t="n">
        <v>45587</v>
      </c>
      <c r="D8482" t="inlineStr">
        <is>
          <t>GÄVLEBORGS LÄN</t>
        </is>
      </c>
      <c r="E8482" t="inlineStr">
        <is>
          <t>HUDIKSVALL</t>
        </is>
      </c>
      <c r="F8482" t="inlineStr">
        <is>
          <t>Holmen skog AB</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48253-2023</t>
        </is>
      </c>
      <c r="B8483" s="1" t="n">
        <v>45205</v>
      </c>
      <c r="C8483" s="1" t="n">
        <v>45587</v>
      </c>
      <c r="D8483" t="inlineStr">
        <is>
          <t>GÄVLEBORGS LÄN</t>
        </is>
      </c>
      <c r="E8483" t="inlineStr">
        <is>
          <t>SÖDERHAMN</t>
        </is>
      </c>
      <c r="F8483" t="inlineStr">
        <is>
          <t>Bergvik skog väst AB</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48258-2023</t>
        </is>
      </c>
      <c r="B8484" s="1" t="n">
        <v>45205</v>
      </c>
      <c r="C8484" s="1" t="n">
        <v>45587</v>
      </c>
      <c r="D8484" t="inlineStr">
        <is>
          <t>GÄVLEBORGS LÄN</t>
        </is>
      </c>
      <c r="E8484" t="inlineStr">
        <is>
          <t>SANDVIKEN</t>
        </is>
      </c>
      <c r="F8484" t="inlineStr">
        <is>
          <t>Sveaskog</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48268-2023</t>
        </is>
      </c>
      <c r="B8485" s="1" t="n">
        <v>45205</v>
      </c>
      <c r="C8485" s="1" t="n">
        <v>45587</v>
      </c>
      <c r="D8485" t="inlineStr">
        <is>
          <t>GÄVLEBORGS LÄN</t>
        </is>
      </c>
      <c r="E8485" t="inlineStr">
        <is>
          <t>OVANÅKER</t>
        </is>
      </c>
      <c r="G8485" t="n">
        <v>3.4</v>
      </c>
      <c r="H8485" t="n">
        <v>0</v>
      </c>
      <c r="I8485" t="n">
        <v>0</v>
      </c>
      <c r="J8485" t="n">
        <v>0</v>
      </c>
      <c r="K8485" t="n">
        <v>0</v>
      </c>
      <c r="L8485" t="n">
        <v>0</v>
      </c>
      <c r="M8485" t="n">
        <v>0</v>
      </c>
      <c r="N8485" t="n">
        <v>0</v>
      </c>
      <c r="O8485" t="n">
        <v>0</v>
      </c>
      <c r="P8485" t="n">
        <v>0</v>
      </c>
      <c r="Q8485" t="n">
        <v>0</v>
      </c>
      <c r="R8485" s="2" t="inlineStr"/>
    </row>
    <row r="8486" ht="15" customHeight="1">
      <c r="A8486" t="inlineStr">
        <is>
          <t>A 48195-2023</t>
        </is>
      </c>
      <c r="B8486" s="1" t="n">
        <v>45205</v>
      </c>
      <c r="C8486" s="1" t="n">
        <v>45587</v>
      </c>
      <c r="D8486" t="inlineStr">
        <is>
          <t>GÄVLEBORGS LÄN</t>
        </is>
      </c>
      <c r="E8486" t="inlineStr">
        <is>
          <t>LJUSDAL</t>
        </is>
      </c>
      <c r="G8486" t="n">
        <v>4.8</v>
      </c>
      <c r="H8486" t="n">
        <v>0</v>
      </c>
      <c r="I8486" t="n">
        <v>0</v>
      </c>
      <c r="J8486" t="n">
        <v>0</v>
      </c>
      <c r="K8486" t="n">
        <v>0</v>
      </c>
      <c r="L8486" t="n">
        <v>0</v>
      </c>
      <c r="M8486" t="n">
        <v>0</v>
      </c>
      <c r="N8486" t="n">
        <v>0</v>
      </c>
      <c r="O8486" t="n">
        <v>0</v>
      </c>
      <c r="P8486" t="n">
        <v>0</v>
      </c>
      <c r="Q8486" t="n">
        <v>0</v>
      </c>
      <c r="R8486" s="2" t="inlineStr"/>
    </row>
    <row r="8487" ht="15" customHeight="1">
      <c r="A8487" t="inlineStr">
        <is>
          <t>A 48355-2023</t>
        </is>
      </c>
      <c r="B8487" s="1" t="n">
        <v>45205</v>
      </c>
      <c r="C8487" s="1" t="n">
        <v>45587</v>
      </c>
      <c r="D8487" t="inlineStr">
        <is>
          <t>GÄVLEBORGS LÄN</t>
        </is>
      </c>
      <c r="E8487" t="inlineStr">
        <is>
          <t>LJUSDAL</t>
        </is>
      </c>
      <c r="G8487" t="n">
        <v>4.4</v>
      </c>
      <c r="H8487" t="n">
        <v>0</v>
      </c>
      <c r="I8487" t="n">
        <v>0</v>
      </c>
      <c r="J8487" t="n">
        <v>0</v>
      </c>
      <c r="K8487" t="n">
        <v>0</v>
      </c>
      <c r="L8487" t="n">
        <v>0</v>
      </c>
      <c r="M8487" t="n">
        <v>0</v>
      </c>
      <c r="N8487" t="n">
        <v>0</v>
      </c>
      <c r="O8487" t="n">
        <v>0</v>
      </c>
      <c r="P8487" t="n">
        <v>0</v>
      </c>
      <c r="Q8487" t="n">
        <v>0</v>
      </c>
      <c r="R8487" s="2" t="inlineStr"/>
    </row>
    <row r="8488" ht="15" customHeight="1">
      <c r="A8488" t="inlineStr">
        <is>
          <t>A 48360-2023</t>
        </is>
      </c>
      <c r="B8488" s="1" t="n">
        <v>45205</v>
      </c>
      <c r="C8488" s="1" t="n">
        <v>45587</v>
      </c>
      <c r="D8488" t="inlineStr">
        <is>
          <t>GÄVLEBORGS LÄN</t>
        </is>
      </c>
      <c r="E8488" t="inlineStr">
        <is>
          <t>LJUSDAL</t>
        </is>
      </c>
      <c r="G8488" t="n">
        <v>7.5</v>
      </c>
      <c r="H8488" t="n">
        <v>0</v>
      </c>
      <c r="I8488" t="n">
        <v>0</v>
      </c>
      <c r="J8488" t="n">
        <v>0</v>
      </c>
      <c r="K8488" t="n">
        <v>0</v>
      </c>
      <c r="L8488" t="n">
        <v>0</v>
      </c>
      <c r="M8488" t="n">
        <v>0</v>
      </c>
      <c r="N8488" t="n">
        <v>0</v>
      </c>
      <c r="O8488" t="n">
        <v>0</v>
      </c>
      <c r="P8488" t="n">
        <v>0</v>
      </c>
      <c r="Q8488" t="n">
        <v>0</v>
      </c>
      <c r="R8488" s="2" t="inlineStr"/>
    </row>
    <row r="8489" ht="15" customHeight="1">
      <c r="A8489" t="inlineStr">
        <is>
          <t>A 48282-2023</t>
        </is>
      </c>
      <c r="B8489" s="1" t="n">
        <v>45205</v>
      </c>
      <c r="C8489" s="1" t="n">
        <v>45587</v>
      </c>
      <c r="D8489" t="inlineStr">
        <is>
          <t>GÄVLEBORGS LÄN</t>
        </is>
      </c>
      <c r="E8489" t="inlineStr">
        <is>
          <t>OVANÅKER</t>
        </is>
      </c>
      <c r="G8489" t="n">
        <v>0.4</v>
      </c>
      <c r="H8489" t="n">
        <v>0</v>
      </c>
      <c r="I8489" t="n">
        <v>0</v>
      </c>
      <c r="J8489" t="n">
        <v>0</v>
      </c>
      <c r="K8489" t="n">
        <v>0</v>
      </c>
      <c r="L8489" t="n">
        <v>0</v>
      </c>
      <c r="M8489" t="n">
        <v>0</v>
      </c>
      <c r="N8489" t="n">
        <v>0</v>
      </c>
      <c r="O8489" t="n">
        <v>0</v>
      </c>
      <c r="P8489" t="n">
        <v>0</v>
      </c>
      <c r="Q8489" t="n">
        <v>0</v>
      </c>
      <c r="R8489" s="2" t="inlineStr"/>
    </row>
    <row r="8490" ht="15" customHeight="1">
      <c r="A8490" t="inlineStr">
        <is>
          <t>A 48293-2023</t>
        </is>
      </c>
      <c r="B8490" s="1" t="n">
        <v>45205</v>
      </c>
      <c r="C8490" s="1" t="n">
        <v>45587</v>
      </c>
      <c r="D8490" t="inlineStr">
        <is>
          <t>GÄVLEBORGS LÄN</t>
        </is>
      </c>
      <c r="E8490" t="inlineStr">
        <is>
          <t>BOLLNÄS</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48301-2023</t>
        </is>
      </c>
      <c r="B8491" s="1" t="n">
        <v>45205</v>
      </c>
      <c r="C8491" s="1" t="n">
        <v>45587</v>
      </c>
      <c r="D8491" t="inlineStr">
        <is>
          <t>GÄVLEBORGS LÄN</t>
        </is>
      </c>
      <c r="E8491" t="inlineStr">
        <is>
          <t>BOLLNÄS</t>
        </is>
      </c>
      <c r="G8491" t="n">
        <v>5.1</v>
      </c>
      <c r="H8491" t="n">
        <v>0</v>
      </c>
      <c r="I8491" t="n">
        <v>0</v>
      </c>
      <c r="J8491" t="n">
        <v>0</v>
      </c>
      <c r="K8491" t="n">
        <v>0</v>
      </c>
      <c r="L8491" t="n">
        <v>0</v>
      </c>
      <c r="M8491" t="n">
        <v>0</v>
      </c>
      <c r="N8491" t="n">
        <v>0</v>
      </c>
      <c r="O8491" t="n">
        <v>0</v>
      </c>
      <c r="P8491" t="n">
        <v>0</v>
      </c>
      <c r="Q8491" t="n">
        <v>0</v>
      </c>
      <c r="R8491" s="2" t="inlineStr"/>
    </row>
    <row r="8492" ht="15" customHeight="1">
      <c r="A8492" t="inlineStr">
        <is>
          <t>A 48305-2023</t>
        </is>
      </c>
      <c r="B8492" s="1" t="n">
        <v>45205</v>
      </c>
      <c r="C8492" s="1" t="n">
        <v>45587</v>
      </c>
      <c r="D8492" t="inlineStr">
        <is>
          <t>GÄVLEBORGS LÄN</t>
        </is>
      </c>
      <c r="E8492" t="inlineStr">
        <is>
          <t>SANDVIKEN</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48139-2023</t>
        </is>
      </c>
      <c r="B8493" s="1" t="n">
        <v>45205</v>
      </c>
      <c r="C8493" s="1" t="n">
        <v>45587</v>
      </c>
      <c r="D8493" t="inlineStr">
        <is>
          <t>GÄVLEBORGS LÄN</t>
        </is>
      </c>
      <c r="E8493" t="inlineStr">
        <is>
          <t>SÖDERHAMN</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48148-2023</t>
        </is>
      </c>
      <c r="B8494" s="1" t="n">
        <v>45205</v>
      </c>
      <c r="C8494" s="1" t="n">
        <v>45587</v>
      </c>
      <c r="D8494" t="inlineStr">
        <is>
          <t>GÄVLEBORGS LÄN</t>
        </is>
      </c>
      <c r="E8494" t="inlineStr">
        <is>
          <t>OCKELBO</t>
        </is>
      </c>
      <c r="F8494" t="inlineStr">
        <is>
          <t>Kyrkan</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48400-2023</t>
        </is>
      </c>
      <c r="B8495" s="1" t="n">
        <v>45205</v>
      </c>
      <c r="C8495" s="1" t="n">
        <v>45587</v>
      </c>
      <c r="D8495" t="inlineStr">
        <is>
          <t>GÄVLEBORGS LÄN</t>
        </is>
      </c>
      <c r="E8495" t="inlineStr">
        <is>
          <t>LJUSDAL</t>
        </is>
      </c>
      <c r="F8495" t="inlineStr">
        <is>
          <t>Sveaskog</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48274-2023</t>
        </is>
      </c>
      <c r="B8496" s="1" t="n">
        <v>45205</v>
      </c>
      <c r="C8496" s="1" t="n">
        <v>45587</v>
      </c>
      <c r="D8496" t="inlineStr">
        <is>
          <t>GÄVLEBORGS LÄN</t>
        </is>
      </c>
      <c r="E8496" t="inlineStr">
        <is>
          <t>OVANÅKER</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48416-2023</t>
        </is>
      </c>
      <c r="B8497" s="1" t="n">
        <v>45206</v>
      </c>
      <c r="C8497" s="1" t="n">
        <v>45587</v>
      </c>
      <c r="D8497" t="inlineStr">
        <is>
          <t>GÄVLEBORGS LÄN</t>
        </is>
      </c>
      <c r="E8497" t="inlineStr">
        <is>
          <t>HUDIKSVALL</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48289-2023</t>
        </is>
      </c>
      <c r="B8498" s="1" t="n">
        <v>45205</v>
      </c>
      <c r="C8498" s="1" t="n">
        <v>45587</v>
      </c>
      <c r="D8498" t="inlineStr">
        <is>
          <t>GÄVLEBORGS LÄN</t>
        </is>
      </c>
      <c r="E8498" t="inlineStr">
        <is>
          <t>SANDVIKEN</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48298-2023</t>
        </is>
      </c>
      <c r="B8499" s="1" t="n">
        <v>45205</v>
      </c>
      <c r="C8499" s="1" t="n">
        <v>45587</v>
      </c>
      <c r="D8499" t="inlineStr">
        <is>
          <t>GÄVLEBORGS LÄN</t>
        </is>
      </c>
      <c r="E8499" t="inlineStr">
        <is>
          <t>OVANÅKER</t>
        </is>
      </c>
      <c r="G8499" t="n">
        <v>0.3</v>
      </c>
      <c r="H8499" t="n">
        <v>0</v>
      </c>
      <c r="I8499" t="n">
        <v>0</v>
      </c>
      <c r="J8499" t="n">
        <v>0</v>
      </c>
      <c r="K8499" t="n">
        <v>0</v>
      </c>
      <c r="L8499" t="n">
        <v>0</v>
      </c>
      <c r="M8499" t="n">
        <v>0</v>
      </c>
      <c r="N8499" t="n">
        <v>0</v>
      </c>
      <c r="O8499" t="n">
        <v>0</v>
      </c>
      <c r="P8499" t="n">
        <v>0</v>
      </c>
      <c r="Q8499" t="n">
        <v>0</v>
      </c>
      <c r="R8499" s="2" t="inlineStr"/>
    </row>
    <row r="8500" ht="15" customHeight="1">
      <c r="A8500" t="inlineStr">
        <is>
          <t>A 48307-2023</t>
        </is>
      </c>
      <c r="B8500" s="1" t="n">
        <v>45205</v>
      </c>
      <c r="C8500" s="1" t="n">
        <v>45587</v>
      </c>
      <c r="D8500" t="inlineStr">
        <is>
          <t>GÄVLEBORGS LÄN</t>
        </is>
      </c>
      <c r="E8500" t="inlineStr">
        <is>
          <t>BOLLNÄS</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48312-2023</t>
        </is>
      </c>
      <c r="B8501" s="1" t="n">
        <v>45205</v>
      </c>
      <c r="C8501" s="1" t="n">
        <v>45587</v>
      </c>
      <c r="D8501" t="inlineStr">
        <is>
          <t>GÄVLEBORGS LÄN</t>
        </is>
      </c>
      <c r="E8501" t="inlineStr">
        <is>
          <t>OVANÅKER</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48163-2023</t>
        </is>
      </c>
      <c r="B8502" s="1" t="n">
        <v>45205</v>
      </c>
      <c r="C8502" s="1" t="n">
        <v>45587</v>
      </c>
      <c r="D8502" t="inlineStr">
        <is>
          <t>GÄVLEBORGS LÄN</t>
        </is>
      </c>
      <c r="E8502" t="inlineStr">
        <is>
          <t>OCKELBO</t>
        </is>
      </c>
      <c r="F8502" t="inlineStr">
        <is>
          <t>Bergvik skog väst AB</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48257-2023</t>
        </is>
      </c>
      <c r="B8503" s="1" t="n">
        <v>45205</v>
      </c>
      <c r="C8503" s="1" t="n">
        <v>45587</v>
      </c>
      <c r="D8503" t="inlineStr">
        <is>
          <t>GÄVLEBORGS LÄN</t>
        </is>
      </c>
      <c r="E8503" t="inlineStr">
        <is>
          <t>SANDVIKEN</t>
        </is>
      </c>
      <c r="F8503" t="inlineStr">
        <is>
          <t>Sveaskog</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48261-2023</t>
        </is>
      </c>
      <c r="B8504" s="1" t="n">
        <v>45205</v>
      </c>
      <c r="C8504" s="1" t="n">
        <v>45587</v>
      </c>
      <c r="D8504" t="inlineStr">
        <is>
          <t>GÄVLEBORGS LÄN</t>
        </is>
      </c>
      <c r="E8504" t="inlineStr">
        <is>
          <t>SÖDERHAMN</t>
        </is>
      </c>
      <c r="F8504" t="inlineStr">
        <is>
          <t>Bergvik skog väst AB</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48267-2023</t>
        </is>
      </c>
      <c r="B8505" s="1" t="n">
        <v>45205</v>
      </c>
      <c r="C8505" s="1" t="n">
        <v>45587</v>
      </c>
      <c r="D8505" t="inlineStr">
        <is>
          <t>GÄVLEBORGS LÄN</t>
        </is>
      </c>
      <c r="E8505" t="inlineStr">
        <is>
          <t>OVANÅKER</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48296-2023</t>
        </is>
      </c>
      <c r="B8506" s="1" t="n">
        <v>45205</v>
      </c>
      <c r="C8506" s="1" t="n">
        <v>45587</v>
      </c>
      <c r="D8506" t="inlineStr">
        <is>
          <t>GÄVLEBORGS LÄN</t>
        </is>
      </c>
      <c r="E8506" t="inlineStr">
        <is>
          <t>SANDVIKEN</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48300-2023</t>
        </is>
      </c>
      <c r="B8507" s="1" t="n">
        <v>45205</v>
      </c>
      <c r="C8507" s="1" t="n">
        <v>45587</v>
      </c>
      <c r="D8507" t="inlineStr">
        <is>
          <t>GÄVLEBORGS LÄN</t>
        </is>
      </c>
      <c r="E8507" t="inlineStr">
        <is>
          <t>SANDVIKEN</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48310-2023</t>
        </is>
      </c>
      <c r="B8508" s="1" t="n">
        <v>45205</v>
      </c>
      <c r="C8508" s="1" t="n">
        <v>45587</v>
      </c>
      <c r="D8508" t="inlineStr">
        <is>
          <t>GÄVLEBORGS LÄN</t>
        </is>
      </c>
      <c r="E8508" t="inlineStr">
        <is>
          <t>BOLLNÄS</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48314-2023</t>
        </is>
      </c>
      <c r="B8509" s="1" t="n">
        <v>45205</v>
      </c>
      <c r="C8509" s="1" t="n">
        <v>45587</v>
      </c>
      <c r="D8509" t="inlineStr">
        <is>
          <t>GÄVLEBORGS LÄN</t>
        </is>
      </c>
      <c r="E8509" t="inlineStr">
        <is>
          <t>SANDVIKEN</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48319-2023</t>
        </is>
      </c>
      <c r="B8510" s="1" t="n">
        <v>45205</v>
      </c>
      <c r="C8510" s="1" t="n">
        <v>45587</v>
      </c>
      <c r="D8510" t="inlineStr">
        <is>
          <t>GÄVLEBORGS LÄN</t>
        </is>
      </c>
      <c r="E8510" t="inlineStr">
        <is>
          <t>SANDVIKEN</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48336-2023</t>
        </is>
      </c>
      <c r="B8511" s="1" t="n">
        <v>45205</v>
      </c>
      <c r="C8511" s="1" t="n">
        <v>45587</v>
      </c>
      <c r="D8511" t="inlineStr">
        <is>
          <t>GÄVLEBORGS LÄN</t>
        </is>
      </c>
      <c r="E8511" t="inlineStr">
        <is>
          <t>BOLLNÄS</t>
        </is>
      </c>
      <c r="G8511" t="n">
        <v>6.1</v>
      </c>
      <c r="H8511" t="n">
        <v>0</v>
      </c>
      <c r="I8511" t="n">
        <v>0</v>
      </c>
      <c r="J8511" t="n">
        <v>0</v>
      </c>
      <c r="K8511" t="n">
        <v>0</v>
      </c>
      <c r="L8511" t="n">
        <v>0</v>
      </c>
      <c r="M8511" t="n">
        <v>0</v>
      </c>
      <c r="N8511" t="n">
        <v>0</v>
      </c>
      <c r="O8511" t="n">
        <v>0</v>
      </c>
      <c r="P8511" t="n">
        <v>0</v>
      </c>
      <c r="Q8511" t="n">
        <v>0</v>
      </c>
      <c r="R8511" s="2" t="inlineStr"/>
    </row>
    <row r="8512" ht="15" customHeight="1">
      <c r="A8512" t="inlineStr">
        <is>
          <t>A 49117-2023</t>
        </is>
      </c>
      <c r="B8512" s="1" t="n">
        <v>45205</v>
      </c>
      <c r="C8512" s="1" t="n">
        <v>45587</v>
      </c>
      <c r="D8512" t="inlineStr">
        <is>
          <t>GÄVLEBORGS LÄN</t>
        </is>
      </c>
      <c r="E8512" t="inlineStr">
        <is>
          <t>SÖDERHAMN</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48519-2023</t>
        </is>
      </c>
      <c r="B8513" s="1" t="n">
        <v>45208</v>
      </c>
      <c r="C8513" s="1" t="n">
        <v>45587</v>
      </c>
      <c r="D8513" t="inlineStr">
        <is>
          <t>GÄVLEBORGS LÄN</t>
        </is>
      </c>
      <c r="E8513" t="inlineStr">
        <is>
          <t>GÄVLE</t>
        </is>
      </c>
      <c r="G8513" t="n">
        <v>3.4</v>
      </c>
      <c r="H8513" t="n">
        <v>0</v>
      </c>
      <c r="I8513" t="n">
        <v>0</v>
      </c>
      <c r="J8513" t="n">
        <v>0</v>
      </c>
      <c r="K8513" t="n">
        <v>0</v>
      </c>
      <c r="L8513" t="n">
        <v>0</v>
      </c>
      <c r="M8513" t="n">
        <v>0</v>
      </c>
      <c r="N8513" t="n">
        <v>0</v>
      </c>
      <c r="O8513" t="n">
        <v>0</v>
      </c>
      <c r="P8513" t="n">
        <v>0</v>
      </c>
      <c r="Q8513" t="n">
        <v>0</v>
      </c>
      <c r="R8513" s="2" t="inlineStr"/>
    </row>
    <row r="8514" ht="15" customHeight="1">
      <c r="A8514" t="inlineStr">
        <is>
          <t>A 48597-2023</t>
        </is>
      </c>
      <c r="B8514" s="1" t="n">
        <v>45208</v>
      </c>
      <c r="C8514" s="1" t="n">
        <v>45587</v>
      </c>
      <c r="D8514" t="inlineStr">
        <is>
          <t>GÄVLEBORGS LÄN</t>
        </is>
      </c>
      <c r="E8514" t="inlineStr">
        <is>
          <t>SANDVIKEN</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48591-2023</t>
        </is>
      </c>
      <c r="B8515" s="1" t="n">
        <v>45208</v>
      </c>
      <c r="C8515" s="1" t="n">
        <v>45587</v>
      </c>
      <c r="D8515" t="inlineStr">
        <is>
          <t>GÄVLEBORGS LÄN</t>
        </is>
      </c>
      <c r="E8515" t="inlineStr">
        <is>
          <t>BOLLNÄS</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48605-2023</t>
        </is>
      </c>
      <c r="B8516" s="1" t="n">
        <v>45208</v>
      </c>
      <c r="C8516" s="1" t="n">
        <v>45587</v>
      </c>
      <c r="D8516" t="inlineStr">
        <is>
          <t>GÄVLEBORGS LÄN</t>
        </is>
      </c>
      <c r="E8516" t="inlineStr">
        <is>
          <t>BOLLNÄS</t>
        </is>
      </c>
      <c r="G8516" t="n">
        <v>0.2</v>
      </c>
      <c r="H8516" t="n">
        <v>0</v>
      </c>
      <c r="I8516" t="n">
        <v>0</v>
      </c>
      <c r="J8516" t="n">
        <v>0</v>
      </c>
      <c r="K8516" t="n">
        <v>0</v>
      </c>
      <c r="L8516" t="n">
        <v>0</v>
      </c>
      <c r="M8516" t="n">
        <v>0</v>
      </c>
      <c r="N8516" t="n">
        <v>0</v>
      </c>
      <c r="O8516" t="n">
        <v>0</v>
      </c>
      <c r="P8516" t="n">
        <v>0</v>
      </c>
      <c r="Q8516" t="n">
        <v>0</v>
      </c>
      <c r="R8516" s="2" t="inlineStr"/>
    </row>
    <row r="8517" ht="15" customHeight="1">
      <c r="A8517" t="inlineStr">
        <is>
          <t>A 48607-2023</t>
        </is>
      </c>
      <c r="B8517" s="1" t="n">
        <v>45208</v>
      </c>
      <c r="C8517" s="1" t="n">
        <v>45587</v>
      </c>
      <c r="D8517" t="inlineStr">
        <is>
          <t>GÄVLEBORGS LÄN</t>
        </is>
      </c>
      <c r="E8517" t="inlineStr">
        <is>
          <t>NORDANSTIG</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48567-2023</t>
        </is>
      </c>
      <c r="B8518" s="1" t="n">
        <v>45208</v>
      </c>
      <c r="C8518" s="1" t="n">
        <v>45587</v>
      </c>
      <c r="D8518" t="inlineStr">
        <is>
          <t>GÄVLEBORGS LÄN</t>
        </is>
      </c>
      <c r="E8518" t="inlineStr">
        <is>
          <t>LJUSDAL</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48712-2023</t>
        </is>
      </c>
      <c r="B8519" s="1" t="n">
        <v>45208</v>
      </c>
      <c r="C8519" s="1" t="n">
        <v>45587</v>
      </c>
      <c r="D8519" t="inlineStr">
        <is>
          <t>GÄVLEBORGS LÄN</t>
        </is>
      </c>
      <c r="E8519" t="inlineStr">
        <is>
          <t>BOLLNÄS</t>
        </is>
      </c>
      <c r="G8519" t="n">
        <v>4.1</v>
      </c>
      <c r="H8519" t="n">
        <v>0</v>
      </c>
      <c r="I8519" t="n">
        <v>0</v>
      </c>
      <c r="J8519" t="n">
        <v>0</v>
      </c>
      <c r="K8519" t="n">
        <v>0</v>
      </c>
      <c r="L8519" t="n">
        <v>0</v>
      </c>
      <c r="M8519" t="n">
        <v>0</v>
      </c>
      <c r="N8519" t="n">
        <v>0</v>
      </c>
      <c r="O8519" t="n">
        <v>0</v>
      </c>
      <c r="P8519" t="n">
        <v>0</v>
      </c>
      <c r="Q8519" t="n">
        <v>0</v>
      </c>
      <c r="R8519" s="2" t="inlineStr"/>
    </row>
    <row r="8520" ht="15" customHeight="1">
      <c r="A8520" t="inlineStr">
        <is>
          <t>A 48581-2023</t>
        </is>
      </c>
      <c r="B8520" s="1" t="n">
        <v>45208</v>
      </c>
      <c r="C8520" s="1" t="n">
        <v>45587</v>
      </c>
      <c r="D8520" t="inlineStr">
        <is>
          <t>GÄVLEBORGS LÄN</t>
        </is>
      </c>
      <c r="E8520" t="inlineStr">
        <is>
          <t>NORDANSTIG</t>
        </is>
      </c>
      <c r="G8520" t="n">
        <v>6.8</v>
      </c>
      <c r="H8520" t="n">
        <v>0</v>
      </c>
      <c r="I8520" t="n">
        <v>0</v>
      </c>
      <c r="J8520" t="n">
        <v>0</v>
      </c>
      <c r="K8520" t="n">
        <v>0</v>
      </c>
      <c r="L8520" t="n">
        <v>0</v>
      </c>
      <c r="M8520" t="n">
        <v>0</v>
      </c>
      <c r="N8520" t="n">
        <v>0</v>
      </c>
      <c r="O8520" t="n">
        <v>0</v>
      </c>
      <c r="P8520" t="n">
        <v>0</v>
      </c>
      <c r="Q8520" t="n">
        <v>0</v>
      </c>
      <c r="R8520" s="2" t="inlineStr"/>
    </row>
    <row r="8521" ht="15" customHeight="1">
      <c r="A8521" t="inlineStr">
        <is>
          <t>A 48603-2023</t>
        </is>
      </c>
      <c r="B8521" s="1" t="n">
        <v>45208</v>
      </c>
      <c r="C8521" s="1" t="n">
        <v>45587</v>
      </c>
      <c r="D8521" t="inlineStr">
        <is>
          <t>GÄVLEBORGS LÄN</t>
        </is>
      </c>
      <c r="E8521" t="inlineStr">
        <is>
          <t>BOLLNÄS</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48622-2023</t>
        </is>
      </c>
      <c r="B8522" s="1" t="n">
        <v>45208</v>
      </c>
      <c r="C8522" s="1" t="n">
        <v>45587</v>
      </c>
      <c r="D8522" t="inlineStr">
        <is>
          <t>GÄVLEBORGS LÄN</t>
        </is>
      </c>
      <c r="E8522" t="inlineStr">
        <is>
          <t>SANDVIKEN</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48799-2023</t>
        </is>
      </c>
      <c r="B8523" s="1" t="n">
        <v>45209</v>
      </c>
      <c r="C8523" s="1" t="n">
        <v>45587</v>
      </c>
      <c r="D8523" t="inlineStr">
        <is>
          <t>GÄVLEBORGS LÄN</t>
        </is>
      </c>
      <c r="E8523" t="inlineStr">
        <is>
          <t>SANDVIKEN</t>
        </is>
      </c>
      <c r="F8523" t="inlineStr">
        <is>
          <t>Bergvik skog öst AB</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48803-2023</t>
        </is>
      </c>
      <c r="B8524" s="1" t="n">
        <v>45209</v>
      </c>
      <c r="C8524" s="1" t="n">
        <v>45587</v>
      </c>
      <c r="D8524" t="inlineStr">
        <is>
          <t>GÄVLEBORGS LÄN</t>
        </is>
      </c>
      <c r="E8524" t="inlineStr">
        <is>
          <t>SANDVIKEN</t>
        </is>
      </c>
      <c r="F8524" t="inlineStr">
        <is>
          <t>Bergvik skog öst AB</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48800-2023</t>
        </is>
      </c>
      <c r="B8525" s="1" t="n">
        <v>45209</v>
      </c>
      <c r="C8525" s="1" t="n">
        <v>45587</v>
      </c>
      <c r="D8525" t="inlineStr">
        <is>
          <t>GÄVLEBORGS LÄN</t>
        </is>
      </c>
      <c r="E8525" t="inlineStr">
        <is>
          <t>SANDVIKEN</t>
        </is>
      </c>
      <c r="F8525" t="inlineStr">
        <is>
          <t>Bergvik skog öst AB</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48808-2023</t>
        </is>
      </c>
      <c r="B8526" s="1" t="n">
        <v>45209</v>
      </c>
      <c r="C8526" s="1" t="n">
        <v>45587</v>
      </c>
      <c r="D8526" t="inlineStr">
        <is>
          <t>GÄVLEBORGS LÄN</t>
        </is>
      </c>
      <c r="E8526" t="inlineStr">
        <is>
          <t>BOLLNÄS</t>
        </is>
      </c>
      <c r="G8526" t="n">
        <v>18.7</v>
      </c>
      <c r="H8526" t="n">
        <v>0</v>
      </c>
      <c r="I8526" t="n">
        <v>0</v>
      </c>
      <c r="J8526" t="n">
        <v>0</v>
      </c>
      <c r="K8526" t="n">
        <v>0</v>
      </c>
      <c r="L8526" t="n">
        <v>0</v>
      </c>
      <c r="M8526" t="n">
        <v>0</v>
      </c>
      <c r="N8526" t="n">
        <v>0</v>
      </c>
      <c r="O8526" t="n">
        <v>0</v>
      </c>
      <c r="P8526" t="n">
        <v>0</v>
      </c>
      <c r="Q8526" t="n">
        <v>0</v>
      </c>
      <c r="R8526" s="2" t="inlineStr"/>
    </row>
    <row r="8527" ht="15" customHeight="1">
      <c r="A8527" t="inlineStr">
        <is>
          <t>A 48813-2023</t>
        </is>
      </c>
      <c r="B8527" s="1" t="n">
        <v>45209</v>
      </c>
      <c r="C8527" s="1" t="n">
        <v>45587</v>
      </c>
      <c r="D8527" t="inlineStr">
        <is>
          <t>GÄVLEBORGS LÄN</t>
        </is>
      </c>
      <c r="E8527" t="inlineStr">
        <is>
          <t>LJUSDAL</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48818-2023</t>
        </is>
      </c>
      <c r="B8528" s="1" t="n">
        <v>45209</v>
      </c>
      <c r="C8528" s="1" t="n">
        <v>45587</v>
      </c>
      <c r="D8528" t="inlineStr">
        <is>
          <t>GÄVLEBORGS LÄN</t>
        </is>
      </c>
      <c r="E8528" t="inlineStr">
        <is>
          <t>GÄVLE</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48869-2023</t>
        </is>
      </c>
      <c r="B8529" s="1" t="n">
        <v>45209</v>
      </c>
      <c r="C8529" s="1" t="n">
        <v>45587</v>
      </c>
      <c r="D8529" t="inlineStr">
        <is>
          <t>GÄVLEBORGS LÄN</t>
        </is>
      </c>
      <c r="E8529" t="inlineStr">
        <is>
          <t>LJUSDAL</t>
        </is>
      </c>
      <c r="F8529" t="inlineStr">
        <is>
          <t>Bergvik skog väst AB</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48861-2023</t>
        </is>
      </c>
      <c r="B8530" s="1" t="n">
        <v>45209</v>
      </c>
      <c r="C8530" s="1" t="n">
        <v>45587</v>
      </c>
      <c r="D8530" t="inlineStr">
        <is>
          <t>GÄVLEBORGS LÄN</t>
        </is>
      </c>
      <c r="E8530" t="inlineStr">
        <is>
          <t>GÄVLE</t>
        </is>
      </c>
      <c r="F8530" t="inlineStr">
        <is>
          <t>Bergvik skog väst AB</t>
        </is>
      </c>
      <c r="G8530" t="n">
        <v>5.2</v>
      </c>
      <c r="H8530" t="n">
        <v>0</v>
      </c>
      <c r="I8530" t="n">
        <v>0</v>
      </c>
      <c r="J8530" t="n">
        <v>0</v>
      </c>
      <c r="K8530" t="n">
        <v>0</v>
      </c>
      <c r="L8530" t="n">
        <v>0</v>
      </c>
      <c r="M8530" t="n">
        <v>0</v>
      </c>
      <c r="N8530" t="n">
        <v>0</v>
      </c>
      <c r="O8530" t="n">
        <v>0</v>
      </c>
      <c r="P8530" t="n">
        <v>0</v>
      </c>
      <c r="Q8530" t="n">
        <v>0</v>
      </c>
      <c r="R8530" s="2" t="inlineStr"/>
    </row>
    <row r="8531" ht="15" customHeight="1">
      <c r="A8531" t="inlineStr">
        <is>
          <t>A 48870-2023</t>
        </is>
      </c>
      <c r="B8531" s="1" t="n">
        <v>45209</v>
      </c>
      <c r="C8531" s="1" t="n">
        <v>45587</v>
      </c>
      <c r="D8531" t="inlineStr">
        <is>
          <t>GÄVLEBORGS LÄN</t>
        </is>
      </c>
      <c r="E8531" t="inlineStr">
        <is>
          <t>LJUSDAL</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48856-2023</t>
        </is>
      </c>
      <c r="B8532" s="1" t="n">
        <v>45209</v>
      </c>
      <c r="C8532" s="1" t="n">
        <v>45587</v>
      </c>
      <c r="D8532" t="inlineStr">
        <is>
          <t>GÄVLEBORGS LÄN</t>
        </is>
      </c>
      <c r="E8532" t="inlineStr">
        <is>
          <t>LJUSDAL</t>
        </is>
      </c>
      <c r="F8532" t="inlineStr">
        <is>
          <t>Bergvik skog väst AB</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48904-2023</t>
        </is>
      </c>
      <c r="B8533" s="1" t="n">
        <v>45209</v>
      </c>
      <c r="C8533" s="1" t="n">
        <v>45587</v>
      </c>
      <c r="D8533" t="inlineStr">
        <is>
          <t>GÄVLEBORGS LÄN</t>
        </is>
      </c>
      <c r="E8533" t="inlineStr">
        <is>
          <t>LJUSDAL</t>
        </is>
      </c>
      <c r="F8533" t="inlineStr">
        <is>
          <t>Bergvik skog väst AB</t>
        </is>
      </c>
      <c r="G8533" t="n">
        <v>4.9</v>
      </c>
      <c r="H8533" t="n">
        <v>0</v>
      </c>
      <c r="I8533" t="n">
        <v>0</v>
      </c>
      <c r="J8533" t="n">
        <v>0</v>
      </c>
      <c r="K8533" t="n">
        <v>0</v>
      </c>
      <c r="L8533" t="n">
        <v>0</v>
      </c>
      <c r="M8533" t="n">
        <v>0</v>
      </c>
      <c r="N8533" t="n">
        <v>0</v>
      </c>
      <c r="O8533" t="n">
        <v>0</v>
      </c>
      <c r="P8533" t="n">
        <v>0</v>
      </c>
      <c r="Q8533" t="n">
        <v>0</v>
      </c>
      <c r="R8533" s="2" t="inlineStr"/>
    </row>
    <row r="8534" ht="15" customHeight="1">
      <c r="A8534" t="inlineStr">
        <is>
          <t>A 48921-2023</t>
        </is>
      </c>
      <c r="B8534" s="1" t="n">
        <v>45209</v>
      </c>
      <c r="C8534" s="1" t="n">
        <v>45587</v>
      </c>
      <c r="D8534" t="inlineStr">
        <is>
          <t>GÄVLEBORGS LÄN</t>
        </is>
      </c>
      <c r="E8534" t="inlineStr">
        <is>
          <t>LJUSDAL</t>
        </is>
      </c>
      <c r="F8534" t="inlineStr">
        <is>
          <t>Bergvik skog väst AB</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48925-2023</t>
        </is>
      </c>
      <c r="B8535" s="1" t="n">
        <v>45209</v>
      </c>
      <c r="C8535" s="1" t="n">
        <v>45587</v>
      </c>
      <c r="D8535" t="inlineStr">
        <is>
          <t>GÄVLEBORGS LÄN</t>
        </is>
      </c>
      <c r="E8535" t="inlineStr">
        <is>
          <t>LJUSDAL</t>
        </is>
      </c>
      <c r="F8535" t="inlineStr">
        <is>
          <t>Bergvik skog väst AB</t>
        </is>
      </c>
      <c r="G8535" t="n">
        <v>4.2</v>
      </c>
      <c r="H8535" t="n">
        <v>0</v>
      </c>
      <c r="I8535" t="n">
        <v>0</v>
      </c>
      <c r="J8535" t="n">
        <v>0</v>
      </c>
      <c r="K8535" t="n">
        <v>0</v>
      </c>
      <c r="L8535" t="n">
        <v>0</v>
      </c>
      <c r="M8535" t="n">
        <v>0</v>
      </c>
      <c r="N8535" t="n">
        <v>0</v>
      </c>
      <c r="O8535" t="n">
        <v>0</v>
      </c>
      <c r="P8535" t="n">
        <v>0</v>
      </c>
      <c r="Q8535" t="n">
        <v>0</v>
      </c>
      <c r="R8535" s="2" t="inlineStr"/>
    </row>
    <row r="8536" ht="15" customHeight="1">
      <c r="A8536" t="inlineStr">
        <is>
          <t>A 48955-2023</t>
        </is>
      </c>
      <c r="B8536" s="1" t="n">
        <v>45209</v>
      </c>
      <c r="C8536" s="1" t="n">
        <v>45587</v>
      </c>
      <c r="D8536" t="inlineStr">
        <is>
          <t>GÄVLEBORGS LÄN</t>
        </is>
      </c>
      <c r="E8536" t="inlineStr">
        <is>
          <t>LJUSDAL</t>
        </is>
      </c>
      <c r="F8536" t="inlineStr">
        <is>
          <t>Bergvik skog väst AB</t>
        </is>
      </c>
      <c r="G8536" t="n">
        <v>6.9</v>
      </c>
      <c r="H8536" t="n">
        <v>0</v>
      </c>
      <c r="I8536" t="n">
        <v>0</v>
      </c>
      <c r="J8536" t="n">
        <v>0</v>
      </c>
      <c r="K8536" t="n">
        <v>0</v>
      </c>
      <c r="L8536" t="n">
        <v>0</v>
      </c>
      <c r="M8536" t="n">
        <v>0</v>
      </c>
      <c r="N8536" t="n">
        <v>0</v>
      </c>
      <c r="O8536" t="n">
        <v>0</v>
      </c>
      <c r="P8536" t="n">
        <v>0</v>
      </c>
      <c r="Q8536" t="n">
        <v>0</v>
      </c>
      <c r="R8536" s="2" t="inlineStr"/>
    </row>
    <row r="8537" ht="15" customHeight="1">
      <c r="A8537" t="inlineStr">
        <is>
          <t>A 48879-2023</t>
        </is>
      </c>
      <c r="B8537" s="1" t="n">
        <v>45209</v>
      </c>
      <c r="C8537" s="1" t="n">
        <v>45587</v>
      </c>
      <c r="D8537" t="inlineStr">
        <is>
          <t>GÄVLEBORGS LÄN</t>
        </is>
      </c>
      <c r="E8537" t="inlineStr">
        <is>
          <t>LJUSDAL</t>
        </is>
      </c>
      <c r="F8537" t="inlineStr">
        <is>
          <t>Bergvik skog väst AB</t>
        </is>
      </c>
      <c r="G8537" t="n">
        <v>0.4</v>
      </c>
      <c r="H8537" t="n">
        <v>0</v>
      </c>
      <c r="I8537" t="n">
        <v>0</v>
      </c>
      <c r="J8537" t="n">
        <v>0</v>
      </c>
      <c r="K8537" t="n">
        <v>0</v>
      </c>
      <c r="L8537" t="n">
        <v>0</v>
      </c>
      <c r="M8537" t="n">
        <v>0</v>
      </c>
      <c r="N8537" t="n">
        <v>0</v>
      </c>
      <c r="O8537" t="n">
        <v>0</v>
      </c>
      <c r="P8537" t="n">
        <v>0</v>
      </c>
      <c r="Q8537" t="n">
        <v>0</v>
      </c>
      <c r="R8537" s="2" t="inlineStr"/>
    </row>
    <row r="8538" ht="15" customHeight="1">
      <c r="A8538" t="inlineStr">
        <is>
          <t>A 48919-2023</t>
        </is>
      </c>
      <c r="B8538" s="1" t="n">
        <v>45209</v>
      </c>
      <c r="C8538" s="1" t="n">
        <v>45587</v>
      </c>
      <c r="D8538" t="inlineStr">
        <is>
          <t>GÄVLEBORGS LÄN</t>
        </is>
      </c>
      <c r="E8538" t="inlineStr">
        <is>
          <t>LJUSDAL</t>
        </is>
      </c>
      <c r="F8538" t="inlineStr">
        <is>
          <t>Bergvik skog väst AB</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48945-2023</t>
        </is>
      </c>
      <c r="B8539" s="1" t="n">
        <v>45209</v>
      </c>
      <c r="C8539" s="1" t="n">
        <v>45587</v>
      </c>
      <c r="D8539" t="inlineStr">
        <is>
          <t>GÄVLEBORGS LÄN</t>
        </is>
      </c>
      <c r="E8539" t="inlineStr">
        <is>
          <t>LJUSDAL</t>
        </is>
      </c>
      <c r="F8539" t="inlineStr">
        <is>
          <t>Bergvik skog väst AB</t>
        </is>
      </c>
      <c r="G8539" t="n">
        <v>5.6</v>
      </c>
      <c r="H8539" t="n">
        <v>0</v>
      </c>
      <c r="I8539" t="n">
        <v>0</v>
      </c>
      <c r="J8539" t="n">
        <v>0</v>
      </c>
      <c r="K8539" t="n">
        <v>0</v>
      </c>
      <c r="L8539" t="n">
        <v>0</v>
      </c>
      <c r="M8539" t="n">
        <v>0</v>
      </c>
      <c r="N8539" t="n">
        <v>0</v>
      </c>
      <c r="O8539" t="n">
        <v>0</v>
      </c>
      <c r="P8539" t="n">
        <v>0</v>
      </c>
      <c r="Q8539" t="n">
        <v>0</v>
      </c>
      <c r="R8539" s="2" t="inlineStr"/>
    </row>
    <row r="8540" ht="15" customHeight="1">
      <c r="A8540" t="inlineStr">
        <is>
          <t>A 48959-2023</t>
        </is>
      </c>
      <c r="B8540" s="1" t="n">
        <v>45209</v>
      </c>
      <c r="C8540" s="1" t="n">
        <v>45587</v>
      </c>
      <c r="D8540" t="inlineStr">
        <is>
          <t>GÄVLEBORGS LÄN</t>
        </is>
      </c>
      <c r="E8540" t="inlineStr">
        <is>
          <t>LJUSDAL</t>
        </is>
      </c>
      <c r="F8540" t="inlineStr">
        <is>
          <t>Bergvik skog väst AB</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48971-2023</t>
        </is>
      </c>
      <c r="B8541" s="1" t="n">
        <v>45209</v>
      </c>
      <c r="C8541" s="1" t="n">
        <v>45587</v>
      </c>
      <c r="D8541" t="inlineStr">
        <is>
          <t>GÄVLEBORGS LÄN</t>
        </is>
      </c>
      <c r="E8541" t="inlineStr">
        <is>
          <t>LJUSDAL</t>
        </is>
      </c>
      <c r="F8541" t="inlineStr">
        <is>
          <t>Bergvik skog väst AB</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50329-2023</t>
        </is>
      </c>
      <c r="B8542" s="1" t="n">
        <v>45209</v>
      </c>
      <c r="C8542" s="1" t="n">
        <v>45587</v>
      </c>
      <c r="D8542" t="inlineStr">
        <is>
          <t>GÄVLEBORGS LÄN</t>
        </is>
      </c>
      <c r="E8542" t="inlineStr">
        <is>
          <t>BOLLNÄS</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48871-2023</t>
        </is>
      </c>
      <c r="B8543" s="1" t="n">
        <v>45209</v>
      </c>
      <c r="C8543" s="1" t="n">
        <v>45587</v>
      </c>
      <c r="D8543" t="inlineStr">
        <is>
          <t>GÄVLEBORGS LÄN</t>
        </is>
      </c>
      <c r="E8543" t="inlineStr">
        <is>
          <t>GÄVLE</t>
        </is>
      </c>
      <c r="F8543" t="inlineStr">
        <is>
          <t>Bergvik skog väst AB</t>
        </is>
      </c>
      <c r="G8543" t="n">
        <v>4.1</v>
      </c>
      <c r="H8543" t="n">
        <v>0</v>
      </c>
      <c r="I8543" t="n">
        <v>0</v>
      </c>
      <c r="J8543" t="n">
        <v>0</v>
      </c>
      <c r="K8543" t="n">
        <v>0</v>
      </c>
      <c r="L8543" t="n">
        <v>0</v>
      </c>
      <c r="M8543" t="n">
        <v>0</v>
      </c>
      <c r="N8543" t="n">
        <v>0</v>
      </c>
      <c r="O8543" t="n">
        <v>0</v>
      </c>
      <c r="P8543" t="n">
        <v>0</v>
      </c>
      <c r="Q8543" t="n">
        <v>0</v>
      </c>
      <c r="R8543" s="2" t="inlineStr"/>
    </row>
    <row r="8544" ht="15" customHeight="1">
      <c r="A8544" t="inlineStr">
        <is>
          <t>A 48968-2023</t>
        </is>
      </c>
      <c r="B8544" s="1" t="n">
        <v>45209</v>
      </c>
      <c r="C8544" s="1" t="n">
        <v>45587</v>
      </c>
      <c r="D8544" t="inlineStr">
        <is>
          <t>GÄVLEBORGS LÄN</t>
        </is>
      </c>
      <c r="E8544" t="inlineStr">
        <is>
          <t>LJUSDAL</t>
        </is>
      </c>
      <c r="F8544" t="inlineStr">
        <is>
          <t>Bergvik skog väst AB</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49019-2023</t>
        </is>
      </c>
      <c r="B8545" s="1" t="n">
        <v>45209</v>
      </c>
      <c r="C8545" s="1" t="n">
        <v>45587</v>
      </c>
      <c r="D8545" t="inlineStr">
        <is>
          <t>GÄVLEBORGS LÄN</t>
        </is>
      </c>
      <c r="E8545" t="inlineStr">
        <is>
          <t>LJUSDAL</t>
        </is>
      </c>
      <c r="G8545" t="n">
        <v>27.3</v>
      </c>
      <c r="H8545" t="n">
        <v>0</v>
      </c>
      <c r="I8545" t="n">
        <v>0</v>
      </c>
      <c r="J8545" t="n">
        <v>0</v>
      </c>
      <c r="K8545" t="n">
        <v>0</v>
      </c>
      <c r="L8545" t="n">
        <v>0</v>
      </c>
      <c r="M8545" t="n">
        <v>0</v>
      </c>
      <c r="N8545" t="n">
        <v>0</v>
      </c>
      <c r="O8545" t="n">
        <v>0</v>
      </c>
      <c r="P8545" t="n">
        <v>0</v>
      </c>
      <c r="Q8545" t="n">
        <v>0</v>
      </c>
      <c r="R8545" s="2" t="inlineStr"/>
    </row>
    <row r="8546" ht="15" customHeight="1">
      <c r="A8546" t="inlineStr">
        <is>
          <t>A 49118-2023</t>
        </is>
      </c>
      <c r="B8546" s="1" t="n">
        <v>45210</v>
      </c>
      <c r="C8546" s="1" t="n">
        <v>45587</v>
      </c>
      <c r="D8546" t="inlineStr">
        <is>
          <t>GÄVLEBORGS LÄN</t>
        </is>
      </c>
      <c r="E8546" t="inlineStr">
        <is>
          <t>SANDVIKEN</t>
        </is>
      </c>
      <c r="F8546" t="inlineStr">
        <is>
          <t>Bergvik skog öst AB</t>
        </is>
      </c>
      <c r="G8546" t="n">
        <v>13.3</v>
      </c>
      <c r="H8546" t="n">
        <v>0</v>
      </c>
      <c r="I8546" t="n">
        <v>0</v>
      </c>
      <c r="J8546" t="n">
        <v>0</v>
      </c>
      <c r="K8546" t="n">
        <v>0</v>
      </c>
      <c r="L8546" t="n">
        <v>0</v>
      </c>
      <c r="M8546" t="n">
        <v>0</v>
      </c>
      <c r="N8546" t="n">
        <v>0</v>
      </c>
      <c r="O8546" t="n">
        <v>0</v>
      </c>
      <c r="P8546" t="n">
        <v>0</v>
      </c>
      <c r="Q8546" t="n">
        <v>0</v>
      </c>
      <c r="R8546" s="2" t="inlineStr"/>
    </row>
    <row r="8547" ht="15" customHeight="1">
      <c r="A8547" t="inlineStr">
        <is>
          <t>A 49165-2023</t>
        </is>
      </c>
      <c r="B8547" s="1" t="n">
        <v>45210</v>
      </c>
      <c r="C8547" s="1" t="n">
        <v>45587</v>
      </c>
      <c r="D8547" t="inlineStr">
        <is>
          <t>GÄVLEBORGS LÄN</t>
        </is>
      </c>
      <c r="E8547" t="inlineStr">
        <is>
          <t>HUDIKSVALL</t>
        </is>
      </c>
      <c r="F8547" t="inlineStr">
        <is>
          <t>Holmen skog AB</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49178-2023</t>
        </is>
      </c>
      <c r="B8548" s="1" t="n">
        <v>45210</v>
      </c>
      <c r="C8548" s="1" t="n">
        <v>45587</v>
      </c>
      <c r="D8548" t="inlineStr">
        <is>
          <t>GÄVLEBORGS LÄN</t>
        </is>
      </c>
      <c r="E8548" t="inlineStr">
        <is>
          <t>OVANÅKER</t>
        </is>
      </c>
      <c r="F8548" t="inlineStr">
        <is>
          <t>Bergvik skog öst AB</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49125-2023</t>
        </is>
      </c>
      <c r="B8549" s="1" t="n">
        <v>45210</v>
      </c>
      <c r="C8549" s="1" t="n">
        <v>45587</v>
      </c>
      <c r="D8549" t="inlineStr">
        <is>
          <t>GÄVLEBORGS LÄN</t>
        </is>
      </c>
      <c r="E8549" t="inlineStr">
        <is>
          <t>OVANÅKER</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49139-2023</t>
        </is>
      </c>
      <c r="B8550" s="1" t="n">
        <v>45210</v>
      </c>
      <c r="C8550" s="1" t="n">
        <v>45587</v>
      </c>
      <c r="D8550" t="inlineStr">
        <is>
          <t>GÄVLEBORGS LÄN</t>
        </is>
      </c>
      <c r="E8550" t="inlineStr">
        <is>
          <t>LJUSDAL</t>
        </is>
      </c>
      <c r="F8550" t="inlineStr">
        <is>
          <t>Bergvik skog väst AB</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49171-2023</t>
        </is>
      </c>
      <c r="B8551" s="1" t="n">
        <v>45210</v>
      </c>
      <c r="C8551" s="1" t="n">
        <v>45587</v>
      </c>
      <c r="D8551" t="inlineStr">
        <is>
          <t>GÄVLEBORGS LÄN</t>
        </is>
      </c>
      <c r="E8551" t="inlineStr">
        <is>
          <t>LJUSDAL</t>
        </is>
      </c>
      <c r="G8551" t="n">
        <v>7.2</v>
      </c>
      <c r="H8551" t="n">
        <v>0</v>
      </c>
      <c r="I8551" t="n">
        <v>0</v>
      </c>
      <c r="J8551" t="n">
        <v>0</v>
      </c>
      <c r="K8551" t="n">
        <v>0</v>
      </c>
      <c r="L8551" t="n">
        <v>0</v>
      </c>
      <c r="M8551" t="n">
        <v>0</v>
      </c>
      <c r="N8551" t="n">
        <v>0</v>
      </c>
      <c r="O8551" t="n">
        <v>0</v>
      </c>
      <c r="P8551" t="n">
        <v>0</v>
      </c>
      <c r="Q8551" t="n">
        <v>0</v>
      </c>
      <c r="R8551" s="2" t="inlineStr"/>
    </row>
    <row r="8552" ht="15" customHeight="1">
      <c r="A8552" t="inlineStr">
        <is>
          <t>A 49204-2023</t>
        </is>
      </c>
      <c r="B8552" s="1" t="n">
        <v>45210</v>
      </c>
      <c r="C8552" s="1" t="n">
        <v>45587</v>
      </c>
      <c r="D8552" t="inlineStr">
        <is>
          <t>GÄVLEBORGS LÄN</t>
        </is>
      </c>
      <c r="E8552" t="inlineStr">
        <is>
          <t>OVANÅKER</t>
        </is>
      </c>
      <c r="G8552" t="n">
        <v>3.5</v>
      </c>
      <c r="H8552" t="n">
        <v>0</v>
      </c>
      <c r="I8552" t="n">
        <v>0</v>
      </c>
      <c r="J8552" t="n">
        <v>0</v>
      </c>
      <c r="K8552" t="n">
        <v>0</v>
      </c>
      <c r="L8552" t="n">
        <v>0</v>
      </c>
      <c r="M8552" t="n">
        <v>0</v>
      </c>
      <c r="N8552" t="n">
        <v>0</v>
      </c>
      <c r="O8552" t="n">
        <v>0</v>
      </c>
      <c r="P8552" t="n">
        <v>0</v>
      </c>
      <c r="Q8552" t="n">
        <v>0</v>
      </c>
      <c r="R8552" s="2" t="inlineStr"/>
    </row>
    <row r="8553" ht="15" customHeight="1">
      <c r="A8553" t="inlineStr">
        <is>
          <t>A 49273-2023</t>
        </is>
      </c>
      <c r="B8553" s="1" t="n">
        <v>45210</v>
      </c>
      <c r="C8553" s="1" t="n">
        <v>45587</v>
      </c>
      <c r="D8553" t="inlineStr">
        <is>
          <t>GÄVLEBORGS LÄN</t>
        </is>
      </c>
      <c r="E8553" t="inlineStr">
        <is>
          <t>BOLLNÄS</t>
        </is>
      </c>
      <c r="G8553" t="n">
        <v>5.3</v>
      </c>
      <c r="H8553" t="n">
        <v>0</v>
      </c>
      <c r="I8553" t="n">
        <v>0</v>
      </c>
      <c r="J8553" t="n">
        <v>0</v>
      </c>
      <c r="K8553" t="n">
        <v>0</v>
      </c>
      <c r="L8553" t="n">
        <v>0</v>
      </c>
      <c r="M8553" t="n">
        <v>0</v>
      </c>
      <c r="N8553" t="n">
        <v>0</v>
      </c>
      <c r="O8553" t="n">
        <v>0</v>
      </c>
      <c r="P8553" t="n">
        <v>0</v>
      </c>
      <c r="Q8553" t="n">
        <v>0</v>
      </c>
      <c r="R8553" s="2" t="inlineStr"/>
    </row>
    <row r="8554" ht="15" customHeight="1">
      <c r="A8554" t="inlineStr">
        <is>
          <t>A 49277-2023</t>
        </is>
      </c>
      <c r="B8554" s="1" t="n">
        <v>45210</v>
      </c>
      <c r="C8554" s="1" t="n">
        <v>45587</v>
      </c>
      <c r="D8554" t="inlineStr">
        <is>
          <t>GÄVLEBORGS LÄN</t>
        </is>
      </c>
      <c r="E8554" t="inlineStr">
        <is>
          <t>BOLLNÄS</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49121-2023</t>
        </is>
      </c>
      <c r="B8555" s="1" t="n">
        <v>45210</v>
      </c>
      <c r="C8555" s="1" t="n">
        <v>45587</v>
      </c>
      <c r="D8555" t="inlineStr">
        <is>
          <t>GÄVLEBORGS LÄN</t>
        </is>
      </c>
      <c r="E8555" t="inlineStr">
        <is>
          <t>LJUSDAL</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49133-2023</t>
        </is>
      </c>
      <c r="B8556" s="1" t="n">
        <v>45210</v>
      </c>
      <c r="C8556" s="1" t="n">
        <v>45587</v>
      </c>
      <c r="D8556" t="inlineStr">
        <is>
          <t>GÄVLEBORGS LÄN</t>
        </is>
      </c>
      <c r="E8556" t="inlineStr">
        <is>
          <t>OCKELBO</t>
        </is>
      </c>
      <c r="F8556" t="inlineStr">
        <is>
          <t>Bergvik skog väst AB</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49237-2023</t>
        </is>
      </c>
      <c r="B8557" s="1" t="n">
        <v>45210</v>
      </c>
      <c r="C8557" s="1" t="n">
        <v>45587</v>
      </c>
      <c r="D8557" t="inlineStr">
        <is>
          <t>GÄVLEBORGS LÄN</t>
        </is>
      </c>
      <c r="E8557" t="inlineStr">
        <is>
          <t>OVANÅKER</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49190-2023</t>
        </is>
      </c>
      <c r="B8558" s="1" t="n">
        <v>45210</v>
      </c>
      <c r="C8558" s="1" t="n">
        <v>45587</v>
      </c>
      <c r="D8558" t="inlineStr">
        <is>
          <t>GÄVLEBORGS LÄN</t>
        </is>
      </c>
      <c r="E8558" t="inlineStr">
        <is>
          <t>OVANÅKER</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49194-2023</t>
        </is>
      </c>
      <c r="B8559" s="1" t="n">
        <v>45210</v>
      </c>
      <c r="C8559" s="1" t="n">
        <v>45587</v>
      </c>
      <c r="D8559" t="inlineStr">
        <is>
          <t>GÄVLEBORGS LÄN</t>
        </is>
      </c>
      <c r="E8559" t="inlineStr">
        <is>
          <t>OVANÅKER</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49199-2023</t>
        </is>
      </c>
      <c r="B8560" s="1" t="n">
        <v>45210</v>
      </c>
      <c r="C8560" s="1" t="n">
        <v>45587</v>
      </c>
      <c r="D8560" t="inlineStr">
        <is>
          <t>GÄVLEBORGS LÄN</t>
        </is>
      </c>
      <c r="E8560" t="inlineStr">
        <is>
          <t>OCKELBO</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49207-2023</t>
        </is>
      </c>
      <c r="B8561" s="1" t="n">
        <v>45210</v>
      </c>
      <c r="C8561" s="1" t="n">
        <v>45587</v>
      </c>
      <c r="D8561" t="inlineStr">
        <is>
          <t>GÄVLEBORGS LÄN</t>
        </is>
      </c>
      <c r="E8561" t="inlineStr">
        <is>
          <t>OCKELBO</t>
        </is>
      </c>
      <c r="G8561" t="n">
        <v>0.1</v>
      </c>
      <c r="H8561" t="n">
        <v>0</v>
      </c>
      <c r="I8561" t="n">
        <v>0</v>
      </c>
      <c r="J8561" t="n">
        <v>0</v>
      </c>
      <c r="K8561" t="n">
        <v>0</v>
      </c>
      <c r="L8561" t="n">
        <v>0</v>
      </c>
      <c r="M8561" t="n">
        <v>0</v>
      </c>
      <c r="N8561" t="n">
        <v>0</v>
      </c>
      <c r="O8561" t="n">
        <v>0</v>
      </c>
      <c r="P8561" t="n">
        <v>0</v>
      </c>
      <c r="Q8561" t="n">
        <v>0</v>
      </c>
      <c r="R8561" s="2" t="inlineStr"/>
    </row>
    <row r="8562" ht="15" customHeight="1">
      <c r="A8562" t="inlineStr">
        <is>
          <t>A 49211-2023</t>
        </is>
      </c>
      <c r="B8562" s="1" t="n">
        <v>45210</v>
      </c>
      <c r="C8562" s="1" t="n">
        <v>45587</v>
      </c>
      <c r="D8562" t="inlineStr">
        <is>
          <t>GÄVLEBORGS LÄN</t>
        </is>
      </c>
      <c r="E8562" t="inlineStr">
        <is>
          <t>SANDVIKEN</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49305-2023</t>
        </is>
      </c>
      <c r="B8563" s="1" t="n">
        <v>45210</v>
      </c>
      <c r="C8563" s="1" t="n">
        <v>45587</v>
      </c>
      <c r="D8563" t="inlineStr">
        <is>
          <t>GÄVLEBORGS LÄN</t>
        </is>
      </c>
      <c r="E8563" t="inlineStr">
        <is>
          <t>SÖDERHAMN</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49306-2023</t>
        </is>
      </c>
      <c r="B8564" s="1" t="n">
        <v>45210</v>
      </c>
      <c r="C8564" s="1" t="n">
        <v>45587</v>
      </c>
      <c r="D8564" t="inlineStr">
        <is>
          <t>GÄVLEBORGS LÄN</t>
        </is>
      </c>
      <c r="E8564" t="inlineStr">
        <is>
          <t>SÖDERHAMN</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49304-2023</t>
        </is>
      </c>
      <c r="B8565" s="1" t="n">
        <v>45210</v>
      </c>
      <c r="C8565" s="1" t="n">
        <v>45587</v>
      </c>
      <c r="D8565" t="inlineStr">
        <is>
          <t>GÄVLEBORGS LÄN</t>
        </is>
      </c>
      <c r="E8565" t="inlineStr">
        <is>
          <t>HUDIKSVALL</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49401-2023</t>
        </is>
      </c>
      <c r="B8566" s="1" t="n">
        <v>45211</v>
      </c>
      <c r="C8566" s="1" t="n">
        <v>45587</v>
      </c>
      <c r="D8566" t="inlineStr">
        <is>
          <t>GÄVLEBORGS LÄN</t>
        </is>
      </c>
      <c r="E8566" t="inlineStr">
        <is>
          <t>BOLLNÄS</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49375-2023</t>
        </is>
      </c>
      <c r="B8567" s="1" t="n">
        <v>45211</v>
      </c>
      <c r="C8567" s="1" t="n">
        <v>45587</v>
      </c>
      <c r="D8567" t="inlineStr">
        <is>
          <t>GÄVLEBORGS LÄN</t>
        </is>
      </c>
      <c r="E8567" t="inlineStr">
        <is>
          <t>SANDVIKEN</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49392-2023</t>
        </is>
      </c>
      <c r="B8568" s="1" t="n">
        <v>45211</v>
      </c>
      <c r="C8568" s="1" t="n">
        <v>45587</v>
      </c>
      <c r="D8568" t="inlineStr">
        <is>
          <t>GÄVLEBORGS LÄN</t>
        </is>
      </c>
      <c r="E8568" t="inlineStr">
        <is>
          <t>BOLLNÄS</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49413-2023</t>
        </is>
      </c>
      <c r="B8569" s="1" t="n">
        <v>45211</v>
      </c>
      <c r="C8569" s="1" t="n">
        <v>45587</v>
      </c>
      <c r="D8569" t="inlineStr">
        <is>
          <t>GÄVLEBORGS LÄN</t>
        </is>
      </c>
      <c r="E8569" t="inlineStr">
        <is>
          <t>BOLLNÄS</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49445-2023</t>
        </is>
      </c>
      <c r="B8570" s="1" t="n">
        <v>45211</v>
      </c>
      <c r="C8570" s="1" t="n">
        <v>45587</v>
      </c>
      <c r="D8570" t="inlineStr">
        <is>
          <t>GÄVLEBORGS LÄN</t>
        </is>
      </c>
      <c r="E8570" t="inlineStr">
        <is>
          <t>OCKELBO</t>
        </is>
      </c>
      <c r="F8570" t="inlineStr">
        <is>
          <t>Bergvik skog väst AB</t>
        </is>
      </c>
      <c r="G8570" t="n">
        <v>4.2</v>
      </c>
      <c r="H8570" t="n">
        <v>0</v>
      </c>
      <c r="I8570" t="n">
        <v>0</v>
      </c>
      <c r="J8570" t="n">
        <v>0</v>
      </c>
      <c r="K8570" t="n">
        <v>0</v>
      </c>
      <c r="L8570" t="n">
        <v>0</v>
      </c>
      <c r="M8570" t="n">
        <v>0</v>
      </c>
      <c r="N8570" t="n">
        <v>0</v>
      </c>
      <c r="O8570" t="n">
        <v>0</v>
      </c>
      <c r="P8570" t="n">
        <v>0</v>
      </c>
      <c r="Q8570" t="n">
        <v>0</v>
      </c>
      <c r="R8570" s="2" t="inlineStr"/>
    </row>
    <row r="8571" ht="15" customHeight="1">
      <c r="A8571" t="inlineStr">
        <is>
          <t>A 49414-2023</t>
        </is>
      </c>
      <c r="B8571" s="1" t="n">
        <v>45211</v>
      </c>
      <c r="C8571" s="1" t="n">
        <v>45587</v>
      </c>
      <c r="D8571" t="inlineStr">
        <is>
          <t>GÄVLEBORGS LÄN</t>
        </is>
      </c>
      <c r="E8571" t="inlineStr">
        <is>
          <t>GÄVLE</t>
        </is>
      </c>
      <c r="F8571" t="inlineStr">
        <is>
          <t>Bergvik skog väst AB</t>
        </is>
      </c>
      <c r="G8571" t="n">
        <v>3.6</v>
      </c>
      <c r="H8571" t="n">
        <v>0</v>
      </c>
      <c r="I8571" t="n">
        <v>0</v>
      </c>
      <c r="J8571" t="n">
        <v>0</v>
      </c>
      <c r="K8571" t="n">
        <v>0</v>
      </c>
      <c r="L8571" t="n">
        <v>0</v>
      </c>
      <c r="M8571" t="n">
        <v>0</v>
      </c>
      <c r="N8571" t="n">
        <v>0</v>
      </c>
      <c r="O8571" t="n">
        <v>0</v>
      </c>
      <c r="P8571" t="n">
        <v>0</v>
      </c>
      <c r="Q8571" t="n">
        <v>0</v>
      </c>
      <c r="R8571" s="2" t="inlineStr"/>
    </row>
    <row r="8572" ht="15" customHeight="1">
      <c r="A8572" t="inlineStr">
        <is>
          <t>A 49448-2023</t>
        </is>
      </c>
      <c r="B8572" s="1" t="n">
        <v>45211</v>
      </c>
      <c r="C8572" s="1" t="n">
        <v>45587</v>
      </c>
      <c r="D8572" t="inlineStr">
        <is>
          <t>GÄVLEBORGS LÄN</t>
        </is>
      </c>
      <c r="E8572" t="inlineStr">
        <is>
          <t>OCKELBO</t>
        </is>
      </c>
      <c r="F8572" t="inlineStr">
        <is>
          <t>Bergvik skog väst AB</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49508-2023</t>
        </is>
      </c>
      <c r="B8573" s="1" t="n">
        <v>45211</v>
      </c>
      <c r="C8573" s="1" t="n">
        <v>45587</v>
      </c>
      <c r="D8573" t="inlineStr">
        <is>
          <t>GÄVLEBORGS LÄN</t>
        </is>
      </c>
      <c r="E8573" t="inlineStr">
        <is>
          <t>SANDVIKEN</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49527-2023</t>
        </is>
      </c>
      <c r="B8574" s="1" t="n">
        <v>45211</v>
      </c>
      <c r="C8574" s="1" t="n">
        <v>45587</v>
      </c>
      <c r="D8574" t="inlineStr">
        <is>
          <t>GÄVLEBORGS LÄN</t>
        </is>
      </c>
      <c r="E8574" t="inlineStr">
        <is>
          <t>SANDVIKEN</t>
        </is>
      </c>
      <c r="G8574" t="n">
        <v>10.6</v>
      </c>
      <c r="H8574" t="n">
        <v>0</v>
      </c>
      <c r="I8574" t="n">
        <v>0</v>
      </c>
      <c r="J8574" t="n">
        <v>0</v>
      </c>
      <c r="K8574" t="n">
        <v>0</v>
      </c>
      <c r="L8574" t="n">
        <v>0</v>
      </c>
      <c r="M8574" t="n">
        <v>0</v>
      </c>
      <c r="N8574" t="n">
        <v>0</v>
      </c>
      <c r="O8574" t="n">
        <v>0</v>
      </c>
      <c r="P8574" t="n">
        <v>0</v>
      </c>
      <c r="Q8574" t="n">
        <v>0</v>
      </c>
      <c r="R8574" s="2" t="inlineStr"/>
    </row>
    <row r="8575" ht="15" customHeight="1">
      <c r="A8575" t="inlineStr">
        <is>
          <t>A 49548-2023</t>
        </is>
      </c>
      <c r="B8575" s="1" t="n">
        <v>45211</v>
      </c>
      <c r="C8575" s="1" t="n">
        <v>45587</v>
      </c>
      <c r="D8575" t="inlineStr">
        <is>
          <t>GÄVLEBORGS LÄN</t>
        </is>
      </c>
      <c r="E8575" t="inlineStr">
        <is>
          <t>OVANÅKER</t>
        </is>
      </c>
      <c r="G8575" t="n">
        <v>5.6</v>
      </c>
      <c r="H8575" t="n">
        <v>0</v>
      </c>
      <c r="I8575" t="n">
        <v>0</v>
      </c>
      <c r="J8575" t="n">
        <v>0</v>
      </c>
      <c r="K8575" t="n">
        <v>0</v>
      </c>
      <c r="L8575" t="n">
        <v>0</v>
      </c>
      <c r="M8575" t="n">
        <v>0</v>
      </c>
      <c r="N8575" t="n">
        <v>0</v>
      </c>
      <c r="O8575" t="n">
        <v>0</v>
      </c>
      <c r="P8575" t="n">
        <v>0</v>
      </c>
      <c r="Q8575" t="n">
        <v>0</v>
      </c>
      <c r="R8575" s="2" t="inlineStr"/>
    </row>
    <row r="8576" ht="15" customHeight="1">
      <c r="A8576" t="inlineStr">
        <is>
          <t>A 49511-2023</t>
        </is>
      </c>
      <c r="B8576" s="1" t="n">
        <v>45211</v>
      </c>
      <c r="C8576" s="1" t="n">
        <v>45587</v>
      </c>
      <c r="D8576" t="inlineStr">
        <is>
          <t>GÄVLEBORGS LÄN</t>
        </is>
      </c>
      <c r="E8576" t="inlineStr">
        <is>
          <t>OVANÅKER</t>
        </is>
      </c>
      <c r="F8576" t="inlineStr">
        <is>
          <t>Holmen skog AB</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49546-2023</t>
        </is>
      </c>
      <c r="B8577" s="1" t="n">
        <v>45211</v>
      </c>
      <c r="C8577" s="1" t="n">
        <v>45587</v>
      </c>
      <c r="D8577" t="inlineStr">
        <is>
          <t>GÄVLEBORGS LÄN</t>
        </is>
      </c>
      <c r="E8577" t="inlineStr">
        <is>
          <t>SÖDERHAMN</t>
        </is>
      </c>
      <c r="F8577" t="inlineStr">
        <is>
          <t>Bergvik skog väst AB</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49512-2023</t>
        </is>
      </c>
      <c r="B8578" s="1" t="n">
        <v>45211</v>
      </c>
      <c r="C8578" s="1" t="n">
        <v>45587</v>
      </c>
      <c r="D8578" t="inlineStr">
        <is>
          <t>GÄVLEBORGS LÄN</t>
        </is>
      </c>
      <c r="E8578" t="inlineStr">
        <is>
          <t>SANDVIKEN</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49391-2023</t>
        </is>
      </c>
      <c r="B8579" s="1" t="n">
        <v>45211</v>
      </c>
      <c r="C8579" s="1" t="n">
        <v>45587</v>
      </c>
      <c r="D8579" t="inlineStr">
        <is>
          <t>GÄVLEBORGS LÄN</t>
        </is>
      </c>
      <c r="E8579" t="inlineStr">
        <is>
          <t>SÖDERHAMN</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49518-2023</t>
        </is>
      </c>
      <c r="B8580" s="1" t="n">
        <v>45211</v>
      </c>
      <c r="C8580" s="1" t="n">
        <v>45587</v>
      </c>
      <c r="D8580" t="inlineStr">
        <is>
          <t>GÄVLEBORGS LÄN</t>
        </is>
      </c>
      <c r="E8580" t="inlineStr">
        <is>
          <t>SANDVIKEN</t>
        </is>
      </c>
      <c r="G8580" t="n">
        <v>7.4</v>
      </c>
      <c r="H8580" t="n">
        <v>0</v>
      </c>
      <c r="I8580" t="n">
        <v>0</v>
      </c>
      <c r="J8580" t="n">
        <v>0</v>
      </c>
      <c r="K8580" t="n">
        <v>0</v>
      </c>
      <c r="L8580" t="n">
        <v>0</v>
      </c>
      <c r="M8580" t="n">
        <v>0</v>
      </c>
      <c r="N8580" t="n">
        <v>0</v>
      </c>
      <c r="O8580" t="n">
        <v>0</v>
      </c>
      <c r="P8580" t="n">
        <v>0</v>
      </c>
      <c r="Q8580" t="n">
        <v>0</v>
      </c>
      <c r="R8580" s="2" t="inlineStr"/>
    </row>
    <row r="8581" ht="15" customHeight="1">
      <c r="A8581" t="inlineStr">
        <is>
          <t>A 49554-2023</t>
        </is>
      </c>
      <c r="B8581" s="1" t="n">
        <v>45211</v>
      </c>
      <c r="C8581" s="1" t="n">
        <v>45587</v>
      </c>
      <c r="D8581" t="inlineStr">
        <is>
          <t>GÄVLEBORGS LÄN</t>
        </is>
      </c>
      <c r="E8581" t="inlineStr">
        <is>
          <t>OVANÅKER</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49635-2023</t>
        </is>
      </c>
      <c r="B8582" s="1" t="n">
        <v>45211</v>
      </c>
      <c r="C8582" s="1" t="n">
        <v>45587</v>
      </c>
      <c r="D8582" t="inlineStr">
        <is>
          <t>GÄVLEBORGS LÄN</t>
        </is>
      </c>
      <c r="E8582" t="inlineStr">
        <is>
          <t>SÖDERHAMN</t>
        </is>
      </c>
      <c r="G8582" t="n">
        <v>7.5</v>
      </c>
      <c r="H8582" t="n">
        <v>0</v>
      </c>
      <c r="I8582" t="n">
        <v>0</v>
      </c>
      <c r="J8582" t="n">
        <v>0</v>
      </c>
      <c r="K8582" t="n">
        <v>0</v>
      </c>
      <c r="L8582" t="n">
        <v>0</v>
      </c>
      <c r="M8582" t="n">
        <v>0</v>
      </c>
      <c r="N8582" t="n">
        <v>0</v>
      </c>
      <c r="O8582" t="n">
        <v>0</v>
      </c>
      <c r="P8582" t="n">
        <v>0</v>
      </c>
      <c r="Q8582" t="n">
        <v>0</v>
      </c>
      <c r="R8582" s="2" t="inlineStr"/>
    </row>
    <row r="8583" ht="15" customHeight="1">
      <c r="A8583" t="inlineStr">
        <is>
          <t>A 49703-2023</t>
        </is>
      </c>
      <c r="B8583" s="1" t="n">
        <v>45212</v>
      </c>
      <c r="C8583" s="1" t="n">
        <v>45587</v>
      </c>
      <c r="D8583" t="inlineStr">
        <is>
          <t>GÄVLEBORGS LÄN</t>
        </is>
      </c>
      <c r="E8583" t="inlineStr">
        <is>
          <t>SÖDERHAMN</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49706-2023</t>
        </is>
      </c>
      <c r="B8584" s="1" t="n">
        <v>45212</v>
      </c>
      <c r="C8584" s="1" t="n">
        <v>45587</v>
      </c>
      <c r="D8584" t="inlineStr">
        <is>
          <t>GÄVLEBORGS LÄN</t>
        </is>
      </c>
      <c r="E8584" t="inlineStr">
        <is>
          <t>SANDVIKEN</t>
        </is>
      </c>
      <c r="F8584" t="inlineStr">
        <is>
          <t>Sveaskog</t>
        </is>
      </c>
      <c r="G8584" t="n">
        <v>0.2</v>
      </c>
      <c r="H8584" t="n">
        <v>0</v>
      </c>
      <c r="I8584" t="n">
        <v>0</v>
      </c>
      <c r="J8584" t="n">
        <v>0</v>
      </c>
      <c r="K8584" t="n">
        <v>0</v>
      </c>
      <c r="L8584" t="n">
        <v>0</v>
      </c>
      <c r="M8584" t="n">
        <v>0</v>
      </c>
      <c r="N8584" t="n">
        <v>0</v>
      </c>
      <c r="O8584" t="n">
        <v>0</v>
      </c>
      <c r="P8584" t="n">
        <v>0</v>
      </c>
      <c r="Q8584" t="n">
        <v>0</v>
      </c>
      <c r="R8584" s="2" t="inlineStr"/>
    </row>
    <row r="8585" ht="15" customHeight="1">
      <c r="A8585" t="inlineStr">
        <is>
          <t>A 49836-2023</t>
        </is>
      </c>
      <c r="B8585" s="1" t="n">
        <v>45212</v>
      </c>
      <c r="C8585" s="1" t="n">
        <v>45587</v>
      </c>
      <c r="D8585" t="inlineStr">
        <is>
          <t>GÄVLEBORGS LÄN</t>
        </is>
      </c>
      <c r="E8585" t="inlineStr">
        <is>
          <t>GÄVLE</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49704-2023</t>
        </is>
      </c>
      <c r="B8586" s="1" t="n">
        <v>45212</v>
      </c>
      <c r="C8586" s="1" t="n">
        <v>45587</v>
      </c>
      <c r="D8586" t="inlineStr">
        <is>
          <t>GÄVLEBORGS LÄN</t>
        </is>
      </c>
      <c r="E8586" t="inlineStr">
        <is>
          <t>SANDVIKEN</t>
        </is>
      </c>
      <c r="F8586" t="inlineStr">
        <is>
          <t>Sveaskog</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49713-2023</t>
        </is>
      </c>
      <c r="B8587" s="1" t="n">
        <v>45212</v>
      </c>
      <c r="C8587" s="1" t="n">
        <v>45587</v>
      </c>
      <c r="D8587" t="inlineStr">
        <is>
          <t>GÄVLEBORGS LÄN</t>
        </is>
      </c>
      <c r="E8587" t="inlineStr">
        <is>
          <t>BOLLNÄS</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49855-2023</t>
        </is>
      </c>
      <c r="B8588" s="1" t="n">
        <v>45213</v>
      </c>
      <c r="C8588" s="1" t="n">
        <v>45587</v>
      </c>
      <c r="D8588" t="inlineStr">
        <is>
          <t>GÄVLEBORGS LÄN</t>
        </is>
      </c>
      <c r="E8588" t="inlineStr">
        <is>
          <t>LJUSDAL</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51156-2023</t>
        </is>
      </c>
      <c r="B8589" s="1" t="n">
        <v>45212</v>
      </c>
      <c r="C8589" s="1" t="n">
        <v>45587</v>
      </c>
      <c r="D8589" t="inlineStr">
        <is>
          <t>GÄVLEBORGS LÄN</t>
        </is>
      </c>
      <c r="E8589" t="inlineStr">
        <is>
          <t>BOLLNÄS</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51149-2023</t>
        </is>
      </c>
      <c r="B8590" s="1" t="n">
        <v>45212</v>
      </c>
      <c r="C8590" s="1" t="n">
        <v>45587</v>
      </c>
      <c r="D8590" t="inlineStr">
        <is>
          <t>GÄVLEBORGS LÄN</t>
        </is>
      </c>
      <c r="E8590" t="inlineStr">
        <is>
          <t>BOLLNÄS</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49824-2023</t>
        </is>
      </c>
      <c r="B8591" s="1" t="n">
        <v>45212</v>
      </c>
      <c r="C8591" s="1" t="n">
        <v>45587</v>
      </c>
      <c r="D8591" t="inlineStr">
        <is>
          <t>GÄVLEBORGS LÄN</t>
        </is>
      </c>
      <c r="E8591" t="inlineStr">
        <is>
          <t>GÄVLE</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49832-2023</t>
        </is>
      </c>
      <c r="B8592" s="1" t="n">
        <v>45212</v>
      </c>
      <c r="C8592" s="1" t="n">
        <v>45587</v>
      </c>
      <c r="D8592" t="inlineStr">
        <is>
          <t>GÄVLEBORGS LÄN</t>
        </is>
      </c>
      <c r="E8592" t="inlineStr">
        <is>
          <t>GÄVLE</t>
        </is>
      </c>
      <c r="G8592" t="n">
        <v>5.2</v>
      </c>
      <c r="H8592" t="n">
        <v>0</v>
      </c>
      <c r="I8592" t="n">
        <v>0</v>
      </c>
      <c r="J8592" t="n">
        <v>0</v>
      </c>
      <c r="K8592" t="n">
        <v>0</v>
      </c>
      <c r="L8592" t="n">
        <v>0</v>
      </c>
      <c r="M8592" t="n">
        <v>0</v>
      </c>
      <c r="N8592" t="n">
        <v>0</v>
      </c>
      <c r="O8592" t="n">
        <v>0</v>
      </c>
      <c r="P8592" t="n">
        <v>0</v>
      </c>
      <c r="Q8592" t="n">
        <v>0</v>
      </c>
      <c r="R8592" s="2" t="inlineStr"/>
    </row>
    <row r="8593" ht="15" customHeight="1">
      <c r="A8593" t="inlineStr">
        <is>
          <t>A 51158-2023</t>
        </is>
      </c>
      <c r="B8593" s="1" t="n">
        <v>45212</v>
      </c>
      <c r="C8593" s="1" t="n">
        <v>45587</v>
      </c>
      <c r="D8593" t="inlineStr">
        <is>
          <t>GÄVLEBORGS LÄN</t>
        </is>
      </c>
      <c r="E8593" t="inlineStr">
        <is>
          <t>BOLLNÄS</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49883-2023</t>
        </is>
      </c>
      <c r="B8594" s="1" t="n">
        <v>45213</v>
      </c>
      <c r="C8594" s="1" t="n">
        <v>45587</v>
      </c>
      <c r="D8594" t="inlineStr">
        <is>
          <t>GÄVLEBORGS LÄN</t>
        </is>
      </c>
      <c r="E8594" t="inlineStr">
        <is>
          <t>BOLLNÄS</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49916-2023</t>
        </is>
      </c>
      <c r="B8595" s="1" t="n">
        <v>45214</v>
      </c>
      <c r="C8595" s="1" t="n">
        <v>45587</v>
      </c>
      <c r="D8595" t="inlineStr">
        <is>
          <t>GÄVLEBORGS LÄN</t>
        </is>
      </c>
      <c r="E8595" t="inlineStr">
        <is>
          <t>HUDIKSVALL</t>
        </is>
      </c>
      <c r="G8595" t="n">
        <v>3.7</v>
      </c>
      <c r="H8595" t="n">
        <v>0</v>
      </c>
      <c r="I8595" t="n">
        <v>0</v>
      </c>
      <c r="J8595" t="n">
        <v>0</v>
      </c>
      <c r="K8595" t="n">
        <v>0</v>
      </c>
      <c r="L8595" t="n">
        <v>0</v>
      </c>
      <c r="M8595" t="n">
        <v>0</v>
      </c>
      <c r="N8595" t="n">
        <v>0</v>
      </c>
      <c r="O8595" t="n">
        <v>0</v>
      </c>
      <c r="P8595" t="n">
        <v>0</v>
      </c>
      <c r="Q8595" t="n">
        <v>0</v>
      </c>
      <c r="R8595" s="2" t="inlineStr"/>
    </row>
    <row r="8596" ht="15" customHeight="1">
      <c r="A8596" t="inlineStr">
        <is>
          <t>A 49931-2023</t>
        </is>
      </c>
      <c r="B8596" s="1" t="n">
        <v>45215</v>
      </c>
      <c r="C8596" s="1" t="n">
        <v>45587</v>
      </c>
      <c r="D8596" t="inlineStr">
        <is>
          <t>GÄVLEBORGS LÄN</t>
        </is>
      </c>
      <c r="E8596" t="inlineStr">
        <is>
          <t>BOLLNÄS</t>
        </is>
      </c>
      <c r="G8596" t="n">
        <v>5.1</v>
      </c>
      <c r="H8596" t="n">
        <v>0</v>
      </c>
      <c r="I8596" t="n">
        <v>0</v>
      </c>
      <c r="J8596" t="n">
        <v>0</v>
      </c>
      <c r="K8596" t="n">
        <v>0</v>
      </c>
      <c r="L8596" t="n">
        <v>0</v>
      </c>
      <c r="M8596" t="n">
        <v>0</v>
      </c>
      <c r="N8596" t="n">
        <v>0</v>
      </c>
      <c r="O8596" t="n">
        <v>0</v>
      </c>
      <c r="P8596" t="n">
        <v>0</v>
      </c>
      <c r="Q8596" t="n">
        <v>0</v>
      </c>
      <c r="R8596" s="2" t="inlineStr"/>
    </row>
    <row r="8597" ht="15" customHeight="1">
      <c r="A8597" t="inlineStr">
        <is>
          <t>A 49935-2023</t>
        </is>
      </c>
      <c r="B8597" s="1" t="n">
        <v>45215</v>
      </c>
      <c r="C8597" s="1" t="n">
        <v>45587</v>
      </c>
      <c r="D8597" t="inlineStr">
        <is>
          <t>GÄVLEBORGS LÄN</t>
        </is>
      </c>
      <c r="E8597" t="inlineStr">
        <is>
          <t>LJUSDAL</t>
        </is>
      </c>
      <c r="G8597" t="n">
        <v>3.8</v>
      </c>
      <c r="H8597" t="n">
        <v>0</v>
      </c>
      <c r="I8597" t="n">
        <v>0</v>
      </c>
      <c r="J8597" t="n">
        <v>0</v>
      </c>
      <c r="K8597" t="n">
        <v>0</v>
      </c>
      <c r="L8597" t="n">
        <v>0</v>
      </c>
      <c r="M8597" t="n">
        <v>0</v>
      </c>
      <c r="N8597" t="n">
        <v>0</v>
      </c>
      <c r="O8597" t="n">
        <v>0</v>
      </c>
      <c r="P8597" t="n">
        <v>0</v>
      </c>
      <c r="Q8597" t="n">
        <v>0</v>
      </c>
      <c r="R8597" s="2" t="inlineStr"/>
    </row>
    <row r="8598" ht="15" customHeight="1">
      <c r="A8598" t="inlineStr">
        <is>
          <t>A 49939-2023</t>
        </is>
      </c>
      <c r="B8598" s="1" t="n">
        <v>45215</v>
      </c>
      <c r="C8598" s="1" t="n">
        <v>45587</v>
      </c>
      <c r="D8598" t="inlineStr">
        <is>
          <t>GÄVLEBORGS LÄN</t>
        </is>
      </c>
      <c r="E8598" t="inlineStr">
        <is>
          <t>NORDANSTIG</t>
        </is>
      </c>
      <c r="F8598" t="inlineStr">
        <is>
          <t>Holmen skog AB</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49930-2023</t>
        </is>
      </c>
      <c r="B8599" s="1" t="n">
        <v>45215</v>
      </c>
      <c r="C8599" s="1" t="n">
        <v>45587</v>
      </c>
      <c r="D8599" t="inlineStr">
        <is>
          <t>GÄVLEBORGS LÄN</t>
        </is>
      </c>
      <c r="E8599" t="inlineStr">
        <is>
          <t>BOLLNÄS</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50059-2023</t>
        </is>
      </c>
      <c r="B8600" s="1" t="n">
        <v>45215</v>
      </c>
      <c r="C8600" s="1" t="n">
        <v>45587</v>
      </c>
      <c r="D8600" t="inlineStr">
        <is>
          <t>GÄVLEBORGS LÄN</t>
        </is>
      </c>
      <c r="E8600" t="inlineStr">
        <is>
          <t>SÖDERHAMN</t>
        </is>
      </c>
      <c r="G8600" t="n">
        <v>11.2</v>
      </c>
      <c r="H8600" t="n">
        <v>0</v>
      </c>
      <c r="I8600" t="n">
        <v>0</v>
      </c>
      <c r="J8600" t="n">
        <v>0</v>
      </c>
      <c r="K8600" t="n">
        <v>0</v>
      </c>
      <c r="L8600" t="n">
        <v>0</v>
      </c>
      <c r="M8600" t="n">
        <v>0</v>
      </c>
      <c r="N8600" t="n">
        <v>0</v>
      </c>
      <c r="O8600" t="n">
        <v>0</v>
      </c>
      <c r="P8600" t="n">
        <v>0</v>
      </c>
      <c r="Q8600" t="n">
        <v>0</v>
      </c>
      <c r="R8600" s="2" t="inlineStr"/>
    </row>
    <row r="8601" ht="15" customHeight="1">
      <c r="A8601" t="inlineStr">
        <is>
          <t>A 50063-2023</t>
        </is>
      </c>
      <c r="B8601" s="1" t="n">
        <v>45215</v>
      </c>
      <c r="C8601" s="1" t="n">
        <v>45587</v>
      </c>
      <c r="D8601" t="inlineStr">
        <is>
          <t>GÄVLEBORGS LÄN</t>
        </is>
      </c>
      <c r="E8601" t="inlineStr">
        <is>
          <t>SÖDERHAMN</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50153-2023</t>
        </is>
      </c>
      <c r="B8602" s="1" t="n">
        <v>45215</v>
      </c>
      <c r="C8602" s="1" t="n">
        <v>45587</v>
      </c>
      <c r="D8602" t="inlineStr">
        <is>
          <t>GÄVLEBORGS LÄN</t>
        </is>
      </c>
      <c r="E8602" t="inlineStr">
        <is>
          <t>HUDIKSVALL</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50175-2023</t>
        </is>
      </c>
      <c r="B8603" s="1" t="n">
        <v>45215</v>
      </c>
      <c r="C8603" s="1" t="n">
        <v>45587</v>
      </c>
      <c r="D8603" t="inlineStr">
        <is>
          <t>GÄVLEBORGS LÄN</t>
        </is>
      </c>
      <c r="E8603" t="inlineStr">
        <is>
          <t>HUDIKSVALL</t>
        </is>
      </c>
      <c r="G8603" t="n">
        <v>16.7</v>
      </c>
      <c r="H8603" t="n">
        <v>0</v>
      </c>
      <c r="I8603" t="n">
        <v>0</v>
      </c>
      <c r="J8603" t="n">
        <v>0</v>
      </c>
      <c r="K8603" t="n">
        <v>0</v>
      </c>
      <c r="L8603" t="n">
        <v>0</v>
      </c>
      <c r="M8603" t="n">
        <v>0</v>
      </c>
      <c r="N8603" t="n">
        <v>0</v>
      </c>
      <c r="O8603" t="n">
        <v>0</v>
      </c>
      <c r="P8603" t="n">
        <v>0</v>
      </c>
      <c r="Q8603" t="n">
        <v>0</v>
      </c>
      <c r="R8603" s="2" t="inlineStr"/>
    </row>
    <row r="8604" ht="15" customHeight="1">
      <c r="A8604" t="inlineStr">
        <is>
          <t>A 50206-2023</t>
        </is>
      </c>
      <c r="B8604" s="1" t="n">
        <v>45216</v>
      </c>
      <c r="C8604" s="1" t="n">
        <v>45587</v>
      </c>
      <c r="D8604" t="inlineStr">
        <is>
          <t>GÄVLEBORGS LÄN</t>
        </is>
      </c>
      <c r="E8604" t="inlineStr">
        <is>
          <t>HUDIKSVALL</t>
        </is>
      </c>
      <c r="G8604" t="n">
        <v>5.8</v>
      </c>
      <c r="H8604" t="n">
        <v>0</v>
      </c>
      <c r="I8604" t="n">
        <v>0</v>
      </c>
      <c r="J8604" t="n">
        <v>0</v>
      </c>
      <c r="K8604" t="n">
        <v>0</v>
      </c>
      <c r="L8604" t="n">
        <v>0</v>
      </c>
      <c r="M8604" t="n">
        <v>0</v>
      </c>
      <c r="N8604" t="n">
        <v>0</v>
      </c>
      <c r="O8604" t="n">
        <v>0</v>
      </c>
      <c r="P8604" t="n">
        <v>0</v>
      </c>
      <c r="Q8604" t="n">
        <v>0</v>
      </c>
      <c r="R8604" s="2" t="inlineStr"/>
    </row>
    <row r="8605" ht="15" customHeight="1">
      <c r="A8605" t="inlineStr">
        <is>
          <t>A 50207-2023</t>
        </is>
      </c>
      <c r="B8605" s="1" t="n">
        <v>45216</v>
      </c>
      <c r="C8605" s="1" t="n">
        <v>45587</v>
      </c>
      <c r="D8605" t="inlineStr">
        <is>
          <t>GÄVLEBORGS LÄN</t>
        </is>
      </c>
      <c r="E8605" t="inlineStr">
        <is>
          <t>HUDIKSVALL</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50219-2023</t>
        </is>
      </c>
      <c r="B8606" s="1" t="n">
        <v>45215</v>
      </c>
      <c r="C8606" s="1" t="n">
        <v>45587</v>
      </c>
      <c r="D8606" t="inlineStr">
        <is>
          <t>GÄVLEBORGS LÄN</t>
        </is>
      </c>
      <c r="E8606" t="inlineStr">
        <is>
          <t>SÖDERHAMN</t>
        </is>
      </c>
      <c r="G8606" t="n">
        <v>4.4</v>
      </c>
      <c r="H8606" t="n">
        <v>0</v>
      </c>
      <c r="I8606" t="n">
        <v>0</v>
      </c>
      <c r="J8606" t="n">
        <v>0</v>
      </c>
      <c r="K8606" t="n">
        <v>0</v>
      </c>
      <c r="L8606" t="n">
        <v>0</v>
      </c>
      <c r="M8606" t="n">
        <v>0</v>
      </c>
      <c r="N8606" t="n">
        <v>0</v>
      </c>
      <c r="O8606" t="n">
        <v>0</v>
      </c>
      <c r="P8606" t="n">
        <v>0</v>
      </c>
      <c r="Q8606" t="n">
        <v>0</v>
      </c>
      <c r="R8606" s="2" t="inlineStr"/>
    </row>
    <row r="8607" ht="15" customHeight="1">
      <c r="A8607" t="inlineStr">
        <is>
          <t>A 50066-2023</t>
        </is>
      </c>
      <c r="B8607" s="1" t="n">
        <v>45215</v>
      </c>
      <c r="C8607" s="1" t="n">
        <v>45587</v>
      </c>
      <c r="D8607" t="inlineStr">
        <is>
          <t>GÄVLEBORGS LÄN</t>
        </is>
      </c>
      <c r="E8607" t="inlineStr">
        <is>
          <t>SÖDERHAMN</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50090-2023</t>
        </is>
      </c>
      <c r="B8608" s="1" t="n">
        <v>45215</v>
      </c>
      <c r="C8608" s="1" t="n">
        <v>45587</v>
      </c>
      <c r="D8608" t="inlineStr">
        <is>
          <t>GÄVLEBORGS LÄN</t>
        </is>
      </c>
      <c r="E8608" t="inlineStr">
        <is>
          <t>SÖDERHAMN</t>
        </is>
      </c>
      <c r="G8608" t="n">
        <v>4.7</v>
      </c>
      <c r="H8608" t="n">
        <v>0</v>
      </c>
      <c r="I8608" t="n">
        <v>0</v>
      </c>
      <c r="J8608" t="n">
        <v>0</v>
      </c>
      <c r="K8608" t="n">
        <v>0</v>
      </c>
      <c r="L8608" t="n">
        <v>0</v>
      </c>
      <c r="M8608" t="n">
        <v>0</v>
      </c>
      <c r="N8608" t="n">
        <v>0</v>
      </c>
      <c r="O8608" t="n">
        <v>0</v>
      </c>
      <c r="P8608" t="n">
        <v>0</v>
      </c>
      <c r="Q8608" t="n">
        <v>0</v>
      </c>
      <c r="R8608" s="2" t="inlineStr"/>
    </row>
    <row r="8609" ht="15" customHeight="1">
      <c r="A8609" t="inlineStr">
        <is>
          <t>A 50158-2023</t>
        </is>
      </c>
      <c r="B8609" s="1" t="n">
        <v>45215</v>
      </c>
      <c r="C8609" s="1" t="n">
        <v>45587</v>
      </c>
      <c r="D8609" t="inlineStr">
        <is>
          <t>GÄVLEBORGS LÄN</t>
        </is>
      </c>
      <c r="E8609" t="inlineStr">
        <is>
          <t>HUDIKSVALL</t>
        </is>
      </c>
      <c r="G8609" t="n">
        <v>7.6</v>
      </c>
      <c r="H8609" t="n">
        <v>0</v>
      </c>
      <c r="I8609" t="n">
        <v>0</v>
      </c>
      <c r="J8609" t="n">
        <v>0</v>
      </c>
      <c r="K8609" t="n">
        <v>0</v>
      </c>
      <c r="L8609" t="n">
        <v>0</v>
      </c>
      <c r="M8609" t="n">
        <v>0</v>
      </c>
      <c r="N8609" t="n">
        <v>0</v>
      </c>
      <c r="O8609" t="n">
        <v>0</v>
      </c>
      <c r="P8609" t="n">
        <v>0</v>
      </c>
      <c r="Q8609" t="n">
        <v>0</v>
      </c>
      <c r="R8609" s="2" t="inlineStr"/>
    </row>
    <row r="8610" ht="15" customHeight="1">
      <c r="A8610" t="inlineStr">
        <is>
          <t>A 50286-2023</t>
        </is>
      </c>
      <c r="B8610" s="1" t="n">
        <v>45216</v>
      </c>
      <c r="C8610" s="1" t="n">
        <v>45587</v>
      </c>
      <c r="D8610" t="inlineStr">
        <is>
          <t>GÄVLEBORGS LÄN</t>
        </is>
      </c>
      <c r="E8610" t="inlineStr">
        <is>
          <t>NORDANSTIG</t>
        </is>
      </c>
      <c r="F8610" t="inlineStr">
        <is>
          <t>Holmen skog AB</t>
        </is>
      </c>
      <c r="G8610" t="n">
        <v>10.3</v>
      </c>
      <c r="H8610" t="n">
        <v>0</v>
      </c>
      <c r="I8610" t="n">
        <v>0</v>
      </c>
      <c r="J8610" t="n">
        <v>0</v>
      </c>
      <c r="K8610" t="n">
        <v>0</v>
      </c>
      <c r="L8610" t="n">
        <v>0</v>
      </c>
      <c r="M8610" t="n">
        <v>0</v>
      </c>
      <c r="N8610" t="n">
        <v>0</v>
      </c>
      <c r="O8610" t="n">
        <v>0</v>
      </c>
      <c r="P8610" t="n">
        <v>0</v>
      </c>
      <c r="Q8610" t="n">
        <v>0</v>
      </c>
      <c r="R8610" s="2" t="inlineStr"/>
    </row>
    <row r="8611" ht="15" customHeight="1">
      <c r="A8611" t="inlineStr">
        <is>
          <t>A 50305-2023</t>
        </is>
      </c>
      <c r="B8611" s="1" t="n">
        <v>45216</v>
      </c>
      <c r="C8611" s="1" t="n">
        <v>45587</v>
      </c>
      <c r="D8611" t="inlineStr">
        <is>
          <t>GÄVLEBORGS LÄN</t>
        </is>
      </c>
      <c r="E8611" t="inlineStr">
        <is>
          <t>NORDANSTIG</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50271-2023</t>
        </is>
      </c>
      <c r="B8612" s="1" t="n">
        <v>45216</v>
      </c>
      <c r="C8612" s="1" t="n">
        <v>45587</v>
      </c>
      <c r="D8612" t="inlineStr">
        <is>
          <t>GÄVLEBORGS LÄN</t>
        </is>
      </c>
      <c r="E8612" t="inlineStr">
        <is>
          <t>LJUSDAL</t>
        </is>
      </c>
      <c r="G8612" t="n">
        <v>27.4</v>
      </c>
      <c r="H8612" t="n">
        <v>0</v>
      </c>
      <c r="I8612" t="n">
        <v>0</v>
      </c>
      <c r="J8612" t="n">
        <v>0</v>
      </c>
      <c r="K8612" t="n">
        <v>0</v>
      </c>
      <c r="L8612" t="n">
        <v>0</v>
      </c>
      <c r="M8612" t="n">
        <v>0</v>
      </c>
      <c r="N8612" t="n">
        <v>0</v>
      </c>
      <c r="O8612" t="n">
        <v>0</v>
      </c>
      <c r="P8612" t="n">
        <v>0</v>
      </c>
      <c r="Q8612" t="n">
        <v>0</v>
      </c>
      <c r="R8612" s="2" t="inlineStr"/>
    </row>
    <row r="8613" ht="15" customHeight="1">
      <c r="A8613" t="inlineStr">
        <is>
          <t>A 50373-2023</t>
        </is>
      </c>
      <c r="B8613" s="1" t="n">
        <v>45216</v>
      </c>
      <c r="C8613" s="1" t="n">
        <v>45587</v>
      </c>
      <c r="D8613" t="inlineStr">
        <is>
          <t>GÄVLEBORGS LÄN</t>
        </is>
      </c>
      <c r="E8613" t="inlineStr">
        <is>
          <t>LJUSDAL</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50237-2023</t>
        </is>
      </c>
      <c r="B8614" s="1" t="n">
        <v>45216</v>
      </c>
      <c r="C8614" s="1" t="n">
        <v>45587</v>
      </c>
      <c r="D8614" t="inlineStr">
        <is>
          <t>GÄVLEBORGS LÄN</t>
        </is>
      </c>
      <c r="E8614" t="inlineStr">
        <is>
          <t>OVANÅKER</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50326-2023</t>
        </is>
      </c>
      <c r="B8615" s="1" t="n">
        <v>45216</v>
      </c>
      <c r="C8615" s="1" t="n">
        <v>45587</v>
      </c>
      <c r="D8615" t="inlineStr">
        <is>
          <t>GÄVLEBORGS LÄN</t>
        </is>
      </c>
      <c r="E8615" t="inlineStr">
        <is>
          <t>NORDANSTIG</t>
        </is>
      </c>
      <c r="F8615" t="inlineStr">
        <is>
          <t>Holmen skog AB</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50433-2023</t>
        </is>
      </c>
      <c r="B8616" s="1" t="n">
        <v>45216</v>
      </c>
      <c r="C8616" s="1" t="n">
        <v>45587</v>
      </c>
      <c r="D8616" t="inlineStr">
        <is>
          <t>GÄVLEBORGS LÄN</t>
        </is>
      </c>
      <c r="E8616" t="inlineStr">
        <is>
          <t>NORDANSTIG</t>
        </is>
      </c>
      <c r="F8616" t="inlineStr">
        <is>
          <t>Holmen skog AB</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50417-2023</t>
        </is>
      </c>
      <c r="B8617" s="1" t="n">
        <v>45216</v>
      </c>
      <c r="C8617" s="1" t="n">
        <v>45587</v>
      </c>
      <c r="D8617" t="inlineStr">
        <is>
          <t>GÄVLEBORGS LÄN</t>
        </is>
      </c>
      <c r="E8617" t="inlineStr">
        <is>
          <t>SANDVIKEN</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50413-2023</t>
        </is>
      </c>
      <c r="B8618" s="1" t="n">
        <v>45216</v>
      </c>
      <c r="C8618" s="1" t="n">
        <v>45587</v>
      </c>
      <c r="D8618" t="inlineStr">
        <is>
          <t>GÄVLEBORGS LÄN</t>
        </is>
      </c>
      <c r="E8618" t="inlineStr">
        <is>
          <t>NORDANSTIG</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50365-2023</t>
        </is>
      </c>
      <c r="B8619" s="1" t="n">
        <v>45216</v>
      </c>
      <c r="C8619" s="1" t="n">
        <v>45587</v>
      </c>
      <c r="D8619" t="inlineStr">
        <is>
          <t>GÄVLEBORGS LÄN</t>
        </is>
      </c>
      <c r="E8619" t="inlineStr">
        <is>
          <t>NORDANSTIG</t>
        </is>
      </c>
      <c r="F8619" t="inlineStr">
        <is>
          <t>Holmen skog AB</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50238-2023</t>
        </is>
      </c>
      <c r="B8620" s="1" t="n">
        <v>45216</v>
      </c>
      <c r="C8620" s="1" t="n">
        <v>45587</v>
      </c>
      <c r="D8620" t="inlineStr">
        <is>
          <t>GÄVLEBORGS LÄN</t>
        </is>
      </c>
      <c r="E8620" t="inlineStr">
        <is>
          <t>OCKELBO</t>
        </is>
      </c>
      <c r="F8620" t="inlineStr">
        <is>
          <t>Bergvik skog väst AB</t>
        </is>
      </c>
      <c r="G8620" t="n">
        <v>9.699999999999999</v>
      </c>
      <c r="H8620" t="n">
        <v>0</v>
      </c>
      <c r="I8620" t="n">
        <v>0</v>
      </c>
      <c r="J8620" t="n">
        <v>0</v>
      </c>
      <c r="K8620" t="n">
        <v>0</v>
      </c>
      <c r="L8620" t="n">
        <v>0</v>
      </c>
      <c r="M8620" t="n">
        <v>0</v>
      </c>
      <c r="N8620" t="n">
        <v>0</v>
      </c>
      <c r="O8620" t="n">
        <v>0</v>
      </c>
      <c r="P8620" t="n">
        <v>0</v>
      </c>
      <c r="Q8620" t="n">
        <v>0</v>
      </c>
      <c r="R8620" s="2" t="inlineStr"/>
    </row>
    <row r="8621" ht="15" customHeight="1">
      <c r="A8621" t="inlineStr">
        <is>
          <t>A 50391-2023</t>
        </is>
      </c>
      <c r="B8621" s="1" t="n">
        <v>45216</v>
      </c>
      <c r="C8621" s="1" t="n">
        <v>45587</v>
      </c>
      <c r="D8621" t="inlineStr">
        <is>
          <t>GÄVLEBORGS LÄN</t>
        </is>
      </c>
      <c r="E8621" t="inlineStr">
        <is>
          <t>NORDANSTIG</t>
        </is>
      </c>
      <c r="F8621" t="inlineStr">
        <is>
          <t>Holmen skog AB</t>
        </is>
      </c>
      <c r="G8621" t="n">
        <v>3.8</v>
      </c>
      <c r="H8621" t="n">
        <v>0</v>
      </c>
      <c r="I8621" t="n">
        <v>0</v>
      </c>
      <c r="J8621" t="n">
        <v>0</v>
      </c>
      <c r="K8621" t="n">
        <v>0</v>
      </c>
      <c r="L8621" t="n">
        <v>0</v>
      </c>
      <c r="M8621" t="n">
        <v>0</v>
      </c>
      <c r="N8621" t="n">
        <v>0</v>
      </c>
      <c r="O8621" t="n">
        <v>0</v>
      </c>
      <c r="P8621" t="n">
        <v>0</v>
      </c>
      <c r="Q8621" t="n">
        <v>0</v>
      </c>
      <c r="R8621" s="2" t="inlineStr"/>
    </row>
    <row r="8622" ht="15" customHeight="1">
      <c r="A8622" t="inlineStr">
        <is>
          <t>A 50385-2023</t>
        </is>
      </c>
      <c r="B8622" s="1" t="n">
        <v>45216</v>
      </c>
      <c r="C8622" s="1" t="n">
        <v>45587</v>
      </c>
      <c r="D8622" t="inlineStr">
        <is>
          <t>GÄVLEBORGS LÄN</t>
        </is>
      </c>
      <c r="E8622" t="inlineStr">
        <is>
          <t>LJUSDAL</t>
        </is>
      </c>
      <c r="G8622" t="n">
        <v>4.3</v>
      </c>
      <c r="H8622" t="n">
        <v>0</v>
      </c>
      <c r="I8622" t="n">
        <v>0</v>
      </c>
      <c r="J8622" t="n">
        <v>0</v>
      </c>
      <c r="K8622" t="n">
        <v>0</v>
      </c>
      <c r="L8622" t="n">
        <v>0</v>
      </c>
      <c r="M8622" t="n">
        <v>0</v>
      </c>
      <c r="N8622" t="n">
        <v>0</v>
      </c>
      <c r="O8622" t="n">
        <v>0</v>
      </c>
      <c r="P8622" t="n">
        <v>0</v>
      </c>
      <c r="Q8622" t="n">
        <v>0</v>
      </c>
      <c r="R8622" s="2" t="inlineStr"/>
    </row>
    <row r="8623" ht="15" customHeight="1">
      <c r="A8623" t="inlineStr">
        <is>
          <t>A 50340-2023</t>
        </is>
      </c>
      <c r="B8623" s="1" t="n">
        <v>45216</v>
      </c>
      <c r="C8623" s="1" t="n">
        <v>45587</v>
      </c>
      <c r="D8623" t="inlineStr">
        <is>
          <t>GÄVLEBORGS LÄN</t>
        </is>
      </c>
      <c r="E8623" t="inlineStr">
        <is>
          <t>OVANÅKER</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50336-2023</t>
        </is>
      </c>
      <c r="B8624" s="1" t="n">
        <v>45216</v>
      </c>
      <c r="C8624" s="1" t="n">
        <v>45587</v>
      </c>
      <c r="D8624" t="inlineStr">
        <is>
          <t>GÄVLEBORGS LÄN</t>
        </is>
      </c>
      <c r="E8624" t="inlineStr">
        <is>
          <t>NORDANSTIG</t>
        </is>
      </c>
      <c r="F8624" t="inlineStr">
        <is>
          <t>Holmen skog AB</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50273-2023</t>
        </is>
      </c>
      <c r="B8625" s="1" t="n">
        <v>45216</v>
      </c>
      <c r="C8625" s="1" t="n">
        <v>45587</v>
      </c>
      <c r="D8625" t="inlineStr">
        <is>
          <t>GÄVLEBORGS LÄN</t>
        </is>
      </c>
      <c r="E8625" t="inlineStr">
        <is>
          <t>LJUSDAL</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50239-2023</t>
        </is>
      </c>
      <c r="B8626" s="1" t="n">
        <v>45216</v>
      </c>
      <c r="C8626" s="1" t="n">
        <v>45587</v>
      </c>
      <c r="D8626" t="inlineStr">
        <is>
          <t>GÄVLEBORGS LÄN</t>
        </is>
      </c>
      <c r="E8626" t="inlineStr">
        <is>
          <t>OVANÅKER</t>
        </is>
      </c>
      <c r="G8626" t="n">
        <v>4</v>
      </c>
      <c r="H8626" t="n">
        <v>0</v>
      </c>
      <c r="I8626" t="n">
        <v>0</v>
      </c>
      <c r="J8626" t="n">
        <v>0</v>
      </c>
      <c r="K8626" t="n">
        <v>0</v>
      </c>
      <c r="L8626" t="n">
        <v>0</v>
      </c>
      <c r="M8626" t="n">
        <v>0</v>
      </c>
      <c r="N8626" t="n">
        <v>0</v>
      </c>
      <c r="O8626" t="n">
        <v>0</v>
      </c>
      <c r="P8626" t="n">
        <v>0</v>
      </c>
      <c r="Q8626" t="n">
        <v>0</v>
      </c>
      <c r="R8626" s="2" t="inlineStr"/>
    </row>
    <row r="8627" ht="15" customHeight="1">
      <c r="A8627" t="inlineStr">
        <is>
          <t>A 50235-2023</t>
        </is>
      </c>
      <c r="B8627" s="1" t="n">
        <v>45216</v>
      </c>
      <c r="C8627" s="1" t="n">
        <v>45587</v>
      </c>
      <c r="D8627" t="inlineStr">
        <is>
          <t>GÄVLEBORGS LÄN</t>
        </is>
      </c>
      <c r="E8627" t="inlineStr">
        <is>
          <t>OCKELBO</t>
        </is>
      </c>
      <c r="F8627" t="inlineStr">
        <is>
          <t>Bergvik skog väst AB</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50236-2023</t>
        </is>
      </c>
      <c r="B8628" s="1" t="n">
        <v>45216</v>
      </c>
      <c r="C8628" s="1" t="n">
        <v>45587</v>
      </c>
      <c r="D8628" t="inlineStr">
        <is>
          <t>GÄVLEBORGS LÄN</t>
        </is>
      </c>
      <c r="E8628" t="inlineStr">
        <is>
          <t>OVANÅKER</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50444-2023</t>
        </is>
      </c>
      <c r="B8629" s="1" t="n">
        <v>45216</v>
      </c>
      <c r="C8629" s="1" t="n">
        <v>45587</v>
      </c>
      <c r="D8629" t="inlineStr">
        <is>
          <t>GÄVLEBORGS LÄN</t>
        </is>
      </c>
      <c r="E8629" t="inlineStr">
        <is>
          <t>NORDANSTIG</t>
        </is>
      </c>
      <c r="F8629" t="inlineStr">
        <is>
          <t>Holmen skog AB</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50412-2023</t>
        </is>
      </c>
      <c r="B8630" s="1" t="n">
        <v>45216</v>
      </c>
      <c r="C8630" s="1" t="n">
        <v>45587</v>
      </c>
      <c r="D8630" t="inlineStr">
        <is>
          <t>GÄVLEBORGS LÄN</t>
        </is>
      </c>
      <c r="E8630" t="inlineStr">
        <is>
          <t>NORDANSTIG</t>
        </is>
      </c>
      <c r="F8630" t="inlineStr">
        <is>
          <t>Holmen skog AB</t>
        </is>
      </c>
      <c r="G8630" t="n">
        <v>7.3</v>
      </c>
      <c r="H8630" t="n">
        <v>0</v>
      </c>
      <c r="I8630" t="n">
        <v>0</v>
      </c>
      <c r="J8630" t="n">
        <v>0</v>
      </c>
      <c r="K8630" t="n">
        <v>0</v>
      </c>
      <c r="L8630" t="n">
        <v>0</v>
      </c>
      <c r="M8630" t="n">
        <v>0</v>
      </c>
      <c r="N8630" t="n">
        <v>0</v>
      </c>
      <c r="O8630" t="n">
        <v>0</v>
      </c>
      <c r="P8630" t="n">
        <v>0</v>
      </c>
      <c r="Q8630" t="n">
        <v>0</v>
      </c>
      <c r="R8630" s="2" t="inlineStr"/>
    </row>
    <row r="8631" ht="15" customHeight="1">
      <c r="A8631" t="inlineStr">
        <is>
          <t>A 50400-2023</t>
        </is>
      </c>
      <c r="B8631" s="1" t="n">
        <v>45216</v>
      </c>
      <c r="C8631" s="1" t="n">
        <v>45587</v>
      </c>
      <c r="D8631" t="inlineStr">
        <is>
          <t>GÄVLEBORGS LÄN</t>
        </is>
      </c>
      <c r="E8631" t="inlineStr">
        <is>
          <t>HUDIKSVALL</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50392-2023</t>
        </is>
      </c>
      <c r="B8632" s="1" t="n">
        <v>45216</v>
      </c>
      <c r="C8632" s="1" t="n">
        <v>45587</v>
      </c>
      <c r="D8632" t="inlineStr">
        <is>
          <t>GÄVLEBORGS LÄN</t>
        </is>
      </c>
      <c r="E8632" t="inlineStr">
        <is>
          <t>LJUSDAL</t>
        </is>
      </c>
      <c r="G8632" t="n">
        <v>6.5</v>
      </c>
      <c r="H8632" t="n">
        <v>0</v>
      </c>
      <c r="I8632" t="n">
        <v>0</v>
      </c>
      <c r="J8632" t="n">
        <v>0</v>
      </c>
      <c r="K8632" t="n">
        <v>0</v>
      </c>
      <c r="L8632" t="n">
        <v>0</v>
      </c>
      <c r="M8632" t="n">
        <v>0</v>
      </c>
      <c r="N8632" t="n">
        <v>0</v>
      </c>
      <c r="O8632" t="n">
        <v>0</v>
      </c>
      <c r="P8632" t="n">
        <v>0</v>
      </c>
      <c r="Q8632" t="n">
        <v>0</v>
      </c>
      <c r="R8632" s="2" t="inlineStr"/>
    </row>
    <row r="8633" ht="15" customHeight="1">
      <c r="A8633" t="inlineStr">
        <is>
          <t>A 50575-2023</t>
        </is>
      </c>
      <c r="B8633" s="1" t="n">
        <v>45217</v>
      </c>
      <c r="C8633" s="1" t="n">
        <v>45587</v>
      </c>
      <c r="D8633" t="inlineStr">
        <is>
          <t>GÄVLEBORGS LÄN</t>
        </is>
      </c>
      <c r="E8633" t="inlineStr">
        <is>
          <t>GÄVLE</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50550-2023</t>
        </is>
      </c>
      <c r="B8634" s="1" t="n">
        <v>45217</v>
      </c>
      <c r="C8634" s="1" t="n">
        <v>45587</v>
      </c>
      <c r="D8634" t="inlineStr">
        <is>
          <t>GÄVLEBORGS LÄN</t>
        </is>
      </c>
      <c r="E8634" t="inlineStr">
        <is>
          <t>OVANÅKER</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50556-2023</t>
        </is>
      </c>
      <c r="B8635" s="1" t="n">
        <v>45217</v>
      </c>
      <c r="C8635" s="1" t="n">
        <v>45587</v>
      </c>
      <c r="D8635" t="inlineStr">
        <is>
          <t>GÄVLEBORGS LÄN</t>
        </is>
      </c>
      <c r="E8635" t="inlineStr">
        <is>
          <t>OVANÅKER</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50561-2023</t>
        </is>
      </c>
      <c r="B8636" s="1" t="n">
        <v>45217</v>
      </c>
      <c r="C8636" s="1" t="n">
        <v>45587</v>
      </c>
      <c r="D8636" t="inlineStr">
        <is>
          <t>GÄVLEBORGS LÄN</t>
        </is>
      </c>
      <c r="E8636" t="inlineStr">
        <is>
          <t>BOLLNÄS</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50582-2023</t>
        </is>
      </c>
      <c r="B8637" s="1" t="n">
        <v>45217</v>
      </c>
      <c r="C8637" s="1" t="n">
        <v>45587</v>
      </c>
      <c r="D8637" t="inlineStr">
        <is>
          <t>GÄVLEBORGS LÄN</t>
        </is>
      </c>
      <c r="E8637" t="inlineStr">
        <is>
          <t>GÄVLE</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50631-2023</t>
        </is>
      </c>
      <c r="B8638" s="1" t="n">
        <v>45217</v>
      </c>
      <c r="C8638" s="1" t="n">
        <v>45587</v>
      </c>
      <c r="D8638" t="inlineStr">
        <is>
          <t>GÄVLEBORGS LÄN</t>
        </is>
      </c>
      <c r="E8638" t="inlineStr">
        <is>
          <t>NORDANSTIG</t>
        </is>
      </c>
      <c r="G8638" t="n">
        <v>4.6</v>
      </c>
      <c r="H8638" t="n">
        <v>0</v>
      </c>
      <c r="I8638" t="n">
        <v>0</v>
      </c>
      <c r="J8638" t="n">
        <v>0</v>
      </c>
      <c r="K8638" t="n">
        <v>0</v>
      </c>
      <c r="L8638" t="n">
        <v>0</v>
      </c>
      <c r="M8638" t="n">
        <v>0</v>
      </c>
      <c r="N8638" t="n">
        <v>0</v>
      </c>
      <c r="O8638" t="n">
        <v>0</v>
      </c>
      <c r="P8638" t="n">
        <v>0</v>
      </c>
      <c r="Q8638" t="n">
        <v>0</v>
      </c>
      <c r="R8638" s="2" t="inlineStr"/>
    </row>
    <row r="8639" ht="15" customHeight="1">
      <c r="A8639" t="inlineStr">
        <is>
          <t>A 50736-2023</t>
        </is>
      </c>
      <c r="B8639" s="1" t="n">
        <v>45217</v>
      </c>
      <c r="C8639" s="1" t="n">
        <v>45587</v>
      </c>
      <c r="D8639" t="inlineStr">
        <is>
          <t>GÄVLEBORGS LÄN</t>
        </is>
      </c>
      <c r="E8639" t="inlineStr">
        <is>
          <t>SÖDERHAMN</t>
        </is>
      </c>
      <c r="G8639" t="n">
        <v>9.6</v>
      </c>
      <c r="H8639" t="n">
        <v>0</v>
      </c>
      <c r="I8639" t="n">
        <v>0</v>
      </c>
      <c r="J8639" t="n">
        <v>0</v>
      </c>
      <c r="K8639" t="n">
        <v>0</v>
      </c>
      <c r="L8639" t="n">
        <v>0</v>
      </c>
      <c r="M8639" t="n">
        <v>0</v>
      </c>
      <c r="N8639" t="n">
        <v>0</v>
      </c>
      <c r="O8639" t="n">
        <v>0</v>
      </c>
      <c r="P8639" t="n">
        <v>0</v>
      </c>
      <c r="Q8639" t="n">
        <v>0</v>
      </c>
      <c r="R8639" s="2" t="inlineStr"/>
    </row>
    <row r="8640" ht="15" customHeight="1">
      <c r="A8640" t="inlineStr">
        <is>
          <t>A 50740-2023</t>
        </is>
      </c>
      <c r="B8640" s="1" t="n">
        <v>45217</v>
      </c>
      <c r="C8640" s="1" t="n">
        <v>45587</v>
      </c>
      <c r="D8640" t="inlineStr">
        <is>
          <t>GÄVLEBORGS LÄN</t>
        </is>
      </c>
      <c r="E8640" t="inlineStr">
        <is>
          <t>OVANÅKER</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50744-2023</t>
        </is>
      </c>
      <c r="B8641" s="1" t="n">
        <v>45217</v>
      </c>
      <c r="C8641" s="1" t="n">
        <v>45587</v>
      </c>
      <c r="D8641" t="inlineStr">
        <is>
          <t>GÄVLEBORGS LÄN</t>
        </is>
      </c>
      <c r="E8641" t="inlineStr">
        <is>
          <t>OVANÅKER</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50833-2023</t>
        </is>
      </c>
      <c r="B8642" s="1" t="n">
        <v>45217</v>
      </c>
      <c r="C8642" s="1" t="n">
        <v>45587</v>
      </c>
      <c r="D8642" t="inlineStr">
        <is>
          <t>GÄVLEBORGS LÄN</t>
        </is>
      </c>
      <c r="E8642" t="inlineStr">
        <is>
          <t>SÖDERHAMN</t>
        </is>
      </c>
      <c r="G8642" t="n">
        <v>13.1</v>
      </c>
      <c r="H8642" t="n">
        <v>0</v>
      </c>
      <c r="I8642" t="n">
        <v>0</v>
      </c>
      <c r="J8642" t="n">
        <v>0</v>
      </c>
      <c r="K8642" t="n">
        <v>0</v>
      </c>
      <c r="L8642" t="n">
        <v>0</v>
      </c>
      <c r="M8642" t="n">
        <v>0</v>
      </c>
      <c r="N8642" t="n">
        <v>0</v>
      </c>
      <c r="O8642" t="n">
        <v>0</v>
      </c>
      <c r="P8642" t="n">
        <v>0</v>
      </c>
      <c r="Q8642" t="n">
        <v>0</v>
      </c>
      <c r="R8642" s="2" t="inlineStr"/>
    </row>
    <row r="8643" ht="15" customHeight="1">
      <c r="A8643" t="inlineStr">
        <is>
          <t>A 50544-2023</t>
        </is>
      </c>
      <c r="B8643" s="1" t="n">
        <v>45217</v>
      </c>
      <c r="C8643" s="1" t="n">
        <v>45587</v>
      </c>
      <c r="D8643" t="inlineStr">
        <is>
          <t>GÄVLEBORGS LÄN</t>
        </is>
      </c>
      <c r="E8643" t="inlineStr">
        <is>
          <t>BOLLNÄS</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50559-2023</t>
        </is>
      </c>
      <c r="B8644" s="1" t="n">
        <v>45217</v>
      </c>
      <c r="C8644" s="1" t="n">
        <v>45587</v>
      </c>
      <c r="D8644" t="inlineStr">
        <is>
          <t>GÄVLEBORGS LÄN</t>
        </is>
      </c>
      <c r="E8644" t="inlineStr">
        <is>
          <t>OVANÅKER</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50667-2023</t>
        </is>
      </c>
      <c r="B8645" s="1" t="n">
        <v>45217</v>
      </c>
      <c r="C8645" s="1" t="n">
        <v>45587</v>
      </c>
      <c r="D8645" t="inlineStr">
        <is>
          <t>GÄVLEBORGS LÄN</t>
        </is>
      </c>
      <c r="E8645" t="inlineStr">
        <is>
          <t>LJUSDAL</t>
        </is>
      </c>
      <c r="G8645" t="n">
        <v>9.9</v>
      </c>
      <c r="H8645" t="n">
        <v>0</v>
      </c>
      <c r="I8645" t="n">
        <v>0</v>
      </c>
      <c r="J8645" t="n">
        <v>0</v>
      </c>
      <c r="K8645" t="n">
        <v>0</v>
      </c>
      <c r="L8645" t="n">
        <v>0</v>
      </c>
      <c r="M8645" t="n">
        <v>0</v>
      </c>
      <c r="N8645" t="n">
        <v>0</v>
      </c>
      <c r="O8645" t="n">
        <v>0</v>
      </c>
      <c r="P8645" t="n">
        <v>0</v>
      </c>
      <c r="Q8645" t="n">
        <v>0</v>
      </c>
      <c r="R8645" s="2" t="inlineStr"/>
    </row>
    <row r="8646" ht="15" customHeight="1">
      <c r="A8646" t="inlineStr">
        <is>
          <t>A 50672-2023</t>
        </is>
      </c>
      <c r="B8646" s="1" t="n">
        <v>45217</v>
      </c>
      <c r="C8646" s="1" t="n">
        <v>45587</v>
      </c>
      <c r="D8646" t="inlineStr">
        <is>
          <t>GÄVLEBORGS LÄN</t>
        </is>
      </c>
      <c r="E8646" t="inlineStr">
        <is>
          <t>LJUSDAL</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50752-2023</t>
        </is>
      </c>
      <c r="B8647" s="1" t="n">
        <v>45217</v>
      </c>
      <c r="C8647" s="1" t="n">
        <v>45587</v>
      </c>
      <c r="D8647" t="inlineStr">
        <is>
          <t>GÄVLEBORGS LÄN</t>
        </is>
      </c>
      <c r="E8647" t="inlineStr">
        <is>
          <t>OVANÅKER</t>
        </is>
      </c>
      <c r="F8647" t="inlineStr">
        <is>
          <t>Bergvik skog väst AB</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50569-2023</t>
        </is>
      </c>
      <c r="B8648" s="1" t="n">
        <v>45217</v>
      </c>
      <c r="C8648" s="1" t="n">
        <v>45587</v>
      </c>
      <c r="D8648" t="inlineStr">
        <is>
          <t>GÄVLEBORGS LÄN</t>
        </is>
      </c>
      <c r="E8648" t="inlineStr">
        <is>
          <t>GÄVLE</t>
        </is>
      </c>
      <c r="G8648" t="n">
        <v>4.8</v>
      </c>
      <c r="H8648" t="n">
        <v>0</v>
      </c>
      <c r="I8648" t="n">
        <v>0</v>
      </c>
      <c r="J8648" t="n">
        <v>0</v>
      </c>
      <c r="K8648" t="n">
        <v>0</v>
      </c>
      <c r="L8648" t="n">
        <v>0</v>
      </c>
      <c r="M8648" t="n">
        <v>0</v>
      </c>
      <c r="N8648" t="n">
        <v>0</v>
      </c>
      <c r="O8648" t="n">
        <v>0</v>
      </c>
      <c r="P8648" t="n">
        <v>0</v>
      </c>
      <c r="Q8648" t="n">
        <v>0</v>
      </c>
      <c r="R8648" s="2" t="inlineStr"/>
    </row>
    <row r="8649" ht="15" customHeight="1">
      <c r="A8649" t="inlineStr">
        <is>
          <t>A 50601-2023</t>
        </is>
      </c>
      <c r="B8649" s="1" t="n">
        <v>45217</v>
      </c>
      <c r="C8649" s="1" t="n">
        <v>45587</v>
      </c>
      <c r="D8649" t="inlineStr">
        <is>
          <t>GÄVLEBORGS LÄN</t>
        </is>
      </c>
      <c r="E8649" t="inlineStr">
        <is>
          <t>OVANÅKER</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50620-2023</t>
        </is>
      </c>
      <c r="B8650" s="1" t="n">
        <v>45217</v>
      </c>
      <c r="C8650" s="1" t="n">
        <v>45587</v>
      </c>
      <c r="D8650" t="inlineStr">
        <is>
          <t>GÄVLEBORGS LÄN</t>
        </is>
      </c>
      <c r="E8650" t="inlineStr">
        <is>
          <t>OVANÅKER</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50651-2023</t>
        </is>
      </c>
      <c r="B8651" s="1" t="n">
        <v>45217</v>
      </c>
      <c r="C8651" s="1" t="n">
        <v>45587</v>
      </c>
      <c r="D8651" t="inlineStr">
        <is>
          <t>GÄVLEBORGS LÄN</t>
        </is>
      </c>
      <c r="E8651" t="inlineStr">
        <is>
          <t>OVANÅKER</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50750-2023</t>
        </is>
      </c>
      <c r="B8652" s="1" t="n">
        <v>45217</v>
      </c>
      <c r="C8652" s="1" t="n">
        <v>45587</v>
      </c>
      <c r="D8652" t="inlineStr">
        <is>
          <t>GÄVLEBORGS LÄN</t>
        </is>
      </c>
      <c r="E8652" t="inlineStr">
        <is>
          <t>SÖDERHAMN</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50786-2023</t>
        </is>
      </c>
      <c r="B8653" s="1" t="n">
        <v>45217</v>
      </c>
      <c r="C8653" s="1" t="n">
        <v>45587</v>
      </c>
      <c r="D8653" t="inlineStr">
        <is>
          <t>GÄVLEBORGS LÄN</t>
        </is>
      </c>
      <c r="E8653" t="inlineStr">
        <is>
          <t>OVANÅKER</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50823-2023</t>
        </is>
      </c>
      <c r="B8654" s="1" t="n">
        <v>45218</v>
      </c>
      <c r="C8654" s="1" t="n">
        <v>45587</v>
      </c>
      <c r="D8654" t="inlineStr">
        <is>
          <t>GÄVLEBORGS LÄN</t>
        </is>
      </c>
      <c r="E8654" t="inlineStr">
        <is>
          <t>OVANÅKER</t>
        </is>
      </c>
      <c r="G8654" t="n">
        <v>3.6</v>
      </c>
      <c r="H8654" t="n">
        <v>0</v>
      </c>
      <c r="I8654" t="n">
        <v>0</v>
      </c>
      <c r="J8654" t="n">
        <v>0</v>
      </c>
      <c r="K8654" t="n">
        <v>0</v>
      </c>
      <c r="L8654" t="n">
        <v>0</v>
      </c>
      <c r="M8654" t="n">
        <v>0</v>
      </c>
      <c r="N8654" t="n">
        <v>0</v>
      </c>
      <c r="O8654" t="n">
        <v>0</v>
      </c>
      <c r="P8654" t="n">
        <v>0</v>
      </c>
      <c r="Q8654" t="n">
        <v>0</v>
      </c>
      <c r="R8654" s="2" t="inlineStr"/>
    </row>
    <row r="8655" ht="15" customHeight="1">
      <c r="A8655" t="inlineStr">
        <is>
          <t>A 50758-2023</t>
        </is>
      </c>
      <c r="B8655" s="1" t="n">
        <v>45217</v>
      </c>
      <c r="C8655" s="1" t="n">
        <v>45587</v>
      </c>
      <c r="D8655" t="inlineStr">
        <is>
          <t>GÄVLEBORGS LÄN</t>
        </is>
      </c>
      <c r="E8655" t="inlineStr">
        <is>
          <t>OVANÅKER</t>
        </is>
      </c>
      <c r="F8655" t="inlineStr">
        <is>
          <t>Bergvik skog väst AB</t>
        </is>
      </c>
      <c r="G8655" t="n">
        <v>10.7</v>
      </c>
      <c r="H8655" t="n">
        <v>0</v>
      </c>
      <c r="I8655" t="n">
        <v>0</v>
      </c>
      <c r="J8655" t="n">
        <v>0</v>
      </c>
      <c r="K8655" t="n">
        <v>0</v>
      </c>
      <c r="L8655" t="n">
        <v>0</v>
      </c>
      <c r="M8655" t="n">
        <v>0</v>
      </c>
      <c r="N8655" t="n">
        <v>0</v>
      </c>
      <c r="O8655" t="n">
        <v>0</v>
      </c>
      <c r="P8655" t="n">
        <v>0</v>
      </c>
      <c r="Q8655" t="n">
        <v>0</v>
      </c>
      <c r="R8655" s="2" t="inlineStr"/>
    </row>
    <row r="8656" ht="15" customHeight="1">
      <c r="A8656" t="inlineStr">
        <is>
          <t>A 50769-2023</t>
        </is>
      </c>
      <c r="B8656" s="1" t="n">
        <v>45217</v>
      </c>
      <c r="C8656" s="1" t="n">
        <v>45587</v>
      </c>
      <c r="D8656" t="inlineStr">
        <is>
          <t>GÄVLEBORGS LÄN</t>
        </is>
      </c>
      <c r="E8656" t="inlineStr">
        <is>
          <t>OVANÅKER</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50776-2023</t>
        </is>
      </c>
      <c r="B8657" s="1" t="n">
        <v>45217</v>
      </c>
      <c r="C8657" s="1" t="n">
        <v>45587</v>
      </c>
      <c r="D8657" t="inlineStr">
        <is>
          <t>GÄVLEBORGS LÄN</t>
        </is>
      </c>
      <c r="E8657" t="inlineStr">
        <is>
          <t>OVANÅKER</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50797-2023</t>
        </is>
      </c>
      <c r="B8658" s="1" t="n">
        <v>45217</v>
      </c>
      <c r="C8658" s="1" t="n">
        <v>45587</v>
      </c>
      <c r="D8658" t="inlineStr">
        <is>
          <t>GÄVLEBORGS LÄN</t>
        </is>
      </c>
      <c r="E8658" t="inlineStr">
        <is>
          <t>SANDVIKEN</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50824-2023</t>
        </is>
      </c>
      <c r="B8659" s="1" t="n">
        <v>45217</v>
      </c>
      <c r="C8659" s="1" t="n">
        <v>45587</v>
      </c>
      <c r="D8659" t="inlineStr">
        <is>
          <t>GÄVLEBORGS LÄN</t>
        </is>
      </c>
      <c r="E8659" t="inlineStr">
        <is>
          <t>OVANÅKER</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50868-2023</t>
        </is>
      </c>
      <c r="B8660" s="1" t="n">
        <v>45218</v>
      </c>
      <c r="C8660" s="1" t="n">
        <v>45587</v>
      </c>
      <c r="D8660" t="inlineStr">
        <is>
          <t>GÄVLEBORGS LÄN</t>
        </is>
      </c>
      <c r="E8660" t="inlineStr">
        <is>
          <t>NORDANSTIG</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50898-2023</t>
        </is>
      </c>
      <c r="B8661" s="1" t="n">
        <v>45218</v>
      </c>
      <c r="C8661" s="1" t="n">
        <v>45587</v>
      </c>
      <c r="D8661" t="inlineStr">
        <is>
          <t>GÄVLEBORGS LÄN</t>
        </is>
      </c>
      <c r="E8661" t="inlineStr">
        <is>
          <t>HUDIKSVALL</t>
        </is>
      </c>
      <c r="F8661" t="inlineStr">
        <is>
          <t>Holmen skog AB</t>
        </is>
      </c>
      <c r="G8661" t="n">
        <v>6.5</v>
      </c>
      <c r="H8661" t="n">
        <v>0</v>
      </c>
      <c r="I8661" t="n">
        <v>0</v>
      </c>
      <c r="J8661" t="n">
        <v>0</v>
      </c>
      <c r="K8661" t="n">
        <v>0</v>
      </c>
      <c r="L8661" t="n">
        <v>0</v>
      </c>
      <c r="M8661" t="n">
        <v>0</v>
      </c>
      <c r="N8661" t="n">
        <v>0</v>
      </c>
      <c r="O8661" t="n">
        <v>0</v>
      </c>
      <c r="P8661" t="n">
        <v>0</v>
      </c>
      <c r="Q8661" t="n">
        <v>0</v>
      </c>
      <c r="R8661" s="2" t="inlineStr"/>
    </row>
    <row r="8662" ht="15" customHeight="1">
      <c r="A8662" t="inlineStr">
        <is>
          <t>A 50907-2023</t>
        </is>
      </c>
      <c r="B8662" s="1" t="n">
        <v>45218</v>
      </c>
      <c r="C8662" s="1" t="n">
        <v>45587</v>
      </c>
      <c r="D8662" t="inlineStr">
        <is>
          <t>GÄVLEBORGS LÄN</t>
        </is>
      </c>
      <c r="E8662" t="inlineStr">
        <is>
          <t>GÄVLE</t>
        </is>
      </c>
      <c r="F8662" t="inlineStr">
        <is>
          <t>Bergvik skog öst AB</t>
        </is>
      </c>
      <c r="G8662" t="n">
        <v>18.1</v>
      </c>
      <c r="H8662" t="n">
        <v>0</v>
      </c>
      <c r="I8662" t="n">
        <v>0</v>
      </c>
      <c r="J8662" t="n">
        <v>0</v>
      </c>
      <c r="K8662" t="n">
        <v>0</v>
      </c>
      <c r="L8662" t="n">
        <v>0</v>
      </c>
      <c r="M8662" t="n">
        <v>0</v>
      </c>
      <c r="N8662" t="n">
        <v>0</v>
      </c>
      <c r="O8662" t="n">
        <v>0</v>
      </c>
      <c r="P8662" t="n">
        <v>0</v>
      </c>
      <c r="Q8662" t="n">
        <v>0</v>
      </c>
      <c r="R8662" s="2" t="inlineStr"/>
    </row>
    <row r="8663" ht="15" customHeight="1">
      <c r="A8663" t="inlineStr">
        <is>
          <t>A 50912-2023</t>
        </is>
      </c>
      <c r="B8663" s="1" t="n">
        <v>45218</v>
      </c>
      <c r="C8663" s="1" t="n">
        <v>45587</v>
      </c>
      <c r="D8663" t="inlineStr">
        <is>
          <t>GÄVLEBORGS LÄN</t>
        </is>
      </c>
      <c r="E8663" t="inlineStr">
        <is>
          <t>HUDIKSVALL</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50925-2023</t>
        </is>
      </c>
      <c r="B8664" s="1" t="n">
        <v>45218</v>
      </c>
      <c r="C8664" s="1" t="n">
        <v>45587</v>
      </c>
      <c r="D8664" t="inlineStr">
        <is>
          <t>GÄVLEBORGS LÄN</t>
        </is>
      </c>
      <c r="E8664" t="inlineStr">
        <is>
          <t>SÖDERHAMN</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51033-2023</t>
        </is>
      </c>
      <c r="B8665" s="1" t="n">
        <v>45218</v>
      </c>
      <c r="C8665" s="1" t="n">
        <v>45587</v>
      </c>
      <c r="D8665" t="inlineStr">
        <is>
          <t>GÄVLEBORGS LÄN</t>
        </is>
      </c>
      <c r="E8665" t="inlineStr">
        <is>
          <t>BOLLNÄS</t>
        </is>
      </c>
      <c r="F8665" t="inlineStr">
        <is>
          <t>Bergvik skog väst AB</t>
        </is>
      </c>
      <c r="G8665" t="n">
        <v>6.2</v>
      </c>
      <c r="H8665" t="n">
        <v>0</v>
      </c>
      <c r="I8665" t="n">
        <v>0</v>
      </c>
      <c r="J8665" t="n">
        <v>0</v>
      </c>
      <c r="K8665" t="n">
        <v>0</v>
      </c>
      <c r="L8665" t="n">
        <v>0</v>
      </c>
      <c r="M8665" t="n">
        <v>0</v>
      </c>
      <c r="N8665" t="n">
        <v>0</v>
      </c>
      <c r="O8665" t="n">
        <v>0</v>
      </c>
      <c r="P8665" t="n">
        <v>0</v>
      </c>
      <c r="Q8665" t="n">
        <v>0</v>
      </c>
      <c r="R8665" s="2" t="inlineStr"/>
    </row>
    <row r="8666" ht="15" customHeight="1">
      <c r="A8666" t="inlineStr">
        <is>
          <t>A 50944-2023</t>
        </is>
      </c>
      <c r="B8666" s="1" t="n">
        <v>45218</v>
      </c>
      <c r="C8666" s="1" t="n">
        <v>45587</v>
      </c>
      <c r="D8666" t="inlineStr">
        <is>
          <t>GÄVLEBORGS LÄN</t>
        </is>
      </c>
      <c r="E8666" t="inlineStr">
        <is>
          <t>LJUSDAL</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51002-2023</t>
        </is>
      </c>
      <c r="B8667" s="1" t="n">
        <v>45218</v>
      </c>
      <c r="C8667" s="1" t="n">
        <v>45587</v>
      </c>
      <c r="D8667" t="inlineStr">
        <is>
          <t>GÄVLEBORGS LÄN</t>
        </is>
      </c>
      <c r="E8667" t="inlineStr">
        <is>
          <t>OVANÅKER</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51023-2023</t>
        </is>
      </c>
      <c r="B8668" s="1" t="n">
        <v>45218</v>
      </c>
      <c r="C8668" s="1" t="n">
        <v>45587</v>
      </c>
      <c r="D8668" t="inlineStr">
        <is>
          <t>GÄVLEBORGS LÄN</t>
        </is>
      </c>
      <c r="E8668" t="inlineStr">
        <is>
          <t>HUDIKSVALL</t>
        </is>
      </c>
      <c r="F8668" t="inlineStr">
        <is>
          <t>Holmen skog AB</t>
        </is>
      </c>
      <c r="G8668" t="n">
        <v>13.7</v>
      </c>
      <c r="H8668" t="n">
        <v>0</v>
      </c>
      <c r="I8668" t="n">
        <v>0</v>
      </c>
      <c r="J8668" t="n">
        <v>0</v>
      </c>
      <c r="K8668" t="n">
        <v>0</v>
      </c>
      <c r="L8668" t="n">
        <v>0</v>
      </c>
      <c r="M8668" t="n">
        <v>0</v>
      </c>
      <c r="N8668" t="n">
        <v>0</v>
      </c>
      <c r="O8668" t="n">
        <v>0</v>
      </c>
      <c r="P8668" t="n">
        <v>0</v>
      </c>
      <c r="Q8668" t="n">
        <v>0</v>
      </c>
      <c r="R8668" s="2" t="inlineStr"/>
    </row>
    <row r="8669" ht="15" customHeight="1">
      <c r="A8669" t="inlineStr">
        <is>
          <t>A 51044-2023</t>
        </is>
      </c>
      <c r="B8669" s="1" t="n">
        <v>45218</v>
      </c>
      <c r="C8669" s="1" t="n">
        <v>45587</v>
      </c>
      <c r="D8669" t="inlineStr">
        <is>
          <t>GÄVLEBORGS LÄN</t>
        </is>
      </c>
      <c r="E8669" t="inlineStr">
        <is>
          <t>BOLLNÄS</t>
        </is>
      </c>
      <c r="F8669" t="inlineStr">
        <is>
          <t>Bergvik skog väst AB</t>
        </is>
      </c>
      <c r="G8669" t="n">
        <v>13.9</v>
      </c>
      <c r="H8669" t="n">
        <v>0</v>
      </c>
      <c r="I8669" t="n">
        <v>0</v>
      </c>
      <c r="J8669" t="n">
        <v>0</v>
      </c>
      <c r="K8669" t="n">
        <v>0</v>
      </c>
      <c r="L8669" t="n">
        <v>0</v>
      </c>
      <c r="M8669" t="n">
        <v>0</v>
      </c>
      <c r="N8669" t="n">
        <v>0</v>
      </c>
      <c r="O8669" t="n">
        <v>0</v>
      </c>
      <c r="P8669" t="n">
        <v>0</v>
      </c>
      <c r="Q8669" t="n">
        <v>0</v>
      </c>
      <c r="R8669" s="2" t="inlineStr"/>
    </row>
    <row r="8670" ht="15" customHeight="1">
      <c r="A8670" t="inlineStr">
        <is>
          <t>A 51073-2023</t>
        </is>
      </c>
      <c r="B8670" s="1" t="n">
        <v>45218</v>
      </c>
      <c r="C8670" s="1" t="n">
        <v>45587</v>
      </c>
      <c r="D8670" t="inlineStr">
        <is>
          <t>GÄVLEBORGS LÄN</t>
        </is>
      </c>
      <c r="E8670" t="inlineStr">
        <is>
          <t>SANDVIKEN</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51064-2023</t>
        </is>
      </c>
      <c r="B8671" s="1" t="n">
        <v>45218</v>
      </c>
      <c r="C8671" s="1" t="n">
        <v>45587</v>
      </c>
      <c r="D8671" t="inlineStr">
        <is>
          <t>GÄVLEBORGS LÄN</t>
        </is>
      </c>
      <c r="E8671" t="inlineStr">
        <is>
          <t>NORDANSTIG</t>
        </is>
      </c>
      <c r="F8671" t="inlineStr">
        <is>
          <t>Holmen skog AB</t>
        </is>
      </c>
      <c r="G8671" t="n">
        <v>8.4</v>
      </c>
      <c r="H8671" t="n">
        <v>0</v>
      </c>
      <c r="I8671" t="n">
        <v>0</v>
      </c>
      <c r="J8671" t="n">
        <v>0</v>
      </c>
      <c r="K8671" t="n">
        <v>0</v>
      </c>
      <c r="L8671" t="n">
        <v>0</v>
      </c>
      <c r="M8671" t="n">
        <v>0</v>
      </c>
      <c r="N8671" t="n">
        <v>0</v>
      </c>
      <c r="O8671" t="n">
        <v>0</v>
      </c>
      <c r="P8671" t="n">
        <v>0</v>
      </c>
      <c r="Q8671" t="n">
        <v>0</v>
      </c>
      <c r="R8671" s="2" t="inlineStr"/>
    </row>
    <row r="8672" ht="15" customHeight="1">
      <c r="A8672" t="inlineStr">
        <is>
          <t>A 51071-2023</t>
        </is>
      </c>
      <c r="B8672" s="1" t="n">
        <v>45218</v>
      </c>
      <c r="C8672" s="1" t="n">
        <v>45587</v>
      </c>
      <c r="D8672" t="inlineStr">
        <is>
          <t>GÄVLEBORGS LÄN</t>
        </is>
      </c>
      <c r="E8672" t="inlineStr">
        <is>
          <t>GÄVLE</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51100-2023</t>
        </is>
      </c>
      <c r="B8673" s="1" t="n">
        <v>45218</v>
      </c>
      <c r="C8673" s="1" t="n">
        <v>45587</v>
      </c>
      <c r="D8673" t="inlineStr">
        <is>
          <t>GÄVLEBORGS LÄN</t>
        </is>
      </c>
      <c r="E8673" t="inlineStr">
        <is>
          <t>HUDIKSVALL</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50980-2023</t>
        </is>
      </c>
      <c r="B8674" s="1" t="n">
        <v>45218</v>
      </c>
      <c r="C8674" s="1" t="n">
        <v>45587</v>
      </c>
      <c r="D8674" t="inlineStr">
        <is>
          <t>GÄVLEBORGS LÄN</t>
        </is>
      </c>
      <c r="E8674" t="inlineStr">
        <is>
          <t>GÄVLE</t>
        </is>
      </c>
      <c r="F8674" t="inlineStr">
        <is>
          <t>Bergvik skog öst AB</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51052-2023</t>
        </is>
      </c>
      <c r="B8675" s="1" t="n">
        <v>45218</v>
      </c>
      <c r="C8675" s="1" t="n">
        <v>45587</v>
      </c>
      <c r="D8675" t="inlineStr">
        <is>
          <t>GÄVLEBORGS LÄN</t>
        </is>
      </c>
      <c r="E8675" t="inlineStr">
        <is>
          <t>BOLLNÄS</t>
        </is>
      </c>
      <c r="F8675" t="inlineStr">
        <is>
          <t>Bergvik skog väst AB</t>
        </is>
      </c>
      <c r="G8675" t="n">
        <v>6.5</v>
      </c>
      <c r="H8675" t="n">
        <v>0</v>
      </c>
      <c r="I8675" t="n">
        <v>0</v>
      </c>
      <c r="J8675" t="n">
        <v>0</v>
      </c>
      <c r="K8675" t="n">
        <v>0</v>
      </c>
      <c r="L8675" t="n">
        <v>0</v>
      </c>
      <c r="M8675" t="n">
        <v>0</v>
      </c>
      <c r="N8675" t="n">
        <v>0</v>
      </c>
      <c r="O8675" t="n">
        <v>0</v>
      </c>
      <c r="P8675" t="n">
        <v>0</v>
      </c>
      <c r="Q8675" t="n">
        <v>0</v>
      </c>
      <c r="R8675" s="2" t="inlineStr"/>
    </row>
    <row r="8676" ht="15" customHeight="1">
      <c r="A8676" t="inlineStr">
        <is>
          <t>A 51081-2023</t>
        </is>
      </c>
      <c r="B8676" s="1" t="n">
        <v>45218</v>
      </c>
      <c r="C8676" s="1" t="n">
        <v>45587</v>
      </c>
      <c r="D8676" t="inlineStr">
        <is>
          <t>GÄVLEBORGS LÄN</t>
        </is>
      </c>
      <c r="E8676" t="inlineStr">
        <is>
          <t>NORDANSTIG</t>
        </is>
      </c>
      <c r="G8676" t="n">
        <v>3.9</v>
      </c>
      <c r="H8676" t="n">
        <v>0</v>
      </c>
      <c r="I8676" t="n">
        <v>0</v>
      </c>
      <c r="J8676" t="n">
        <v>0</v>
      </c>
      <c r="K8676" t="n">
        <v>0</v>
      </c>
      <c r="L8676" t="n">
        <v>0</v>
      </c>
      <c r="M8676" t="n">
        <v>0</v>
      </c>
      <c r="N8676" t="n">
        <v>0</v>
      </c>
      <c r="O8676" t="n">
        <v>0</v>
      </c>
      <c r="P8676" t="n">
        <v>0</v>
      </c>
      <c r="Q8676" t="n">
        <v>0</v>
      </c>
      <c r="R8676" s="2" t="inlineStr"/>
    </row>
    <row r="8677" ht="15" customHeight="1">
      <c r="A8677" t="inlineStr">
        <is>
          <t>A 51101-2023</t>
        </is>
      </c>
      <c r="B8677" s="1" t="n">
        <v>45219</v>
      </c>
      <c r="C8677" s="1" t="n">
        <v>45587</v>
      </c>
      <c r="D8677" t="inlineStr">
        <is>
          <t>GÄVLEBORGS LÄN</t>
        </is>
      </c>
      <c r="E8677" t="inlineStr">
        <is>
          <t>HUDIKSVALL</t>
        </is>
      </c>
      <c r="G8677" t="n">
        <v>4.2</v>
      </c>
      <c r="H8677" t="n">
        <v>0</v>
      </c>
      <c r="I8677" t="n">
        <v>0</v>
      </c>
      <c r="J8677" t="n">
        <v>0</v>
      </c>
      <c r="K8677" t="n">
        <v>0</v>
      </c>
      <c r="L8677" t="n">
        <v>0</v>
      </c>
      <c r="M8677" t="n">
        <v>0</v>
      </c>
      <c r="N8677" t="n">
        <v>0</v>
      </c>
      <c r="O8677" t="n">
        <v>0</v>
      </c>
      <c r="P8677" t="n">
        <v>0</v>
      </c>
      <c r="Q8677" t="n">
        <v>0</v>
      </c>
      <c r="R8677" s="2" t="inlineStr"/>
    </row>
    <row r="8678" ht="15" customHeight="1">
      <c r="A8678" t="inlineStr">
        <is>
          <t>A 51290-2023</t>
        </is>
      </c>
      <c r="B8678" s="1" t="n">
        <v>45219</v>
      </c>
      <c r="C8678" s="1" t="n">
        <v>45587</v>
      </c>
      <c r="D8678" t="inlineStr">
        <is>
          <t>GÄVLEBORGS LÄN</t>
        </is>
      </c>
      <c r="E8678" t="inlineStr">
        <is>
          <t>SÖDERHAMN</t>
        </is>
      </c>
      <c r="G8678" t="n">
        <v>5.5</v>
      </c>
      <c r="H8678" t="n">
        <v>0</v>
      </c>
      <c r="I8678" t="n">
        <v>0</v>
      </c>
      <c r="J8678" t="n">
        <v>0</v>
      </c>
      <c r="K8678" t="n">
        <v>0</v>
      </c>
      <c r="L8678" t="n">
        <v>0</v>
      </c>
      <c r="M8678" t="n">
        <v>0</v>
      </c>
      <c r="N8678" t="n">
        <v>0</v>
      </c>
      <c r="O8678" t="n">
        <v>0</v>
      </c>
      <c r="P8678" t="n">
        <v>0</v>
      </c>
      <c r="Q8678" t="n">
        <v>0</v>
      </c>
      <c r="R8678" s="2" t="inlineStr"/>
    </row>
    <row r="8679" ht="15" customHeight="1">
      <c r="A8679" t="inlineStr">
        <is>
          <t>A 51300-2023</t>
        </is>
      </c>
      <c r="B8679" s="1" t="n">
        <v>45219</v>
      </c>
      <c r="C8679" s="1" t="n">
        <v>45587</v>
      </c>
      <c r="D8679" t="inlineStr">
        <is>
          <t>GÄVLEBORGS LÄN</t>
        </is>
      </c>
      <c r="E8679" t="inlineStr">
        <is>
          <t>BOLLNÄS</t>
        </is>
      </c>
      <c r="G8679" t="n">
        <v>6.4</v>
      </c>
      <c r="H8679" t="n">
        <v>0</v>
      </c>
      <c r="I8679" t="n">
        <v>0</v>
      </c>
      <c r="J8679" t="n">
        <v>0</v>
      </c>
      <c r="K8679" t="n">
        <v>0</v>
      </c>
      <c r="L8679" t="n">
        <v>0</v>
      </c>
      <c r="M8679" t="n">
        <v>0</v>
      </c>
      <c r="N8679" t="n">
        <v>0</v>
      </c>
      <c r="O8679" t="n">
        <v>0</v>
      </c>
      <c r="P8679" t="n">
        <v>0</v>
      </c>
      <c r="Q8679" t="n">
        <v>0</v>
      </c>
      <c r="R8679" s="2" t="inlineStr"/>
    </row>
    <row r="8680" ht="15" customHeight="1">
      <c r="A8680" t="inlineStr">
        <is>
          <t>A 51346-2023</t>
        </is>
      </c>
      <c r="B8680" s="1" t="n">
        <v>45219</v>
      </c>
      <c r="C8680" s="1" t="n">
        <v>45587</v>
      </c>
      <c r="D8680" t="inlineStr">
        <is>
          <t>GÄVLEBORGS LÄN</t>
        </is>
      </c>
      <c r="E8680" t="inlineStr">
        <is>
          <t>BOLLNÄS</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51265-2023</t>
        </is>
      </c>
      <c r="B8681" s="1" t="n">
        <v>45219</v>
      </c>
      <c r="C8681" s="1" t="n">
        <v>45587</v>
      </c>
      <c r="D8681" t="inlineStr">
        <is>
          <t>GÄVLEBORGS LÄN</t>
        </is>
      </c>
      <c r="E8681" t="inlineStr">
        <is>
          <t>GÄVLE</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51238-2023</t>
        </is>
      </c>
      <c r="B8682" s="1" t="n">
        <v>45219</v>
      </c>
      <c r="C8682" s="1" t="n">
        <v>45587</v>
      </c>
      <c r="D8682" t="inlineStr">
        <is>
          <t>GÄVLEBORGS LÄN</t>
        </is>
      </c>
      <c r="E8682" t="inlineStr">
        <is>
          <t>LJUSDAL</t>
        </is>
      </c>
      <c r="F8682" t="inlineStr">
        <is>
          <t>Sveaskog</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51246-2023</t>
        </is>
      </c>
      <c r="B8683" s="1" t="n">
        <v>45219</v>
      </c>
      <c r="C8683" s="1" t="n">
        <v>45587</v>
      </c>
      <c r="D8683" t="inlineStr">
        <is>
          <t>GÄVLEBORGS LÄN</t>
        </is>
      </c>
      <c r="E8683" t="inlineStr">
        <is>
          <t>BOLLNÄS</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51137-2023</t>
        </is>
      </c>
      <c r="B8684" s="1" t="n">
        <v>45219</v>
      </c>
      <c r="C8684" s="1" t="n">
        <v>45587</v>
      </c>
      <c r="D8684" t="inlineStr">
        <is>
          <t>GÄVLEBORGS LÄN</t>
        </is>
      </c>
      <c r="E8684" t="inlineStr">
        <is>
          <t>BOLLNÄS</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52674-2023</t>
        </is>
      </c>
      <c r="B8685" s="1" t="n">
        <v>45219</v>
      </c>
      <c r="C8685" s="1" t="n">
        <v>45587</v>
      </c>
      <c r="D8685" t="inlineStr">
        <is>
          <t>GÄVLEBORGS LÄN</t>
        </is>
      </c>
      <c r="E8685" t="inlineStr">
        <is>
          <t>LJUSDAL</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51310-2023</t>
        </is>
      </c>
      <c r="B8686" s="1" t="n">
        <v>45219</v>
      </c>
      <c r="C8686" s="1" t="n">
        <v>45587</v>
      </c>
      <c r="D8686" t="inlineStr">
        <is>
          <t>GÄVLEBORGS LÄN</t>
        </is>
      </c>
      <c r="E8686" t="inlineStr">
        <is>
          <t>BOLLNÄS</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51413-2023</t>
        </is>
      </c>
      <c r="B8687" s="1" t="n">
        <v>45219</v>
      </c>
      <c r="C8687" s="1" t="n">
        <v>45587</v>
      </c>
      <c r="D8687" t="inlineStr">
        <is>
          <t>GÄVLEBORGS LÄN</t>
        </is>
      </c>
      <c r="E8687" t="inlineStr">
        <is>
          <t>SÖDERHAMN</t>
        </is>
      </c>
      <c r="F8687" t="inlineStr">
        <is>
          <t>Kommuner</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51153-2023</t>
        </is>
      </c>
      <c r="B8688" s="1" t="n">
        <v>45219</v>
      </c>
      <c r="C8688" s="1" t="n">
        <v>45587</v>
      </c>
      <c r="D8688" t="inlineStr">
        <is>
          <t>GÄVLEBORGS LÄN</t>
        </is>
      </c>
      <c r="E8688" t="inlineStr">
        <is>
          <t>BOLLNÄS</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51438-2023</t>
        </is>
      </c>
      <c r="B8689" s="1" t="n">
        <v>45219</v>
      </c>
      <c r="C8689" s="1" t="n">
        <v>45587</v>
      </c>
      <c r="D8689" t="inlineStr">
        <is>
          <t>GÄVLEBORGS LÄN</t>
        </is>
      </c>
      <c r="E8689" t="inlineStr">
        <is>
          <t>NORDANSTIG</t>
        </is>
      </c>
      <c r="F8689" t="inlineStr">
        <is>
          <t>SCA</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51133-2023</t>
        </is>
      </c>
      <c r="B8690" s="1" t="n">
        <v>45219</v>
      </c>
      <c r="C8690" s="1" t="n">
        <v>45587</v>
      </c>
      <c r="D8690" t="inlineStr">
        <is>
          <t>GÄVLEBORGS LÄN</t>
        </is>
      </c>
      <c r="E8690" t="inlineStr">
        <is>
          <t>BOLLNÄS</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51194-2023</t>
        </is>
      </c>
      <c r="B8691" s="1" t="n">
        <v>45219</v>
      </c>
      <c r="C8691" s="1" t="n">
        <v>45587</v>
      </c>
      <c r="D8691" t="inlineStr">
        <is>
          <t>GÄVLEBORGS LÄN</t>
        </is>
      </c>
      <c r="E8691" t="inlineStr">
        <is>
          <t>NORDANSTIG</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51198-2023</t>
        </is>
      </c>
      <c r="B8692" s="1" t="n">
        <v>45219</v>
      </c>
      <c r="C8692" s="1" t="n">
        <v>45587</v>
      </c>
      <c r="D8692" t="inlineStr">
        <is>
          <t>GÄVLEBORGS LÄN</t>
        </is>
      </c>
      <c r="E8692" t="inlineStr">
        <is>
          <t>NORDANSTIG</t>
        </is>
      </c>
      <c r="G8692" t="n">
        <v>6</v>
      </c>
      <c r="H8692" t="n">
        <v>0</v>
      </c>
      <c r="I8692" t="n">
        <v>0</v>
      </c>
      <c r="J8692" t="n">
        <v>0</v>
      </c>
      <c r="K8692" t="n">
        <v>0</v>
      </c>
      <c r="L8692" t="n">
        <v>0</v>
      </c>
      <c r="M8692" t="n">
        <v>0</v>
      </c>
      <c r="N8692" t="n">
        <v>0</v>
      </c>
      <c r="O8692" t="n">
        <v>0</v>
      </c>
      <c r="P8692" t="n">
        <v>0</v>
      </c>
      <c r="Q8692" t="n">
        <v>0</v>
      </c>
      <c r="R8692" s="2" t="inlineStr"/>
    </row>
    <row r="8693" ht="15" customHeight="1">
      <c r="A8693" t="inlineStr">
        <is>
          <t>A 51211-2023</t>
        </is>
      </c>
      <c r="B8693" s="1" t="n">
        <v>45219</v>
      </c>
      <c r="C8693" s="1" t="n">
        <v>45587</v>
      </c>
      <c r="D8693" t="inlineStr">
        <is>
          <t>GÄVLEBORGS LÄN</t>
        </is>
      </c>
      <c r="E8693" t="inlineStr">
        <is>
          <t>BOLLNÄS</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51259-2023</t>
        </is>
      </c>
      <c r="B8694" s="1" t="n">
        <v>45219</v>
      </c>
      <c r="C8694" s="1" t="n">
        <v>45587</v>
      </c>
      <c r="D8694" t="inlineStr">
        <is>
          <t>GÄVLEBORGS LÄN</t>
        </is>
      </c>
      <c r="E8694" t="inlineStr">
        <is>
          <t>BOLLNÄS</t>
        </is>
      </c>
      <c r="G8694" t="n">
        <v>0.4</v>
      </c>
      <c r="H8694" t="n">
        <v>0</v>
      </c>
      <c r="I8694" t="n">
        <v>0</v>
      </c>
      <c r="J8694" t="n">
        <v>0</v>
      </c>
      <c r="K8694" t="n">
        <v>0</v>
      </c>
      <c r="L8694" t="n">
        <v>0</v>
      </c>
      <c r="M8694" t="n">
        <v>0</v>
      </c>
      <c r="N8694" t="n">
        <v>0</v>
      </c>
      <c r="O8694" t="n">
        <v>0</v>
      </c>
      <c r="P8694" t="n">
        <v>0</v>
      </c>
      <c r="Q8694" t="n">
        <v>0</v>
      </c>
      <c r="R8694" s="2" t="inlineStr"/>
    </row>
    <row r="8695" ht="15" customHeight="1">
      <c r="A8695" t="inlineStr">
        <is>
          <t>A 51292-2023</t>
        </is>
      </c>
      <c r="B8695" s="1" t="n">
        <v>45219</v>
      </c>
      <c r="C8695" s="1" t="n">
        <v>45587</v>
      </c>
      <c r="D8695" t="inlineStr">
        <is>
          <t>GÄVLEBORGS LÄN</t>
        </is>
      </c>
      <c r="E8695" t="inlineStr">
        <is>
          <t>SÖDERHAMN</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51306-2023</t>
        </is>
      </c>
      <c r="B8696" s="1" t="n">
        <v>45219</v>
      </c>
      <c r="C8696" s="1" t="n">
        <v>45587</v>
      </c>
      <c r="D8696" t="inlineStr">
        <is>
          <t>GÄVLEBORGS LÄN</t>
        </is>
      </c>
      <c r="E8696" t="inlineStr">
        <is>
          <t>BOLLNÄS</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51439-2023</t>
        </is>
      </c>
      <c r="B8697" s="1" t="n">
        <v>45219</v>
      </c>
      <c r="C8697" s="1" t="n">
        <v>45587</v>
      </c>
      <c r="D8697" t="inlineStr">
        <is>
          <t>GÄVLEBORGS LÄN</t>
        </is>
      </c>
      <c r="E8697" t="inlineStr">
        <is>
          <t>NORDANSTIG</t>
        </is>
      </c>
      <c r="F8697" t="inlineStr">
        <is>
          <t>SCA</t>
        </is>
      </c>
      <c r="G8697" t="n">
        <v>9.5</v>
      </c>
      <c r="H8697" t="n">
        <v>0</v>
      </c>
      <c r="I8697" t="n">
        <v>0</v>
      </c>
      <c r="J8697" t="n">
        <v>0</v>
      </c>
      <c r="K8697" t="n">
        <v>0</v>
      </c>
      <c r="L8697" t="n">
        <v>0</v>
      </c>
      <c r="M8697" t="n">
        <v>0</v>
      </c>
      <c r="N8697" t="n">
        <v>0</v>
      </c>
      <c r="O8697" t="n">
        <v>0</v>
      </c>
      <c r="P8697" t="n">
        <v>0</v>
      </c>
      <c r="Q8697" t="n">
        <v>0</v>
      </c>
      <c r="R8697" s="2" t="inlineStr"/>
    </row>
    <row r="8698" ht="15" customHeight="1">
      <c r="A8698" t="inlineStr">
        <is>
          <t>A 51353-2023</t>
        </is>
      </c>
      <c r="B8698" s="1" t="n">
        <v>45219</v>
      </c>
      <c r="C8698" s="1" t="n">
        <v>45587</v>
      </c>
      <c r="D8698" t="inlineStr">
        <is>
          <t>GÄVLEBORGS LÄN</t>
        </is>
      </c>
      <c r="E8698" t="inlineStr">
        <is>
          <t>LJUSDAL</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51338-2023</t>
        </is>
      </c>
      <c r="B8699" s="1" t="n">
        <v>45219</v>
      </c>
      <c r="C8699" s="1" t="n">
        <v>45587</v>
      </c>
      <c r="D8699" t="inlineStr">
        <is>
          <t>GÄVLEBORGS LÄN</t>
        </is>
      </c>
      <c r="E8699" t="inlineStr">
        <is>
          <t>BOLLNÄS</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51249-2023</t>
        </is>
      </c>
      <c r="B8700" s="1" t="n">
        <v>45219</v>
      </c>
      <c r="C8700" s="1" t="n">
        <v>45587</v>
      </c>
      <c r="D8700" t="inlineStr">
        <is>
          <t>GÄVLEBORGS LÄN</t>
        </is>
      </c>
      <c r="E8700" t="inlineStr">
        <is>
          <t>GÄVLE</t>
        </is>
      </c>
      <c r="G8700" t="n">
        <v>3.1</v>
      </c>
      <c r="H8700" t="n">
        <v>0</v>
      </c>
      <c r="I8700" t="n">
        <v>0</v>
      </c>
      <c r="J8700" t="n">
        <v>0</v>
      </c>
      <c r="K8700" t="n">
        <v>0</v>
      </c>
      <c r="L8700" t="n">
        <v>0</v>
      </c>
      <c r="M8700" t="n">
        <v>0</v>
      </c>
      <c r="N8700" t="n">
        <v>0</v>
      </c>
      <c r="O8700" t="n">
        <v>0</v>
      </c>
      <c r="P8700" t="n">
        <v>0</v>
      </c>
      <c r="Q8700" t="n">
        <v>0</v>
      </c>
      <c r="R8700" s="2" t="inlineStr"/>
    </row>
    <row r="8701" ht="15" customHeight="1">
      <c r="A8701" t="inlineStr">
        <is>
          <t>A 51244-2023</t>
        </is>
      </c>
      <c r="B8701" s="1" t="n">
        <v>45219</v>
      </c>
      <c r="C8701" s="1" t="n">
        <v>45587</v>
      </c>
      <c r="D8701" t="inlineStr">
        <is>
          <t>GÄVLEBORGS LÄN</t>
        </is>
      </c>
      <c r="E8701" t="inlineStr">
        <is>
          <t>BOLLNÄS</t>
        </is>
      </c>
      <c r="G8701" t="n">
        <v>1</v>
      </c>
      <c r="H8701" t="n">
        <v>0</v>
      </c>
      <c r="I8701" t="n">
        <v>0</v>
      </c>
      <c r="J8701" t="n">
        <v>0</v>
      </c>
      <c r="K8701" t="n">
        <v>0</v>
      </c>
      <c r="L8701" t="n">
        <v>0</v>
      </c>
      <c r="M8701" t="n">
        <v>0</v>
      </c>
      <c r="N8701" t="n">
        <v>0</v>
      </c>
      <c r="O8701" t="n">
        <v>0</v>
      </c>
      <c r="P8701" t="n">
        <v>0</v>
      </c>
      <c r="Q8701" t="n">
        <v>0</v>
      </c>
      <c r="R8701" s="2" t="inlineStr"/>
      <c r="U8701">
        <f>HYPERLINK("https://klasma.github.io/Logging_2183/knärot/A 51244-2023 karta knärot.png", "A 51244-2023")</f>
        <v/>
      </c>
      <c r="V8701">
        <f>HYPERLINK("https://klasma.github.io/Logging_2183/klagomål/A 51244-2023 FSC-klagomål.docx", "A 51244-2023")</f>
        <v/>
      </c>
      <c r="W8701">
        <f>HYPERLINK("https://klasma.github.io/Logging_2183/klagomålsmail/A 51244-2023 FSC-klagomål mail.docx", "A 51244-2023")</f>
        <v/>
      </c>
      <c r="X8701">
        <f>HYPERLINK("https://klasma.github.io/Logging_2183/tillsyn/A 51244-2023 tillsynsbegäran.docx", "A 51244-2023")</f>
        <v/>
      </c>
      <c r="Y8701">
        <f>HYPERLINK("https://klasma.github.io/Logging_2183/tillsynsmail/A 51244-2023 tillsynsbegäran mail.docx", "A 51244-2023")</f>
        <v/>
      </c>
    </row>
    <row r="8702" ht="15" customHeight="1">
      <c r="A8702" t="inlineStr">
        <is>
          <t>A 51227-2023</t>
        </is>
      </c>
      <c r="B8702" s="1" t="n">
        <v>45219</v>
      </c>
      <c r="C8702" s="1" t="n">
        <v>45587</v>
      </c>
      <c r="D8702" t="inlineStr">
        <is>
          <t>GÄVLEBORGS LÄN</t>
        </is>
      </c>
      <c r="E8702" t="inlineStr">
        <is>
          <t>NORDANSTIG</t>
        </is>
      </c>
      <c r="G8702" t="n">
        <v>10.2</v>
      </c>
      <c r="H8702" t="n">
        <v>0</v>
      </c>
      <c r="I8702" t="n">
        <v>0</v>
      </c>
      <c r="J8702" t="n">
        <v>0</v>
      </c>
      <c r="K8702" t="n">
        <v>0</v>
      </c>
      <c r="L8702" t="n">
        <v>0</v>
      </c>
      <c r="M8702" t="n">
        <v>0</v>
      </c>
      <c r="N8702" t="n">
        <v>0</v>
      </c>
      <c r="O8702" t="n">
        <v>0</v>
      </c>
      <c r="P8702" t="n">
        <v>0</v>
      </c>
      <c r="Q8702" t="n">
        <v>0</v>
      </c>
      <c r="R8702" s="2" t="inlineStr"/>
    </row>
    <row r="8703" ht="15" customHeight="1">
      <c r="A8703" t="inlineStr">
        <is>
          <t>A 51210-2023</t>
        </is>
      </c>
      <c r="B8703" s="1" t="n">
        <v>45219</v>
      </c>
      <c r="C8703" s="1" t="n">
        <v>45587</v>
      </c>
      <c r="D8703" t="inlineStr">
        <is>
          <t>GÄVLEBORGS LÄN</t>
        </is>
      </c>
      <c r="E8703" t="inlineStr">
        <is>
          <t>HUDIKSVALL</t>
        </is>
      </c>
      <c r="G8703" t="n">
        <v>15.3</v>
      </c>
      <c r="H8703" t="n">
        <v>0</v>
      </c>
      <c r="I8703" t="n">
        <v>0</v>
      </c>
      <c r="J8703" t="n">
        <v>0</v>
      </c>
      <c r="K8703" t="n">
        <v>0</v>
      </c>
      <c r="L8703" t="n">
        <v>0</v>
      </c>
      <c r="M8703" t="n">
        <v>0</v>
      </c>
      <c r="N8703" t="n">
        <v>0</v>
      </c>
      <c r="O8703" t="n">
        <v>0</v>
      </c>
      <c r="P8703" t="n">
        <v>0</v>
      </c>
      <c r="Q8703" t="n">
        <v>0</v>
      </c>
      <c r="R8703" s="2" t="inlineStr"/>
    </row>
    <row r="8704" ht="15" customHeight="1">
      <c r="A8704" t="inlineStr">
        <is>
          <t>A 51116-2023</t>
        </is>
      </c>
      <c r="B8704" s="1" t="n">
        <v>45219</v>
      </c>
      <c r="C8704" s="1" t="n">
        <v>45587</v>
      </c>
      <c r="D8704" t="inlineStr">
        <is>
          <t>GÄVLEBORGS LÄN</t>
        </is>
      </c>
      <c r="E8704" t="inlineStr">
        <is>
          <t>LJUSDAL</t>
        </is>
      </c>
      <c r="G8704" t="n">
        <v>5.1</v>
      </c>
      <c r="H8704" t="n">
        <v>0</v>
      </c>
      <c r="I8704" t="n">
        <v>0</v>
      </c>
      <c r="J8704" t="n">
        <v>0</v>
      </c>
      <c r="K8704" t="n">
        <v>0</v>
      </c>
      <c r="L8704" t="n">
        <v>0</v>
      </c>
      <c r="M8704" t="n">
        <v>0</v>
      </c>
      <c r="N8704" t="n">
        <v>0</v>
      </c>
      <c r="O8704" t="n">
        <v>0</v>
      </c>
      <c r="P8704" t="n">
        <v>0</v>
      </c>
      <c r="Q8704" t="n">
        <v>0</v>
      </c>
      <c r="R8704" s="2" t="inlineStr"/>
    </row>
    <row r="8705" ht="15" customHeight="1">
      <c r="A8705" t="inlineStr">
        <is>
          <t>A 51241-2023</t>
        </is>
      </c>
      <c r="B8705" s="1" t="n">
        <v>45219</v>
      </c>
      <c r="C8705" s="1" t="n">
        <v>45587</v>
      </c>
      <c r="D8705" t="inlineStr">
        <is>
          <t>GÄVLEBORGS LÄN</t>
        </is>
      </c>
      <c r="E8705" t="inlineStr">
        <is>
          <t>HUDIKSVALL</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51247-2023</t>
        </is>
      </c>
      <c r="B8706" s="1" t="n">
        <v>45219</v>
      </c>
      <c r="C8706" s="1" t="n">
        <v>45587</v>
      </c>
      <c r="D8706" t="inlineStr">
        <is>
          <t>GÄVLEBORGS LÄN</t>
        </is>
      </c>
      <c r="E8706" t="inlineStr">
        <is>
          <t>BOLLNÄS</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51255-2023</t>
        </is>
      </c>
      <c r="B8707" s="1" t="n">
        <v>45219</v>
      </c>
      <c r="C8707" s="1" t="n">
        <v>45587</v>
      </c>
      <c r="D8707" t="inlineStr">
        <is>
          <t>GÄVLEBORGS LÄN</t>
        </is>
      </c>
      <c r="E8707" t="inlineStr">
        <is>
          <t>HUDIKSVALL</t>
        </is>
      </c>
      <c r="G8707" t="n">
        <v>4.2</v>
      </c>
      <c r="H8707" t="n">
        <v>0</v>
      </c>
      <c r="I8707" t="n">
        <v>0</v>
      </c>
      <c r="J8707" t="n">
        <v>0</v>
      </c>
      <c r="K8707" t="n">
        <v>0</v>
      </c>
      <c r="L8707" t="n">
        <v>0</v>
      </c>
      <c r="M8707" t="n">
        <v>0</v>
      </c>
      <c r="N8707" t="n">
        <v>0</v>
      </c>
      <c r="O8707" t="n">
        <v>0</v>
      </c>
      <c r="P8707" t="n">
        <v>0</v>
      </c>
      <c r="Q8707" t="n">
        <v>0</v>
      </c>
      <c r="R8707" s="2" t="inlineStr"/>
    </row>
    <row r="8708" ht="15" customHeight="1">
      <c r="A8708" t="inlineStr">
        <is>
          <t>A 51260-2023</t>
        </is>
      </c>
      <c r="B8708" s="1" t="n">
        <v>45219</v>
      </c>
      <c r="C8708" s="1" t="n">
        <v>45587</v>
      </c>
      <c r="D8708" t="inlineStr">
        <is>
          <t>GÄVLEBORGS LÄN</t>
        </is>
      </c>
      <c r="E8708" t="inlineStr">
        <is>
          <t>HUDIKSVALL</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51293-2023</t>
        </is>
      </c>
      <c r="B8709" s="1" t="n">
        <v>45219</v>
      </c>
      <c r="C8709" s="1" t="n">
        <v>45587</v>
      </c>
      <c r="D8709" t="inlineStr">
        <is>
          <t>GÄVLEBORGS LÄN</t>
        </is>
      </c>
      <c r="E8709" t="inlineStr">
        <is>
          <t>SÖDERHAMN</t>
        </is>
      </c>
      <c r="G8709" t="n">
        <v>7.2</v>
      </c>
      <c r="H8709" t="n">
        <v>0</v>
      </c>
      <c r="I8709" t="n">
        <v>0</v>
      </c>
      <c r="J8709" t="n">
        <v>0</v>
      </c>
      <c r="K8709" t="n">
        <v>0</v>
      </c>
      <c r="L8709" t="n">
        <v>0</v>
      </c>
      <c r="M8709" t="n">
        <v>0</v>
      </c>
      <c r="N8709" t="n">
        <v>0</v>
      </c>
      <c r="O8709" t="n">
        <v>0</v>
      </c>
      <c r="P8709" t="n">
        <v>0</v>
      </c>
      <c r="Q8709" t="n">
        <v>0</v>
      </c>
      <c r="R8709" s="2" t="inlineStr"/>
    </row>
    <row r="8710" ht="15" customHeight="1">
      <c r="A8710" t="inlineStr">
        <is>
          <t>A 51355-2023</t>
        </is>
      </c>
      <c r="B8710" s="1" t="n">
        <v>45219</v>
      </c>
      <c r="C8710" s="1" t="n">
        <v>45587</v>
      </c>
      <c r="D8710" t="inlineStr">
        <is>
          <t>GÄVLEBORGS LÄN</t>
        </is>
      </c>
      <c r="E8710" t="inlineStr">
        <is>
          <t>BOLLNÄS</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51234-2023</t>
        </is>
      </c>
      <c r="B8711" s="1" t="n">
        <v>45219</v>
      </c>
      <c r="C8711" s="1" t="n">
        <v>45587</v>
      </c>
      <c r="D8711" t="inlineStr">
        <is>
          <t>GÄVLEBORGS LÄN</t>
        </is>
      </c>
      <c r="E8711" t="inlineStr">
        <is>
          <t>OVANÅKER</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51257-2023</t>
        </is>
      </c>
      <c r="B8712" s="1" t="n">
        <v>45219</v>
      </c>
      <c r="C8712" s="1" t="n">
        <v>45587</v>
      </c>
      <c r="D8712" t="inlineStr">
        <is>
          <t>GÄVLEBORGS LÄN</t>
        </is>
      </c>
      <c r="E8712" t="inlineStr">
        <is>
          <t>BOLLNÄS</t>
        </is>
      </c>
      <c r="G8712" t="n">
        <v>4.1</v>
      </c>
      <c r="H8712" t="n">
        <v>0</v>
      </c>
      <c r="I8712" t="n">
        <v>0</v>
      </c>
      <c r="J8712" t="n">
        <v>0</v>
      </c>
      <c r="K8712" t="n">
        <v>0</v>
      </c>
      <c r="L8712" t="n">
        <v>0</v>
      </c>
      <c r="M8712" t="n">
        <v>0</v>
      </c>
      <c r="N8712" t="n">
        <v>0</v>
      </c>
      <c r="O8712" t="n">
        <v>0</v>
      </c>
      <c r="P8712" t="n">
        <v>0</v>
      </c>
      <c r="Q8712" t="n">
        <v>0</v>
      </c>
      <c r="R8712" s="2" t="inlineStr"/>
    </row>
    <row r="8713" ht="15" customHeight="1">
      <c r="A8713" t="inlineStr">
        <is>
          <t>A 51261-2023</t>
        </is>
      </c>
      <c r="B8713" s="1" t="n">
        <v>45219</v>
      </c>
      <c r="C8713" s="1" t="n">
        <v>45587</v>
      </c>
      <c r="D8713" t="inlineStr">
        <is>
          <t>GÄVLEBORGS LÄN</t>
        </is>
      </c>
      <c r="E8713" t="inlineStr">
        <is>
          <t>BOLLNÄS</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51322-2023</t>
        </is>
      </c>
      <c r="B8714" s="1" t="n">
        <v>45219</v>
      </c>
      <c r="C8714" s="1" t="n">
        <v>45587</v>
      </c>
      <c r="D8714" t="inlineStr">
        <is>
          <t>GÄVLEBORGS LÄN</t>
        </is>
      </c>
      <c r="E8714" t="inlineStr">
        <is>
          <t>BOLLNÄS</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51337-2023</t>
        </is>
      </c>
      <c r="B8715" s="1" t="n">
        <v>45219</v>
      </c>
      <c r="C8715" s="1" t="n">
        <v>45587</v>
      </c>
      <c r="D8715" t="inlineStr">
        <is>
          <t>GÄVLEBORGS LÄN</t>
        </is>
      </c>
      <c r="E8715" t="inlineStr">
        <is>
          <t>HOFORS</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51341-2023</t>
        </is>
      </c>
      <c r="B8716" s="1" t="n">
        <v>45219</v>
      </c>
      <c r="C8716" s="1" t="n">
        <v>45587</v>
      </c>
      <c r="D8716" t="inlineStr">
        <is>
          <t>GÄVLEBORGS LÄN</t>
        </is>
      </c>
      <c r="E8716" t="inlineStr">
        <is>
          <t>LJUSDAL</t>
        </is>
      </c>
      <c r="F8716" t="inlineStr">
        <is>
          <t>Sveaskog</t>
        </is>
      </c>
      <c r="G8716" t="n">
        <v>0.2</v>
      </c>
      <c r="H8716" t="n">
        <v>0</v>
      </c>
      <c r="I8716" t="n">
        <v>0</v>
      </c>
      <c r="J8716" t="n">
        <v>0</v>
      </c>
      <c r="K8716" t="n">
        <v>0</v>
      </c>
      <c r="L8716" t="n">
        <v>0</v>
      </c>
      <c r="M8716" t="n">
        <v>0</v>
      </c>
      <c r="N8716" t="n">
        <v>0</v>
      </c>
      <c r="O8716" t="n">
        <v>0</v>
      </c>
      <c r="P8716" t="n">
        <v>0</v>
      </c>
      <c r="Q8716" t="n">
        <v>0</v>
      </c>
      <c r="R8716" s="2" t="inlineStr"/>
    </row>
    <row r="8717" ht="15" customHeight="1">
      <c r="A8717" t="inlineStr">
        <is>
          <t>A 51454-2023</t>
        </is>
      </c>
      <c r="B8717" s="1" t="n">
        <v>45220</v>
      </c>
      <c r="C8717" s="1" t="n">
        <v>45587</v>
      </c>
      <c r="D8717" t="inlineStr">
        <is>
          <t>GÄVLEBORGS LÄN</t>
        </is>
      </c>
      <c r="E8717" t="inlineStr">
        <is>
          <t>GÄVLE</t>
        </is>
      </c>
      <c r="G8717" t="n">
        <v>10.9</v>
      </c>
      <c r="H8717" t="n">
        <v>0</v>
      </c>
      <c r="I8717" t="n">
        <v>0</v>
      </c>
      <c r="J8717" t="n">
        <v>0</v>
      </c>
      <c r="K8717" t="n">
        <v>0</v>
      </c>
      <c r="L8717" t="n">
        <v>0</v>
      </c>
      <c r="M8717" t="n">
        <v>0</v>
      </c>
      <c r="N8717" t="n">
        <v>0</v>
      </c>
      <c r="O8717" t="n">
        <v>0</v>
      </c>
      <c r="P8717" t="n">
        <v>0</v>
      </c>
      <c r="Q8717" t="n">
        <v>0</v>
      </c>
      <c r="R8717" s="2" t="inlineStr"/>
    </row>
    <row r="8718" ht="15" customHeight="1">
      <c r="A8718" t="inlineStr">
        <is>
          <t>A 51486-2023</t>
        </is>
      </c>
      <c r="B8718" s="1" t="n">
        <v>45222</v>
      </c>
      <c r="C8718" s="1" t="n">
        <v>45587</v>
      </c>
      <c r="D8718" t="inlineStr">
        <is>
          <t>GÄVLEBORGS LÄN</t>
        </is>
      </c>
      <c r="E8718" t="inlineStr">
        <is>
          <t>OVANÅKER</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51499-2023</t>
        </is>
      </c>
      <c r="B8719" s="1" t="n">
        <v>45222</v>
      </c>
      <c r="C8719" s="1" t="n">
        <v>45587</v>
      </c>
      <c r="D8719" t="inlineStr">
        <is>
          <t>GÄVLEBORGS LÄN</t>
        </is>
      </c>
      <c r="E8719" t="inlineStr">
        <is>
          <t>SANDVIKEN</t>
        </is>
      </c>
      <c r="F8719" t="inlineStr">
        <is>
          <t>Bergvik skog öst AB</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51492-2023</t>
        </is>
      </c>
      <c r="B8720" s="1" t="n">
        <v>45222</v>
      </c>
      <c r="C8720" s="1" t="n">
        <v>45587</v>
      </c>
      <c r="D8720" t="inlineStr">
        <is>
          <t>GÄVLEBORGS LÄN</t>
        </is>
      </c>
      <c r="E8720" t="inlineStr">
        <is>
          <t>SÖDERHAMN</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51538-2023</t>
        </is>
      </c>
      <c r="B8721" s="1" t="n">
        <v>45222</v>
      </c>
      <c r="C8721" s="1" t="n">
        <v>45587</v>
      </c>
      <c r="D8721" t="inlineStr">
        <is>
          <t>GÄVLEBORGS LÄN</t>
        </is>
      </c>
      <c r="E8721" t="inlineStr">
        <is>
          <t>LJUSDAL</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51560-2023</t>
        </is>
      </c>
      <c r="B8722" s="1" t="n">
        <v>45222</v>
      </c>
      <c r="C8722" s="1" t="n">
        <v>45587</v>
      </c>
      <c r="D8722" t="inlineStr">
        <is>
          <t>GÄVLEBORGS LÄN</t>
        </is>
      </c>
      <c r="E8722" t="inlineStr">
        <is>
          <t>NORDANSTIG</t>
        </is>
      </c>
      <c r="G8722" t="n">
        <v>26.9</v>
      </c>
      <c r="H8722" t="n">
        <v>0</v>
      </c>
      <c r="I8722" t="n">
        <v>0</v>
      </c>
      <c r="J8722" t="n">
        <v>0</v>
      </c>
      <c r="K8722" t="n">
        <v>0</v>
      </c>
      <c r="L8722" t="n">
        <v>0</v>
      </c>
      <c r="M8722" t="n">
        <v>0</v>
      </c>
      <c r="N8722" t="n">
        <v>0</v>
      </c>
      <c r="O8722" t="n">
        <v>0</v>
      </c>
      <c r="P8722" t="n">
        <v>0</v>
      </c>
      <c r="Q8722" t="n">
        <v>0</v>
      </c>
      <c r="R8722" s="2" t="inlineStr"/>
    </row>
    <row r="8723" ht="15" customHeight="1">
      <c r="A8723" t="inlineStr">
        <is>
          <t>A 51568-2023</t>
        </is>
      </c>
      <c r="B8723" s="1" t="n">
        <v>45222</v>
      </c>
      <c r="C8723" s="1" t="n">
        <v>45587</v>
      </c>
      <c r="D8723" t="inlineStr">
        <is>
          <t>GÄVLEBORGS LÄN</t>
        </is>
      </c>
      <c r="E8723" t="inlineStr">
        <is>
          <t>SANDVIKEN</t>
        </is>
      </c>
      <c r="F8723" t="inlineStr">
        <is>
          <t>Bergvik skog öst AB</t>
        </is>
      </c>
      <c r="G8723" t="n">
        <v>8.699999999999999</v>
      </c>
      <c r="H8723" t="n">
        <v>0</v>
      </c>
      <c r="I8723" t="n">
        <v>0</v>
      </c>
      <c r="J8723" t="n">
        <v>0</v>
      </c>
      <c r="K8723" t="n">
        <v>0</v>
      </c>
      <c r="L8723" t="n">
        <v>0</v>
      </c>
      <c r="M8723" t="n">
        <v>0</v>
      </c>
      <c r="N8723" t="n">
        <v>0</v>
      </c>
      <c r="O8723" t="n">
        <v>0</v>
      </c>
      <c r="P8723" t="n">
        <v>0</v>
      </c>
      <c r="Q8723" t="n">
        <v>0</v>
      </c>
      <c r="R8723" s="2" t="inlineStr"/>
    </row>
    <row r="8724" ht="15" customHeight="1">
      <c r="A8724" t="inlineStr">
        <is>
          <t>A 51743-2023</t>
        </is>
      </c>
      <c r="B8724" s="1" t="n">
        <v>45222</v>
      </c>
      <c r="C8724" s="1" t="n">
        <v>45587</v>
      </c>
      <c r="D8724" t="inlineStr">
        <is>
          <t>GÄVLEBORGS LÄN</t>
        </is>
      </c>
      <c r="E8724" t="inlineStr">
        <is>
          <t>NORDANSTIG</t>
        </is>
      </c>
      <c r="G8724" t="n">
        <v>6.1</v>
      </c>
      <c r="H8724" t="n">
        <v>0</v>
      </c>
      <c r="I8724" t="n">
        <v>0</v>
      </c>
      <c r="J8724" t="n">
        <v>0</v>
      </c>
      <c r="K8724" t="n">
        <v>0</v>
      </c>
      <c r="L8724" t="n">
        <v>0</v>
      </c>
      <c r="M8724" t="n">
        <v>0</v>
      </c>
      <c r="N8724" t="n">
        <v>0</v>
      </c>
      <c r="O8724" t="n">
        <v>0</v>
      </c>
      <c r="P8724" t="n">
        <v>0</v>
      </c>
      <c r="Q8724" t="n">
        <v>0</v>
      </c>
      <c r="R8724" s="2" t="inlineStr"/>
    </row>
    <row r="8725" ht="15" customHeight="1">
      <c r="A8725" t="inlineStr">
        <is>
          <t>A 51483-2023</t>
        </is>
      </c>
      <c r="B8725" s="1" t="n">
        <v>45222</v>
      </c>
      <c r="C8725" s="1" t="n">
        <v>45587</v>
      </c>
      <c r="D8725" t="inlineStr">
        <is>
          <t>GÄVLEBORGS LÄN</t>
        </is>
      </c>
      <c r="E8725" t="inlineStr">
        <is>
          <t>BOLLNÄS</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51487-2023</t>
        </is>
      </c>
      <c r="B8726" s="1" t="n">
        <v>45222</v>
      </c>
      <c r="C8726" s="1" t="n">
        <v>45587</v>
      </c>
      <c r="D8726" t="inlineStr">
        <is>
          <t>GÄVLEBORGS LÄN</t>
        </is>
      </c>
      <c r="E8726" t="inlineStr">
        <is>
          <t>OVANÅKER</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51726-2023</t>
        </is>
      </c>
      <c r="B8727" s="1" t="n">
        <v>45222</v>
      </c>
      <c r="C8727" s="1" t="n">
        <v>45587</v>
      </c>
      <c r="D8727" t="inlineStr">
        <is>
          <t>GÄVLEBORGS LÄN</t>
        </is>
      </c>
      <c r="E8727" t="inlineStr">
        <is>
          <t>OCKELBO</t>
        </is>
      </c>
      <c r="F8727" t="inlineStr">
        <is>
          <t>Bergvik skog väst AB</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51740-2023</t>
        </is>
      </c>
      <c r="B8728" s="1" t="n">
        <v>45222</v>
      </c>
      <c r="C8728" s="1" t="n">
        <v>45587</v>
      </c>
      <c r="D8728" t="inlineStr">
        <is>
          <t>GÄVLEBORGS LÄN</t>
        </is>
      </c>
      <c r="E8728" t="inlineStr">
        <is>
          <t>NORDANSTIG</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51732-2023</t>
        </is>
      </c>
      <c r="B8729" s="1" t="n">
        <v>45222</v>
      </c>
      <c r="C8729" s="1" t="n">
        <v>45587</v>
      </c>
      <c r="D8729" t="inlineStr">
        <is>
          <t>GÄVLEBORGS LÄN</t>
        </is>
      </c>
      <c r="E8729" t="inlineStr">
        <is>
          <t>OCKELBO</t>
        </is>
      </c>
      <c r="F8729" t="inlineStr">
        <is>
          <t>Bergvik skog väst AB</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51797-2023</t>
        </is>
      </c>
      <c r="B8730" s="1" t="n">
        <v>45222</v>
      </c>
      <c r="C8730" s="1" t="n">
        <v>45587</v>
      </c>
      <c r="D8730" t="inlineStr">
        <is>
          <t>GÄVLEBORGS LÄN</t>
        </is>
      </c>
      <c r="E8730" t="inlineStr">
        <is>
          <t>BOLLNÄS</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51525-2023</t>
        </is>
      </c>
      <c r="B8731" s="1" t="n">
        <v>45222</v>
      </c>
      <c r="C8731" s="1" t="n">
        <v>45587</v>
      </c>
      <c r="D8731" t="inlineStr">
        <is>
          <t>GÄVLEBORGS LÄN</t>
        </is>
      </c>
      <c r="E8731" t="inlineStr">
        <is>
          <t>LJUSDAL</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51719-2023</t>
        </is>
      </c>
      <c r="B8732" s="1" t="n">
        <v>45222</v>
      </c>
      <c r="C8732" s="1" t="n">
        <v>45587</v>
      </c>
      <c r="D8732" t="inlineStr">
        <is>
          <t>GÄVLEBORGS LÄN</t>
        </is>
      </c>
      <c r="E8732" t="inlineStr">
        <is>
          <t>HUDIKSVALL</t>
        </is>
      </c>
      <c r="F8732" t="inlineStr">
        <is>
          <t>Holmen skog AB</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51750-2023</t>
        </is>
      </c>
      <c r="B8733" s="1" t="n">
        <v>45222</v>
      </c>
      <c r="C8733" s="1" t="n">
        <v>45587</v>
      </c>
      <c r="D8733" t="inlineStr">
        <is>
          <t>GÄVLEBORGS LÄN</t>
        </is>
      </c>
      <c r="E8733" t="inlineStr">
        <is>
          <t>NORDANSTIG</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51798-2023</t>
        </is>
      </c>
      <c r="B8734" s="1" t="n">
        <v>45222</v>
      </c>
      <c r="C8734" s="1" t="n">
        <v>45587</v>
      </c>
      <c r="D8734" t="inlineStr">
        <is>
          <t>GÄVLEBORGS LÄN</t>
        </is>
      </c>
      <c r="E8734" t="inlineStr">
        <is>
          <t>LJUSDAL</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51904-2023</t>
        </is>
      </c>
      <c r="B8735" s="1" t="n">
        <v>45223</v>
      </c>
      <c r="C8735" s="1" t="n">
        <v>45587</v>
      </c>
      <c r="D8735" t="inlineStr">
        <is>
          <t>GÄVLEBORGS LÄN</t>
        </is>
      </c>
      <c r="E8735" t="inlineStr">
        <is>
          <t>SÖDERHAMN</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51922-2023</t>
        </is>
      </c>
      <c r="B8736" s="1" t="n">
        <v>45223</v>
      </c>
      <c r="C8736" s="1" t="n">
        <v>45587</v>
      </c>
      <c r="D8736" t="inlineStr">
        <is>
          <t>GÄVLEBORGS LÄN</t>
        </is>
      </c>
      <c r="E8736" t="inlineStr">
        <is>
          <t>SÖDERHAMN</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51949-2023</t>
        </is>
      </c>
      <c r="B8737" s="1" t="n">
        <v>45223</v>
      </c>
      <c r="C8737" s="1" t="n">
        <v>45587</v>
      </c>
      <c r="D8737" t="inlineStr">
        <is>
          <t>GÄVLEBORGS LÄN</t>
        </is>
      </c>
      <c r="E8737" t="inlineStr">
        <is>
          <t>BOLLNÄS</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51981-2023</t>
        </is>
      </c>
      <c r="B8738" s="1" t="n">
        <v>45223</v>
      </c>
      <c r="C8738" s="1" t="n">
        <v>45587</v>
      </c>
      <c r="D8738" t="inlineStr">
        <is>
          <t>GÄVLEBORGS LÄN</t>
        </is>
      </c>
      <c r="E8738" t="inlineStr">
        <is>
          <t>HUDIKSVALL</t>
        </is>
      </c>
      <c r="F8738" t="inlineStr">
        <is>
          <t>Holmen skog AB</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52000-2023</t>
        </is>
      </c>
      <c r="B8739" s="1" t="n">
        <v>45223</v>
      </c>
      <c r="C8739" s="1" t="n">
        <v>45587</v>
      </c>
      <c r="D8739" t="inlineStr">
        <is>
          <t>GÄVLEBORGS LÄN</t>
        </is>
      </c>
      <c r="E8739" t="inlineStr">
        <is>
          <t>SANDVIKEN</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52009-2023</t>
        </is>
      </c>
      <c r="B8740" s="1" t="n">
        <v>45223</v>
      </c>
      <c r="C8740" s="1" t="n">
        <v>45587</v>
      </c>
      <c r="D8740" t="inlineStr">
        <is>
          <t>GÄVLEBORGS LÄN</t>
        </is>
      </c>
      <c r="E8740" t="inlineStr">
        <is>
          <t>SANDVIKEN</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51850-2023</t>
        </is>
      </c>
      <c r="B8741" s="1" t="n">
        <v>45223</v>
      </c>
      <c r="C8741" s="1" t="n">
        <v>45587</v>
      </c>
      <c r="D8741" t="inlineStr">
        <is>
          <t>GÄVLEBORGS LÄN</t>
        </is>
      </c>
      <c r="E8741" t="inlineStr">
        <is>
          <t>OVANÅKER</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51854-2023</t>
        </is>
      </c>
      <c r="B8742" s="1" t="n">
        <v>45223</v>
      </c>
      <c r="C8742" s="1" t="n">
        <v>45587</v>
      </c>
      <c r="D8742" t="inlineStr">
        <is>
          <t>GÄVLEBORGS LÄN</t>
        </is>
      </c>
      <c r="E8742" t="inlineStr">
        <is>
          <t>OVANÅKER</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51892-2023</t>
        </is>
      </c>
      <c r="B8743" s="1" t="n">
        <v>45223</v>
      </c>
      <c r="C8743" s="1" t="n">
        <v>45587</v>
      </c>
      <c r="D8743" t="inlineStr">
        <is>
          <t>GÄVLEBORGS LÄN</t>
        </is>
      </c>
      <c r="E8743" t="inlineStr">
        <is>
          <t>SÖDERHAMN</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51952-2023</t>
        </is>
      </c>
      <c r="B8744" s="1" t="n">
        <v>45223</v>
      </c>
      <c r="C8744" s="1" t="n">
        <v>45587</v>
      </c>
      <c r="D8744" t="inlineStr">
        <is>
          <t>GÄVLEBORGS LÄN</t>
        </is>
      </c>
      <c r="E8744" t="inlineStr">
        <is>
          <t>BOLLNÄS</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52091-2023</t>
        </is>
      </c>
      <c r="B8745" s="1" t="n">
        <v>45223</v>
      </c>
      <c r="C8745" s="1" t="n">
        <v>45587</v>
      </c>
      <c r="D8745" t="inlineStr">
        <is>
          <t>GÄVLEBORGS LÄN</t>
        </is>
      </c>
      <c r="E8745" t="inlineStr">
        <is>
          <t>SÖDERHAMN</t>
        </is>
      </c>
      <c r="G8745" t="n">
        <v>4.5</v>
      </c>
      <c r="H8745" t="n">
        <v>0</v>
      </c>
      <c r="I8745" t="n">
        <v>0</v>
      </c>
      <c r="J8745" t="n">
        <v>0</v>
      </c>
      <c r="K8745" t="n">
        <v>0</v>
      </c>
      <c r="L8745" t="n">
        <v>0</v>
      </c>
      <c r="M8745" t="n">
        <v>0</v>
      </c>
      <c r="N8745" t="n">
        <v>0</v>
      </c>
      <c r="O8745" t="n">
        <v>0</v>
      </c>
      <c r="P8745" t="n">
        <v>0</v>
      </c>
      <c r="Q8745" t="n">
        <v>0</v>
      </c>
      <c r="R8745" s="2" t="inlineStr"/>
    </row>
    <row r="8746" ht="15" customHeight="1">
      <c r="A8746" t="inlineStr">
        <is>
          <t>A 51838-2023</t>
        </is>
      </c>
      <c r="B8746" s="1" t="n">
        <v>45223</v>
      </c>
      <c r="C8746" s="1" t="n">
        <v>45587</v>
      </c>
      <c r="D8746" t="inlineStr">
        <is>
          <t>GÄVLEBORGS LÄN</t>
        </is>
      </c>
      <c r="E8746" t="inlineStr">
        <is>
          <t>GÄVLE</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51866-2023</t>
        </is>
      </c>
      <c r="B8747" s="1" t="n">
        <v>45223</v>
      </c>
      <c r="C8747" s="1" t="n">
        <v>45587</v>
      </c>
      <c r="D8747" t="inlineStr">
        <is>
          <t>GÄVLEBORGS LÄN</t>
        </is>
      </c>
      <c r="E8747" t="inlineStr">
        <is>
          <t>BOLLNÄS</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51924-2023</t>
        </is>
      </c>
      <c r="B8748" s="1" t="n">
        <v>45223</v>
      </c>
      <c r="C8748" s="1" t="n">
        <v>45587</v>
      </c>
      <c r="D8748" t="inlineStr">
        <is>
          <t>GÄVLEBORGS LÄN</t>
        </is>
      </c>
      <c r="E8748" t="inlineStr">
        <is>
          <t>OVANÅKER</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51965-2023</t>
        </is>
      </c>
      <c r="B8749" s="1" t="n">
        <v>45223</v>
      </c>
      <c r="C8749" s="1" t="n">
        <v>45587</v>
      </c>
      <c r="D8749" t="inlineStr">
        <is>
          <t>GÄVLEBORGS LÄN</t>
        </is>
      </c>
      <c r="E8749" t="inlineStr">
        <is>
          <t>BOLLNÄS</t>
        </is>
      </c>
      <c r="F8749" t="inlineStr">
        <is>
          <t>Bergvik skog väst AB</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51989-2023</t>
        </is>
      </c>
      <c r="B8750" s="1" t="n">
        <v>45223</v>
      </c>
      <c r="C8750" s="1" t="n">
        <v>45587</v>
      </c>
      <c r="D8750" t="inlineStr">
        <is>
          <t>GÄVLEBORGS LÄN</t>
        </is>
      </c>
      <c r="E8750" t="inlineStr">
        <is>
          <t>OCKELBO</t>
        </is>
      </c>
      <c r="F8750" t="inlineStr">
        <is>
          <t>Bergvik skog väst AB</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51998-2023</t>
        </is>
      </c>
      <c r="B8751" s="1" t="n">
        <v>45223</v>
      </c>
      <c r="C8751" s="1" t="n">
        <v>45587</v>
      </c>
      <c r="D8751" t="inlineStr">
        <is>
          <t>GÄVLEBORGS LÄN</t>
        </is>
      </c>
      <c r="E8751" t="inlineStr">
        <is>
          <t>NORDANSTIG</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52051-2023</t>
        </is>
      </c>
      <c r="B8752" s="1" t="n">
        <v>45223</v>
      </c>
      <c r="C8752" s="1" t="n">
        <v>45587</v>
      </c>
      <c r="D8752" t="inlineStr">
        <is>
          <t>GÄVLEBORGS LÄN</t>
        </is>
      </c>
      <c r="E8752" t="inlineStr">
        <is>
          <t>NORDANSTIG</t>
        </is>
      </c>
      <c r="F8752" t="inlineStr">
        <is>
          <t>Holmen skog AB</t>
        </is>
      </c>
      <c r="G8752" t="n">
        <v>4</v>
      </c>
      <c r="H8752" t="n">
        <v>0</v>
      </c>
      <c r="I8752" t="n">
        <v>0</v>
      </c>
      <c r="J8752" t="n">
        <v>0</v>
      </c>
      <c r="K8752" t="n">
        <v>0</v>
      </c>
      <c r="L8752" t="n">
        <v>0</v>
      </c>
      <c r="M8752" t="n">
        <v>0</v>
      </c>
      <c r="N8752" t="n">
        <v>0</v>
      </c>
      <c r="O8752" t="n">
        <v>0</v>
      </c>
      <c r="P8752" t="n">
        <v>0</v>
      </c>
      <c r="Q8752" t="n">
        <v>0</v>
      </c>
      <c r="R8752" s="2" t="inlineStr"/>
    </row>
    <row r="8753" ht="15" customHeight="1">
      <c r="A8753" t="inlineStr">
        <is>
          <t>A 52090-2023</t>
        </is>
      </c>
      <c r="B8753" s="1" t="n">
        <v>45223</v>
      </c>
      <c r="C8753" s="1" t="n">
        <v>45587</v>
      </c>
      <c r="D8753" t="inlineStr">
        <is>
          <t>GÄVLEBORGS LÄN</t>
        </is>
      </c>
      <c r="E8753" t="inlineStr">
        <is>
          <t>SÖDERHAMN</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51861-2023</t>
        </is>
      </c>
      <c r="B8754" s="1" t="n">
        <v>45223</v>
      </c>
      <c r="C8754" s="1" t="n">
        <v>45587</v>
      </c>
      <c r="D8754" t="inlineStr">
        <is>
          <t>GÄVLEBORGS LÄN</t>
        </is>
      </c>
      <c r="E8754" t="inlineStr">
        <is>
          <t>OVANÅKER</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51876-2023</t>
        </is>
      </c>
      <c r="B8755" s="1" t="n">
        <v>45223</v>
      </c>
      <c r="C8755" s="1" t="n">
        <v>45587</v>
      </c>
      <c r="D8755" t="inlineStr">
        <is>
          <t>GÄVLEBORGS LÄN</t>
        </is>
      </c>
      <c r="E8755" t="inlineStr">
        <is>
          <t>GÄVLE</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51894-2023</t>
        </is>
      </c>
      <c r="B8756" s="1" t="n">
        <v>45223</v>
      </c>
      <c r="C8756" s="1" t="n">
        <v>45587</v>
      </c>
      <c r="D8756" t="inlineStr">
        <is>
          <t>GÄVLEBORGS LÄN</t>
        </is>
      </c>
      <c r="E8756" t="inlineStr">
        <is>
          <t>BOLLNÄS</t>
        </is>
      </c>
      <c r="G8756" t="n">
        <v>4.9</v>
      </c>
      <c r="H8756" t="n">
        <v>0</v>
      </c>
      <c r="I8756" t="n">
        <v>0</v>
      </c>
      <c r="J8756" t="n">
        <v>0</v>
      </c>
      <c r="K8756" t="n">
        <v>0</v>
      </c>
      <c r="L8756" t="n">
        <v>0</v>
      </c>
      <c r="M8756" t="n">
        <v>0</v>
      </c>
      <c r="N8756" t="n">
        <v>0</v>
      </c>
      <c r="O8756" t="n">
        <v>0</v>
      </c>
      <c r="P8756" t="n">
        <v>0</v>
      </c>
      <c r="Q8756" t="n">
        <v>0</v>
      </c>
      <c r="R8756" s="2" t="inlineStr"/>
    </row>
    <row r="8757" ht="15" customHeight="1">
      <c r="A8757" t="inlineStr">
        <is>
          <t>A 51930-2023</t>
        </is>
      </c>
      <c r="B8757" s="1" t="n">
        <v>45223</v>
      </c>
      <c r="C8757" s="1" t="n">
        <v>45587</v>
      </c>
      <c r="D8757" t="inlineStr">
        <is>
          <t>GÄVLEBORGS LÄN</t>
        </is>
      </c>
      <c r="E8757" t="inlineStr">
        <is>
          <t>NORDANSTIG</t>
        </is>
      </c>
      <c r="F8757" t="inlineStr">
        <is>
          <t>Holmen skog AB</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51977-2023</t>
        </is>
      </c>
      <c r="B8758" s="1" t="n">
        <v>45223</v>
      </c>
      <c r="C8758" s="1" t="n">
        <v>45587</v>
      </c>
      <c r="D8758" t="inlineStr">
        <is>
          <t>GÄVLEBORGS LÄN</t>
        </is>
      </c>
      <c r="E8758" t="inlineStr">
        <is>
          <t>OCKELBO</t>
        </is>
      </c>
      <c r="F8758" t="inlineStr">
        <is>
          <t>Bergvik skog väst AB</t>
        </is>
      </c>
      <c r="G8758" t="n">
        <v>3</v>
      </c>
      <c r="H8758" t="n">
        <v>0</v>
      </c>
      <c r="I8758" t="n">
        <v>0</v>
      </c>
      <c r="J8758" t="n">
        <v>0</v>
      </c>
      <c r="K8758" t="n">
        <v>0</v>
      </c>
      <c r="L8758" t="n">
        <v>0</v>
      </c>
      <c r="M8758" t="n">
        <v>0</v>
      </c>
      <c r="N8758" t="n">
        <v>0</v>
      </c>
      <c r="O8758" t="n">
        <v>0</v>
      </c>
      <c r="P8758" t="n">
        <v>0</v>
      </c>
      <c r="Q8758" t="n">
        <v>0</v>
      </c>
      <c r="R8758" s="2" t="inlineStr"/>
    </row>
    <row r="8759" ht="15" customHeight="1">
      <c r="A8759" t="inlineStr">
        <is>
          <t>A 51982-2023</t>
        </is>
      </c>
      <c r="B8759" s="1" t="n">
        <v>45223</v>
      </c>
      <c r="C8759" s="1" t="n">
        <v>45587</v>
      </c>
      <c r="D8759" t="inlineStr">
        <is>
          <t>GÄVLEBORGS LÄN</t>
        </is>
      </c>
      <c r="E8759" t="inlineStr">
        <is>
          <t>SANDVIKEN</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52014-2023</t>
        </is>
      </c>
      <c r="B8760" s="1" t="n">
        <v>45223</v>
      </c>
      <c r="C8760" s="1" t="n">
        <v>45587</v>
      </c>
      <c r="D8760" t="inlineStr">
        <is>
          <t>GÄVLEBORGS LÄN</t>
        </is>
      </c>
      <c r="E8760" t="inlineStr">
        <is>
          <t>HUDIKSVALL</t>
        </is>
      </c>
      <c r="F8760" t="inlineStr">
        <is>
          <t>Holmen skog AB</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52045-2023</t>
        </is>
      </c>
      <c r="B8761" s="1" t="n">
        <v>45223</v>
      </c>
      <c r="C8761" s="1" t="n">
        <v>45587</v>
      </c>
      <c r="D8761" t="inlineStr">
        <is>
          <t>GÄVLEBORGS LÄN</t>
        </is>
      </c>
      <c r="E8761" t="inlineStr">
        <is>
          <t>BOLLNÄS</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52057-2023</t>
        </is>
      </c>
      <c r="B8762" s="1" t="n">
        <v>45223</v>
      </c>
      <c r="C8762" s="1" t="n">
        <v>45587</v>
      </c>
      <c r="D8762" t="inlineStr">
        <is>
          <t>GÄVLEBORGS LÄN</t>
        </is>
      </c>
      <c r="E8762" t="inlineStr">
        <is>
          <t>LJUSDAL</t>
        </is>
      </c>
      <c r="G8762" t="n">
        <v>4.7</v>
      </c>
      <c r="H8762" t="n">
        <v>0</v>
      </c>
      <c r="I8762" t="n">
        <v>0</v>
      </c>
      <c r="J8762" t="n">
        <v>0</v>
      </c>
      <c r="K8762" t="n">
        <v>0</v>
      </c>
      <c r="L8762" t="n">
        <v>0</v>
      </c>
      <c r="M8762" t="n">
        <v>0</v>
      </c>
      <c r="N8762" t="n">
        <v>0</v>
      </c>
      <c r="O8762" t="n">
        <v>0</v>
      </c>
      <c r="P8762" t="n">
        <v>0</v>
      </c>
      <c r="Q8762" t="n">
        <v>0</v>
      </c>
      <c r="R8762" s="2" t="inlineStr"/>
    </row>
    <row r="8763" ht="15" customHeight="1">
      <c r="A8763" t="inlineStr">
        <is>
          <t>A 52092-2023</t>
        </is>
      </c>
      <c r="B8763" s="1" t="n">
        <v>45223</v>
      </c>
      <c r="C8763" s="1" t="n">
        <v>45587</v>
      </c>
      <c r="D8763" t="inlineStr">
        <is>
          <t>GÄVLEBORGS LÄN</t>
        </is>
      </c>
      <c r="E8763" t="inlineStr">
        <is>
          <t>SÖDERHAMN</t>
        </is>
      </c>
      <c r="G8763" t="n">
        <v>3.6</v>
      </c>
      <c r="H8763" t="n">
        <v>0</v>
      </c>
      <c r="I8763" t="n">
        <v>0</v>
      </c>
      <c r="J8763" t="n">
        <v>0</v>
      </c>
      <c r="K8763" t="n">
        <v>0</v>
      </c>
      <c r="L8763" t="n">
        <v>0</v>
      </c>
      <c r="M8763" t="n">
        <v>0</v>
      </c>
      <c r="N8763" t="n">
        <v>0</v>
      </c>
      <c r="O8763" t="n">
        <v>0</v>
      </c>
      <c r="P8763" t="n">
        <v>0</v>
      </c>
      <c r="Q8763" t="n">
        <v>0</v>
      </c>
      <c r="R8763" s="2" t="inlineStr"/>
    </row>
    <row r="8764" ht="15" customHeight="1">
      <c r="A8764" t="inlineStr">
        <is>
          <t>A 52093-2023</t>
        </is>
      </c>
      <c r="B8764" s="1" t="n">
        <v>45223</v>
      </c>
      <c r="C8764" s="1" t="n">
        <v>45587</v>
      </c>
      <c r="D8764" t="inlineStr">
        <is>
          <t>GÄVLEBORGS LÄN</t>
        </is>
      </c>
      <c r="E8764" t="inlineStr">
        <is>
          <t>SANDVIKEN</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53508-2023</t>
        </is>
      </c>
      <c r="B8765" s="1" t="n">
        <v>45223</v>
      </c>
      <c r="C8765" s="1" t="n">
        <v>45587</v>
      </c>
      <c r="D8765" t="inlineStr">
        <is>
          <t>GÄVLEBORGS LÄN</t>
        </is>
      </c>
      <c r="E8765" t="inlineStr">
        <is>
          <t>OVANÅKER</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53384-2023</t>
        </is>
      </c>
      <c r="B8766" s="1" t="n">
        <v>45223</v>
      </c>
      <c r="C8766" s="1" t="n">
        <v>45587</v>
      </c>
      <c r="D8766" t="inlineStr">
        <is>
          <t>GÄVLEBORGS LÄN</t>
        </is>
      </c>
      <c r="E8766" t="inlineStr">
        <is>
          <t>BOLLNÄS</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53506-2023</t>
        </is>
      </c>
      <c r="B8767" s="1" t="n">
        <v>45223</v>
      </c>
      <c r="C8767" s="1" t="n">
        <v>45587</v>
      </c>
      <c r="D8767" t="inlineStr">
        <is>
          <t>GÄVLEBORGS LÄN</t>
        </is>
      </c>
      <c r="E8767" t="inlineStr">
        <is>
          <t>OVANÅKER</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52145-2023</t>
        </is>
      </c>
      <c r="B8768" s="1" t="n">
        <v>45224</v>
      </c>
      <c r="C8768" s="1" t="n">
        <v>45587</v>
      </c>
      <c r="D8768" t="inlineStr">
        <is>
          <t>GÄVLEBORGS LÄN</t>
        </is>
      </c>
      <c r="E8768" t="inlineStr">
        <is>
          <t>LJUSDAL</t>
        </is>
      </c>
      <c r="F8768" t="inlineStr">
        <is>
          <t>Naturvårdsverket</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52165-2023</t>
        </is>
      </c>
      <c r="B8769" s="1" t="n">
        <v>45224</v>
      </c>
      <c r="C8769" s="1" t="n">
        <v>45587</v>
      </c>
      <c r="D8769" t="inlineStr">
        <is>
          <t>GÄVLEBORGS LÄN</t>
        </is>
      </c>
      <c r="E8769" t="inlineStr">
        <is>
          <t>OVANÅKER</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52170-2023</t>
        </is>
      </c>
      <c r="B8770" s="1" t="n">
        <v>45224</v>
      </c>
      <c r="C8770" s="1" t="n">
        <v>45587</v>
      </c>
      <c r="D8770" t="inlineStr">
        <is>
          <t>GÄVLEBORGS LÄN</t>
        </is>
      </c>
      <c r="E8770" t="inlineStr">
        <is>
          <t>GÄVLE</t>
        </is>
      </c>
      <c r="G8770" t="n">
        <v>8.1</v>
      </c>
      <c r="H8770" t="n">
        <v>0</v>
      </c>
      <c r="I8770" t="n">
        <v>0</v>
      </c>
      <c r="J8770" t="n">
        <v>0</v>
      </c>
      <c r="K8770" t="n">
        <v>0</v>
      </c>
      <c r="L8770" t="n">
        <v>0</v>
      </c>
      <c r="M8770" t="n">
        <v>0</v>
      </c>
      <c r="N8770" t="n">
        <v>0</v>
      </c>
      <c r="O8770" t="n">
        <v>0</v>
      </c>
      <c r="P8770" t="n">
        <v>0</v>
      </c>
      <c r="Q8770" t="n">
        <v>0</v>
      </c>
      <c r="R8770" s="2" t="inlineStr"/>
    </row>
    <row r="8771" ht="15" customHeight="1">
      <c r="A8771" t="inlineStr">
        <is>
          <t>A 52174-2023</t>
        </is>
      </c>
      <c r="B8771" s="1" t="n">
        <v>45224</v>
      </c>
      <c r="C8771" s="1" t="n">
        <v>45587</v>
      </c>
      <c r="D8771" t="inlineStr">
        <is>
          <t>GÄVLEBORGS LÄN</t>
        </is>
      </c>
      <c r="E8771" t="inlineStr">
        <is>
          <t>LJUSDAL</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52184-2023</t>
        </is>
      </c>
      <c r="B8772" s="1" t="n">
        <v>45224</v>
      </c>
      <c r="C8772" s="1" t="n">
        <v>45587</v>
      </c>
      <c r="D8772" t="inlineStr">
        <is>
          <t>GÄVLEBORGS LÄN</t>
        </is>
      </c>
      <c r="E8772" t="inlineStr">
        <is>
          <t>LJUSDAL</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52219-2023</t>
        </is>
      </c>
      <c r="B8773" s="1" t="n">
        <v>45224</v>
      </c>
      <c r="C8773" s="1" t="n">
        <v>45587</v>
      </c>
      <c r="D8773" t="inlineStr">
        <is>
          <t>GÄVLEBORGS LÄN</t>
        </is>
      </c>
      <c r="E8773" t="inlineStr">
        <is>
          <t>HUDIKSVALL</t>
        </is>
      </c>
      <c r="F8773" t="inlineStr">
        <is>
          <t>Holmen skog AB</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52158-2023</t>
        </is>
      </c>
      <c r="B8774" s="1" t="n">
        <v>45224</v>
      </c>
      <c r="C8774" s="1" t="n">
        <v>45587</v>
      </c>
      <c r="D8774" t="inlineStr">
        <is>
          <t>GÄVLEBORGS LÄN</t>
        </is>
      </c>
      <c r="E8774" t="inlineStr">
        <is>
          <t>OVANÅKER</t>
        </is>
      </c>
      <c r="G8774" t="n">
        <v>0.4</v>
      </c>
      <c r="H8774" t="n">
        <v>0</v>
      </c>
      <c r="I8774" t="n">
        <v>0</v>
      </c>
      <c r="J8774" t="n">
        <v>0</v>
      </c>
      <c r="K8774" t="n">
        <v>0</v>
      </c>
      <c r="L8774" t="n">
        <v>0</v>
      </c>
      <c r="M8774" t="n">
        <v>0</v>
      </c>
      <c r="N8774" t="n">
        <v>0</v>
      </c>
      <c r="O8774" t="n">
        <v>0</v>
      </c>
      <c r="P8774" t="n">
        <v>0</v>
      </c>
      <c r="Q8774" t="n">
        <v>0</v>
      </c>
      <c r="R8774" s="2" t="inlineStr"/>
    </row>
    <row r="8775" ht="15" customHeight="1">
      <c r="A8775" t="inlineStr">
        <is>
          <t>A 52162-2023</t>
        </is>
      </c>
      <c r="B8775" s="1" t="n">
        <v>45224</v>
      </c>
      <c r="C8775" s="1" t="n">
        <v>45587</v>
      </c>
      <c r="D8775" t="inlineStr">
        <is>
          <t>GÄVLEBORGS LÄN</t>
        </is>
      </c>
      <c r="E8775" t="inlineStr">
        <is>
          <t>OVANÅKER</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52171-2023</t>
        </is>
      </c>
      <c r="B8776" s="1" t="n">
        <v>45224</v>
      </c>
      <c r="C8776" s="1" t="n">
        <v>45587</v>
      </c>
      <c r="D8776" t="inlineStr">
        <is>
          <t>GÄVLEBORGS LÄN</t>
        </is>
      </c>
      <c r="E8776" t="inlineStr">
        <is>
          <t>HUDIKSVALL</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53871-2023</t>
        </is>
      </c>
      <c r="B8777" s="1" t="n">
        <v>45224</v>
      </c>
      <c r="C8777" s="1" t="n">
        <v>45587</v>
      </c>
      <c r="D8777" t="inlineStr">
        <is>
          <t>GÄVLEBORGS LÄN</t>
        </is>
      </c>
      <c r="E8777" t="inlineStr">
        <is>
          <t>BOLLNÄS</t>
        </is>
      </c>
      <c r="F8777" t="inlineStr">
        <is>
          <t>Kommuner</t>
        </is>
      </c>
      <c r="G8777" t="n">
        <v>10.7</v>
      </c>
      <c r="H8777" t="n">
        <v>0</v>
      </c>
      <c r="I8777" t="n">
        <v>0</v>
      </c>
      <c r="J8777" t="n">
        <v>0</v>
      </c>
      <c r="K8777" t="n">
        <v>0</v>
      </c>
      <c r="L8777" t="n">
        <v>0</v>
      </c>
      <c r="M8777" t="n">
        <v>0</v>
      </c>
      <c r="N8777" t="n">
        <v>0</v>
      </c>
      <c r="O8777" t="n">
        <v>0</v>
      </c>
      <c r="P8777" t="n">
        <v>0</v>
      </c>
      <c r="Q8777" t="n">
        <v>0</v>
      </c>
      <c r="R8777" s="2" t="inlineStr"/>
    </row>
    <row r="8778" ht="15" customHeight="1">
      <c r="A8778" t="inlineStr">
        <is>
          <t>A 52391-2023</t>
        </is>
      </c>
      <c r="B8778" s="1" t="n">
        <v>45225</v>
      </c>
      <c r="C8778" s="1" t="n">
        <v>45587</v>
      </c>
      <c r="D8778" t="inlineStr">
        <is>
          <t>GÄVLEBORGS LÄN</t>
        </is>
      </c>
      <c r="E8778" t="inlineStr">
        <is>
          <t>LJUSDAL</t>
        </is>
      </c>
      <c r="G8778" t="n">
        <v>4.4</v>
      </c>
      <c r="H8778" t="n">
        <v>0</v>
      </c>
      <c r="I8778" t="n">
        <v>0</v>
      </c>
      <c r="J8778" t="n">
        <v>0</v>
      </c>
      <c r="K8778" t="n">
        <v>0</v>
      </c>
      <c r="L8778" t="n">
        <v>0</v>
      </c>
      <c r="M8778" t="n">
        <v>0</v>
      </c>
      <c r="N8778" t="n">
        <v>0</v>
      </c>
      <c r="O8778" t="n">
        <v>0</v>
      </c>
      <c r="P8778" t="n">
        <v>0</v>
      </c>
      <c r="Q8778" t="n">
        <v>0</v>
      </c>
      <c r="R8778" s="2" t="inlineStr"/>
    </row>
    <row r="8779" ht="15" customHeight="1">
      <c r="A8779" t="inlineStr">
        <is>
          <t>A 52350-2023</t>
        </is>
      </c>
      <c r="B8779" s="1" t="n">
        <v>45224</v>
      </c>
      <c r="C8779" s="1" t="n">
        <v>45587</v>
      </c>
      <c r="D8779" t="inlineStr">
        <is>
          <t>GÄVLEBORGS LÄN</t>
        </is>
      </c>
      <c r="E8779" t="inlineStr">
        <is>
          <t>HUDIKSVALL</t>
        </is>
      </c>
      <c r="G8779" t="n">
        <v>5.3</v>
      </c>
      <c r="H8779" t="n">
        <v>0</v>
      </c>
      <c r="I8779" t="n">
        <v>0</v>
      </c>
      <c r="J8779" t="n">
        <v>0</v>
      </c>
      <c r="K8779" t="n">
        <v>0</v>
      </c>
      <c r="L8779" t="n">
        <v>0</v>
      </c>
      <c r="M8779" t="n">
        <v>0</v>
      </c>
      <c r="N8779" t="n">
        <v>0</v>
      </c>
      <c r="O8779" t="n">
        <v>0</v>
      </c>
      <c r="P8779" t="n">
        <v>0</v>
      </c>
      <c r="Q8779" t="n">
        <v>0</v>
      </c>
      <c r="R8779" s="2" t="inlineStr"/>
    </row>
    <row r="8780" ht="15" customHeight="1">
      <c r="A8780" t="inlineStr">
        <is>
          <t>A 52423-2023</t>
        </is>
      </c>
      <c r="B8780" s="1" t="n">
        <v>45225</v>
      </c>
      <c r="C8780" s="1" t="n">
        <v>45587</v>
      </c>
      <c r="D8780" t="inlineStr">
        <is>
          <t>GÄVLEBORGS LÄN</t>
        </is>
      </c>
      <c r="E8780" t="inlineStr">
        <is>
          <t>OVANÅKER</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52479-2023</t>
        </is>
      </c>
      <c r="B8781" s="1" t="n">
        <v>45225</v>
      </c>
      <c r="C8781" s="1" t="n">
        <v>45587</v>
      </c>
      <c r="D8781" t="inlineStr">
        <is>
          <t>GÄVLEBORGS LÄN</t>
        </is>
      </c>
      <c r="E8781" t="inlineStr">
        <is>
          <t>OCKELBO</t>
        </is>
      </c>
      <c r="F8781" t="inlineStr">
        <is>
          <t>Bergvik skog väst AB</t>
        </is>
      </c>
      <c r="G8781" t="n">
        <v>5.6</v>
      </c>
      <c r="H8781" t="n">
        <v>0</v>
      </c>
      <c r="I8781" t="n">
        <v>0</v>
      </c>
      <c r="J8781" t="n">
        <v>0</v>
      </c>
      <c r="K8781" t="n">
        <v>0</v>
      </c>
      <c r="L8781" t="n">
        <v>0</v>
      </c>
      <c r="M8781" t="n">
        <v>0</v>
      </c>
      <c r="N8781" t="n">
        <v>0</v>
      </c>
      <c r="O8781" t="n">
        <v>0</v>
      </c>
      <c r="P8781" t="n">
        <v>0</v>
      </c>
      <c r="Q8781" t="n">
        <v>0</v>
      </c>
      <c r="R8781" s="2" t="inlineStr"/>
    </row>
    <row r="8782" ht="15" customHeight="1">
      <c r="A8782" t="inlineStr">
        <is>
          <t>A 52488-2023</t>
        </is>
      </c>
      <c r="B8782" s="1" t="n">
        <v>45225</v>
      </c>
      <c r="C8782" s="1" t="n">
        <v>45587</v>
      </c>
      <c r="D8782" t="inlineStr">
        <is>
          <t>GÄVLEBORGS LÄN</t>
        </is>
      </c>
      <c r="E8782" t="inlineStr">
        <is>
          <t>OCKELBO</t>
        </is>
      </c>
      <c r="G8782" t="n">
        <v>15.8</v>
      </c>
      <c r="H8782" t="n">
        <v>0</v>
      </c>
      <c r="I8782" t="n">
        <v>0</v>
      </c>
      <c r="J8782" t="n">
        <v>0</v>
      </c>
      <c r="K8782" t="n">
        <v>0</v>
      </c>
      <c r="L8782" t="n">
        <v>0</v>
      </c>
      <c r="M8782" t="n">
        <v>0</v>
      </c>
      <c r="N8782" t="n">
        <v>0</v>
      </c>
      <c r="O8782" t="n">
        <v>0</v>
      </c>
      <c r="P8782" t="n">
        <v>0</v>
      </c>
      <c r="Q8782" t="n">
        <v>0</v>
      </c>
      <c r="R8782" s="2" t="inlineStr"/>
    </row>
    <row r="8783" ht="15" customHeight="1">
      <c r="A8783" t="inlineStr">
        <is>
          <t>A 52497-2023</t>
        </is>
      </c>
      <c r="B8783" s="1" t="n">
        <v>45225</v>
      </c>
      <c r="C8783" s="1" t="n">
        <v>45587</v>
      </c>
      <c r="D8783" t="inlineStr">
        <is>
          <t>GÄVLEBORGS LÄN</t>
        </is>
      </c>
      <c r="E8783" t="inlineStr">
        <is>
          <t>LJUSDAL</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52509-2023</t>
        </is>
      </c>
      <c r="B8784" s="1" t="n">
        <v>45225</v>
      </c>
      <c r="C8784" s="1" t="n">
        <v>45587</v>
      </c>
      <c r="D8784" t="inlineStr">
        <is>
          <t>GÄVLEBORGS LÄN</t>
        </is>
      </c>
      <c r="E8784" t="inlineStr">
        <is>
          <t>SÖDERHAMN</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52514-2023</t>
        </is>
      </c>
      <c r="B8785" s="1" t="n">
        <v>45225</v>
      </c>
      <c r="C8785" s="1" t="n">
        <v>45587</v>
      </c>
      <c r="D8785" t="inlineStr">
        <is>
          <t>GÄVLEBORGS LÄN</t>
        </is>
      </c>
      <c r="E8785" t="inlineStr">
        <is>
          <t>OVANÅKER</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52426-2023</t>
        </is>
      </c>
      <c r="B8786" s="1" t="n">
        <v>45225</v>
      </c>
      <c r="C8786" s="1" t="n">
        <v>45587</v>
      </c>
      <c r="D8786" t="inlineStr">
        <is>
          <t>GÄVLEBORGS LÄN</t>
        </is>
      </c>
      <c r="E8786" t="inlineStr">
        <is>
          <t>LJUSDAL</t>
        </is>
      </c>
      <c r="G8786" t="n">
        <v>2.9</v>
      </c>
      <c r="H8786" t="n">
        <v>0</v>
      </c>
      <c r="I8786" t="n">
        <v>0</v>
      </c>
      <c r="J8786" t="n">
        <v>0</v>
      </c>
      <c r="K8786" t="n">
        <v>0</v>
      </c>
      <c r="L8786" t="n">
        <v>0</v>
      </c>
      <c r="M8786" t="n">
        <v>0</v>
      </c>
      <c r="N8786" t="n">
        <v>0</v>
      </c>
      <c r="O8786" t="n">
        <v>0</v>
      </c>
      <c r="P8786" t="n">
        <v>0</v>
      </c>
      <c r="Q8786" t="n">
        <v>0</v>
      </c>
      <c r="R8786" s="2" t="inlineStr"/>
    </row>
    <row r="8787" ht="15" customHeight="1">
      <c r="A8787" t="inlineStr">
        <is>
          <t>A 52438-2023</t>
        </is>
      </c>
      <c r="B8787" s="1" t="n">
        <v>45225</v>
      </c>
      <c r="C8787" s="1" t="n">
        <v>45587</v>
      </c>
      <c r="D8787" t="inlineStr">
        <is>
          <t>GÄVLEBORGS LÄN</t>
        </is>
      </c>
      <c r="E8787" t="inlineStr">
        <is>
          <t>HUDIKSVALL</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52427-2023</t>
        </is>
      </c>
      <c r="B8788" s="1" t="n">
        <v>45225</v>
      </c>
      <c r="C8788" s="1" t="n">
        <v>45587</v>
      </c>
      <c r="D8788" t="inlineStr">
        <is>
          <t>GÄVLEBORGS LÄN</t>
        </is>
      </c>
      <c r="E8788" t="inlineStr">
        <is>
          <t>LJUSDAL</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52473-2023</t>
        </is>
      </c>
      <c r="B8789" s="1" t="n">
        <v>45225</v>
      </c>
      <c r="C8789" s="1" t="n">
        <v>45587</v>
      </c>
      <c r="D8789" t="inlineStr">
        <is>
          <t>GÄVLEBORGS LÄN</t>
        </is>
      </c>
      <c r="E8789" t="inlineStr">
        <is>
          <t>LJUSDAL</t>
        </is>
      </c>
      <c r="G8789" t="n">
        <v>5.2</v>
      </c>
      <c r="H8789" t="n">
        <v>0</v>
      </c>
      <c r="I8789" t="n">
        <v>0</v>
      </c>
      <c r="J8789" t="n">
        <v>0</v>
      </c>
      <c r="K8789" t="n">
        <v>0</v>
      </c>
      <c r="L8789" t="n">
        <v>0</v>
      </c>
      <c r="M8789" t="n">
        <v>0</v>
      </c>
      <c r="N8789" t="n">
        <v>0</v>
      </c>
      <c r="O8789" t="n">
        <v>0</v>
      </c>
      <c r="P8789" t="n">
        <v>0</v>
      </c>
      <c r="Q8789" t="n">
        <v>0</v>
      </c>
      <c r="R8789" s="2" t="inlineStr"/>
    </row>
    <row r="8790" ht="15" customHeight="1">
      <c r="A8790" t="inlineStr">
        <is>
          <t>A 52491-2023</t>
        </is>
      </c>
      <c r="B8790" s="1" t="n">
        <v>45225</v>
      </c>
      <c r="C8790" s="1" t="n">
        <v>45587</v>
      </c>
      <c r="D8790" t="inlineStr">
        <is>
          <t>GÄVLEBORGS LÄN</t>
        </is>
      </c>
      <c r="E8790" t="inlineStr">
        <is>
          <t>OVANÅKER</t>
        </is>
      </c>
      <c r="G8790" t="n">
        <v>4.6</v>
      </c>
      <c r="H8790" t="n">
        <v>0</v>
      </c>
      <c r="I8790" t="n">
        <v>0</v>
      </c>
      <c r="J8790" t="n">
        <v>0</v>
      </c>
      <c r="K8790" t="n">
        <v>0</v>
      </c>
      <c r="L8790" t="n">
        <v>0</v>
      </c>
      <c r="M8790" t="n">
        <v>0</v>
      </c>
      <c r="N8790" t="n">
        <v>0</v>
      </c>
      <c r="O8790" t="n">
        <v>0</v>
      </c>
      <c r="P8790" t="n">
        <v>0</v>
      </c>
      <c r="Q8790" t="n">
        <v>0</v>
      </c>
      <c r="R8790" s="2" t="inlineStr"/>
    </row>
    <row r="8791" ht="15" customHeight="1">
      <c r="A8791" t="inlineStr">
        <is>
          <t>A 52538-2023</t>
        </is>
      </c>
      <c r="B8791" s="1" t="n">
        <v>45225</v>
      </c>
      <c r="C8791" s="1" t="n">
        <v>45587</v>
      </c>
      <c r="D8791" t="inlineStr">
        <is>
          <t>GÄVLEBORGS LÄN</t>
        </is>
      </c>
      <c r="E8791" t="inlineStr">
        <is>
          <t>SÖDERHAMN</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52589-2023</t>
        </is>
      </c>
      <c r="B8792" s="1" t="n">
        <v>45225</v>
      </c>
      <c r="C8792" s="1" t="n">
        <v>45587</v>
      </c>
      <c r="D8792" t="inlineStr">
        <is>
          <t>GÄVLEBORGS LÄN</t>
        </is>
      </c>
      <c r="E8792" t="inlineStr">
        <is>
          <t>HUDIKSVALL</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52729-2023</t>
        </is>
      </c>
      <c r="B8793" s="1" t="n">
        <v>45226</v>
      </c>
      <c r="C8793" s="1" t="n">
        <v>45587</v>
      </c>
      <c r="D8793" t="inlineStr">
        <is>
          <t>GÄVLEBORGS LÄN</t>
        </is>
      </c>
      <c r="E8793" t="inlineStr">
        <is>
          <t>LJUSDAL</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54099-2023</t>
        </is>
      </c>
      <c r="B8794" s="1" t="n">
        <v>45225</v>
      </c>
      <c r="C8794" s="1" t="n">
        <v>45587</v>
      </c>
      <c r="D8794" t="inlineStr">
        <is>
          <t>GÄVLEBORGS LÄN</t>
        </is>
      </c>
      <c r="E8794" t="inlineStr">
        <is>
          <t>OVANÅKER</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52892-2023</t>
        </is>
      </c>
      <c r="B8795" s="1" t="n">
        <v>45226</v>
      </c>
      <c r="C8795" s="1" t="n">
        <v>45587</v>
      </c>
      <c r="D8795" t="inlineStr">
        <is>
          <t>GÄVLEBORGS LÄN</t>
        </is>
      </c>
      <c r="E8795" t="inlineStr">
        <is>
          <t>HUDIKSVALL</t>
        </is>
      </c>
      <c r="F8795" t="inlineStr">
        <is>
          <t>Holmen skog AB</t>
        </is>
      </c>
      <c r="G8795" t="n">
        <v>12.4</v>
      </c>
      <c r="H8795" t="n">
        <v>0</v>
      </c>
      <c r="I8795" t="n">
        <v>0</v>
      </c>
      <c r="J8795" t="n">
        <v>0</v>
      </c>
      <c r="K8795" t="n">
        <v>0</v>
      </c>
      <c r="L8795" t="n">
        <v>0</v>
      </c>
      <c r="M8795" t="n">
        <v>0</v>
      </c>
      <c r="N8795" t="n">
        <v>0</v>
      </c>
      <c r="O8795" t="n">
        <v>0</v>
      </c>
      <c r="P8795" t="n">
        <v>0</v>
      </c>
      <c r="Q8795" t="n">
        <v>0</v>
      </c>
      <c r="R8795" s="2" t="inlineStr"/>
    </row>
    <row r="8796" ht="15" customHeight="1">
      <c r="A8796" t="inlineStr">
        <is>
          <t>A 52917-2023</t>
        </is>
      </c>
      <c r="B8796" s="1" t="n">
        <v>45226</v>
      </c>
      <c r="C8796" s="1" t="n">
        <v>45587</v>
      </c>
      <c r="D8796" t="inlineStr">
        <is>
          <t>GÄVLEBORGS LÄN</t>
        </is>
      </c>
      <c r="E8796" t="inlineStr">
        <is>
          <t>HUDIKSVALL</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52934-2023</t>
        </is>
      </c>
      <c r="B8797" s="1" t="n">
        <v>45226</v>
      </c>
      <c r="C8797" s="1" t="n">
        <v>45587</v>
      </c>
      <c r="D8797" t="inlineStr">
        <is>
          <t>GÄVLEBORGS LÄN</t>
        </is>
      </c>
      <c r="E8797" t="inlineStr">
        <is>
          <t>HOFORS</t>
        </is>
      </c>
      <c r="F8797" t="inlineStr">
        <is>
          <t>Sveaskog</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52785-2023</t>
        </is>
      </c>
      <c r="B8798" s="1" t="n">
        <v>45226</v>
      </c>
      <c r="C8798" s="1" t="n">
        <v>45587</v>
      </c>
      <c r="D8798" t="inlineStr">
        <is>
          <t>GÄVLEBORGS LÄN</t>
        </is>
      </c>
      <c r="E8798" t="inlineStr">
        <is>
          <t>SANDVIKEN</t>
        </is>
      </c>
      <c r="F8798" t="inlineStr">
        <is>
          <t>Bergvik skog öst AB</t>
        </is>
      </c>
      <c r="G8798" t="n">
        <v>5.4</v>
      </c>
      <c r="H8798" t="n">
        <v>0</v>
      </c>
      <c r="I8798" t="n">
        <v>0</v>
      </c>
      <c r="J8798" t="n">
        <v>0</v>
      </c>
      <c r="K8798" t="n">
        <v>0</v>
      </c>
      <c r="L8798" t="n">
        <v>0</v>
      </c>
      <c r="M8798" t="n">
        <v>0</v>
      </c>
      <c r="N8798" t="n">
        <v>0</v>
      </c>
      <c r="O8798" t="n">
        <v>0</v>
      </c>
      <c r="P8798" t="n">
        <v>0</v>
      </c>
      <c r="Q8798" t="n">
        <v>0</v>
      </c>
      <c r="R8798" s="2" t="inlineStr"/>
    </row>
    <row r="8799" ht="15" customHeight="1">
      <c r="A8799" t="inlineStr">
        <is>
          <t>A 53013-2023</t>
        </is>
      </c>
      <c r="B8799" s="1" t="n">
        <v>45226</v>
      </c>
      <c r="C8799" s="1" t="n">
        <v>45587</v>
      </c>
      <c r="D8799" t="inlineStr">
        <is>
          <t>GÄVLEBORGS LÄN</t>
        </is>
      </c>
      <c r="E8799" t="inlineStr">
        <is>
          <t>LJUSDAL</t>
        </is>
      </c>
      <c r="F8799" t="inlineStr">
        <is>
          <t>Sveaskog</t>
        </is>
      </c>
      <c r="G8799" t="n">
        <v>21.1</v>
      </c>
      <c r="H8799" t="n">
        <v>0</v>
      </c>
      <c r="I8799" t="n">
        <v>0</v>
      </c>
      <c r="J8799" t="n">
        <v>0</v>
      </c>
      <c r="K8799" t="n">
        <v>0</v>
      </c>
      <c r="L8799" t="n">
        <v>0</v>
      </c>
      <c r="M8799" t="n">
        <v>0</v>
      </c>
      <c r="N8799" t="n">
        <v>0</v>
      </c>
      <c r="O8799" t="n">
        <v>0</v>
      </c>
      <c r="P8799" t="n">
        <v>0</v>
      </c>
      <c r="Q8799" t="n">
        <v>0</v>
      </c>
      <c r="R8799" s="2" t="inlineStr"/>
    </row>
    <row r="8800" ht="15" customHeight="1">
      <c r="A8800" t="inlineStr">
        <is>
          <t>A 52931-2023</t>
        </is>
      </c>
      <c r="B8800" s="1" t="n">
        <v>45226</v>
      </c>
      <c r="C8800" s="1" t="n">
        <v>45587</v>
      </c>
      <c r="D8800" t="inlineStr">
        <is>
          <t>GÄVLEBORGS LÄN</t>
        </is>
      </c>
      <c r="E8800" t="inlineStr">
        <is>
          <t>SANDVIKEN</t>
        </is>
      </c>
      <c r="F8800" t="inlineStr">
        <is>
          <t>Sveaskog</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52903-2023</t>
        </is>
      </c>
      <c r="B8801" s="1" t="n">
        <v>45226</v>
      </c>
      <c r="C8801" s="1" t="n">
        <v>45587</v>
      </c>
      <c r="D8801" t="inlineStr">
        <is>
          <t>GÄVLEBORGS LÄN</t>
        </is>
      </c>
      <c r="E8801" t="inlineStr">
        <is>
          <t>LJUSDAL</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52920-2023</t>
        </is>
      </c>
      <c r="B8802" s="1" t="n">
        <v>45226</v>
      </c>
      <c r="C8802" s="1" t="n">
        <v>45587</v>
      </c>
      <c r="D8802" t="inlineStr">
        <is>
          <t>GÄVLEBORGS LÄN</t>
        </is>
      </c>
      <c r="E8802" t="inlineStr">
        <is>
          <t>HUDIKSVALL</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52965-2023</t>
        </is>
      </c>
      <c r="B8803" s="1" t="n">
        <v>45226</v>
      </c>
      <c r="C8803" s="1" t="n">
        <v>45587</v>
      </c>
      <c r="D8803" t="inlineStr">
        <is>
          <t>GÄVLEBORGS LÄN</t>
        </is>
      </c>
      <c r="E8803" t="inlineStr">
        <is>
          <t>LJUSDAL</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52842-2023</t>
        </is>
      </c>
      <c r="B8804" s="1" t="n">
        <v>45226</v>
      </c>
      <c r="C8804" s="1" t="n">
        <v>45587</v>
      </c>
      <c r="D8804" t="inlineStr">
        <is>
          <t>GÄVLEBORGS LÄN</t>
        </is>
      </c>
      <c r="E8804" t="inlineStr">
        <is>
          <t>LJUSDAL</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52983-2023</t>
        </is>
      </c>
      <c r="B8805" s="1" t="n">
        <v>45226</v>
      </c>
      <c r="C8805" s="1" t="n">
        <v>45587</v>
      </c>
      <c r="D8805" t="inlineStr">
        <is>
          <t>GÄVLEBORGS LÄN</t>
        </is>
      </c>
      <c r="E8805" t="inlineStr">
        <is>
          <t>HUDIKSVALL</t>
        </is>
      </c>
      <c r="G8805" t="n">
        <v>4.1</v>
      </c>
      <c r="H8805" t="n">
        <v>0</v>
      </c>
      <c r="I8805" t="n">
        <v>0</v>
      </c>
      <c r="J8805" t="n">
        <v>0</v>
      </c>
      <c r="K8805" t="n">
        <v>0</v>
      </c>
      <c r="L8805" t="n">
        <v>0</v>
      </c>
      <c r="M8805" t="n">
        <v>0</v>
      </c>
      <c r="N8805" t="n">
        <v>0</v>
      </c>
      <c r="O8805" t="n">
        <v>0</v>
      </c>
      <c r="P8805" t="n">
        <v>0</v>
      </c>
      <c r="Q8805" t="n">
        <v>0</v>
      </c>
      <c r="R8805" s="2" t="inlineStr"/>
    </row>
    <row r="8806" ht="15" customHeight="1">
      <c r="A8806" t="inlineStr">
        <is>
          <t>A 53006-2023</t>
        </is>
      </c>
      <c r="B8806" s="1" t="n">
        <v>45226</v>
      </c>
      <c r="C8806" s="1" t="n">
        <v>45587</v>
      </c>
      <c r="D8806" t="inlineStr">
        <is>
          <t>GÄVLEBORGS LÄN</t>
        </is>
      </c>
      <c r="E8806" t="inlineStr">
        <is>
          <t>SANDVIKEN</t>
        </is>
      </c>
      <c r="G8806" t="n">
        <v>6.4</v>
      </c>
      <c r="H8806" t="n">
        <v>0</v>
      </c>
      <c r="I8806" t="n">
        <v>0</v>
      </c>
      <c r="J8806" t="n">
        <v>0</v>
      </c>
      <c r="K8806" t="n">
        <v>0</v>
      </c>
      <c r="L8806" t="n">
        <v>0</v>
      </c>
      <c r="M8806" t="n">
        <v>0</v>
      </c>
      <c r="N8806" t="n">
        <v>0</v>
      </c>
      <c r="O8806" t="n">
        <v>0</v>
      </c>
      <c r="P8806" t="n">
        <v>0</v>
      </c>
      <c r="Q8806" t="n">
        <v>0</v>
      </c>
      <c r="R8806" s="2" t="inlineStr"/>
    </row>
    <row r="8807" ht="15" customHeight="1">
      <c r="A8807" t="inlineStr">
        <is>
          <t>A 52949-2023</t>
        </is>
      </c>
      <c r="B8807" s="1" t="n">
        <v>45226</v>
      </c>
      <c r="C8807" s="1" t="n">
        <v>45587</v>
      </c>
      <c r="D8807" t="inlineStr">
        <is>
          <t>GÄVLEBORGS LÄN</t>
        </is>
      </c>
      <c r="E8807" t="inlineStr">
        <is>
          <t>LJUSDAL</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52935-2023</t>
        </is>
      </c>
      <c r="B8808" s="1" t="n">
        <v>45226</v>
      </c>
      <c r="C8808" s="1" t="n">
        <v>45587</v>
      </c>
      <c r="D8808" t="inlineStr">
        <is>
          <t>GÄVLEBORGS LÄN</t>
        </is>
      </c>
      <c r="E8808" t="inlineStr">
        <is>
          <t>LJUSDAL</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52837-2023</t>
        </is>
      </c>
      <c r="B8809" s="1" t="n">
        <v>45226</v>
      </c>
      <c r="C8809" s="1" t="n">
        <v>45587</v>
      </c>
      <c r="D8809" t="inlineStr">
        <is>
          <t>GÄVLEBORGS LÄN</t>
        </is>
      </c>
      <c r="E8809" t="inlineStr">
        <is>
          <t>LJUSDAL</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52772-2023</t>
        </is>
      </c>
      <c r="B8810" s="1" t="n">
        <v>45226</v>
      </c>
      <c r="C8810" s="1" t="n">
        <v>45587</v>
      </c>
      <c r="D8810" t="inlineStr">
        <is>
          <t>GÄVLEBORGS LÄN</t>
        </is>
      </c>
      <c r="E8810" t="inlineStr">
        <is>
          <t>SANDVIKEN</t>
        </is>
      </c>
      <c r="F8810" t="inlineStr">
        <is>
          <t>Bergvik skog öst AB</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53007-2023</t>
        </is>
      </c>
      <c r="B8811" s="1" t="n">
        <v>45226</v>
      </c>
      <c r="C8811" s="1" t="n">
        <v>45587</v>
      </c>
      <c r="D8811" t="inlineStr">
        <is>
          <t>GÄVLEBORGS LÄN</t>
        </is>
      </c>
      <c r="E8811" t="inlineStr">
        <is>
          <t>SANDVIKEN</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52970-2023</t>
        </is>
      </c>
      <c r="B8812" s="1" t="n">
        <v>45226</v>
      </c>
      <c r="C8812" s="1" t="n">
        <v>45587</v>
      </c>
      <c r="D8812" t="inlineStr">
        <is>
          <t>GÄVLEBORGS LÄN</t>
        </is>
      </c>
      <c r="E8812" t="inlineStr">
        <is>
          <t>LJUSDAL</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52938-2023</t>
        </is>
      </c>
      <c r="B8813" s="1" t="n">
        <v>45226</v>
      </c>
      <c r="C8813" s="1" t="n">
        <v>45587</v>
      </c>
      <c r="D8813" t="inlineStr">
        <is>
          <t>GÄVLEBORGS LÄN</t>
        </is>
      </c>
      <c r="E8813" t="inlineStr">
        <is>
          <t>LJUSDAL</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53298-2023</t>
        </is>
      </c>
      <c r="B8814" s="1" t="n">
        <v>45229</v>
      </c>
      <c r="C8814" s="1" t="n">
        <v>45587</v>
      </c>
      <c r="D8814" t="inlineStr">
        <is>
          <t>GÄVLEBORGS LÄN</t>
        </is>
      </c>
      <c r="E8814" t="inlineStr">
        <is>
          <t>BOLLNÄS</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53178-2023</t>
        </is>
      </c>
      <c r="B8815" s="1" t="n">
        <v>45229</v>
      </c>
      <c r="C8815" s="1" t="n">
        <v>45587</v>
      </c>
      <c r="D8815" t="inlineStr">
        <is>
          <t>GÄVLEBORGS LÄN</t>
        </is>
      </c>
      <c r="E8815" t="inlineStr">
        <is>
          <t>OCKELBO</t>
        </is>
      </c>
      <c r="F8815" t="inlineStr">
        <is>
          <t>Bergvik skog väst AB</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53330-2023</t>
        </is>
      </c>
      <c r="B8816" s="1" t="n">
        <v>45229</v>
      </c>
      <c r="C8816" s="1" t="n">
        <v>45587</v>
      </c>
      <c r="D8816" t="inlineStr">
        <is>
          <t>GÄVLEBORGS LÄN</t>
        </is>
      </c>
      <c r="E8816" t="inlineStr">
        <is>
          <t>BOLLNÄS</t>
        </is>
      </c>
      <c r="G8816" t="n">
        <v>4.7</v>
      </c>
      <c r="H8816" t="n">
        <v>0</v>
      </c>
      <c r="I8816" t="n">
        <v>0</v>
      </c>
      <c r="J8816" t="n">
        <v>0</v>
      </c>
      <c r="K8816" t="n">
        <v>0</v>
      </c>
      <c r="L8816" t="n">
        <v>0</v>
      </c>
      <c r="M8816" t="n">
        <v>0</v>
      </c>
      <c r="N8816" t="n">
        <v>0</v>
      </c>
      <c r="O8816" t="n">
        <v>0</v>
      </c>
      <c r="P8816" t="n">
        <v>0</v>
      </c>
      <c r="Q8816" t="n">
        <v>0</v>
      </c>
      <c r="R8816" s="2" t="inlineStr"/>
    </row>
    <row r="8817" ht="15" customHeight="1">
      <c r="A8817" t="inlineStr">
        <is>
          <t>A 53270-2023</t>
        </is>
      </c>
      <c r="B8817" s="1" t="n">
        <v>45229</v>
      </c>
      <c r="C8817" s="1" t="n">
        <v>45587</v>
      </c>
      <c r="D8817" t="inlineStr">
        <is>
          <t>GÄVLEBORGS LÄN</t>
        </is>
      </c>
      <c r="E8817" t="inlineStr">
        <is>
          <t>GÄVLE</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53321-2023</t>
        </is>
      </c>
      <c r="B8818" s="1" t="n">
        <v>45229</v>
      </c>
      <c r="C8818" s="1" t="n">
        <v>45587</v>
      </c>
      <c r="D8818" t="inlineStr">
        <is>
          <t>GÄVLEBORGS LÄN</t>
        </is>
      </c>
      <c r="E8818" t="inlineStr">
        <is>
          <t>BOLLNÄS</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53435-2023</t>
        </is>
      </c>
      <c r="B8819" s="1" t="n">
        <v>45229</v>
      </c>
      <c r="C8819" s="1" t="n">
        <v>45587</v>
      </c>
      <c r="D8819" t="inlineStr">
        <is>
          <t>GÄVLEBORGS LÄN</t>
        </is>
      </c>
      <c r="E8819" t="inlineStr">
        <is>
          <t>HUDIKSVALL</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53198-2023</t>
        </is>
      </c>
      <c r="B8820" s="1" t="n">
        <v>45229</v>
      </c>
      <c r="C8820" s="1" t="n">
        <v>45587</v>
      </c>
      <c r="D8820" t="inlineStr">
        <is>
          <t>GÄVLEBORGS LÄN</t>
        </is>
      </c>
      <c r="E8820" t="inlineStr">
        <is>
          <t>GÄVLE</t>
        </is>
      </c>
      <c r="F8820" t="inlineStr">
        <is>
          <t>Bergvik skog öst AB</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53289-2023</t>
        </is>
      </c>
      <c r="B8821" s="1" t="n">
        <v>45229</v>
      </c>
      <c r="C8821" s="1" t="n">
        <v>45587</v>
      </c>
      <c r="D8821" t="inlineStr">
        <is>
          <t>GÄVLEBORGS LÄN</t>
        </is>
      </c>
      <c r="E8821" t="inlineStr">
        <is>
          <t>SANDVIKEN</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53301-2023</t>
        </is>
      </c>
      <c r="B8822" s="1" t="n">
        <v>45229</v>
      </c>
      <c r="C8822" s="1" t="n">
        <v>45587</v>
      </c>
      <c r="D8822" t="inlineStr">
        <is>
          <t>GÄVLEBORGS LÄN</t>
        </is>
      </c>
      <c r="E8822" t="inlineStr">
        <is>
          <t>BOLLNÄS</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53314-2023</t>
        </is>
      </c>
      <c r="B8823" s="1" t="n">
        <v>45229</v>
      </c>
      <c r="C8823" s="1" t="n">
        <v>45587</v>
      </c>
      <c r="D8823" t="inlineStr">
        <is>
          <t>GÄVLEBORGS LÄN</t>
        </is>
      </c>
      <c r="E8823" t="inlineStr">
        <is>
          <t>BOLLNÄS</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53318-2023</t>
        </is>
      </c>
      <c r="B8824" s="1" t="n">
        <v>45229</v>
      </c>
      <c r="C8824" s="1" t="n">
        <v>45587</v>
      </c>
      <c r="D8824" t="inlineStr">
        <is>
          <t>GÄVLEBORGS LÄN</t>
        </is>
      </c>
      <c r="E8824" t="inlineStr">
        <is>
          <t>SANDVIKEN</t>
        </is>
      </c>
      <c r="F8824" t="inlineStr">
        <is>
          <t>Bergvik skog öst AB</t>
        </is>
      </c>
      <c r="G8824" t="n">
        <v>7.4</v>
      </c>
      <c r="H8824" t="n">
        <v>0</v>
      </c>
      <c r="I8824" t="n">
        <v>0</v>
      </c>
      <c r="J8824" t="n">
        <v>0</v>
      </c>
      <c r="K8824" t="n">
        <v>0</v>
      </c>
      <c r="L8824" t="n">
        <v>0</v>
      </c>
      <c r="M8824" t="n">
        <v>0</v>
      </c>
      <c r="N8824" t="n">
        <v>0</v>
      </c>
      <c r="O8824" t="n">
        <v>0</v>
      </c>
      <c r="P8824" t="n">
        <v>0</v>
      </c>
      <c r="Q8824" t="n">
        <v>0</v>
      </c>
      <c r="R8824" s="2" t="inlineStr"/>
    </row>
    <row r="8825" ht="15" customHeight="1">
      <c r="A8825" t="inlineStr">
        <is>
          <t>A 53166-2023</t>
        </is>
      </c>
      <c r="B8825" s="1" t="n">
        <v>45229</v>
      </c>
      <c r="C8825" s="1" t="n">
        <v>45587</v>
      </c>
      <c r="D8825" t="inlineStr">
        <is>
          <t>GÄVLEBORGS LÄN</t>
        </is>
      </c>
      <c r="E8825" t="inlineStr">
        <is>
          <t>LJUSDAL</t>
        </is>
      </c>
      <c r="F8825" t="inlineStr">
        <is>
          <t>Allmännings- och besparingsskogar</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53226-2023</t>
        </is>
      </c>
      <c r="B8826" s="1" t="n">
        <v>45229</v>
      </c>
      <c r="C8826" s="1" t="n">
        <v>45587</v>
      </c>
      <c r="D8826" t="inlineStr">
        <is>
          <t>GÄVLEBORGS LÄN</t>
        </is>
      </c>
      <c r="E8826" t="inlineStr">
        <is>
          <t>SANDVIKEN</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53269-2023</t>
        </is>
      </c>
      <c r="B8827" s="1" t="n">
        <v>45229</v>
      </c>
      <c r="C8827" s="1" t="n">
        <v>45587</v>
      </c>
      <c r="D8827" t="inlineStr">
        <is>
          <t>GÄVLEBORGS LÄN</t>
        </is>
      </c>
      <c r="E8827" t="inlineStr">
        <is>
          <t>SANDVIKEN</t>
        </is>
      </c>
      <c r="F8827" t="inlineStr">
        <is>
          <t>Bergvik skog öst AB</t>
        </is>
      </c>
      <c r="G8827" t="n">
        <v>13.6</v>
      </c>
      <c r="H8827" t="n">
        <v>0</v>
      </c>
      <c r="I8827" t="n">
        <v>0</v>
      </c>
      <c r="J8827" t="n">
        <v>0</v>
      </c>
      <c r="K8827" t="n">
        <v>0</v>
      </c>
      <c r="L8827" t="n">
        <v>0</v>
      </c>
      <c r="M8827" t="n">
        <v>0</v>
      </c>
      <c r="N8827" t="n">
        <v>0</v>
      </c>
      <c r="O8827" t="n">
        <v>0</v>
      </c>
      <c r="P8827" t="n">
        <v>0</v>
      </c>
      <c r="Q8827" t="n">
        <v>0</v>
      </c>
      <c r="R8827" s="2" t="inlineStr"/>
    </row>
    <row r="8828" ht="15" customHeight="1">
      <c r="A8828" t="inlineStr">
        <is>
          <t>A 53325-2023</t>
        </is>
      </c>
      <c r="B8828" s="1" t="n">
        <v>45229</v>
      </c>
      <c r="C8828" s="1" t="n">
        <v>45587</v>
      </c>
      <c r="D8828" t="inlineStr">
        <is>
          <t>GÄVLEBORGS LÄN</t>
        </is>
      </c>
      <c r="E8828" t="inlineStr">
        <is>
          <t>BOLLNÄS</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53434-2023</t>
        </is>
      </c>
      <c r="B8829" s="1" t="n">
        <v>45229</v>
      </c>
      <c r="C8829" s="1" t="n">
        <v>45587</v>
      </c>
      <c r="D8829" t="inlineStr">
        <is>
          <t>GÄVLEBORGS LÄN</t>
        </is>
      </c>
      <c r="E8829" t="inlineStr">
        <is>
          <t>HUDIKSVALL</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53494-2023</t>
        </is>
      </c>
      <c r="B8830" s="1" t="n">
        <v>45230</v>
      </c>
      <c r="C8830" s="1" t="n">
        <v>45587</v>
      </c>
      <c r="D8830" t="inlineStr">
        <is>
          <t>GÄVLEBORGS LÄN</t>
        </is>
      </c>
      <c r="E8830" t="inlineStr">
        <is>
          <t>BOLLNÄS</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53503-2023</t>
        </is>
      </c>
      <c r="B8831" s="1" t="n">
        <v>45230</v>
      </c>
      <c r="C8831" s="1" t="n">
        <v>45587</v>
      </c>
      <c r="D8831" t="inlineStr">
        <is>
          <t>GÄVLEBORGS LÄN</t>
        </is>
      </c>
      <c r="E8831" t="inlineStr">
        <is>
          <t>SÖDERHAMN</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53734-2023</t>
        </is>
      </c>
      <c r="B8832" s="1" t="n">
        <v>45230</v>
      </c>
      <c r="C8832" s="1" t="n">
        <v>45587</v>
      </c>
      <c r="D8832" t="inlineStr">
        <is>
          <t>GÄVLEBORGS LÄN</t>
        </is>
      </c>
      <c r="E8832" t="inlineStr">
        <is>
          <t>HUDIKSVALL</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53723-2023</t>
        </is>
      </c>
      <c r="B8833" s="1" t="n">
        <v>45230</v>
      </c>
      <c r="C8833" s="1" t="n">
        <v>45587</v>
      </c>
      <c r="D8833" t="inlineStr">
        <is>
          <t>GÄVLEBORGS LÄN</t>
        </is>
      </c>
      <c r="E8833" t="inlineStr">
        <is>
          <t>HUDIKSVALL</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53724-2023</t>
        </is>
      </c>
      <c r="B8834" s="1" t="n">
        <v>45230</v>
      </c>
      <c r="C8834" s="1" t="n">
        <v>45587</v>
      </c>
      <c r="D8834" t="inlineStr">
        <is>
          <t>GÄVLEBORGS LÄN</t>
        </is>
      </c>
      <c r="E8834" t="inlineStr">
        <is>
          <t>HUDIKSVALL</t>
        </is>
      </c>
      <c r="G8834" t="n">
        <v>4.7</v>
      </c>
      <c r="H8834" t="n">
        <v>0</v>
      </c>
      <c r="I8834" t="n">
        <v>0</v>
      </c>
      <c r="J8834" t="n">
        <v>0</v>
      </c>
      <c r="K8834" t="n">
        <v>0</v>
      </c>
      <c r="L8834" t="n">
        <v>0</v>
      </c>
      <c r="M8834" t="n">
        <v>0</v>
      </c>
      <c r="N8834" t="n">
        <v>0</v>
      </c>
      <c r="O8834" t="n">
        <v>0</v>
      </c>
      <c r="P8834" t="n">
        <v>0</v>
      </c>
      <c r="Q8834" t="n">
        <v>0</v>
      </c>
      <c r="R8834" s="2" t="inlineStr"/>
    </row>
    <row r="8835" ht="15" customHeight="1">
      <c r="A8835" t="inlineStr">
        <is>
          <t>A 53569-2023</t>
        </is>
      </c>
      <c r="B8835" s="1" t="n">
        <v>45230</v>
      </c>
      <c r="C8835" s="1" t="n">
        <v>45587</v>
      </c>
      <c r="D8835" t="inlineStr">
        <is>
          <t>GÄVLEBORGS LÄN</t>
        </is>
      </c>
      <c r="E8835" t="inlineStr">
        <is>
          <t>LJUSDAL</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53604-2023</t>
        </is>
      </c>
      <c r="B8836" s="1" t="n">
        <v>45230</v>
      </c>
      <c r="C8836" s="1" t="n">
        <v>45587</v>
      </c>
      <c r="D8836" t="inlineStr">
        <is>
          <t>GÄVLEBORGS LÄN</t>
        </is>
      </c>
      <c r="E8836" t="inlineStr">
        <is>
          <t>OVANÅKER</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53644-2023</t>
        </is>
      </c>
      <c r="B8837" s="1" t="n">
        <v>45230</v>
      </c>
      <c r="C8837" s="1" t="n">
        <v>45587</v>
      </c>
      <c r="D8837" t="inlineStr">
        <is>
          <t>GÄVLEBORGS LÄN</t>
        </is>
      </c>
      <c r="E8837" t="inlineStr">
        <is>
          <t>BOLLNÄS</t>
        </is>
      </c>
      <c r="F8837" t="inlineStr">
        <is>
          <t>Bergvik skog väst AB</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53631-2023</t>
        </is>
      </c>
      <c r="B8838" s="1" t="n">
        <v>45230</v>
      </c>
      <c r="C8838" s="1" t="n">
        <v>45587</v>
      </c>
      <c r="D8838" t="inlineStr">
        <is>
          <t>GÄVLEBORGS LÄN</t>
        </is>
      </c>
      <c r="E8838" t="inlineStr">
        <is>
          <t>OVANÅKER</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53542-2023</t>
        </is>
      </c>
      <c r="B8839" s="1" t="n">
        <v>45230</v>
      </c>
      <c r="C8839" s="1" t="n">
        <v>45587</v>
      </c>
      <c r="D8839" t="inlineStr">
        <is>
          <t>GÄVLEBORGS LÄN</t>
        </is>
      </c>
      <c r="E8839" t="inlineStr">
        <is>
          <t>LJUSDAL</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53711-2023</t>
        </is>
      </c>
      <c r="B8840" s="1" t="n">
        <v>45230</v>
      </c>
      <c r="C8840" s="1" t="n">
        <v>45587</v>
      </c>
      <c r="D8840" t="inlineStr">
        <is>
          <t>GÄVLEBORGS LÄN</t>
        </is>
      </c>
      <c r="E8840" t="inlineStr">
        <is>
          <t>OVANÅKER</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53687-2023</t>
        </is>
      </c>
      <c r="B8841" s="1" t="n">
        <v>45230</v>
      </c>
      <c r="C8841" s="1" t="n">
        <v>45587</v>
      </c>
      <c r="D8841" t="inlineStr">
        <is>
          <t>GÄVLEBORGS LÄN</t>
        </is>
      </c>
      <c r="E8841" t="inlineStr">
        <is>
          <t>BOLLNÄS</t>
        </is>
      </c>
      <c r="F8841" t="inlineStr">
        <is>
          <t>Bergvik skog väst AB</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53526-2023</t>
        </is>
      </c>
      <c r="B8842" s="1" t="n">
        <v>45230</v>
      </c>
      <c r="C8842" s="1" t="n">
        <v>45587</v>
      </c>
      <c r="D8842" t="inlineStr">
        <is>
          <t>GÄVLEBORGS LÄN</t>
        </is>
      </c>
      <c r="E8842" t="inlineStr">
        <is>
          <t>BOLLNÄS</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53520-2023</t>
        </is>
      </c>
      <c r="B8843" s="1" t="n">
        <v>45230</v>
      </c>
      <c r="C8843" s="1" t="n">
        <v>45587</v>
      </c>
      <c r="D8843" t="inlineStr">
        <is>
          <t>GÄVLEBORGS LÄN</t>
        </is>
      </c>
      <c r="E8843" t="inlineStr">
        <is>
          <t>HUDIKSVALL</t>
        </is>
      </c>
      <c r="F8843" t="inlineStr">
        <is>
          <t>Holmen skog AB</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53483-2023</t>
        </is>
      </c>
      <c r="B8844" s="1" t="n">
        <v>45230</v>
      </c>
      <c r="C8844" s="1" t="n">
        <v>45587</v>
      </c>
      <c r="D8844" t="inlineStr">
        <is>
          <t>GÄVLEBORGS LÄN</t>
        </is>
      </c>
      <c r="E8844" t="inlineStr">
        <is>
          <t>BOLLNÄS</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53477-2023</t>
        </is>
      </c>
      <c r="B8845" s="1" t="n">
        <v>45230</v>
      </c>
      <c r="C8845" s="1" t="n">
        <v>45587</v>
      </c>
      <c r="D8845" t="inlineStr">
        <is>
          <t>GÄVLEBORGS LÄN</t>
        </is>
      </c>
      <c r="E8845" t="inlineStr">
        <is>
          <t>LJUSDAL</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53695-2023</t>
        </is>
      </c>
      <c r="B8846" s="1" t="n">
        <v>45230</v>
      </c>
      <c r="C8846" s="1" t="n">
        <v>45587</v>
      </c>
      <c r="D8846" t="inlineStr">
        <is>
          <t>GÄVLEBORGS LÄN</t>
        </is>
      </c>
      <c r="E8846" t="inlineStr">
        <is>
          <t>LJUSDAL</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53709-2023</t>
        </is>
      </c>
      <c r="B8847" s="1" t="n">
        <v>45230</v>
      </c>
      <c r="C8847" s="1" t="n">
        <v>45587</v>
      </c>
      <c r="D8847" t="inlineStr">
        <is>
          <t>GÄVLEBORGS LÄN</t>
        </is>
      </c>
      <c r="E8847" t="inlineStr">
        <is>
          <t>LJUSDAL</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53692-2023</t>
        </is>
      </c>
      <c r="B8848" s="1" t="n">
        <v>45230</v>
      </c>
      <c r="C8848" s="1" t="n">
        <v>45587</v>
      </c>
      <c r="D8848" t="inlineStr">
        <is>
          <t>GÄVLEBORGS LÄN</t>
        </is>
      </c>
      <c r="E8848" t="inlineStr">
        <is>
          <t>BOLLNÄS</t>
        </is>
      </c>
      <c r="F8848" t="inlineStr">
        <is>
          <t>Bergvik skog väst AB</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53673-2023</t>
        </is>
      </c>
      <c r="B8849" s="1" t="n">
        <v>45230</v>
      </c>
      <c r="C8849" s="1" t="n">
        <v>45587</v>
      </c>
      <c r="D8849" t="inlineStr">
        <is>
          <t>GÄVLEBORGS LÄN</t>
        </is>
      </c>
      <c r="E8849" t="inlineStr">
        <is>
          <t>BOLLNÄS</t>
        </is>
      </c>
      <c r="F8849" t="inlineStr">
        <is>
          <t>Bergvik skog väst AB</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53660-2023</t>
        </is>
      </c>
      <c r="B8850" s="1" t="n">
        <v>45230</v>
      </c>
      <c r="C8850" s="1" t="n">
        <v>45587</v>
      </c>
      <c r="D8850" t="inlineStr">
        <is>
          <t>GÄVLEBORGS LÄN</t>
        </is>
      </c>
      <c r="E8850" t="inlineStr">
        <is>
          <t>LJUSDAL</t>
        </is>
      </c>
      <c r="G8850" t="n">
        <v>8.199999999999999</v>
      </c>
      <c r="H8850" t="n">
        <v>0</v>
      </c>
      <c r="I8850" t="n">
        <v>0</v>
      </c>
      <c r="J8850" t="n">
        <v>0</v>
      </c>
      <c r="K8850" t="n">
        <v>0</v>
      </c>
      <c r="L8850" t="n">
        <v>0</v>
      </c>
      <c r="M8850" t="n">
        <v>0</v>
      </c>
      <c r="N8850" t="n">
        <v>0</v>
      </c>
      <c r="O8850" t="n">
        <v>0</v>
      </c>
      <c r="P8850" t="n">
        <v>0</v>
      </c>
      <c r="Q8850" t="n">
        <v>0</v>
      </c>
      <c r="R8850" s="2" t="inlineStr"/>
    </row>
    <row r="8851" ht="15" customHeight="1">
      <c r="A8851" t="inlineStr">
        <is>
          <t>A 53544-2023</t>
        </is>
      </c>
      <c r="B8851" s="1" t="n">
        <v>45230</v>
      </c>
      <c r="C8851" s="1" t="n">
        <v>45587</v>
      </c>
      <c r="D8851" t="inlineStr">
        <is>
          <t>GÄVLEBORGS LÄN</t>
        </is>
      </c>
      <c r="E8851" t="inlineStr">
        <is>
          <t>LJUSDAL</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53553-2023</t>
        </is>
      </c>
      <c r="B8852" s="1" t="n">
        <v>45230</v>
      </c>
      <c r="C8852" s="1" t="n">
        <v>45587</v>
      </c>
      <c r="D8852" t="inlineStr">
        <is>
          <t>GÄVLEBORGS LÄN</t>
        </is>
      </c>
      <c r="E8852" t="inlineStr">
        <is>
          <t>HUDIKSVALL</t>
        </is>
      </c>
      <c r="F8852" t="inlineStr">
        <is>
          <t>Holmen skog AB</t>
        </is>
      </c>
      <c r="G8852" t="n">
        <v>5</v>
      </c>
      <c r="H8852" t="n">
        <v>0</v>
      </c>
      <c r="I8852" t="n">
        <v>0</v>
      </c>
      <c r="J8852" t="n">
        <v>0</v>
      </c>
      <c r="K8852" t="n">
        <v>0</v>
      </c>
      <c r="L8852" t="n">
        <v>0</v>
      </c>
      <c r="M8852" t="n">
        <v>0</v>
      </c>
      <c r="N8852" t="n">
        <v>0</v>
      </c>
      <c r="O8852" t="n">
        <v>0</v>
      </c>
      <c r="P8852" t="n">
        <v>0</v>
      </c>
      <c r="Q8852" t="n">
        <v>0</v>
      </c>
      <c r="R8852" s="2" t="inlineStr"/>
    </row>
    <row r="8853" ht="15" customHeight="1">
      <c r="A8853" t="inlineStr">
        <is>
          <t>A 53525-2023</t>
        </is>
      </c>
      <c r="B8853" s="1" t="n">
        <v>45230</v>
      </c>
      <c r="C8853" s="1" t="n">
        <v>45587</v>
      </c>
      <c r="D8853" t="inlineStr">
        <is>
          <t>GÄVLEBORGS LÄN</t>
        </is>
      </c>
      <c r="E8853" t="inlineStr">
        <is>
          <t>OVANÅKER</t>
        </is>
      </c>
      <c r="F8853" t="inlineStr">
        <is>
          <t>Bergvik skog öst AB</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53510-2023</t>
        </is>
      </c>
      <c r="B8854" s="1" t="n">
        <v>45230</v>
      </c>
      <c r="C8854" s="1" t="n">
        <v>45587</v>
      </c>
      <c r="D8854" t="inlineStr">
        <is>
          <t>GÄVLEBORGS LÄN</t>
        </is>
      </c>
      <c r="E8854" t="inlineStr">
        <is>
          <t>OVANÅKER</t>
        </is>
      </c>
      <c r="F8854" t="inlineStr">
        <is>
          <t>Bergvik skog öst AB</t>
        </is>
      </c>
      <c r="G8854" t="n">
        <v>5.1</v>
      </c>
      <c r="H8854" t="n">
        <v>0</v>
      </c>
      <c r="I8854" t="n">
        <v>0</v>
      </c>
      <c r="J8854" t="n">
        <v>0</v>
      </c>
      <c r="K8854" t="n">
        <v>0</v>
      </c>
      <c r="L8854" t="n">
        <v>0</v>
      </c>
      <c r="M8854" t="n">
        <v>0</v>
      </c>
      <c r="N8854" t="n">
        <v>0</v>
      </c>
      <c r="O8854" t="n">
        <v>0</v>
      </c>
      <c r="P8854" t="n">
        <v>0</v>
      </c>
      <c r="Q8854" t="n">
        <v>0</v>
      </c>
      <c r="R8854" s="2" t="inlineStr"/>
    </row>
    <row r="8855" ht="15" customHeight="1">
      <c r="A8855" t="inlineStr">
        <is>
          <t>A 53694-2023</t>
        </is>
      </c>
      <c r="B8855" s="1" t="n">
        <v>45230</v>
      </c>
      <c r="C8855" s="1" t="n">
        <v>45587</v>
      </c>
      <c r="D8855" t="inlineStr">
        <is>
          <t>GÄVLEBORGS LÄN</t>
        </is>
      </c>
      <c r="E8855" t="inlineStr">
        <is>
          <t>HUDIKSVALL</t>
        </is>
      </c>
      <c r="F8855" t="inlineStr">
        <is>
          <t>Holmen skog AB</t>
        </is>
      </c>
      <c r="G8855" t="n">
        <v>4.8</v>
      </c>
      <c r="H8855" t="n">
        <v>0</v>
      </c>
      <c r="I8855" t="n">
        <v>0</v>
      </c>
      <c r="J8855" t="n">
        <v>0</v>
      </c>
      <c r="K8855" t="n">
        <v>0</v>
      </c>
      <c r="L8855" t="n">
        <v>0</v>
      </c>
      <c r="M8855" t="n">
        <v>0</v>
      </c>
      <c r="N8855" t="n">
        <v>0</v>
      </c>
      <c r="O8855" t="n">
        <v>0</v>
      </c>
      <c r="P8855" t="n">
        <v>0</v>
      </c>
      <c r="Q8855" t="n">
        <v>0</v>
      </c>
      <c r="R8855" s="2" t="inlineStr"/>
    </row>
    <row r="8856" ht="15" customHeight="1">
      <c r="A8856" t="inlineStr">
        <is>
          <t>A 53663-2023</t>
        </is>
      </c>
      <c r="B8856" s="1" t="n">
        <v>45230</v>
      </c>
      <c r="C8856" s="1" t="n">
        <v>45587</v>
      </c>
      <c r="D8856" t="inlineStr">
        <is>
          <t>GÄVLEBORGS LÄN</t>
        </is>
      </c>
      <c r="E8856" t="inlineStr">
        <is>
          <t>BOLLNÄS</t>
        </is>
      </c>
      <c r="F8856" t="inlineStr">
        <is>
          <t>Bergvik skog väst AB</t>
        </is>
      </c>
      <c r="G8856" t="n">
        <v>6.9</v>
      </c>
      <c r="H8856" t="n">
        <v>0</v>
      </c>
      <c r="I8856" t="n">
        <v>0</v>
      </c>
      <c r="J8856" t="n">
        <v>0</v>
      </c>
      <c r="K8856" t="n">
        <v>0</v>
      </c>
      <c r="L8856" t="n">
        <v>0</v>
      </c>
      <c r="M8856" t="n">
        <v>0</v>
      </c>
      <c r="N8856" t="n">
        <v>0</v>
      </c>
      <c r="O8856" t="n">
        <v>0</v>
      </c>
      <c r="P8856" t="n">
        <v>0</v>
      </c>
      <c r="Q8856" t="n">
        <v>0</v>
      </c>
      <c r="R8856" s="2" t="inlineStr"/>
    </row>
    <row r="8857" ht="15" customHeight="1">
      <c r="A8857" t="inlineStr">
        <is>
          <t>A 53488-2023</t>
        </is>
      </c>
      <c r="B8857" s="1" t="n">
        <v>45230</v>
      </c>
      <c r="C8857" s="1" t="n">
        <v>45587</v>
      </c>
      <c r="D8857" t="inlineStr">
        <is>
          <t>GÄVLEBORGS LÄN</t>
        </is>
      </c>
      <c r="E8857" t="inlineStr">
        <is>
          <t>OCKELBO</t>
        </is>
      </c>
      <c r="F8857" t="inlineStr">
        <is>
          <t>Bergvik skog väst AB</t>
        </is>
      </c>
      <c r="G8857" t="n">
        <v>13.3</v>
      </c>
      <c r="H8857" t="n">
        <v>0</v>
      </c>
      <c r="I8857" t="n">
        <v>0</v>
      </c>
      <c r="J8857" t="n">
        <v>0</v>
      </c>
      <c r="K8857" t="n">
        <v>0</v>
      </c>
      <c r="L8857" t="n">
        <v>0</v>
      </c>
      <c r="M8857" t="n">
        <v>0</v>
      </c>
      <c r="N8857" t="n">
        <v>0</v>
      </c>
      <c r="O8857" t="n">
        <v>0</v>
      </c>
      <c r="P8857" t="n">
        <v>0</v>
      </c>
      <c r="Q8857" t="n">
        <v>0</v>
      </c>
      <c r="R8857" s="2" t="inlineStr"/>
    </row>
    <row r="8858" ht="15" customHeight="1">
      <c r="A8858" t="inlineStr">
        <is>
          <t>A 53478-2023</t>
        </is>
      </c>
      <c r="B8858" s="1" t="n">
        <v>45230</v>
      </c>
      <c r="C8858" s="1" t="n">
        <v>45587</v>
      </c>
      <c r="D8858" t="inlineStr">
        <is>
          <t>GÄVLEBORGS LÄN</t>
        </is>
      </c>
      <c r="E8858" t="inlineStr">
        <is>
          <t>HUDIKSVALL</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53461-2023</t>
        </is>
      </c>
      <c r="B8859" s="1" t="n">
        <v>45230</v>
      </c>
      <c r="C8859" s="1" t="n">
        <v>45587</v>
      </c>
      <c r="D8859" t="inlineStr">
        <is>
          <t>GÄVLEBORGS LÄN</t>
        </is>
      </c>
      <c r="E8859" t="inlineStr">
        <is>
          <t>LJUSDAL</t>
        </is>
      </c>
      <c r="G8859" t="n">
        <v>5.7</v>
      </c>
      <c r="H8859" t="n">
        <v>0</v>
      </c>
      <c r="I8859" t="n">
        <v>0</v>
      </c>
      <c r="J8859" t="n">
        <v>0</v>
      </c>
      <c r="K8859" t="n">
        <v>0</v>
      </c>
      <c r="L8859" t="n">
        <v>0</v>
      </c>
      <c r="M8859" t="n">
        <v>0</v>
      </c>
      <c r="N8859" t="n">
        <v>0</v>
      </c>
      <c r="O8859" t="n">
        <v>0</v>
      </c>
      <c r="P8859" t="n">
        <v>0</v>
      </c>
      <c r="Q8859" t="n">
        <v>0</v>
      </c>
      <c r="R8859" s="2" t="inlineStr"/>
    </row>
    <row r="8860" ht="15" customHeight="1">
      <c r="A8860" t="inlineStr">
        <is>
          <t>A 53463-2023</t>
        </is>
      </c>
      <c r="B8860" s="1" t="n">
        <v>45230</v>
      </c>
      <c r="C8860" s="1" t="n">
        <v>45587</v>
      </c>
      <c r="D8860" t="inlineStr">
        <is>
          <t>GÄVLEBORGS LÄN</t>
        </is>
      </c>
      <c r="E8860" t="inlineStr">
        <is>
          <t>LJUSDAL</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55182-2023</t>
        </is>
      </c>
      <c r="B8861" s="1" t="n">
        <v>45230</v>
      </c>
      <c r="C8861" s="1" t="n">
        <v>45587</v>
      </c>
      <c r="D8861" t="inlineStr">
        <is>
          <t>GÄVLEBORGS LÄN</t>
        </is>
      </c>
      <c r="E8861" t="inlineStr">
        <is>
          <t>HUDIKSVALL</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53790-2023</t>
        </is>
      </c>
      <c r="B8862" s="1" t="n">
        <v>45231</v>
      </c>
      <c r="C8862" s="1" t="n">
        <v>45587</v>
      </c>
      <c r="D8862" t="inlineStr">
        <is>
          <t>GÄVLEBORGS LÄN</t>
        </is>
      </c>
      <c r="E8862" t="inlineStr">
        <is>
          <t>BOLLNÄS</t>
        </is>
      </c>
      <c r="F8862" t="inlineStr">
        <is>
          <t>Sveaskog</t>
        </is>
      </c>
      <c r="G8862" t="n">
        <v>4.9</v>
      </c>
      <c r="H8862" t="n">
        <v>0</v>
      </c>
      <c r="I8862" t="n">
        <v>0</v>
      </c>
      <c r="J8862" t="n">
        <v>0</v>
      </c>
      <c r="K8862" t="n">
        <v>0</v>
      </c>
      <c r="L8862" t="n">
        <v>0</v>
      </c>
      <c r="M8862" t="n">
        <v>0</v>
      </c>
      <c r="N8862" t="n">
        <v>0</v>
      </c>
      <c r="O8862" t="n">
        <v>0</v>
      </c>
      <c r="P8862" t="n">
        <v>0</v>
      </c>
      <c r="Q8862" t="n">
        <v>0</v>
      </c>
      <c r="R8862" s="2" t="inlineStr"/>
    </row>
    <row r="8863" ht="15" customHeight="1">
      <c r="A8863" t="inlineStr">
        <is>
          <t>A 53818-2023</t>
        </is>
      </c>
      <c r="B8863" s="1" t="n">
        <v>45231</v>
      </c>
      <c r="C8863" s="1" t="n">
        <v>45587</v>
      </c>
      <c r="D8863" t="inlineStr">
        <is>
          <t>GÄVLEBORGS LÄN</t>
        </is>
      </c>
      <c r="E8863" t="inlineStr">
        <is>
          <t>OVANÅKER</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53828-2023</t>
        </is>
      </c>
      <c r="B8864" s="1" t="n">
        <v>45231</v>
      </c>
      <c r="C8864" s="1" t="n">
        <v>45587</v>
      </c>
      <c r="D8864" t="inlineStr">
        <is>
          <t>GÄVLEBORGS LÄN</t>
        </is>
      </c>
      <c r="E8864" t="inlineStr">
        <is>
          <t>BOLLNÄS</t>
        </is>
      </c>
      <c r="F8864" t="inlineStr">
        <is>
          <t>Sveaskog</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53884-2023</t>
        </is>
      </c>
      <c r="B8865" s="1" t="n">
        <v>45231</v>
      </c>
      <c r="C8865" s="1" t="n">
        <v>45587</v>
      </c>
      <c r="D8865" t="inlineStr">
        <is>
          <t>GÄVLEBORGS LÄN</t>
        </is>
      </c>
      <c r="E8865" t="inlineStr">
        <is>
          <t>SANDVIKEN</t>
        </is>
      </c>
      <c r="F8865" t="inlineStr">
        <is>
          <t>Sveaskog</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53889-2023</t>
        </is>
      </c>
      <c r="B8866" s="1" t="n">
        <v>45231</v>
      </c>
      <c r="C8866" s="1" t="n">
        <v>45587</v>
      </c>
      <c r="D8866" t="inlineStr">
        <is>
          <t>GÄVLEBORGS LÄN</t>
        </is>
      </c>
      <c r="E8866" t="inlineStr">
        <is>
          <t>SANDVIKEN</t>
        </is>
      </c>
      <c r="F8866" t="inlineStr">
        <is>
          <t>Sveaskog</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53785-2023</t>
        </is>
      </c>
      <c r="B8867" s="1" t="n">
        <v>45231</v>
      </c>
      <c r="C8867" s="1" t="n">
        <v>45587</v>
      </c>
      <c r="D8867" t="inlineStr">
        <is>
          <t>GÄVLEBORGS LÄN</t>
        </is>
      </c>
      <c r="E8867" t="inlineStr">
        <is>
          <t>LJUSDAL</t>
        </is>
      </c>
      <c r="F8867" t="inlineStr">
        <is>
          <t>Allmännings- och besparingsskogar</t>
        </is>
      </c>
      <c r="G8867" t="n">
        <v>9.199999999999999</v>
      </c>
      <c r="H8867" t="n">
        <v>0</v>
      </c>
      <c r="I8867" t="n">
        <v>0</v>
      </c>
      <c r="J8867" t="n">
        <v>0</v>
      </c>
      <c r="K8867" t="n">
        <v>0</v>
      </c>
      <c r="L8867" t="n">
        <v>0</v>
      </c>
      <c r="M8867" t="n">
        <v>0</v>
      </c>
      <c r="N8867" t="n">
        <v>0</v>
      </c>
      <c r="O8867" t="n">
        <v>0</v>
      </c>
      <c r="P8867" t="n">
        <v>0</v>
      </c>
      <c r="Q8867" t="n">
        <v>0</v>
      </c>
      <c r="R8867" s="2" t="inlineStr"/>
    </row>
    <row r="8868" ht="15" customHeight="1">
      <c r="A8868" t="inlineStr">
        <is>
          <t>A 53783-2023</t>
        </is>
      </c>
      <c r="B8868" s="1" t="n">
        <v>45231</v>
      </c>
      <c r="C8868" s="1" t="n">
        <v>45587</v>
      </c>
      <c r="D8868" t="inlineStr">
        <is>
          <t>GÄVLEBORGS LÄN</t>
        </is>
      </c>
      <c r="E8868" t="inlineStr">
        <is>
          <t>BOLLNÄS</t>
        </is>
      </c>
      <c r="F8868" t="inlineStr">
        <is>
          <t>Sveaskog</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53867-2023</t>
        </is>
      </c>
      <c r="B8869" s="1" t="n">
        <v>45231</v>
      </c>
      <c r="C8869" s="1" t="n">
        <v>45587</v>
      </c>
      <c r="D8869" t="inlineStr">
        <is>
          <t>GÄVLEBORGS LÄN</t>
        </is>
      </c>
      <c r="E8869" t="inlineStr">
        <is>
          <t>LJUSDAL</t>
        </is>
      </c>
      <c r="F8869" t="inlineStr">
        <is>
          <t>Allmännings- och besparingsskogar</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53873-2023</t>
        </is>
      </c>
      <c r="B8870" s="1" t="n">
        <v>45231</v>
      </c>
      <c r="C8870" s="1" t="n">
        <v>45587</v>
      </c>
      <c r="D8870" t="inlineStr">
        <is>
          <t>GÄVLEBORGS LÄN</t>
        </is>
      </c>
      <c r="E8870" t="inlineStr">
        <is>
          <t>LJUSDAL</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53912-2023</t>
        </is>
      </c>
      <c r="B8871" s="1" t="n">
        <v>45231</v>
      </c>
      <c r="C8871" s="1" t="n">
        <v>45587</v>
      </c>
      <c r="D8871" t="inlineStr">
        <is>
          <t>GÄVLEBORGS LÄN</t>
        </is>
      </c>
      <c r="E8871" t="inlineStr">
        <is>
          <t>HUDIKSVALL</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54004-2023</t>
        </is>
      </c>
      <c r="B8872" s="1" t="n">
        <v>45231</v>
      </c>
      <c r="C8872" s="1" t="n">
        <v>45587</v>
      </c>
      <c r="D8872" t="inlineStr">
        <is>
          <t>GÄVLEBORGS LÄN</t>
        </is>
      </c>
      <c r="E8872" t="inlineStr">
        <is>
          <t>NORDANSTIG</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53948-2023</t>
        </is>
      </c>
      <c r="B8873" s="1" t="n">
        <v>45231</v>
      </c>
      <c r="C8873" s="1" t="n">
        <v>45587</v>
      </c>
      <c r="D8873" t="inlineStr">
        <is>
          <t>GÄVLEBORGS LÄN</t>
        </is>
      </c>
      <c r="E8873" t="inlineStr">
        <is>
          <t>LJUSDAL</t>
        </is>
      </c>
      <c r="F8873" t="inlineStr">
        <is>
          <t>Holmen skog AB</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53969-2023</t>
        </is>
      </c>
      <c r="B8874" s="1" t="n">
        <v>45231</v>
      </c>
      <c r="C8874" s="1" t="n">
        <v>45587</v>
      </c>
      <c r="D8874" t="inlineStr">
        <is>
          <t>GÄVLEBORGS LÄN</t>
        </is>
      </c>
      <c r="E8874" t="inlineStr">
        <is>
          <t>NORDANSTIG</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54007-2023</t>
        </is>
      </c>
      <c r="B8875" s="1" t="n">
        <v>45231</v>
      </c>
      <c r="C8875" s="1" t="n">
        <v>45587</v>
      </c>
      <c r="D8875" t="inlineStr">
        <is>
          <t>GÄVLEBORGS LÄN</t>
        </is>
      </c>
      <c r="E8875" t="inlineStr">
        <is>
          <t>SÖDERHAMN</t>
        </is>
      </c>
      <c r="F8875" t="inlineStr">
        <is>
          <t>Kommuner</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53796-2023</t>
        </is>
      </c>
      <c r="B8876" s="1" t="n">
        <v>45231</v>
      </c>
      <c r="C8876" s="1" t="n">
        <v>45587</v>
      </c>
      <c r="D8876" t="inlineStr">
        <is>
          <t>GÄVLEBORGS LÄN</t>
        </is>
      </c>
      <c r="E8876" t="inlineStr">
        <is>
          <t>HUDIKSVALL</t>
        </is>
      </c>
      <c r="G8876" t="n">
        <v>17.6</v>
      </c>
      <c r="H8876" t="n">
        <v>0</v>
      </c>
      <c r="I8876" t="n">
        <v>0</v>
      </c>
      <c r="J8876" t="n">
        <v>0</v>
      </c>
      <c r="K8876" t="n">
        <v>0</v>
      </c>
      <c r="L8876" t="n">
        <v>0</v>
      </c>
      <c r="M8876" t="n">
        <v>0</v>
      </c>
      <c r="N8876" t="n">
        <v>0</v>
      </c>
      <c r="O8876" t="n">
        <v>0</v>
      </c>
      <c r="P8876" t="n">
        <v>0</v>
      </c>
      <c r="Q8876" t="n">
        <v>0</v>
      </c>
      <c r="R8876" s="2" t="inlineStr"/>
    </row>
    <row r="8877" ht="15" customHeight="1">
      <c r="A8877" t="inlineStr">
        <is>
          <t>A 53831-2023</t>
        </is>
      </c>
      <c r="B8877" s="1" t="n">
        <v>45231</v>
      </c>
      <c r="C8877" s="1" t="n">
        <v>45587</v>
      </c>
      <c r="D8877" t="inlineStr">
        <is>
          <t>GÄVLEBORGS LÄN</t>
        </is>
      </c>
      <c r="E8877" t="inlineStr">
        <is>
          <t>LJUSDAL</t>
        </is>
      </c>
      <c r="F8877" t="inlineStr">
        <is>
          <t>Allmännings- och besparingsskogar</t>
        </is>
      </c>
      <c r="G8877" t="n">
        <v>9.199999999999999</v>
      </c>
      <c r="H8877" t="n">
        <v>0</v>
      </c>
      <c r="I8877" t="n">
        <v>0</v>
      </c>
      <c r="J8877" t="n">
        <v>0</v>
      </c>
      <c r="K8877" t="n">
        <v>0</v>
      </c>
      <c r="L8877" t="n">
        <v>0</v>
      </c>
      <c r="M8877" t="n">
        <v>0</v>
      </c>
      <c r="N8877" t="n">
        <v>0</v>
      </c>
      <c r="O8877" t="n">
        <v>0</v>
      </c>
      <c r="P8877" t="n">
        <v>0</v>
      </c>
      <c r="Q8877" t="n">
        <v>0</v>
      </c>
      <c r="R8877" s="2" t="inlineStr"/>
    </row>
    <row r="8878" ht="15" customHeight="1">
      <c r="A8878" t="inlineStr">
        <is>
          <t>A 53845-2023</t>
        </is>
      </c>
      <c r="B8878" s="1" t="n">
        <v>45231</v>
      </c>
      <c r="C8878" s="1" t="n">
        <v>45587</v>
      </c>
      <c r="D8878" t="inlineStr">
        <is>
          <t>GÄVLEBORGS LÄN</t>
        </is>
      </c>
      <c r="E8878" t="inlineStr">
        <is>
          <t>OVANÅKER</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53852-2023</t>
        </is>
      </c>
      <c r="B8879" s="1" t="n">
        <v>45231</v>
      </c>
      <c r="C8879" s="1" t="n">
        <v>45587</v>
      </c>
      <c r="D8879" t="inlineStr">
        <is>
          <t>GÄVLEBORGS LÄN</t>
        </is>
      </c>
      <c r="E8879" t="inlineStr">
        <is>
          <t>LJUSDAL</t>
        </is>
      </c>
      <c r="G8879" t="n">
        <v>0.1</v>
      </c>
      <c r="H8879" t="n">
        <v>0</v>
      </c>
      <c r="I8879" t="n">
        <v>0</v>
      </c>
      <c r="J8879" t="n">
        <v>0</v>
      </c>
      <c r="K8879" t="n">
        <v>0</v>
      </c>
      <c r="L8879" t="n">
        <v>0</v>
      </c>
      <c r="M8879" t="n">
        <v>0</v>
      </c>
      <c r="N8879" t="n">
        <v>0</v>
      </c>
      <c r="O8879" t="n">
        <v>0</v>
      </c>
      <c r="P8879" t="n">
        <v>0</v>
      </c>
      <c r="Q8879" t="n">
        <v>0</v>
      </c>
      <c r="R8879" s="2" t="inlineStr"/>
    </row>
    <row r="8880" ht="15" customHeight="1">
      <c r="A8880" t="inlineStr">
        <is>
          <t>A 53857-2023</t>
        </is>
      </c>
      <c r="B8880" s="1" t="n">
        <v>45231</v>
      </c>
      <c r="C8880" s="1" t="n">
        <v>45587</v>
      </c>
      <c r="D8880" t="inlineStr">
        <is>
          <t>GÄVLEBORGS LÄN</t>
        </is>
      </c>
      <c r="E8880" t="inlineStr">
        <is>
          <t>LJUSDAL</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53868-2023</t>
        </is>
      </c>
      <c r="B8881" s="1" t="n">
        <v>45231</v>
      </c>
      <c r="C8881" s="1" t="n">
        <v>45587</v>
      </c>
      <c r="D8881" t="inlineStr">
        <is>
          <t>GÄVLEBORGS LÄN</t>
        </is>
      </c>
      <c r="E8881" t="inlineStr">
        <is>
          <t>NORDANSTIG</t>
        </is>
      </c>
      <c r="F8881" t="inlineStr">
        <is>
          <t>Holmen skog AB</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53905-2023</t>
        </is>
      </c>
      <c r="B8882" s="1" t="n">
        <v>45231</v>
      </c>
      <c r="C8882" s="1" t="n">
        <v>45587</v>
      </c>
      <c r="D8882" t="inlineStr">
        <is>
          <t>GÄVLEBORGS LÄN</t>
        </is>
      </c>
      <c r="E8882" t="inlineStr">
        <is>
          <t>HUDIKSVALL</t>
        </is>
      </c>
      <c r="G8882" t="n">
        <v>3.9</v>
      </c>
      <c r="H8882" t="n">
        <v>0</v>
      </c>
      <c r="I8882" t="n">
        <v>0</v>
      </c>
      <c r="J8882" t="n">
        <v>0</v>
      </c>
      <c r="K8882" t="n">
        <v>0</v>
      </c>
      <c r="L8882" t="n">
        <v>0</v>
      </c>
      <c r="M8882" t="n">
        <v>0</v>
      </c>
      <c r="N8882" t="n">
        <v>0</v>
      </c>
      <c r="O8882" t="n">
        <v>0</v>
      </c>
      <c r="P8882" t="n">
        <v>0</v>
      </c>
      <c r="Q8882" t="n">
        <v>0</v>
      </c>
      <c r="R8882" s="2" t="inlineStr"/>
    </row>
    <row r="8883" ht="15" customHeight="1">
      <c r="A8883" t="inlineStr">
        <is>
          <t>A 53988-2023</t>
        </is>
      </c>
      <c r="B8883" s="1" t="n">
        <v>45231</v>
      </c>
      <c r="C8883" s="1" t="n">
        <v>45587</v>
      </c>
      <c r="D8883" t="inlineStr">
        <is>
          <t>GÄVLEBORGS LÄN</t>
        </is>
      </c>
      <c r="E8883" t="inlineStr">
        <is>
          <t>NORDANSTIG</t>
        </is>
      </c>
      <c r="G8883" t="n">
        <v>6.2</v>
      </c>
      <c r="H8883" t="n">
        <v>0</v>
      </c>
      <c r="I8883" t="n">
        <v>0</v>
      </c>
      <c r="J8883" t="n">
        <v>0</v>
      </c>
      <c r="K8883" t="n">
        <v>0</v>
      </c>
      <c r="L8883" t="n">
        <v>0</v>
      </c>
      <c r="M8883" t="n">
        <v>0</v>
      </c>
      <c r="N8883" t="n">
        <v>0</v>
      </c>
      <c r="O8883" t="n">
        <v>0</v>
      </c>
      <c r="P8883" t="n">
        <v>0</v>
      </c>
      <c r="Q8883" t="n">
        <v>0</v>
      </c>
      <c r="R8883" s="2" t="inlineStr"/>
    </row>
    <row r="8884" ht="15" customHeight="1">
      <c r="A8884" t="inlineStr">
        <is>
          <t>A 53997-2023</t>
        </is>
      </c>
      <c r="B8884" s="1" t="n">
        <v>45231</v>
      </c>
      <c r="C8884" s="1" t="n">
        <v>45587</v>
      </c>
      <c r="D8884" t="inlineStr">
        <is>
          <t>GÄVLEBORGS LÄN</t>
        </is>
      </c>
      <c r="E8884" t="inlineStr">
        <is>
          <t>NORDANSTIG</t>
        </is>
      </c>
      <c r="G8884" t="n">
        <v>8.300000000000001</v>
      </c>
      <c r="H8884" t="n">
        <v>0</v>
      </c>
      <c r="I8884" t="n">
        <v>0</v>
      </c>
      <c r="J8884" t="n">
        <v>0</v>
      </c>
      <c r="K8884" t="n">
        <v>0</v>
      </c>
      <c r="L8884" t="n">
        <v>0</v>
      </c>
      <c r="M8884" t="n">
        <v>0</v>
      </c>
      <c r="N8884" t="n">
        <v>0</v>
      </c>
      <c r="O8884" t="n">
        <v>0</v>
      </c>
      <c r="P8884" t="n">
        <v>0</v>
      </c>
      <c r="Q8884" t="n">
        <v>0</v>
      </c>
      <c r="R8884" s="2" t="inlineStr"/>
    </row>
    <row r="8885" ht="15" customHeight="1">
      <c r="A8885" t="inlineStr">
        <is>
          <t>A 55473-2023</t>
        </is>
      </c>
      <c r="B8885" s="1" t="n">
        <v>45231</v>
      </c>
      <c r="C8885" s="1" t="n">
        <v>45587</v>
      </c>
      <c r="D8885" t="inlineStr">
        <is>
          <t>GÄVLEBORGS LÄN</t>
        </is>
      </c>
      <c r="E8885" t="inlineStr">
        <is>
          <t>GÄVLE</t>
        </is>
      </c>
      <c r="F8885" t="inlineStr">
        <is>
          <t>Bergvik skog väst AB</t>
        </is>
      </c>
      <c r="G8885" t="n">
        <v>5</v>
      </c>
      <c r="H8885" t="n">
        <v>0</v>
      </c>
      <c r="I8885" t="n">
        <v>0</v>
      </c>
      <c r="J8885" t="n">
        <v>0</v>
      </c>
      <c r="K8885" t="n">
        <v>0</v>
      </c>
      <c r="L8885" t="n">
        <v>0</v>
      </c>
      <c r="M8885" t="n">
        <v>0</v>
      </c>
      <c r="N8885" t="n">
        <v>0</v>
      </c>
      <c r="O8885" t="n">
        <v>0</v>
      </c>
      <c r="P8885" t="n">
        <v>0</v>
      </c>
      <c r="Q8885" t="n">
        <v>0</v>
      </c>
      <c r="R8885" s="2" t="inlineStr"/>
    </row>
    <row r="8886" ht="15" customHeight="1">
      <c r="A8886" t="inlineStr">
        <is>
          <t>A 53821-2023</t>
        </is>
      </c>
      <c r="B8886" s="1" t="n">
        <v>45231</v>
      </c>
      <c r="C8886" s="1" t="n">
        <v>45587</v>
      </c>
      <c r="D8886" t="inlineStr">
        <is>
          <t>GÄVLEBORGS LÄN</t>
        </is>
      </c>
      <c r="E8886" t="inlineStr">
        <is>
          <t>OVANÅKER</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53826-2023</t>
        </is>
      </c>
      <c r="B8887" s="1" t="n">
        <v>45231</v>
      </c>
      <c r="C8887" s="1" t="n">
        <v>45587</v>
      </c>
      <c r="D8887" t="inlineStr">
        <is>
          <t>GÄVLEBORGS LÄN</t>
        </is>
      </c>
      <c r="E8887" t="inlineStr">
        <is>
          <t>OVANÅKER</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53926-2023</t>
        </is>
      </c>
      <c r="B8888" s="1" t="n">
        <v>45231</v>
      </c>
      <c r="C8888" s="1" t="n">
        <v>45587</v>
      </c>
      <c r="D8888" t="inlineStr">
        <is>
          <t>GÄVLEBORGS LÄN</t>
        </is>
      </c>
      <c r="E8888" t="inlineStr">
        <is>
          <t>OVANÅKER</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54119-2023</t>
        </is>
      </c>
      <c r="B8889" s="1" t="n">
        <v>45232</v>
      </c>
      <c r="C8889" s="1" t="n">
        <v>45587</v>
      </c>
      <c r="D8889" t="inlineStr">
        <is>
          <t>GÄVLEBORGS LÄN</t>
        </is>
      </c>
      <c r="E8889" t="inlineStr">
        <is>
          <t>GÄVLE</t>
        </is>
      </c>
      <c r="G8889" t="n">
        <v>4.5</v>
      </c>
      <c r="H8889" t="n">
        <v>0</v>
      </c>
      <c r="I8889" t="n">
        <v>0</v>
      </c>
      <c r="J8889" t="n">
        <v>0</v>
      </c>
      <c r="K8889" t="n">
        <v>0</v>
      </c>
      <c r="L8889" t="n">
        <v>0</v>
      </c>
      <c r="M8889" t="n">
        <v>0</v>
      </c>
      <c r="N8889" t="n">
        <v>0</v>
      </c>
      <c r="O8889" t="n">
        <v>0</v>
      </c>
      <c r="P8889" t="n">
        <v>0</v>
      </c>
      <c r="Q8889" t="n">
        <v>0</v>
      </c>
      <c r="R8889" s="2" t="inlineStr"/>
    </row>
    <row r="8890" ht="15" customHeight="1">
      <c r="A8890" t="inlineStr">
        <is>
          <t>A 54140-2023</t>
        </is>
      </c>
      <c r="B8890" s="1" t="n">
        <v>45232</v>
      </c>
      <c r="C8890" s="1" t="n">
        <v>45587</v>
      </c>
      <c r="D8890" t="inlineStr">
        <is>
          <t>GÄVLEBORGS LÄN</t>
        </is>
      </c>
      <c r="E8890" t="inlineStr">
        <is>
          <t>SANDVIKEN</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54149-2023</t>
        </is>
      </c>
      <c r="B8891" s="1" t="n">
        <v>45232</v>
      </c>
      <c r="C8891" s="1" t="n">
        <v>45587</v>
      </c>
      <c r="D8891" t="inlineStr">
        <is>
          <t>GÄVLEBORGS LÄN</t>
        </is>
      </c>
      <c r="E8891" t="inlineStr">
        <is>
          <t>HOFORS</t>
        </is>
      </c>
      <c r="G8891" t="n">
        <v>4.6</v>
      </c>
      <c r="H8891" t="n">
        <v>0</v>
      </c>
      <c r="I8891" t="n">
        <v>0</v>
      </c>
      <c r="J8891" t="n">
        <v>0</v>
      </c>
      <c r="K8891" t="n">
        <v>0</v>
      </c>
      <c r="L8891" t="n">
        <v>0</v>
      </c>
      <c r="M8891" t="n">
        <v>0</v>
      </c>
      <c r="N8891" t="n">
        <v>0</v>
      </c>
      <c r="O8891" t="n">
        <v>0</v>
      </c>
      <c r="P8891" t="n">
        <v>0</v>
      </c>
      <c r="Q8891" t="n">
        <v>0</v>
      </c>
      <c r="R8891" s="2" t="inlineStr"/>
    </row>
    <row r="8892" ht="15" customHeight="1">
      <c r="A8892" t="inlineStr">
        <is>
          <t>A 54197-2023</t>
        </is>
      </c>
      <c r="B8892" s="1" t="n">
        <v>45232</v>
      </c>
      <c r="C8892" s="1" t="n">
        <v>45587</v>
      </c>
      <c r="D8892" t="inlineStr">
        <is>
          <t>GÄVLEBORGS LÄN</t>
        </is>
      </c>
      <c r="E8892" t="inlineStr">
        <is>
          <t>NORDANSTIG</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54147-2023</t>
        </is>
      </c>
      <c r="B8893" s="1" t="n">
        <v>45232</v>
      </c>
      <c r="C8893" s="1" t="n">
        <v>45587</v>
      </c>
      <c r="D8893" t="inlineStr">
        <is>
          <t>GÄVLEBORGS LÄN</t>
        </is>
      </c>
      <c r="E8893" t="inlineStr">
        <is>
          <t>GÄVLE</t>
        </is>
      </c>
      <c r="F8893" t="inlineStr">
        <is>
          <t>Bergvik skog öst AB</t>
        </is>
      </c>
      <c r="G8893" t="n">
        <v>12.3</v>
      </c>
      <c r="H8893" t="n">
        <v>0</v>
      </c>
      <c r="I8893" t="n">
        <v>0</v>
      </c>
      <c r="J8893" t="n">
        <v>0</v>
      </c>
      <c r="K8893" t="n">
        <v>0</v>
      </c>
      <c r="L8893" t="n">
        <v>0</v>
      </c>
      <c r="M8893" t="n">
        <v>0</v>
      </c>
      <c r="N8893" t="n">
        <v>0</v>
      </c>
      <c r="O8893" t="n">
        <v>0</v>
      </c>
      <c r="P8893" t="n">
        <v>0</v>
      </c>
      <c r="Q8893" t="n">
        <v>0</v>
      </c>
      <c r="R8893" s="2" t="inlineStr"/>
    </row>
    <row r="8894" ht="15" customHeight="1">
      <c r="A8894" t="inlineStr">
        <is>
          <t>A 54167-2023</t>
        </is>
      </c>
      <c r="B8894" s="1" t="n">
        <v>45232</v>
      </c>
      <c r="C8894" s="1" t="n">
        <v>45587</v>
      </c>
      <c r="D8894" t="inlineStr">
        <is>
          <t>GÄVLEBORGS LÄN</t>
        </is>
      </c>
      <c r="E8894" t="inlineStr">
        <is>
          <t>LJUSDAL</t>
        </is>
      </c>
      <c r="F8894" t="inlineStr">
        <is>
          <t>Sveaskog</t>
        </is>
      </c>
      <c r="G8894" t="n">
        <v>20.5</v>
      </c>
      <c r="H8894" t="n">
        <v>0</v>
      </c>
      <c r="I8894" t="n">
        <v>0</v>
      </c>
      <c r="J8894" t="n">
        <v>0</v>
      </c>
      <c r="K8894" t="n">
        <v>0</v>
      </c>
      <c r="L8894" t="n">
        <v>0</v>
      </c>
      <c r="M8894" t="n">
        <v>0</v>
      </c>
      <c r="N8894" t="n">
        <v>0</v>
      </c>
      <c r="O8894" t="n">
        <v>0</v>
      </c>
      <c r="P8894" t="n">
        <v>0</v>
      </c>
      <c r="Q8894" t="n">
        <v>0</v>
      </c>
      <c r="R8894" s="2" t="inlineStr"/>
    </row>
    <row r="8895" ht="15" customHeight="1">
      <c r="A8895" t="inlineStr">
        <is>
          <t>A 54202-2023</t>
        </is>
      </c>
      <c r="B8895" s="1" t="n">
        <v>45232</v>
      </c>
      <c r="C8895" s="1" t="n">
        <v>45587</v>
      </c>
      <c r="D8895" t="inlineStr">
        <is>
          <t>GÄVLEBORGS LÄN</t>
        </is>
      </c>
      <c r="E8895" t="inlineStr">
        <is>
          <t>GÄVLE</t>
        </is>
      </c>
      <c r="F8895" t="inlineStr">
        <is>
          <t>Bergvik skog väst AB</t>
        </is>
      </c>
      <c r="G8895" t="n">
        <v>4.6</v>
      </c>
      <c r="H8895" t="n">
        <v>0</v>
      </c>
      <c r="I8895" t="n">
        <v>0</v>
      </c>
      <c r="J8895" t="n">
        <v>0</v>
      </c>
      <c r="K8895" t="n">
        <v>0</v>
      </c>
      <c r="L8895" t="n">
        <v>0</v>
      </c>
      <c r="M8895" t="n">
        <v>0</v>
      </c>
      <c r="N8895" t="n">
        <v>0</v>
      </c>
      <c r="O8895" t="n">
        <v>0</v>
      </c>
      <c r="P8895" t="n">
        <v>0</v>
      </c>
      <c r="Q8895" t="n">
        <v>0</v>
      </c>
      <c r="R8895" s="2" t="inlineStr"/>
    </row>
    <row r="8896" ht="15" customHeight="1">
      <c r="A8896" t="inlineStr">
        <is>
          <t>A 54207-2023</t>
        </is>
      </c>
      <c r="B8896" s="1" t="n">
        <v>45232</v>
      </c>
      <c r="C8896" s="1" t="n">
        <v>45587</v>
      </c>
      <c r="D8896" t="inlineStr">
        <is>
          <t>GÄVLEBORGS LÄN</t>
        </is>
      </c>
      <c r="E8896" t="inlineStr">
        <is>
          <t>GÄVLE</t>
        </is>
      </c>
      <c r="F8896" t="inlineStr">
        <is>
          <t>Bergvik skog väst AB</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54090-2023</t>
        </is>
      </c>
      <c r="B8897" s="1" t="n">
        <v>45232</v>
      </c>
      <c r="C8897" s="1" t="n">
        <v>45587</v>
      </c>
      <c r="D8897" t="inlineStr">
        <is>
          <t>GÄVLEBORGS LÄN</t>
        </is>
      </c>
      <c r="E8897" t="inlineStr">
        <is>
          <t>LJUSDAL</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54106-2023</t>
        </is>
      </c>
      <c r="B8898" s="1" t="n">
        <v>45232</v>
      </c>
      <c r="C8898" s="1" t="n">
        <v>45587</v>
      </c>
      <c r="D8898" t="inlineStr">
        <is>
          <t>GÄVLEBORGS LÄN</t>
        </is>
      </c>
      <c r="E8898" t="inlineStr">
        <is>
          <t>SANDVIKEN</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54203-2023</t>
        </is>
      </c>
      <c r="B8899" s="1" t="n">
        <v>45232</v>
      </c>
      <c r="C8899" s="1" t="n">
        <v>45587</v>
      </c>
      <c r="D8899" t="inlineStr">
        <is>
          <t>GÄVLEBORGS LÄN</t>
        </is>
      </c>
      <c r="E8899" t="inlineStr">
        <is>
          <t>BOLLNÄS</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54235-2023</t>
        </is>
      </c>
      <c r="B8900" s="1" t="n">
        <v>45232</v>
      </c>
      <c r="C8900" s="1" t="n">
        <v>45587</v>
      </c>
      <c r="D8900" t="inlineStr">
        <is>
          <t>GÄVLEBORGS LÄN</t>
        </is>
      </c>
      <c r="E8900" t="inlineStr">
        <is>
          <t>OCKELBO</t>
        </is>
      </c>
      <c r="G8900" t="n">
        <v>5.5</v>
      </c>
      <c r="H8900" t="n">
        <v>0</v>
      </c>
      <c r="I8900" t="n">
        <v>0</v>
      </c>
      <c r="J8900" t="n">
        <v>0</v>
      </c>
      <c r="K8900" t="n">
        <v>0</v>
      </c>
      <c r="L8900" t="n">
        <v>0</v>
      </c>
      <c r="M8900" t="n">
        <v>0</v>
      </c>
      <c r="N8900" t="n">
        <v>0</v>
      </c>
      <c r="O8900" t="n">
        <v>0</v>
      </c>
      <c r="P8900" t="n">
        <v>0</v>
      </c>
      <c r="Q8900" t="n">
        <v>0</v>
      </c>
      <c r="R8900" s="2" t="inlineStr"/>
    </row>
    <row r="8901" ht="15" customHeight="1">
      <c r="A8901" t="inlineStr">
        <is>
          <t>A 54126-2023</t>
        </is>
      </c>
      <c r="B8901" s="1" t="n">
        <v>45232</v>
      </c>
      <c r="C8901" s="1" t="n">
        <v>45587</v>
      </c>
      <c r="D8901" t="inlineStr">
        <is>
          <t>GÄVLEBORGS LÄN</t>
        </is>
      </c>
      <c r="E8901" t="inlineStr">
        <is>
          <t>GÄVLE</t>
        </is>
      </c>
      <c r="F8901" t="inlineStr">
        <is>
          <t>Bergvik skog öst AB</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54157-2023</t>
        </is>
      </c>
      <c r="B8902" s="1" t="n">
        <v>45232</v>
      </c>
      <c r="C8902" s="1" t="n">
        <v>45587</v>
      </c>
      <c r="D8902" t="inlineStr">
        <is>
          <t>GÄVLEBORGS LÄN</t>
        </is>
      </c>
      <c r="E8902" t="inlineStr">
        <is>
          <t>GÄVLE</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54304-2023</t>
        </is>
      </c>
      <c r="B8903" s="1" t="n">
        <v>45232</v>
      </c>
      <c r="C8903" s="1" t="n">
        <v>45587</v>
      </c>
      <c r="D8903" t="inlineStr">
        <is>
          <t>GÄVLEBORGS LÄN</t>
        </is>
      </c>
      <c r="E8903" t="inlineStr">
        <is>
          <t>HUDIKSVALL</t>
        </is>
      </c>
      <c r="F8903" t="inlineStr">
        <is>
          <t>Holmen skog AB</t>
        </is>
      </c>
      <c r="G8903" t="n">
        <v>3.4</v>
      </c>
      <c r="H8903" t="n">
        <v>0</v>
      </c>
      <c r="I8903" t="n">
        <v>0</v>
      </c>
      <c r="J8903" t="n">
        <v>0</v>
      </c>
      <c r="K8903" t="n">
        <v>0</v>
      </c>
      <c r="L8903" t="n">
        <v>0</v>
      </c>
      <c r="M8903" t="n">
        <v>0</v>
      </c>
      <c r="N8903" t="n">
        <v>0</v>
      </c>
      <c r="O8903" t="n">
        <v>0</v>
      </c>
      <c r="P8903" t="n">
        <v>0</v>
      </c>
      <c r="Q8903" t="n">
        <v>0</v>
      </c>
      <c r="R8903" s="2" t="inlineStr"/>
    </row>
    <row r="8904" ht="15" customHeight="1">
      <c r="A8904" t="inlineStr">
        <is>
          <t>A 54173-2023</t>
        </is>
      </c>
      <c r="B8904" s="1" t="n">
        <v>45232</v>
      </c>
      <c r="C8904" s="1" t="n">
        <v>45587</v>
      </c>
      <c r="D8904" t="inlineStr">
        <is>
          <t>GÄVLEBORGS LÄN</t>
        </is>
      </c>
      <c r="E8904" t="inlineStr">
        <is>
          <t>HUDIKSVALL</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54205-2023</t>
        </is>
      </c>
      <c r="B8905" s="1" t="n">
        <v>45232</v>
      </c>
      <c r="C8905" s="1" t="n">
        <v>45587</v>
      </c>
      <c r="D8905" t="inlineStr">
        <is>
          <t>GÄVLEBORGS LÄN</t>
        </is>
      </c>
      <c r="E8905" t="inlineStr">
        <is>
          <t>NORDANSTIG</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54225-2023</t>
        </is>
      </c>
      <c r="B8906" s="1" t="n">
        <v>45232</v>
      </c>
      <c r="C8906" s="1" t="n">
        <v>45587</v>
      </c>
      <c r="D8906" t="inlineStr">
        <is>
          <t>GÄVLEBORGS LÄN</t>
        </is>
      </c>
      <c r="E8906" t="inlineStr">
        <is>
          <t>HUDIKSVALL</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54349-2023</t>
        </is>
      </c>
      <c r="B8907" s="1" t="n">
        <v>45232</v>
      </c>
      <c r="C8907" s="1" t="n">
        <v>45587</v>
      </c>
      <c r="D8907" t="inlineStr">
        <is>
          <t>GÄVLEBORGS LÄN</t>
        </is>
      </c>
      <c r="E8907" t="inlineStr">
        <is>
          <t>NORDANSTIG</t>
        </is>
      </c>
      <c r="F8907" t="inlineStr">
        <is>
          <t>SCA</t>
        </is>
      </c>
      <c r="G8907" t="n">
        <v>3.8</v>
      </c>
      <c r="H8907" t="n">
        <v>0</v>
      </c>
      <c r="I8907" t="n">
        <v>0</v>
      </c>
      <c r="J8907" t="n">
        <v>0</v>
      </c>
      <c r="K8907" t="n">
        <v>0</v>
      </c>
      <c r="L8907" t="n">
        <v>0</v>
      </c>
      <c r="M8907" t="n">
        <v>0</v>
      </c>
      <c r="N8907" t="n">
        <v>0</v>
      </c>
      <c r="O8907" t="n">
        <v>0</v>
      </c>
      <c r="P8907" t="n">
        <v>0</v>
      </c>
      <c r="Q8907" t="n">
        <v>0</v>
      </c>
      <c r="R8907" s="2" t="inlineStr"/>
    </row>
    <row r="8908" ht="15" customHeight="1">
      <c r="A8908" t="inlineStr">
        <is>
          <t>A 54353-2023</t>
        </is>
      </c>
      <c r="B8908" s="1" t="n">
        <v>45233</v>
      </c>
      <c r="C8908" s="1" t="n">
        <v>45587</v>
      </c>
      <c r="D8908" t="inlineStr">
        <is>
          <t>GÄVLEBORGS LÄN</t>
        </is>
      </c>
      <c r="E8908" t="inlineStr">
        <is>
          <t>NORDANSTIG</t>
        </is>
      </c>
      <c r="F8908" t="inlineStr">
        <is>
          <t>SCA</t>
        </is>
      </c>
      <c r="G8908" t="n">
        <v>7.9</v>
      </c>
      <c r="H8908" t="n">
        <v>0</v>
      </c>
      <c r="I8908" t="n">
        <v>0</v>
      </c>
      <c r="J8908" t="n">
        <v>0</v>
      </c>
      <c r="K8908" t="n">
        <v>0</v>
      </c>
      <c r="L8908" t="n">
        <v>0</v>
      </c>
      <c r="M8908" t="n">
        <v>0</v>
      </c>
      <c r="N8908" t="n">
        <v>0</v>
      </c>
      <c r="O8908" t="n">
        <v>0</v>
      </c>
      <c r="P8908" t="n">
        <v>0</v>
      </c>
      <c r="Q8908" t="n">
        <v>0</v>
      </c>
      <c r="R8908" s="2" t="inlineStr"/>
    </row>
    <row r="8909" ht="15" customHeight="1">
      <c r="A8909" t="inlineStr">
        <is>
          <t>A 54171-2023</t>
        </is>
      </c>
      <c r="B8909" s="1" t="n">
        <v>45232</v>
      </c>
      <c r="C8909" s="1" t="n">
        <v>45587</v>
      </c>
      <c r="D8909" t="inlineStr">
        <is>
          <t>GÄVLEBORGS LÄN</t>
        </is>
      </c>
      <c r="E8909" t="inlineStr">
        <is>
          <t>HUDIKSVALL</t>
        </is>
      </c>
      <c r="G8909" t="n">
        <v>4.6</v>
      </c>
      <c r="H8909" t="n">
        <v>0</v>
      </c>
      <c r="I8909" t="n">
        <v>0</v>
      </c>
      <c r="J8909" t="n">
        <v>0</v>
      </c>
      <c r="K8909" t="n">
        <v>0</v>
      </c>
      <c r="L8909" t="n">
        <v>0</v>
      </c>
      <c r="M8909" t="n">
        <v>0</v>
      </c>
      <c r="N8909" t="n">
        <v>0</v>
      </c>
      <c r="O8909" t="n">
        <v>0</v>
      </c>
      <c r="P8909" t="n">
        <v>0</v>
      </c>
      <c r="Q8909" t="n">
        <v>0</v>
      </c>
      <c r="R8909" s="2" t="inlineStr"/>
    </row>
    <row r="8910" ht="15" customHeight="1">
      <c r="A8910" t="inlineStr">
        <is>
          <t>A 54183-2023</t>
        </is>
      </c>
      <c r="B8910" s="1" t="n">
        <v>45232</v>
      </c>
      <c r="C8910" s="1" t="n">
        <v>45587</v>
      </c>
      <c r="D8910" t="inlineStr">
        <is>
          <t>GÄVLEBORGS LÄN</t>
        </is>
      </c>
      <c r="E8910" t="inlineStr">
        <is>
          <t>GÄVLE</t>
        </is>
      </c>
      <c r="F8910" t="inlineStr">
        <is>
          <t>Bergvik skog öst AB</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54200-2023</t>
        </is>
      </c>
      <c r="B8911" s="1" t="n">
        <v>45232</v>
      </c>
      <c r="C8911" s="1" t="n">
        <v>45587</v>
      </c>
      <c r="D8911" t="inlineStr">
        <is>
          <t>GÄVLEBORGS LÄN</t>
        </is>
      </c>
      <c r="E8911" t="inlineStr">
        <is>
          <t>NORDANSTIG</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54209-2023</t>
        </is>
      </c>
      <c r="B8912" s="1" t="n">
        <v>45232</v>
      </c>
      <c r="C8912" s="1" t="n">
        <v>45587</v>
      </c>
      <c r="D8912" t="inlineStr">
        <is>
          <t>GÄVLEBORGS LÄN</t>
        </is>
      </c>
      <c r="E8912" t="inlineStr">
        <is>
          <t>BOLLNÄS</t>
        </is>
      </c>
      <c r="G8912" t="n">
        <v>0.4</v>
      </c>
      <c r="H8912" t="n">
        <v>0</v>
      </c>
      <c r="I8912" t="n">
        <v>0</v>
      </c>
      <c r="J8912" t="n">
        <v>0</v>
      </c>
      <c r="K8912" t="n">
        <v>0</v>
      </c>
      <c r="L8912" t="n">
        <v>0</v>
      </c>
      <c r="M8912" t="n">
        <v>0</v>
      </c>
      <c r="N8912" t="n">
        <v>0</v>
      </c>
      <c r="O8912" t="n">
        <v>0</v>
      </c>
      <c r="P8912" t="n">
        <v>0</v>
      </c>
      <c r="Q8912" t="n">
        <v>0</v>
      </c>
      <c r="R8912" s="2" t="inlineStr"/>
    </row>
    <row r="8913" ht="15" customHeight="1">
      <c r="A8913" t="inlineStr">
        <is>
          <t>A 54219-2023</t>
        </is>
      </c>
      <c r="B8913" s="1" t="n">
        <v>45232</v>
      </c>
      <c r="C8913" s="1" t="n">
        <v>45587</v>
      </c>
      <c r="D8913" t="inlineStr">
        <is>
          <t>GÄVLEBORGS LÄN</t>
        </is>
      </c>
      <c r="E8913" t="inlineStr">
        <is>
          <t>HUDIKSVALL</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54236-2023</t>
        </is>
      </c>
      <c r="B8914" s="1" t="n">
        <v>45232</v>
      </c>
      <c r="C8914" s="1" t="n">
        <v>45587</v>
      </c>
      <c r="D8914" t="inlineStr">
        <is>
          <t>GÄVLEBORGS LÄN</t>
        </is>
      </c>
      <c r="E8914" t="inlineStr">
        <is>
          <t>BOLLNÄS</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54248-2023</t>
        </is>
      </c>
      <c r="B8915" s="1" t="n">
        <v>45232</v>
      </c>
      <c r="C8915" s="1" t="n">
        <v>45587</v>
      </c>
      <c r="D8915" t="inlineStr">
        <is>
          <t>GÄVLEBORGS LÄN</t>
        </is>
      </c>
      <c r="E8915" t="inlineStr">
        <is>
          <t>BOLLNÄS</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54268-2023</t>
        </is>
      </c>
      <c r="B8916" s="1" t="n">
        <v>45232</v>
      </c>
      <c r="C8916" s="1" t="n">
        <v>45587</v>
      </c>
      <c r="D8916" t="inlineStr">
        <is>
          <t>GÄVLEBORGS LÄN</t>
        </is>
      </c>
      <c r="E8916" t="inlineStr">
        <is>
          <t>GÄVLE</t>
        </is>
      </c>
      <c r="F8916" t="inlineStr">
        <is>
          <t>Bergvik skog väst AB</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54595-2023</t>
        </is>
      </c>
      <c r="B8917" s="1" t="n">
        <v>45233</v>
      </c>
      <c r="C8917" s="1" t="n">
        <v>45587</v>
      </c>
      <c r="D8917" t="inlineStr">
        <is>
          <t>GÄVLEBORGS LÄN</t>
        </is>
      </c>
      <c r="E8917" t="inlineStr">
        <is>
          <t>LJUSDAL</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54467-2023</t>
        </is>
      </c>
      <c r="B8918" s="1" t="n">
        <v>45233</v>
      </c>
      <c r="C8918" s="1" t="n">
        <v>45587</v>
      </c>
      <c r="D8918" t="inlineStr">
        <is>
          <t>GÄVLEBORGS LÄN</t>
        </is>
      </c>
      <c r="E8918" t="inlineStr">
        <is>
          <t>HUDIKSVALL</t>
        </is>
      </c>
      <c r="G8918" t="n">
        <v>8</v>
      </c>
      <c r="H8918" t="n">
        <v>0</v>
      </c>
      <c r="I8918" t="n">
        <v>0</v>
      </c>
      <c r="J8918" t="n">
        <v>0</v>
      </c>
      <c r="K8918" t="n">
        <v>0</v>
      </c>
      <c r="L8918" t="n">
        <v>0</v>
      </c>
      <c r="M8918" t="n">
        <v>0</v>
      </c>
      <c r="N8918" t="n">
        <v>0</v>
      </c>
      <c r="O8918" t="n">
        <v>0</v>
      </c>
      <c r="P8918" t="n">
        <v>0</v>
      </c>
      <c r="Q8918" t="n">
        <v>0</v>
      </c>
      <c r="R8918" s="2" t="inlineStr"/>
    </row>
    <row r="8919" ht="15" customHeight="1">
      <c r="A8919" t="inlineStr">
        <is>
          <t>A 54559-2023</t>
        </is>
      </c>
      <c r="B8919" s="1" t="n">
        <v>45233</v>
      </c>
      <c r="C8919" s="1" t="n">
        <v>45587</v>
      </c>
      <c r="D8919" t="inlineStr">
        <is>
          <t>GÄVLEBORGS LÄN</t>
        </is>
      </c>
      <c r="E8919" t="inlineStr">
        <is>
          <t>OVANÅKER</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54396-2023</t>
        </is>
      </c>
      <c r="B8920" s="1" t="n">
        <v>45233</v>
      </c>
      <c r="C8920" s="1" t="n">
        <v>45587</v>
      </c>
      <c r="D8920" t="inlineStr">
        <is>
          <t>GÄVLEBORGS LÄN</t>
        </is>
      </c>
      <c r="E8920" t="inlineStr">
        <is>
          <t>NORDANSTIG</t>
        </is>
      </c>
      <c r="F8920" t="inlineStr">
        <is>
          <t>Holmen skog AB</t>
        </is>
      </c>
      <c r="G8920" t="n">
        <v>9.1</v>
      </c>
      <c r="H8920" t="n">
        <v>0</v>
      </c>
      <c r="I8920" t="n">
        <v>0</v>
      </c>
      <c r="J8920" t="n">
        <v>0</v>
      </c>
      <c r="K8920" t="n">
        <v>0</v>
      </c>
      <c r="L8920" t="n">
        <v>0</v>
      </c>
      <c r="M8920" t="n">
        <v>0</v>
      </c>
      <c r="N8920" t="n">
        <v>0</v>
      </c>
      <c r="O8920" t="n">
        <v>0</v>
      </c>
      <c r="P8920" t="n">
        <v>0</v>
      </c>
      <c r="Q8920" t="n">
        <v>0</v>
      </c>
      <c r="R8920" s="2" t="inlineStr"/>
    </row>
    <row r="8921" ht="15" customHeight="1">
      <c r="A8921" t="inlineStr">
        <is>
          <t>A 54426-2023</t>
        </is>
      </c>
      <c r="B8921" s="1" t="n">
        <v>45233</v>
      </c>
      <c r="C8921" s="1" t="n">
        <v>45587</v>
      </c>
      <c r="D8921" t="inlineStr">
        <is>
          <t>GÄVLEBORGS LÄN</t>
        </is>
      </c>
      <c r="E8921" t="inlineStr">
        <is>
          <t>BOLLNÄS</t>
        </is>
      </c>
      <c r="F8921" t="inlineStr">
        <is>
          <t>Sveaskog</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54425-2023</t>
        </is>
      </c>
      <c r="B8922" s="1" t="n">
        <v>45233</v>
      </c>
      <c r="C8922" s="1" t="n">
        <v>45587</v>
      </c>
      <c r="D8922" t="inlineStr">
        <is>
          <t>GÄVLEBORGS LÄN</t>
        </is>
      </c>
      <c r="E8922" t="inlineStr">
        <is>
          <t>BOLLNÄS</t>
        </is>
      </c>
      <c r="F8922" t="inlineStr">
        <is>
          <t>Sveaskog</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54625-2023</t>
        </is>
      </c>
      <c r="B8923" s="1" t="n">
        <v>45234</v>
      </c>
      <c r="C8923" s="1" t="n">
        <v>45587</v>
      </c>
      <c r="D8923" t="inlineStr">
        <is>
          <t>GÄVLEBORGS LÄN</t>
        </is>
      </c>
      <c r="E8923" t="inlineStr">
        <is>
          <t>HUDIKSVALL</t>
        </is>
      </c>
      <c r="G8923" t="n">
        <v>4</v>
      </c>
      <c r="H8923" t="n">
        <v>0</v>
      </c>
      <c r="I8923" t="n">
        <v>0</v>
      </c>
      <c r="J8923" t="n">
        <v>0</v>
      </c>
      <c r="K8923" t="n">
        <v>0</v>
      </c>
      <c r="L8923" t="n">
        <v>0</v>
      </c>
      <c r="M8923" t="n">
        <v>0</v>
      </c>
      <c r="N8923" t="n">
        <v>0</v>
      </c>
      <c r="O8923" t="n">
        <v>0</v>
      </c>
      <c r="P8923" t="n">
        <v>0</v>
      </c>
      <c r="Q8923" t="n">
        <v>0</v>
      </c>
      <c r="R8923" s="2" t="inlineStr"/>
    </row>
    <row r="8924" ht="15" customHeight="1">
      <c r="A8924" t="inlineStr">
        <is>
          <t>A 54705-2023</t>
        </is>
      </c>
      <c r="B8924" s="1" t="n">
        <v>45236</v>
      </c>
      <c r="C8924" s="1" t="n">
        <v>45587</v>
      </c>
      <c r="D8924" t="inlineStr">
        <is>
          <t>GÄVLEBORGS LÄN</t>
        </is>
      </c>
      <c r="E8924" t="inlineStr">
        <is>
          <t>BOLLNÄS</t>
        </is>
      </c>
      <c r="F8924" t="inlineStr">
        <is>
          <t>Sveaskog</t>
        </is>
      </c>
      <c r="G8924" t="n">
        <v>4.1</v>
      </c>
      <c r="H8924" t="n">
        <v>0</v>
      </c>
      <c r="I8924" t="n">
        <v>0</v>
      </c>
      <c r="J8924" t="n">
        <v>0</v>
      </c>
      <c r="K8924" t="n">
        <v>0</v>
      </c>
      <c r="L8924" t="n">
        <v>0</v>
      </c>
      <c r="M8924" t="n">
        <v>0</v>
      </c>
      <c r="N8924" t="n">
        <v>0</v>
      </c>
      <c r="O8924" t="n">
        <v>0</v>
      </c>
      <c r="P8924" t="n">
        <v>0</v>
      </c>
      <c r="Q8924" t="n">
        <v>0</v>
      </c>
      <c r="R8924" s="2" t="inlineStr"/>
    </row>
    <row r="8925" ht="15" customHeight="1">
      <c r="A8925" t="inlineStr">
        <is>
          <t>A 54720-2023</t>
        </is>
      </c>
      <c r="B8925" s="1" t="n">
        <v>45236</v>
      </c>
      <c r="C8925" s="1" t="n">
        <v>45587</v>
      </c>
      <c r="D8925" t="inlineStr">
        <is>
          <t>GÄVLEBORGS LÄN</t>
        </is>
      </c>
      <c r="E8925" t="inlineStr">
        <is>
          <t>NORDANSTIG</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54721-2023</t>
        </is>
      </c>
      <c r="B8926" s="1" t="n">
        <v>45236</v>
      </c>
      <c r="C8926" s="1" t="n">
        <v>45587</v>
      </c>
      <c r="D8926" t="inlineStr">
        <is>
          <t>GÄVLEBORGS LÄN</t>
        </is>
      </c>
      <c r="E8926" t="inlineStr">
        <is>
          <t>NORDANSTIG</t>
        </is>
      </c>
      <c r="F8926" t="inlineStr">
        <is>
          <t>Holmen skog AB</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54760-2023</t>
        </is>
      </c>
      <c r="B8927" s="1" t="n">
        <v>45236</v>
      </c>
      <c r="C8927" s="1" t="n">
        <v>45587</v>
      </c>
      <c r="D8927" t="inlineStr">
        <is>
          <t>GÄVLEBORGS LÄN</t>
        </is>
      </c>
      <c r="E8927" t="inlineStr">
        <is>
          <t>LJUSDAL</t>
        </is>
      </c>
      <c r="G8927" t="n">
        <v>3.5</v>
      </c>
      <c r="H8927" t="n">
        <v>0</v>
      </c>
      <c r="I8927" t="n">
        <v>0</v>
      </c>
      <c r="J8927" t="n">
        <v>0</v>
      </c>
      <c r="K8927" t="n">
        <v>0</v>
      </c>
      <c r="L8927" t="n">
        <v>0</v>
      </c>
      <c r="M8927" t="n">
        <v>0</v>
      </c>
      <c r="N8927" t="n">
        <v>0</v>
      </c>
      <c r="O8927" t="n">
        <v>0</v>
      </c>
      <c r="P8927" t="n">
        <v>0</v>
      </c>
      <c r="Q8927" t="n">
        <v>0</v>
      </c>
      <c r="R8927" s="2" t="inlineStr"/>
    </row>
    <row r="8928" ht="15" customHeight="1">
      <c r="A8928" t="inlineStr">
        <is>
          <t>A 54788-2023</t>
        </is>
      </c>
      <c r="B8928" s="1" t="n">
        <v>45236</v>
      </c>
      <c r="C8928" s="1" t="n">
        <v>45587</v>
      </c>
      <c r="D8928" t="inlineStr">
        <is>
          <t>GÄVLEBORGS LÄN</t>
        </is>
      </c>
      <c r="E8928" t="inlineStr">
        <is>
          <t>NORDANSTIG</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54938-2023</t>
        </is>
      </c>
      <c r="B8929" s="1" t="n">
        <v>45236</v>
      </c>
      <c r="C8929" s="1" t="n">
        <v>45587</v>
      </c>
      <c r="D8929" t="inlineStr">
        <is>
          <t>GÄVLEBORGS LÄN</t>
        </is>
      </c>
      <c r="E8929" t="inlineStr">
        <is>
          <t>NORDANSTIG</t>
        </is>
      </c>
      <c r="F8929" t="inlineStr">
        <is>
          <t>Holmen skog AB</t>
        </is>
      </c>
      <c r="G8929" t="n">
        <v>14.3</v>
      </c>
      <c r="H8929" t="n">
        <v>0</v>
      </c>
      <c r="I8929" t="n">
        <v>0</v>
      </c>
      <c r="J8929" t="n">
        <v>0</v>
      </c>
      <c r="K8929" t="n">
        <v>0</v>
      </c>
      <c r="L8929" t="n">
        <v>0</v>
      </c>
      <c r="M8929" t="n">
        <v>0</v>
      </c>
      <c r="N8929" t="n">
        <v>0</v>
      </c>
      <c r="O8929" t="n">
        <v>0</v>
      </c>
      <c r="P8929" t="n">
        <v>0</v>
      </c>
      <c r="Q8929" t="n">
        <v>0</v>
      </c>
      <c r="R8929" s="2" t="inlineStr"/>
    </row>
    <row r="8930" ht="15" customHeight="1">
      <c r="A8930" t="inlineStr">
        <is>
          <t>A 55002-2023</t>
        </is>
      </c>
      <c r="B8930" s="1" t="n">
        <v>45236</v>
      </c>
      <c r="C8930" s="1" t="n">
        <v>45587</v>
      </c>
      <c r="D8930" t="inlineStr">
        <is>
          <t>GÄVLEBORGS LÄN</t>
        </is>
      </c>
      <c r="E8930" t="inlineStr">
        <is>
          <t>NORDANSTIG</t>
        </is>
      </c>
      <c r="F8930" t="inlineStr">
        <is>
          <t>SCA</t>
        </is>
      </c>
      <c r="G8930" t="n">
        <v>3.7</v>
      </c>
      <c r="H8930" t="n">
        <v>0</v>
      </c>
      <c r="I8930" t="n">
        <v>0</v>
      </c>
      <c r="J8930" t="n">
        <v>0</v>
      </c>
      <c r="K8930" t="n">
        <v>0</v>
      </c>
      <c r="L8930" t="n">
        <v>0</v>
      </c>
      <c r="M8930" t="n">
        <v>0</v>
      </c>
      <c r="N8930" t="n">
        <v>0</v>
      </c>
      <c r="O8930" t="n">
        <v>0</v>
      </c>
      <c r="P8930" t="n">
        <v>0</v>
      </c>
      <c r="Q8930" t="n">
        <v>0</v>
      </c>
      <c r="R8930" s="2" t="inlineStr"/>
    </row>
    <row r="8931" ht="15" customHeight="1">
      <c r="A8931" t="inlineStr">
        <is>
          <t>A 55006-2023</t>
        </is>
      </c>
      <c r="B8931" s="1" t="n">
        <v>45236</v>
      </c>
      <c r="C8931" s="1" t="n">
        <v>45587</v>
      </c>
      <c r="D8931" t="inlineStr">
        <is>
          <t>GÄVLEBORGS LÄN</t>
        </is>
      </c>
      <c r="E8931" t="inlineStr">
        <is>
          <t>NORDANSTIG</t>
        </is>
      </c>
      <c r="F8931" t="inlineStr">
        <is>
          <t>SCA</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54803-2023</t>
        </is>
      </c>
      <c r="B8932" s="1" t="n">
        <v>45236</v>
      </c>
      <c r="C8932" s="1" t="n">
        <v>45587</v>
      </c>
      <c r="D8932" t="inlineStr">
        <is>
          <t>GÄVLEBORGS LÄN</t>
        </is>
      </c>
      <c r="E8932" t="inlineStr">
        <is>
          <t>NORDANSTIG</t>
        </is>
      </c>
      <c r="F8932" t="inlineStr">
        <is>
          <t>Holmen skog AB</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54860-2023</t>
        </is>
      </c>
      <c r="B8933" s="1" t="n">
        <v>45236</v>
      </c>
      <c r="C8933" s="1" t="n">
        <v>45587</v>
      </c>
      <c r="D8933" t="inlineStr">
        <is>
          <t>GÄVLEBORGS LÄN</t>
        </is>
      </c>
      <c r="E8933" t="inlineStr">
        <is>
          <t>NORDANSTIG</t>
        </is>
      </c>
      <c r="F8933" t="inlineStr">
        <is>
          <t>Holmen skog AB</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54881-2023</t>
        </is>
      </c>
      <c r="B8934" s="1" t="n">
        <v>45236</v>
      </c>
      <c r="C8934" s="1" t="n">
        <v>45587</v>
      </c>
      <c r="D8934" t="inlineStr">
        <is>
          <t>GÄVLEBORGS LÄN</t>
        </is>
      </c>
      <c r="E8934" t="inlineStr">
        <is>
          <t>OCKELBO</t>
        </is>
      </c>
      <c r="G8934" t="n">
        <v>4.3</v>
      </c>
      <c r="H8934" t="n">
        <v>0</v>
      </c>
      <c r="I8934" t="n">
        <v>0</v>
      </c>
      <c r="J8934" t="n">
        <v>0</v>
      </c>
      <c r="K8934" t="n">
        <v>0</v>
      </c>
      <c r="L8934" t="n">
        <v>0</v>
      </c>
      <c r="M8934" t="n">
        <v>0</v>
      </c>
      <c r="N8934" t="n">
        <v>0</v>
      </c>
      <c r="O8934" t="n">
        <v>0</v>
      </c>
      <c r="P8934" t="n">
        <v>0</v>
      </c>
      <c r="Q8934" t="n">
        <v>0</v>
      </c>
      <c r="R8934" s="2" t="inlineStr"/>
    </row>
    <row r="8935" ht="15" customHeight="1">
      <c r="A8935" t="inlineStr">
        <is>
          <t>A 56377-2023</t>
        </is>
      </c>
      <c r="B8935" s="1" t="n">
        <v>45236</v>
      </c>
      <c r="C8935" s="1" t="n">
        <v>45587</v>
      </c>
      <c r="D8935" t="inlineStr">
        <is>
          <t>GÄVLEBORGS LÄN</t>
        </is>
      </c>
      <c r="E8935" t="inlineStr">
        <is>
          <t>SANDVIKEN</t>
        </is>
      </c>
      <c r="G8935" t="n">
        <v>5.7</v>
      </c>
      <c r="H8935" t="n">
        <v>0</v>
      </c>
      <c r="I8935" t="n">
        <v>0</v>
      </c>
      <c r="J8935" t="n">
        <v>0</v>
      </c>
      <c r="K8935" t="n">
        <v>0</v>
      </c>
      <c r="L8935" t="n">
        <v>0</v>
      </c>
      <c r="M8935" t="n">
        <v>0</v>
      </c>
      <c r="N8935" t="n">
        <v>0</v>
      </c>
      <c r="O8935" t="n">
        <v>0</v>
      </c>
      <c r="P8935" t="n">
        <v>0</v>
      </c>
      <c r="Q8935" t="n">
        <v>0</v>
      </c>
      <c r="R8935" s="2" t="inlineStr"/>
    </row>
    <row r="8936" ht="15" customHeight="1">
      <c r="A8936" t="inlineStr">
        <is>
          <t>A 55070-2023</t>
        </is>
      </c>
      <c r="B8936" s="1" t="n">
        <v>45237</v>
      </c>
      <c r="C8936" s="1" t="n">
        <v>45587</v>
      </c>
      <c r="D8936" t="inlineStr">
        <is>
          <t>GÄVLEBORGS LÄN</t>
        </is>
      </c>
      <c r="E8936" t="inlineStr">
        <is>
          <t>OCKELBO</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55025-2023</t>
        </is>
      </c>
      <c r="B8937" s="1" t="n">
        <v>45237</v>
      </c>
      <c r="C8937" s="1" t="n">
        <v>45587</v>
      </c>
      <c r="D8937" t="inlineStr">
        <is>
          <t>GÄVLEBORGS LÄN</t>
        </is>
      </c>
      <c r="E8937" t="inlineStr">
        <is>
          <t>LJUSDAL</t>
        </is>
      </c>
      <c r="F8937" t="inlineStr">
        <is>
          <t>Allmännings- och besparingsskogar</t>
        </is>
      </c>
      <c r="G8937" t="n">
        <v>4.8</v>
      </c>
      <c r="H8937" t="n">
        <v>0</v>
      </c>
      <c r="I8937" t="n">
        <v>0</v>
      </c>
      <c r="J8937" t="n">
        <v>0</v>
      </c>
      <c r="K8937" t="n">
        <v>0</v>
      </c>
      <c r="L8937" t="n">
        <v>0</v>
      </c>
      <c r="M8937" t="n">
        <v>0</v>
      </c>
      <c r="N8937" t="n">
        <v>0</v>
      </c>
      <c r="O8937" t="n">
        <v>0</v>
      </c>
      <c r="P8937" t="n">
        <v>0</v>
      </c>
      <c r="Q8937" t="n">
        <v>0</v>
      </c>
      <c r="R8937" s="2" t="inlineStr"/>
    </row>
    <row r="8938" ht="15" customHeight="1">
      <c r="A8938" t="inlineStr">
        <is>
          <t>A 55078-2023</t>
        </is>
      </c>
      <c r="B8938" s="1" t="n">
        <v>45237</v>
      </c>
      <c r="C8938" s="1" t="n">
        <v>45587</v>
      </c>
      <c r="D8938" t="inlineStr">
        <is>
          <t>GÄVLEBORGS LÄN</t>
        </is>
      </c>
      <c r="E8938" t="inlineStr">
        <is>
          <t>LJUSDAL</t>
        </is>
      </c>
      <c r="F8938" t="inlineStr">
        <is>
          <t>Bergvik skog väst AB</t>
        </is>
      </c>
      <c r="G8938" t="n">
        <v>8.199999999999999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55112-2023</t>
        </is>
      </c>
      <c r="B8939" s="1" t="n">
        <v>45237</v>
      </c>
      <c r="C8939" s="1" t="n">
        <v>45587</v>
      </c>
      <c r="D8939" t="inlineStr">
        <is>
          <t>GÄVLEBORGS LÄN</t>
        </is>
      </c>
      <c r="E8939" t="inlineStr">
        <is>
          <t>OCKELBO</t>
        </is>
      </c>
      <c r="G8939" t="n">
        <v>14.6</v>
      </c>
      <c r="H8939" t="n">
        <v>0</v>
      </c>
      <c r="I8939" t="n">
        <v>0</v>
      </c>
      <c r="J8939" t="n">
        <v>0</v>
      </c>
      <c r="K8939" t="n">
        <v>0</v>
      </c>
      <c r="L8939" t="n">
        <v>0</v>
      </c>
      <c r="M8939" t="n">
        <v>0</v>
      </c>
      <c r="N8939" t="n">
        <v>0</v>
      </c>
      <c r="O8939" t="n">
        <v>0</v>
      </c>
      <c r="P8939" t="n">
        <v>0</v>
      </c>
      <c r="Q8939" t="n">
        <v>0</v>
      </c>
      <c r="R8939" s="2" t="inlineStr"/>
    </row>
    <row r="8940" ht="15" customHeight="1">
      <c r="A8940" t="inlineStr">
        <is>
          <t>A 55136-2023</t>
        </is>
      </c>
      <c r="B8940" s="1" t="n">
        <v>45237</v>
      </c>
      <c r="C8940" s="1" t="n">
        <v>45587</v>
      </c>
      <c r="D8940" t="inlineStr">
        <is>
          <t>GÄVLEBORGS LÄN</t>
        </is>
      </c>
      <c r="E8940" t="inlineStr">
        <is>
          <t>LJUSDAL</t>
        </is>
      </c>
      <c r="G8940" t="n">
        <v>12.7</v>
      </c>
      <c r="H8940" t="n">
        <v>0</v>
      </c>
      <c r="I8940" t="n">
        <v>0</v>
      </c>
      <c r="J8940" t="n">
        <v>0</v>
      </c>
      <c r="K8940" t="n">
        <v>0</v>
      </c>
      <c r="L8940" t="n">
        <v>0</v>
      </c>
      <c r="M8940" t="n">
        <v>0</v>
      </c>
      <c r="N8940" t="n">
        <v>0</v>
      </c>
      <c r="O8940" t="n">
        <v>0</v>
      </c>
      <c r="P8940" t="n">
        <v>0</v>
      </c>
      <c r="Q8940" t="n">
        <v>0</v>
      </c>
      <c r="R8940" s="2" t="inlineStr"/>
    </row>
    <row r="8941" ht="15" customHeight="1">
      <c r="A8941" t="inlineStr">
        <is>
          <t>A 55201-2023</t>
        </is>
      </c>
      <c r="B8941" s="1" t="n">
        <v>45237</v>
      </c>
      <c r="C8941" s="1" t="n">
        <v>45587</v>
      </c>
      <c r="D8941" t="inlineStr">
        <is>
          <t>GÄVLEBORGS LÄN</t>
        </is>
      </c>
      <c r="E8941" t="inlineStr">
        <is>
          <t>HUDIKSVALL</t>
        </is>
      </c>
      <c r="F8941" t="inlineStr">
        <is>
          <t>Holmen skog AB</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55176-2023</t>
        </is>
      </c>
      <c r="B8942" s="1" t="n">
        <v>45237</v>
      </c>
      <c r="C8942" s="1" t="n">
        <v>45587</v>
      </c>
      <c r="D8942" t="inlineStr">
        <is>
          <t>GÄVLEBORGS LÄN</t>
        </is>
      </c>
      <c r="E8942" t="inlineStr">
        <is>
          <t>LJUSDAL</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55199-2023</t>
        </is>
      </c>
      <c r="B8943" s="1" t="n">
        <v>45237</v>
      </c>
      <c r="C8943" s="1" t="n">
        <v>45587</v>
      </c>
      <c r="D8943" t="inlineStr">
        <is>
          <t>GÄVLEBORGS LÄN</t>
        </is>
      </c>
      <c r="E8943" t="inlineStr">
        <is>
          <t>BOLLNÄS</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55219-2023</t>
        </is>
      </c>
      <c r="B8944" s="1" t="n">
        <v>45237</v>
      </c>
      <c r="C8944" s="1" t="n">
        <v>45587</v>
      </c>
      <c r="D8944" t="inlineStr">
        <is>
          <t>GÄVLEBORGS LÄN</t>
        </is>
      </c>
      <c r="E8944" t="inlineStr">
        <is>
          <t>LJUSDAL</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55123-2023</t>
        </is>
      </c>
      <c r="B8945" s="1" t="n">
        <v>45237</v>
      </c>
      <c r="C8945" s="1" t="n">
        <v>45587</v>
      </c>
      <c r="D8945" t="inlineStr">
        <is>
          <t>GÄVLEBORGS LÄN</t>
        </is>
      </c>
      <c r="E8945" t="inlineStr">
        <is>
          <t>LJUSDAL</t>
        </is>
      </c>
      <c r="F8945" t="inlineStr">
        <is>
          <t>Allmännings- och besparingsskogar</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55129-2023</t>
        </is>
      </c>
      <c r="B8946" s="1" t="n">
        <v>45237</v>
      </c>
      <c r="C8946" s="1" t="n">
        <v>45587</v>
      </c>
      <c r="D8946" t="inlineStr">
        <is>
          <t>GÄVLEBORGS LÄN</t>
        </is>
      </c>
      <c r="E8946" t="inlineStr">
        <is>
          <t>OVANÅKER</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55151-2023</t>
        </is>
      </c>
      <c r="B8947" s="1" t="n">
        <v>45237</v>
      </c>
      <c r="C8947" s="1" t="n">
        <v>45587</v>
      </c>
      <c r="D8947" t="inlineStr">
        <is>
          <t>GÄVLEBORGS LÄN</t>
        </is>
      </c>
      <c r="E8947" t="inlineStr">
        <is>
          <t>LJUSDAL</t>
        </is>
      </c>
      <c r="G8947" t="n">
        <v>8.300000000000001</v>
      </c>
      <c r="H8947" t="n">
        <v>0</v>
      </c>
      <c r="I8947" t="n">
        <v>0</v>
      </c>
      <c r="J8947" t="n">
        <v>0</v>
      </c>
      <c r="K8947" t="n">
        <v>0</v>
      </c>
      <c r="L8947" t="n">
        <v>0</v>
      </c>
      <c r="M8947" t="n">
        <v>0</v>
      </c>
      <c r="N8947" t="n">
        <v>0</v>
      </c>
      <c r="O8947" t="n">
        <v>0</v>
      </c>
      <c r="P8947" t="n">
        <v>0</v>
      </c>
      <c r="Q8947" t="n">
        <v>0</v>
      </c>
      <c r="R8947" s="2" t="inlineStr"/>
    </row>
    <row r="8948" ht="15" customHeight="1">
      <c r="A8948" t="inlineStr">
        <is>
          <t>A 55179-2023</t>
        </is>
      </c>
      <c r="B8948" s="1" t="n">
        <v>45237</v>
      </c>
      <c r="C8948" s="1" t="n">
        <v>45587</v>
      </c>
      <c r="D8948" t="inlineStr">
        <is>
          <t>GÄVLEBORGS LÄN</t>
        </is>
      </c>
      <c r="E8948" t="inlineStr">
        <is>
          <t>BOLLNÄS</t>
        </is>
      </c>
      <c r="G8948" t="n">
        <v>4</v>
      </c>
      <c r="H8948" t="n">
        <v>0</v>
      </c>
      <c r="I8948" t="n">
        <v>0</v>
      </c>
      <c r="J8948" t="n">
        <v>0</v>
      </c>
      <c r="K8948" t="n">
        <v>0</v>
      </c>
      <c r="L8948" t="n">
        <v>0</v>
      </c>
      <c r="M8948" t="n">
        <v>0</v>
      </c>
      <c r="N8948" t="n">
        <v>0</v>
      </c>
      <c r="O8948" t="n">
        <v>0</v>
      </c>
      <c r="P8948" t="n">
        <v>0</v>
      </c>
      <c r="Q8948" t="n">
        <v>0</v>
      </c>
      <c r="R8948" s="2" t="inlineStr"/>
    </row>
    <row r="8949" ht="15" customHeight="1">
      <c r="A8949" t="inlineStr">
        <is>
          <t>A 55238-2023</t>
        </is>
      </c>
      <c r="B8949" s="1" t="n">
        <v>45237</v>
      </c>
      <c r="C8949" s="1" t="n">
        <v>45587</v>
      </c>
      <c r="D8949" t="inlineStr">
        <is>
          <t>GÄVLEBORGS LÄN</t>
        </is>
      </c>
      <c r="E8949" t="inlineStr">
        <is>
          <t>LJUSDAL</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55248-2023</t>
        </is>
      </c>
      <c r="B8950" s="1" t="n">
        <v>45237</v>
      </c>
      <c r="C8950" s="1" t="n">
        <v>45587</v>
      </c>
      <c r="D8950" t="inlineStr">
        <is>
          <t>GÄVLEBORGS LÄN</t>
        </is>
      </c>
      <c r="E8950" t="inlineStr">
        <is>
          <t>LJUSDAL</t>
        </is>
      </c>
      <c r="G8950" t="n">
        <v>6.2</v>
      </c>
      <c r="H8950" t="n">
        <v>0</v>
      </c>
      <c r="I8950" t="n">
        <v>0</v>
      </c>
      <c r="J8950" t="n">
        <v>0</v>
      </c>
      <c r="K8950" t="n">
        <v>0</v>
      </c>
      <c r="L8950" t="n">
        <v>0</v>
      </c>
      <c r="M8950" t="n">
        <v>0</v>
      </c>
      <c r="N8950" t="n">
        <v>0</v>
      </c>
      <c r="O8950" t="n">
        <v>0</v>
      </c>
      <c r="P8950" t="n">
        <v>0</v>
      </c>
      <c r="Q8950" t="n">
        <v>0</v>
      </c>
      <c r="R8950" s="2" t="inlineStr"/>
    </row>
    <row r="8951" ht="15" customHeight="1">
      <c r="A8951" t="inlineStr">
        <is>
          <t>A 55281-2023</t>
        </is>
      </c>
      <c r="B8951" s="1" t="n">
        <v>45237</v>
      </c>
      <c r="C8951" s="1" t="n">
        <v>45587</v>
      </c>
      <c r="D8951" t="inlineStr">
        <is>
          <t>GÄVLEBORGS LÄN</t>
        </is>
      </c>
      <c r="E8951" t="inlineStr">
        <is>
          <t>OVANÅKER</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55356-2023</t>
        </is>
      </c>
      <c r="B8952" s="1" t="n">
        <v>45238</v>
      </c>
      <c r="C8952" s="1" t="n">
        <v>45587</v>
      </c>
      <c r="D8952" t="inlineStr">
        <is>
          <t>GÄVLEBORGS LÄN</t>
        </is>
      </c>
      <c r="E8952" t="inlineStr">
        <is>
          <t>LJUSDAL</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55475-2023</t>
        </is>
      </c>
      <c r="B8953" s="1" t="n">
        <v>45238</v>
      </c>
      <c r="C8953" s="1" t="n">
        <v>45587</v>
      </c>
      <c r="D8953" t="inlineStr">
        <is>
          <t>GÄVLEBORGS LÄN</t>
        </is>
      </c>
      <c r="E8953" t="inlineStr">
        <is>
          <t>BOLLNÄS</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55358-2023</t>
        </is>
      </c>
      <c r="B8954" s="1" t="n">
        <v>45238</v>
      </c>
      <c r="C8954" s="1" t="n">
        <v>45587</v>
      </c>
      <c r="D8954" t="inlineStr">
        <is>
          <t>GÄVLEBORGS LÄN</t>
        </is>
      </c>
      <c r="E8954" t="inlineStr">
        <is>
          <t>LJUSDAL</t>
        </is>
      </c>
      <c r="G8954" t="n">
        <v>9.800000000000001</v>
      </c>
      <c r="H8954" t="n">
        <v>0</v>
      </c>
      <c r="I8954" t="n">
        <v>0</v>
      </c>
      <c r="J8954" t="n">
        <v>0</v>
      </c>
      <c r="K8954" t="n">
        <v>0</v>
      </c>
      <c r="L8954" t="n">
        <v>0</v>
      </c>
      <c r="M8954" t="n">
        <v>0</v>
      </c>
      <c r="N8954" t="n">
        <v>0</v>
      </c>
      <c r="O8954" t="n">
        <v>0</v>
      </c>
      <c r="P8954" t="n">
        <v>0</v>
      </c>
      <c r="Q8954" t="n">
        <v>0</v>
      </c>
      <c r="R8954" s="2" t="inlineStr"/>
    </row>
    <row r="8955" ht="15" customHeight="1">
      <c r="A8955" t="inlineStr">
        <is>
          <t>A 55370-2023</t>
        </is>
      </c>
      <c r="B8955" s="1" t="n">
        <v>45238</v>
      </c>
      <c r="C8955" s="1" t="n">
        <v>45587</v>
      </c>
      <c r="D8955" t="inlineStr">
        <is>
          <t>GÄVLEBORGS LÄN</t>
        </is>
      </c>
      <c r="E8955" t="inlineStr">
        <is>
          <t>LJUSDAL</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55545-2023</t>
        </is>
      </c>
      <c r="B8956" s="1" t="n">
        <v>45238</v>
      </c>
      <c r="C8956" s="1" t="n">
        <v>45587</v>
      </c>
      <c r="D8956" t="inlineStr">
        <is>
          <t>GÄVLEBORGS LÄN</t>
        </is>
      </c>
      <c r="E8956" t="inlineStr">
        <is>
          <t>SANDVIKEN</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55558-2023</t>
        </is>
      </c>
      <c r="B8957" s="1" t="n">
        <v>45238</v>
      </c>
      <c r="C8957" s="1" t="n">
        <v>45587</v>
      </c>
      <c r="D8957" t="inlineStr">
        <is>
          <t>GÄVLEBORGS LÄN</t>
        </is>
      </c>
      <c r="E8957" t="inlineStr">
        <is>
          <t>BOLLNÄS</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55347-2023</t>
        </is>
      </c>
      <c r="B8958" s="1" t="n">
        <v>45238</v>
      </c>
      <c r="C8958" s="1" t="n">
        <v>45587</v>
      </c>
      <c r="D8958" t="inlineStr">
        <is>
          <t>GÄVLEBORGS LÄN</t>
        </is>
      </c>
      <c r="E8958" t="inlineStr">
        <is>
          <t>HUDIKSVALL</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55367-2023</t>
        </is>
      </c>
      <c r="B8959" s="1" t="n">
        <v>45238</v>
      </c>
      <c r="C8959" s="1" t="n">
        <v>45587</v>
      </c>
      <c r="D8959" t="inlineStr">
        <is>
          <t>GÄVLEBORGS LÄN</t>
        </is>
      </c>
      <c r="E8959" t="inlineStr">
        <is>
          <t>BOLLNÄS</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55375-2023</t>
        </is>
      </c>
      <c r="B8960" s="1" t="n">
        <v>45238</v>
      </c>
      <c r="C8960" s="1" t="n">
        <v>45587</v>
      </c>
      <c r="D8960" t="inlineStr">
        <is>
          <t>GÄVLEBORGS LÄN</t>
        </is>
      </c>
      <c r="E8960" t="inlineStr">
        <is>
          <t>LJUSDAL</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55423-2023</t>
        </is>
      </c>
      <c r="B8961" s="1" t="n">
        <v>45238</v>
      </c>
      <c r="C8961" s="1" t="n">
        <v>45587</v>
      </c>
      <c r="D8961" t="inlineStr">
        <is>
          <t>GÄVLEBORGS LÄN</t>
        </is>
      </c>
      <c r="E8961" t="inlineStr">
        <is>
          <t>OVANÅKER</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55489-2023</t>
        </is>
      </c>
      <c r="B8962" s="1" t="n">
        <v>45238</v>
      </c>
      <c r="C8962" s="1" t="n">
        <v>45587</v>
      </c>
      <c r="D8962" t="inlineStr">
        <is>
          <t>GÄVLEBORGS LÄN</t>
        </is>
      </c>
      <c r="E8962" t="inlineStr">
        <is>
          <t>OVANÅKER</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55507-2023</t>
        </is>
      </c>
      <c r="B8963" s="1" t="n">
        <v>45238</v>
      </c>
      <c r="C8963" s="1" t="n">
        <v>45587</v>
      </c>
      <c r="D8963" t="inlineStr">
        <is>
          <t>GÄVLEBORGS LÄN</t>
        </is>
      </c>
      <c r="E8963" t="inlineStr">
        <is>
          <t>OVANÅKER</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55539-2023</t>
        </is>
      </c>
      <c r="B8964" s="1" t="n">
        <v>45238</v>
      </c>
      <c r="C8964" s="1" t="n">
        <v>45587</v>
      </c>
      <c r="D8964" t="inlineStr">
        <is>
          <t>GÄVLEBORGS LÄN</t>
        </is>
      </c>
      <c r="E8964" t="inlineStr">
        <is>
          <t>SANDVIKEN</t>
        </is>
      </c>
      <c r="G8964" t="n">
        <v>3.6</v>
      </c>
      <c r="H8964" t="n">
        <v>0</v>
      </c>
      <c r="I8964" t="n">
        <v>0</v>
      </c>
      <c r="J8964" t="n">
        <v>0</v>
      </c>
      <c r="K8964" t="n">
        <v>0</v>
      </c>
      <c r="L8964" t="n">
        <v>0</v>
      </c>
      <c r="M8964" t="n">
        <v>0</v>
      </c>
      <c r="N8964" t="n">
        <v>0</v>
      </c>
      <c r="O8964" t="n">
        <v>0</v>
      </c>
      <c r="P8964" t="n">
        <v>0</v>
      </c>
      <c r="Q8964" t="n">
        <v>0</v>
      </c>
      <c r="R8964" s="2" t="inlineStr"/>
    </row>
    <row r="8965" ht="15" customHeight="1">
      <c r="A8965" t="inlineStr">
        <is>
          <t>A 55561-2023</t>
        </is>
      </c>
      <c r="B8965" s="1" t="n">
        <v>45238</v>
      </c>
      <c r="C8965" s="1" t="n">
        <v>45587</v>
      </c>
      <c r="D8965" t="inlineStr">
        <is>
          <t>GÄVLEBORGS LÄN</t>
        </is>
      </c>
      <c r="E8965" t="inlineStr">
        <is>
          <t>SANDVIKEN</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55526-2023</t>
        </is>
      </c>
      <c r="B8966" s="1" t="n">
        <v>45238</v>
      </c>
      <c r="C8966" s="1" t="n">
        <v>45587</v>
      </c>
      <c r="D8966" t="inlineStr">
        <is>
          <t>GÄVLEBORGS LÄN</t>
        </is>
      </c>
      <c r="E8966" t="inlineStr">
        <is>
          <t>OVANÅKER</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55571-2023</t>
        </is>
      </c>
      <c r="B8967" s="1" t="n">
        <v>45238</v>
      </c>
      <c r="C8967" s="1" t="n">
        <v>45587</v>
      </c>
      <c r="D8967" t="inlineStr">
        <is>
          <t>GÄVLEBORGS LÄN</t>
        </is>
      </c>
      <c r="E8967" t="inlineStr">
        <is>
          <t>GÄVLE</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55608-2023</t>
        </is>
      </c>
      <c r="B8968" s="1" t="n">
        <v>45238</v>
      </c>
      <c r="C8968" s="1" t="n">
        <v>45587</v>
      </c>
      <c r="D8968" t="inlineStr">
        <is>
          <t>GÄVLEBORGS LÄN</t>
        </is>
      </c>
      <c r="E8968" t="inlineStr">
        <is>
          <t>NORDANSTIG</t>
        </is>
      </c>
      <c r="F8968" t="inlineStr">
        <is>
          <t>Holmen skog AB</t>
        </is>
      </c>
      <c r="G8968" t="n">
        <v>5.2</v>
      </c>
      <c r="H8968" t="n">
        <v>0</v>
      </c>
      <c r="I8968" t="n">
        <v>0</v>
      </c>
      <c r="J8968" t="n">
        <v>0</v>
      </c>
      <c r="K8968" t="n">
        <v>0</v>
      </c>
      <c r="L8968" t="n">
        <v>0</v>
      </c>
      <c r="M8968" t="n">
        <v>0</v>
      </c>
      <c r="N8968" t="n">
        <v>0</v>
      </c>
      <c r="O8968" t="n">
        <v>0</v>
      </c>
      <c r="P8968" t="n">
        <v>0</v>
      </c>
      <c r="Q8968" t="n">
        <v>0</v>
      </c>
      <c r="R8968" s="2" t="inlineStr"/>
    </row>
    <row r="8969" ht="15" customHeight="1">
      <c r="A8969" t="inlineStr">
        <is>
          <t>A 55361-2023</t>
        </is>
      </c>
      <c r="B8969" s="1" t="n">
        <v>45238</v>
      </c>
      <c r="C8969" s="1" t="n">
        <v>45587</v>
      </c>
      <c r="D8969" t="inlineStr">
        <is>
          <t>GÄVLEBORGS LÄN</t>
        </is>
      </c>
      <c r="E8969" t="inlineStr">
        <is>
          <t>SÖDERHAMN</t>
        </is>
      </c>
      <c r="G8969" t="n">
        <v>4.1</v>
      </c>
      <c r="H8969" t="n">
        <v>0</v>
      </c>
      <c r="I8969" t="n">
        <v>0</v>
      </c>
      <c r="J8969" t="n">
        <v>0</v>
      </c>
      <c r="K8969" t="n">
        <v>0</v>
      </c>
      <c r="L8969" t="n">
        <v>0</v>
      </c>
      <c r="M8969" t="n">
        <v>0</v>
      </c>
      <c r="N8969" t="n">
        <v>0</v>
      </c>
      <c r="O8969" t="n">
        <v>0</v>
      </c>
      <c r="P8969" t="n">
        <v>0</v>
      </c>
      <c r="Q8969" t="n">
        <v>0</v>
      </c>
      <c r="R8969" s="2" t="inlineStr"/>
    </row>
    <row r="8970" ht="15" customHeight="1">
      <c r="A8970" t="inlineStr">
        <is>
          <t>A 55435-2023</t>
        </is>
      </c>
      <c r="B8970" s="1" t="n">
        <v>45238</v>
      </c>
      <c r="C8970" s="1" t="n">
        <v>45587</v>
      </c>
      <c r="D8970" t="inlineStr">
        <is>
          <t>GÄVLEBORGS LÄN</t>
        </is>
      </c>
      <c r="E8970" t="inlineStr">
        <is>
          <t>SÖDERHAMN</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55520-2023</t>
        </is>
      </c>
      <c r="B8971" s="1" t="n">
        <v>45238</v>
      </c>
      <c r="C8971" s="1" t="n">
        <v>45587</v>
      </c>
      <c r="D8971" t="inlineStr">
        <is>
          <t>GÄVLEBORGS LÄN</t>
        </is>
      </c>
      <c r="E8971" t="inlineStr">
        <is>
          <t>BOLLNÄS</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55565-2023</t>
        </is>
      </c>
      <c r="B8972" s="1" t="n">
        <v>45238</v>
      </c>
      <c r="C8972" s="1" t="n">
        <v>45587</v>
      </c>
      <c r="D8972" t="inlineStr">
        <is>
          <t>GÄVLEBORGS LÄN</t>
        </is>
      </c>
      <c r="E8972" t="inlineStr">
        <is>
          <t>SANDVIKEN</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55585-2023</t>
        </is>
      </c>
      <c r="B8973" s="1" t="n">
        <v>45238</v>
      </c>
      <c r="C8973" s="1" t="n">
        <v>45587</v>
      </c>
      <c r="D8973" t="inlineStr">
        <is>
          <t>GÄVLEBORGS LÄN</t>
        </is>
      </c>
      <c r="E8973" t="inlineStr">
        <is>
          <t>NORDANSTIG</t>
        </is>
      </c>
      <c r="G8973" t="n">
        <v>5.6</v>
      </c>
      <c r="H8973" t="n">
        <v>0</v>
      </c>
      <c r="I8973" t="n">
        <v>0</v>
      </c>
      <c r="J8973" t="n">
        <v>0</v>
      </c>
      <c r="K8973" t="n">
        <v>0</v>
      </c>
      <c r="L8973" t="n">
        <v>0</v>
      </c>
      <c r="M8973" t="n">
        <v>0</v>
      </c>
      <c r="N8973" t="n">
        <v>0</v>
      </c>
      <c r="O8973" t="n">
        <v>0</v>
      </c>
      <c r="P8973" t="n">
        <v>0</v>
      </c>
      <c r="Q8973" t="n">
        <v>0</v>
      </c>
      <c r="R8973" s="2" t="inlineStr"/>
    </row>
    <row r="8974" ht="15" customHeight="1">
      <c r="A8974" t="inlineStr">
        <is>
          <t>A 55681-2023</t>
        </is>
      </c>
      <c r="B8974" s="1" t="n">
        <v>45239</v>
      </c>
      <c r="C8974" s="1" t="n">
        <v>45587</v>
      </c>
      <c r="D8974" t="inlineStr">
        <is>
          <t>GÄVLEBORGS LÄN</t>
        </is>
      </c>
      <c r="E8974" t="inlineStr">
        <is>
          <t>LJUSDAL</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55675-2023</t>
        </is>
      </c>
      <c r="B8975" s="1" t="n">
        <v>45239</v>
      </c>
      <c r="C8975" s="1" t="n">
        <v>45587</v>
      </c>
      <c r="D8975" t="inlineStr">
        <is>
          <t>GÄVLEBORGS LÄN</t>
        </is>
      </c>
      <c r="E8975" t="inlineStr">
        <is>
          <t>LJUSDAL</t>
        </is>
      </c>
      <c r="G8975" t="n">
        <v>11.1</v>
      </c>
      <c r="H8975" t="n">
        <v>0</v>
      </c>
      <c r="I8975" t="n">
        <v>0</v>
      </c>
      <c r="J8975" t="n">
        <v>0</v>
      </c>
      <c r="K8975" t="n">
        <v>0</v>
      </c>
      <c r="L8975" t="n">
        <v>0</v>
      </c>
      <c r="M8975" t="n">
        <v>0</v>
      </c>
      <c r="N8975" t="n">
        <v>0</v>
      </c>
      <c r="O8975" t="n">
        <v>0</v>
      </c>
      <c r="P8975" t="n">
        <v>0</v>
      </c>
      <c r="Q8975" t="n">
        <v>0</v>
      </c>
      <c r="R8975" s="2" t="inlineStr"/>
    </row>
    <row r="8976" ht="15" customHeight="1">
      <c r="A8976" t="inlineStr">
        <is>
          <t>A 55690-2023</t>
        </is>
      </c>
      <c r="B8976" s="1" t="n">
        <v>45239</v>
      </c>
      <c r="C8976" s="1" t="n">
        <v>45587</v>
      </c>
      <c r="D8976" t="inlineStr">
        <is>
          <t>GÄVLEBORGS LÄN</t>
        </is>
      </c>
      <c r="E8976" t="inlineStr">
        <is>
          <t>LJUSDAL</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55715-2023</t>
        </is>
      </c>
      <c r="B8977" s="1" t="n">
        <v>45239</v>
      </c>
      <c r="C8977" s="1" t="n">
        <v>45587</v>
      </c>
      <c r="D8977" t="inlineStr">
        <is>
          <t>GÄVLEBORGS LÄN</t>
        </is>
      </c>
      <c r="E8977" t="inlineStr">
        <is>
          <t>OCKELBO</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55757-2023</t>
        </is>
      </c>
      <c r="B8978" s="1" t="n">
        <v>45239</v>
      </c>
      <c r="C8978" s="1" t="n">
        <v>45587</v>
      </c>
      <c r="D8978" t="inlineStr">
        <is>
          <t>GÄVLEBORGS LÄN</t>
        </is>
      </c>
      <c r="E8978" t="inlineStr">
        <is>
          <t>HUDIKSVALL</t>
        </is>
      </c>
      <c r="F8978" t="inlineStr">
        <is>
          <t>Holmen skog AB</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55811-2023</t>
        </is>
      </c>
      <c r="B8979" s="1" t="n">
        <v>45239</v>
      </c>
      <c r="C8979" s="1" t="n">
        <v>45587</v>
      </c>
      <c r="D8979" t="inlineStr">
        <is>
          <t>GÄVLEBORGS LÄN</t>
        </is>
      </c>
      <c r="E8979" t="inlineStr">
        <is>
          <t>OVANÅKER</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55854-2023</t>
        </is>
      </c>
      <c r="B8980" s="1" t="n">
        <v>45239</v>
      </c>
      <c r="C8980" s="1" t="n">
        <v>45587</v>
      </c>
      <c r="D8980" t="inlineStr">
        <is>
          <t>GÄVLEBORGS LÄN</t>
        </is>
      </c>
      <c r="E8980" t="inlineStr">
        <is>
          <t>GÄVLE</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55918-2023</t>
        </is>
      </c>
      <c r="B8981" s="1" t="n">
        <v>45239</v>
      </c>
      <c r="C8981" s="1" t="n">
        <v>45587</v>
      </c>
      <c r="D8981" t="inlineStr">
        <is>
          <t>GÄVLEBORGS LÄN</t>
        </is>
      </c>
      <c r="E8981" t="inlineStr">
        <is>
          <t>NORDANSTIG</t>
        </is>
      </c>
      <c r="F8981" t="inlineStr">
        <is>
          <t>SCA</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55917-2023</t>
        </is>
      </c>
      <c r="B8982" s="1" t="n">
        <v>45239</v>
      </c>
      <c r="C8982" s="1" t="n">
        <v>45587</v>
      </c>
      <c r="D8982" t="inlineStr">
        <is>
          <t>GÄVLEBORGS LÄN</t>
        </is>
      </c>
      <c r="E8982" t="inlineStr">
        <is>
          <t>NORDANSTIG</t>
        </is>
      </c>
      <c r="F8982" t="inlineStr">
        <is>
          <t>SCA</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57250-2023</t>
        </is>
      </c>
      <c r="B8983" s="1" t="n">
        <v>45239</v>
      </c>
      <c r="C8983" s="1" t="n">
        <v>45587</v>
      </c>
      <c r="D8983" t="inlineStr">
        <is>
          <t>GÄVLEBORGS LÄN</t>
        </is>
      </c>
      <c r="E8983" t="inlineStr">
        <is>
          <t>BOLLNÄS</t>
        </is>
      </c>
      <c r="F8983" t="inlineStr">
        <is>
          <t>Kommuner</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55741-2023</t>
        </is>
      </c>
      <c r="B8984" s="1" t="n">
        <v>45239</v>
      </c>
      <c r="C8984" s="1" t="n">
        <v>45587</v>
      </c>
      <c r="D8984" t="inlineStr">
        <is>
          <t>GÄVLEBORGS LÄN</t>
        </is>
      </c>
      <c r="E8984" t="inlineStr">
        <is>
          <t>HUDIKSVALL</t>
        </is>
      </c>
      <c r="F8984" t="inlineStr">
        <is>
          <t>Holmen skog AB</t>
        </is>
      </c>
      <c r="G8984" t="n">
        <v>7.1</v>
      </c>
      <c r="H8984" t="n">
        <v>0</v>
      </c>
      <c r="I8984" t="n">
        <v>0</v>
      </c>
      <c r="J8984" t="n">
        <v>0</v>
      </c>
      <c r="K8984" t="n">
        <v>0</v>
      </c>
      <c r="L8984" t="n">
        <v>0</v>
      </c>
      <c r="M8984" t="n">
        <v>0</v>
      </c>
      <c r="N8984" t="n">
        <v>0</v>
      </c>
      <c r="O8984" t="n">
        <v>0</v>
      </c>
      <c r="P8984" t="n">
        <v>0</v>
      </c>
      <c r="Q8984" t="n">
        <v>0</v>
      </c>
      <c r="R8984" s="2" t="inlineStr"/>
    </row>
    <row r="8985" ht="15" customHeight="1">
      <c r="A8985" t="inlineStr">
        <is>
          <t>A 55870-2023</t>
        </is>
      </c>
      <c r="B8985" s="1" t="n">
        <v>45239</v>
      </c>
      <c r="C8985" s="1" t="n">
        <v>45587</v>
      </c>
      <c r="D8985" t="inlineStr">
        <is>
          <t>GÄVLEBORGS LÄN</t>
        </is>
      </c>
      <c r="E8985" t="inlineStr">
        <is>
          <t>LJUSDAL</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57260-2023</t>
        </is>
      </c>
      <c r="B8986" s="1" t="n">
        <v>45239</v>
      </c>
      <c r="C8986" s="1" t="n">
        <v>45587</v>
      </c>
      <c r="D8986" t="inlineStr">
        <is>
          <t>GÄVLEBORGS LÄN</t>
        </is>
      </c>
      <c r="E8986" t="inlineStr">
        <is>
          <t>BOLLNÄS</t>
        </is>
      </c>
      <c r="F8986" t="inlineStr">
        <is>
          <t>Kommuner</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56217-2023</t>
        </is>
      </c>
      <c r="B8987" s="1" t="n">
        <v>45240</v>
      </c>
      <c r="C8987" s="1" t="n">
        <v>45587</v>
      </c>
      <c r="D8987" t="inlineStr">
        <is>
          <t>GÄVLEBORGS LÄN</t>
        </is>
      </c>
      <c r="E8987" t="inlineStr">
        <is>
          <t>SANDVIKEN</t>
        </is>
      </c>
      <c r="F8987" t="inlineStr">
        <is>
          <t>Sveaskog</t>
        </is>
      </c>
      <c r="G8987" t="n">
        <v>10.6</v>
      </c>
      <c r="H8987" t="n">
        <v>0</v>
      </c>
      <c r="I8987" t="n">
        <v>0</v>
      </c>
      <c r="J8987" t="n">
        <v>0</v>
      </c>
      <c r="K8987" t="n">
        <v>0</v>
      </c>
      <c r="L8987" t="n">
        <v>0</v>
      </c>
      <c r="M8987" t="n">
        <v>0</v>
      </c>
      <c r="N8987" t="n">
        <v>0</v>
      </c>
      <c r="O8987" t="n">
        <v>0</v>
      </c>
      <c r="P8987" t="n">
        <v>0</v>
      </c>
      <c r="Q8987" t="n">
        <v>0</v>
      </c>
      <c r="R8987" s="2" t="inlineStr"/>
    </row>
    <row r="8988" ht="15" customHeight="1">
      <c r="A8988" t="inlineStr">
        <is>
          <t>A 56209-2023</t>
        </is>
      </c>
      <c r="B8988" s="1" t="n">
        <v>45240</v>
      </c>
      <c r="C8988" s="1" t="n">
        <v>45587</v>
      </c>
      <c r="D8988" t="inlineStr">
        <is>
          <t>GÄVLEBORGS LÄN</t>
        </is>
      </c>
      <c r="E8988" t="inlineStr">
        <is>
          <t>BOLLNÄS</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56160-2023</t>
        </is>
      </c>
      <c r="B8989" s="1" t="n">
        <v>45240</v>
      </c>
      <c r="C8989" s="1" t="n">
        <v>45587</v>
      </c>
      <c r="D8989" t="inlineStr">
        <is>
          <t>GÄVLEBORGS LÄN</t>
        </is>
      </c>
      <c r="E8989" t="inlineStr">
        <is>
          <t>SÖDERHAMN</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56198-2023</t>
        </is>
      </c>
      <c r="B8990" s="1" t="n">
        <v>45240</v>
      </c>
      <c r="C8990" s="1" t="n">
        <v>45587</v>
      </c>
      <c r="D8990" t="inlineStr">
        <is>
          <t>GÄVLEBORGS LÄN</t>
        </is>
      </c>
      <c r="E8990" t="inlineStr">
        <is>
          <t>SÖDERHAMN</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56165-2023</t>
        </is>
      </c>
      <c r="B8991" s="1" t="n">
        <v>45240</v>
      </c>
      <c r="C8991" s="1" t="n">
        <v>45587</v>
      </c>
      <c r="D8991" t="inlineStr">
        <is>
          <t>GÄVLEBORGS LÄN</t>
        </is>
      </c>
      <c r="E8991" t="inlineStr">
        <is>
          <t>BOLLNÄS</t>
        </is>
      </c>
      <c r="G8991" t="n">
        <v>6.1</v>
      </c>
      <c r="H8991" t="n">
        <v>0</v>
      </c>
      <c r="I8991" t="n">
        <v>0</v>
      </c>
      <c r="J8991" t="n">
        <v>0</v>
      </c>
      <c r="K8991" t="n">
        <v>0</v>
      </c>
      <c r="L8991" t="n">
        <v>0</v>
      </c>
      <c r="M8991" t="n">
        <v>0</v>
      </c>
      <c r="N8991" t="n">
        <v>0</v>
      </c>
      <c r="O8991" t="n">
        <v>0</v>
      </c>
      <c r="P8991" t="n">
        <v>0</v>
      </c>
      <c r="Q8991" t="n">
        <v>0</v>
      </c>
      <c r="R8991" s="2" t="inlineStr"/>
    </row>
    <row r="8992" ht="15" customHeight="1">
      <c r="A8992" t="inlineStr">
        <is>
          <t>A 56132-2023</t>
        </is>
      </c>
      <c r="B8992" s="1" t="n">
        <v>45240</v>
      </c>
      <c r="C8992" s="1" t="n">
        <v>45587</v>
      </c>
      <c r="D8992" t="inlineStr">
        <is>
          <t>GÄVLEBORGS LÄN</t>
        </is>
      </c>
      <c r="E8992" t="inlineStr">
        <is>
          <t>OVANÅKER</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56018-2023</t>
        </is>
      </c>
      <c r="B8993" s="1" t="n">
        <v>45240</v>
      </c>
      <c r="C8993" s="1" t="n">
        <v>45587</v>
      </c>
      <c r="D8993" t="inlineStr">
        <is>
          <t>GÄVLEBORGS LÄN</t>
        </is>
      </c>
      <c r="E8993" t="inlineStr">
        <is>
          <t>SANDVIKEN</t>
        </is>
      </c>
      <c r="F8993" t="inlineStr">
        <is>
          <t>Sveaskog</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56208-2023</t>
        </is>
      </c>
      <c r="B8994" s="1" t="n">
        <v>45240</v>
      </c>
      <c r="C8994" s="1" t="n">
        <v>45587</v>
      </c>
      <c r="D8994" t="inlineStr">
        <is>
          <t>GÄVLEBORGS LÄN</t>
        </is>
      </c>
      <c r="E8994" t="inlineStr">
        <is>
          <t>BOLLNÄS</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56200-2023</t>
        </is>
      </c>
      <c r="B8995" s="1" t="n">
        <v>45240</v>
      </c>
      <c r="C8995" s="1" t="n">
        <v>45587</v>
      </c>
      <c r="D8995" t="inlineStr">
        <is>
          <t>GÄVLEBORGS LÄN</t>
        </is>
      </c>
      <c r="E8995" t="inlineStr">
        <is>
          <t>SÖDERHAMN</t>
        </is>
      </c>
      <c r="G8995" t="n">
        <v>4.6</v>
      </c>
      <c r="H8995" t="n">
        <v>0</v>
      </c>
      <c r="I8995" t="n">
        <v>0</v>
      </c>
      <c r="J8995" t="n">
        <v>0</v>
      </c>
      <c r="K8995" t="n">
        <v>0</v>
      </c>
      <c r="L8995" t="n">
        <v>0</v>
      </c>
      <c r="M8995" t="n">
        <v>0</v>
      </c>
      <c r="N8995" t="n">
        <v>0</v>
      </c>
      <c r="O8995" t="n">
        <v>0</v>
      </c>
      <c r="P8995" t="n">
        <v>0</v>
      </c>
      <c r="Q8995" t="n">
        <v>0</v>
      </c>
      <c r="R8995" s="2" t="inlineStr"/>
    </row>
    <row r="8996" ht="15" customHeight="1">
      <c r="A8996" t="inlineStr">
        <is>
          <t>A 56142-2023</t>
        </is>
      </c>
      <c r="B8996" s="1" t="n">
        <v>45240</v>
      </c>
      <c r="C8996" s="1" t="n">
        <v>45587</v>
      </c>
      <c r="D8996" t="inlineStr">
        <is>
          <t>GÄVLEBORGS LÄN</t>
        </is>
      </c>
      <c r="E8996" t="inlineStr">
        <is>
          <t>LJUSDAL</t>
        </is>
      </c>
      <c r="G8996" t="n">
        <v>3.4</v>
      </c>
      <c r="H8996" t="n">
        <v>0</v>
      </c>
      <c r="I8996" t="n">
        <v>0</v>
      </c>
      <c r="J8996" t="n">
        <v>0</v>
      </c>
      <c r="K8996" t="n">
        <v>0</v>
      </c>
      <c r="L8996" t="n">
        <v>0</v>
      </c>
      <c r="M8996" t="n">
        <v>0</v>
      </c>
      <c r="N8996" t="n">
        <v>0</v>
      </c>
      <c r="O8996" t="n">
        <v>0</v>
      </c>
      <c r="P8996" t="n">
        <v>0</v>
      </c>
      <c r="Q8996" t="n">
        <v>0</v>
      </c>
      <c r="R8996" s="2" t="inlineStr"/>
    </row>
    <row r="8997" ht="15" customHeight="1">
      <c r="A8997" t="inlineStr">
        <is>
          <t>A 56138-2023</t>
        </is>
      </c>
      <c r="B8997" s="1" t="n">
        <v>45240</v>
      </c>
      <c r="C8997" s="1" t="n">
        <v>45587</v>
      </c>
      <c r="D8997" t="inlineStr">
        <is>
          <t>GÄVLEBORGS LÄN</t>
        </is>
      </c>
      <c r="E8997" t="inlineStr">
        <is>
          <t>GÄVLE</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56126-2023</t>
        </is>
      </c>
      <c r="B8998" s="1" t="n">
        <v>45240</v>
      </c>
      <c r="C8998" s="1" t="n">
        <v>45587</v>
      </c>
      <c r="D8998" t="inlineStr">
        <is>
          <t>GÄVLEBORGS LÄN</t>
        </is>
      </c>
      <c r="E8998" t="inlineStr">
        <is>
          <t>SÖDERHAMN</t>
        </is>
      </c>
      <c r="G8998" t="n">
        <v>4</v>
      </c>
      <c r="H8998" t="n">
        <v>0</v>
      </c>
      <c r="I8998" t="n">
        <v>0</v>
      </c>
      <c r="J8998" t="n">
        <v>0</v>
      </c>
      <c r="K8998" t="n">
        <v>0</v>
      </c>
      <c r="L8998" t="n">
        <v>0</v>
      </c>
      <c r="M8998" t="n">
        <v>0</v>
      </c>
      <c r="N8998" t="n">
        <v>0</v>
      </c>
      <c r="O8998" t="n">
        <v>0</v>
      </c>
      <c r="P8998" t="n">
        <v>0</v>
      </c>
      <c r="Q8998" t="n">
        <v>0</v>
      </c>
      <c r="R8998" s="2" t="inlineStr"/>
    </row>
    <row r="8999" ht="15" customHeight="1">
      <c r="A8999" t="inlineStr">
        <is>
          <t>A 55978-2023</t>
        </is>
      </c>
      <c r="B8999" s="1" t="n">
        <v>45240</v>
      </c>
      <c r="C8999" s="1" t="n">
        <v>45587</v>
      </c>
      <c r="D8999" t="inlineStr">
        <is>
          <t>GÄVLEBORGS LÄN</t>
        </is>
      </c>
      <c r="E8999" t="inlineStr">
        <is>
          <t>HUDIKSVALL</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56176-2023</t>
        </is>
      </c>
      <c r="B9000" s="1" t="n">
        <v>45240</v>
      </c>
      <c r="C9000" s="1" t="n">
        <v>45587</v>
      </c>
      <c r="D9000" t="inlineStr">
        <is>
          <t>GÄVLEBORGS LÄN</t>
        </is>
      </c>
      <c r="E9000" t="inlineStr">
        <is>
          <t>SÖDERHAMN</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56162-2023</t>
        </is>
      </c>
      <c r="B9001" s="1" t="n">
        <v>45240</v>
      </c>
      <c r="C9001" s="1" t="n">
        <v>45587</v>
      </c>
      <c r="D9001" t="inlineStr">
        <is>
          <t>GÄVLEBORGS LÄN</t>
        </is>
      </c>
      <c r="E9001" t="inlineStr">
        <is>
          <t>HOFORS</t>
        </is>
      </c>
      <c r="F9001" t="inlineStr">
        <is>
          <t>Sveaskog</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56150-2023</t>
        </is>
      </c>
      <c r="B9002" s="1" t="n">
        <v>45240</v>
      </c>
      <c r="C9002" s="1" t="n">
        <v>45587</v>
      </c>
      <c r="D9002" t="inlineStr">
        <is>
          <t>GÄVLEBORGS LÄN</t>
        </is>
      </c>
      <c r="E9002" t="inlineStr">
        <is>
          <t>SANDVIKEN</t>
        </is>
      </c>
      <c r="F9002" t="inlineStr">
        <is>
          <t>Sveaskog</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56145-2023</t>
        </is>
      </c>
      <c r="B9003" s="1" t="n">
        <v>45240</v>
      </c>
      <c r="C9003" s="1" t="n">
        <v>45587</v>
      </c>
      <c r="D9003" t="inlineStr">
        <is>
          <t>GÄVLEBORGS LÄN</t>
        </is>
      </c>
      <c r="E9003" t="inlineStr">
        <is>
          <t>NORDANSTIG</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56113-2023</t>
        </is>
      </c>
      <c r="B9004" s="1" t="n">
        <v>45240</v>
      </c>
      <c r="C9004" s="1" t="n">
        <v>45587</v>
      </c>
      <c r="D9004" t="inlineStr">
        <is>
          <t>GÄVLEBORGS LÄN</t>
        </is>
      </c>
      <c r="E9004" t="inlineStr">
        <is>
          <t>LJUSDAL</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56036-2023</t>
        </is>
      </c>
      <c r="B9005" s="1" t="n">
        <v>45240</v>
      </c>
      <c r="C9005" s="1" t="n">
        <v>45587</v>
      </c>
      <c r="D9005" t="inlineStr">
        <is>
          <t>GÄVLEBORGS LÄN</t>
        </is>
      </c>
      <c r="E9005" t="inlineStr">
        <is>
          <t>SANDVIKEN</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56019-2023</t>
        </is>
      </c>
      <c r="B9006" s="1" t="n">
        <v>45240</v>
      </c>
      <c r="C9006" s="1" t="n">
        <v>45587</v>
      </c>
      <c r="D9006" t="inlineStr">
        <is>
          <t>GÄVLEBORGS LÄN</t>
        </is>
      </c>
      <c r="E9006" t="inlineStr">
        <is>
          <t>SANDVIKEN</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56156-2023</t>
        </is>
      </c>
      <c r="B9007" s="1" t="n">
        <v>45240</v>
      </c>
      <c r="C9007" s="1" t="n">
        <v>45587</v>
      </c>
      <c r="D9007" t="inlineStr">
        <is>
          <t>GÄVLEBORGS LÄN</t>
        </is>
      </c>
      <c r="E9007" t="inlineStr">
        <is>
          <t>HOFORS</t>
        </is>
      </c>
      <c r="F9007" t="inlineStr">
        <is>
          <t>Sveaskog</t>
        </is>
      </c>
      <c r="G9007" t="n">
        <v>5.8</v>
      </c>
      <c r="H9007" t="n">
        <v>0</v>
      </c>
      <c r="I9007" t="n">
        <v>0</v>
      </c>
      <c r="J9007" t="n">
        <v>0</v>
      </c>
      <c r="K9007" t="n">
        <v>0</v>
      </c>
      <c r="L9007" t="n">
        <v>0</v>
      </c>
      <c r="M9007" t="n">
        <v>0</v>
      </c>
      <c r="N9007" t="n">
        <v>0</v>
      </c>
      <c r="O9007" t="n">
        <v>0</v>
      </c>
      <c r="P9007" t="n">
        <v>0</v>
      </c>
      <c r="Q9007" t="n">
        <v>0</v>
      </c>
      <c r="R9007" s="2" t="inlineStr"/>
    </row>
    <row r="9008" ht="15" customHeight="1">
      <c r="A9008" t="inlineStr">
        <is>
          <t>A 56152-2023</t>
        </is>
      </c>
      <c r="B9008" s="1" t="n">
        <v>45240</v>
      </c>
      <c r="C9008" s="1" t="n">
        <v>45587</v>
      </c>
      <c r="D9008" t="inlineStr">
        <is>
          <t>GÄVLEBORGS LÄN</t>
        </is>
      </c>
      <c r="E9008" t="inlineStr">
        <is>
          <t>OVANÅKER</t>
        </is>
      </c>
      <c r="G9008" t="n">
        <v>2.9</v>
      </c>
      <c r="H9008" t="n">
        <v>0</v>
      </c>
      <c r="I9008" t="n">
        <v>0</v>
      </c>
      <c r="J9008" t="n">
        <v>0</v>
      </c>
      <c r="K9008" t="n">
        <v>0</v>
      </c>
      <c r="L9008" t="n">
        <v>0</v>
      </c>
      <c r="M9008" t="n">
        <v>0</v>
      </c>
      <c r="N9008" t="n">
        <v>0</v>
      </c>
      <c r="O9008" t="n">
        <v>0</v>
      </c>
      <c r="P9008" t="n">
        <v>0</v>
      </c>
      <c r="Q9008" t="n">
        <v>0</v>
      </c>
      <c r="R9008" s="2" t="inlineStr"/>
    </row>
    <row r="9009" ht="15" customHeight="1">
      <c r="A9009" t="inlineStr">
        <is>
          <t>A 56135-2023</t>
        </is>
      </c>
      <c r="B9009" s="1" t="n">
        <v>45240</v>
      </c>
      <c r="C9009" s="1" t="n">
        <v>45587</v>
      </c>
      <c r="D9009" t="inlineStr">
        <is>
          <t>GÄVLEBORGS LÄN</t>
        </is>
      </c>
      <c r="E9009" t="inlineStr">
        <is>
          <t>NORDANSTIG</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56127-2023</t>
        </is>
      </c>
      <c r="B9010" s="1" t="n">
        <v>45240</v>
      </c>
      <c r="C9010" s="1" t="n">
        <v>45587</v>
      </c>
      <c r="D9010" t="inlineStr">
        <is>
          <t>GÄVLEBORGS LÄN</t>
        </is>
      </c>
      <c r="E9010" t="inlineStr">
        <is>
          <t>OVANÅKER</t>
        </is>
      </c>
      <c r="G9010" t="n">
        <v>0.4</v>
      </c>
      <c r="H9010" t="n">
        <v>0</v>
      </c>
      <c r="I9010" t="n">
        <v>0</v>
      </c>
      <c r="J9010" t="n">
        <v>0</v>
      </c>
      <c r="K9010" t="n">
        <v>0</v>
      </c>
      <c r="L9010" t="n">
        <v>0</v>
      </c>
      <c r="M9010" t="n">
        <v>0</v>
      </c>
      <c r="N9010" t="n">
        <v>0</v>
      </c>
      <c r="O9010" t="n">
        <v>0</v>
      </c>
      <c r="P9010" t="n">
        <v>0</v>
      </c>
      <c r="Q9010" t="n">
        <v>0</v>
      </c>
      <c r="R9010" s="2" t="inlineStr"/>
    </row>
    <row r="9011" ht="15" customHeight="1">
      <c r="A9011" t="inlineStr">
        <is>
          <t>A 56117-2023</t>
        </is>
      </c>
      <c r="B9011" s="1" t="n">
        <v>45240</v>
      </c>
      <c r="C9011" s="1" t="n">
        <v>45587</v>
      </c>
      <c r="D9011" t="inlineStr">
        <is>
          <t>GÄVLEBORGS LÄN</t>
        </is>
      </c>
      <c r="E9011" t="inlineStr">
        <is>
          <t>HOFORS</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56087-2023</t>
        </is>
      </c>
      <c r="B9012" s="1" t="n">
        <v>45240</v>
      </c>
      <c r="C9012" s="1" t="n">
        <v>45587</v>
      </c>
      <c r="D9012" t="inlineStr">
        <is>
          <t>GÄVLEBORGS LÄN</t>
        </is>
      </c>
      <c r="E9012" t="inlineStr">
        <is>
          <t>HUDIKSVALL</t>
        </is>
      </c>
      <c r="F9012" t="inlineStr">
        <is>
          <t>Holmen skog AB</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56034-2023</t>
        </is>
      </c>
      <c r="B9013" s="1" t="n">
        <v>45240</v>
      </c>
      <c r="C9013" s="1" t="n">
        <v>45587</v>
      </c>
      <c r="D9013" t="inlineStr">
        <is>
          <t>GÄVLEBORGS LÄN</t>
        </is>
      </c>
      <c r="E9013" t="inlineStr">
        <is>
          <t>OCKELBO</t>
        </is>
      </c>
      <c r="F9013" t="inlineStr">
        <is>
          <t>Bergvik skog väst AB</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56017-2023</t>
        </is>
      </c>
      <c r="B9014" s="1" t="n">
        <v>45240</v>
      </c>
      <c r="C9014" s="1" t="n">
        <v>45587</v>
      </c>
      <c r="D9014" t="inlineStr">
        <is>
          <t>GÄVLEBORGS LÄN</t>
        </is>
      </c>
      <c r="E9014" t="inlineStr">
        <is>
          <t>SANDVIKEN</t>
        </is>
      </c>
      <c r="F9014" t="inlineStr">
        <is>
          <t>Sveaskog</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56318-2023</t>
        </is>
      </c>
      <c r="B9015" s="1" t="n">
        <v>45243</v>
      </c>
      <c r="C9015" s="1" t="n">
        <v>45587</v>
      </c>
      <c r="D9015" t="inlineStr">
        <is>
          <t>GÄVLEBORGS LÄN</t>
        </is>
      </c>
      <c r="E9015" t="inlineStr">
        <is>
          <t>SANDVIKEN</t>
        </is>
      </c>
      <c r="F9015" t="inlineStr">
        <is>
          <t>Bergvik skog öst AB</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56461-2023</t>
        </is>
      </c>
      <c r="B9016" s="1" t="n">
        <v>45243</v>
      </c>
      <c r="C9016" s="1" t="n">
        <v>45587</v>
      </c>
      <c r="D9016" t="inlineStr">
        <is>
          <t>GÄVLEBORGS LÄN</t>
        </is>
      </c>
      <c r="E9016" t="inlineStr">
        <is>
          <t>BOLLNÄS</t>
        </is>
      </c>
      <c r="G9016" t="n">
        <v>5.7</v>
      </c>
      <c r="H9016" t="n">
        <v>0</v>
      </c>
      <c r="I9016" t="n">
        <v>0</v>
      </c>
      <c r="J9016" t="n">
        <v>0</v>
      </c>
      <c r="K9016" t="n">
        <v>0</v>
      </c>
      <c r="L9016" t="n">
        <v>0</v>
      </c>
      <c r="M9016" t="n">
        <v>0</v>
      </c>
      <c r="N9016" t="n">
        <v>0</v>
      </c>
      <c r="O9016" t="n">
        <v>0</v>
      </c>
      <c r="P9016" t="n">
        <v>0</v>
      </c>
      <c r="Q9016" t="n">
        <v>0</v>
      </c>
      <c r="R9016" s="2" t="inlineStr"/>
    </row>
    <row r="9017" ht="15" customHeight="1">
      <c r="A9017" t="inlineStr">
        <is>
          <t>A 56542-2023</t>
        </is>
      </c>
      <c r="B9017" s="1" t="n">
        <v>45243</v>
      </c>
      <c r="C9017" s="1" t="n">
        <v>45587</v>
      </c>
      <c r="D9017" t="inlineStr">
        <is>
          <t>GÄVLEBORGS LÄN</t>
        </is>
      </c>
      <c r="E9017" t="inlineStr">
        <is>
          <t>BOLLNÄS</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56547-2023</t>
        </is>
      </c>
      <c r="B9018" s="1" t="n">
        <v>45243</v>
      </c>
      <c r="C9018" s="1" t="n">
        <v>45587</v>
      </c>
      <c r="D9018" t="inlineStr">
        <is>
          <t>GÄVLEBORGS LÄN</t>
        </is>
      </c>
      <c r="E9018" t="inlineStr">
        <is>
          <t>BOLLNÄS</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56634-2023</t>
        </is>
      </c>
      <c r="B9019" s="1" t="n">
        <v>45243</v>
      </c>
      <c r="C9019" s="1" t="n">
        <v>45587</v>
      </c>
      <c r="D9019" t="inlineStr">
        <is>
          <t>GÄVLEBORGS LÄN</t>
        </is>
      </c>
      <c r="E9019" t="inlineStr">
        <is>
          <t>OCKELBO</t>
        </is>
      </c>
      <c r="G9019" t="n">
        <v>4.7</v>
      </c>
      <c r="H9019" t="n">
        <v>0</v>
      </c>
      <c r="I9019" t="n">
        <v>0</v>
      </c>
      <c r="J9019" t="n">
        <v>0</v>
      </c>
      <c r="K9019" t="n">
        <v>0</v>
      </c>
      <c r="L9019" t="n">
        <v>0</v>
      </c>
      <c r="M9019" t="n">
        <v>0</v>
      </c>
      <c r="N9019" t="n">
        <v>0</v>
      </c>
      <c r="O9019" t="n">
        <v>0</v>
      </c>
      <c r="P9019" t="n">
        <v>0</v>
      </c>
      <c r="Q9019" t="n">
        <v>0</v>
      </c>
      <c r="R9019" s="2" t="inlineStr"/>
    </row>
    <row r="9020" ht="15" customHeight="1">
      <c r="A9020" t="inlineStr">
        <is>
          <t>A 56638-2023</t>
        </is>
      </c>
      <c r="B9020" s="1" t="n">
        <v>45243</v>
      </c>
      <c r="C9020" s="1" t="n">
        <v>45587</v>
      </c>
      <c r="D9020" t="inlineStr">
        <is>
          <t>GÄVLEBORGS LÄN</t>
        </is>
      </c>
      <c r="E9020" t="inlineStr">
        <is>
          <t>OCKELBO</t>
        </is>
      </c>
      <c r="G9020" t="n">
        <v>22.7</v>
      </c>
      <c r="H9020" t="n">
        <v>0</v>
      </c>
      <c r="I9020" t="n">
        <v>0</v>
      </c>
      <c r="J9020" t="n">
        <v>0</v>
      </c>
      <c r="K9020" t="n">
        <v>0</v>
      </c>
      <c r="L9020" t="n">
        <v>0</v>
      </c>
      <c r="M9020" t="n">
        <v>0</v>
      </c>
      <c r="N9020" t="n">
        <v>0</v>
      </c>
      <c r="O9020" t="n">
        <v>0</v>
      </c>
      <c r="P9020" t="n">
        <v>0</v>
      </c>
      <c r="Q9020" t="n">
        <v>0</v>
      </c>
      <c r="R9020" s="2" t="inlineStr"/>
    </row>
    <row r="9021" ht="15" customHeight="1">
      <c r="A9021" t="inlineStr">
        <is>
          <t>A 56320-2023</t>
        </is>
      </c>
      <c r="B9021" s="1" t="n">
        <v>45243</v>
      </c>
      <c r="C9021" s="1" t="n">
        <v>45587</v>
      </c>
      <c r="D9021" t="inlineStr">
        <is>
          <t>GÄVLEBORGS LÄN</t>
        </is>
      </c>
      <c r="E9021" t="inlineStr">
        <is>
          <t>SANDVIKEN</t>
        </is>
      </c>
      <c r="F9021" t="inlineStr">
        <is>
          <t>Bergvik skog öst AB</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56380-2023</t>
        </is>
      </c>
      <c r="B9022" s="1" t="n">
        <v>45243</v>
      </c>
      <c r="C9022" s="1" t="n">
        <v>45587</v>
      </c>
      <c r="D9022" t="inlineStr">
        <is>
          <t>GÄVLEBORGS LÄN</t>
        </is>
      </c>
      <c r="E9022" t="inlineStr">
        <is>
          <t>HUDIKSVALL</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56425-2023</t>
        </is>
      </c>
      <c r="B9023" s="1" t="n">
        <v>45243</v>
      </c>
      <c r="C9023" s="1" t="n">
        <v>45587</v>
      </c>
      <c r="D9023" t="inlineStr">
        <is>
          <t>GÄVLEBORGS LÄN</t>
        </is>
      </c>
      <c r="E9023" t="inlineStr">
        <is>
          <t>LJUSDAL</t>
        </is>
      </c>
      <c r="G9023" t="n">
        <v>15.4</v>
      </c>
      <c r="H9023" t="n">
        <v>0</v>
      </c>
      <c r="I9023" t="n">
        <v>0</v>
      </c>
      <c r="J9023" t="n">
        <v>0</v>
      </c>
      <c r="K9023" t="n">
        <v>0</v>
      </c>
      <c r="L9023" t="n">
        <v>0</v>
      </c>
      <c r="M9023" t="n">
        <v>0</v>
      </c>
      <c r="N9023" t="n">
        <v>0</v>
      </c>
      <c r="O9023" t="n">
        <v>0</v>
      </c>
      <c r="P9023" t="n">
        <v>0</v>
      </c>
      <c r="Q9023" t="n">
        <v>0</v>
      </c>
      <c r="R9023" s="2" t="inlineStr"/>
    </row>
    <row r="9024" ht="15" customHeight="1">
      <c r="A9024" t="inlineStr">
        <is>
          <t>A 56446-2023</t>
        </is>
      </c>
      <c r="B9024" s="1" t="n">
        <v>45243</v>
      </c>
      <c r="C9024" s="1" t="n">
        <v>45587</v>
      </c>
      <c r="D9024" t="inlineStr">
        <is>
          <t>GÄVLEBORGS LÄN</t>
        </is>
      </c>
      <c r="E9024" t="inlineStr">
        <is>
          <t>GÄVLE</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56453-2023</t>
        </is>
      </c>
      <c r="B9025" s="1" t="n">
        <v>45243</v>
      </c>
      <c r="C9025" s="1" t="n">
        <v>45587</v>
      </c>
      <c r="D9025" t="inlineStr">
        <is>
          <t>GÄVLEBORGS LÄN</t>
        </is>
      </c>
      <c r="E9025" t="inlineStr">
        <is>
          <t>BOLLNÄS</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56457-2023</t>
        </is>
      </c>
      <c r="B9026" s="1" t="n">
        <v>45243</v>
      </c>
      <c r="C9026" s="1" t="n">
        <v>45587</v>
      </c>
      <c r="D9026" t="inlineStr">
        <is>
          <t>GÄVLEBORGS LÄN</t>
        </is>
      </c>
      <c r="E9026" t="inlineStr">
        <is>
          <t>GÄVLE</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56487-2023</t>
        </is>
      </c>
      <c r="B9027" s="1" t="n">
        <v>45243</v>
      </c>
      <c r="C9027" s="1" t="n">
        <v>45587</v>
      </c>
      <c r="D9027" t="inlineStr">
        <is>
          <t>GÄVLEBORGS LÄN</t>
        </is>
      </c>
      <c r="E9027" t="inlineStr">
        <is>
          <t>GÄVLE</t>
        </is>
      </c>
      <c r="G9027" t="n">
        <v>8.699999999999999</v>
      </c>
      <c r="H9027" t="n">
        <v>0</v>
      </c>
      <c r="I9027" t="n">
        <v>0</v>
      </c>
      <c r="J9027" t="n">
        <v>0</v>
      </c>
      <c r="K9027" t="n">
        <v>0</v>
      </c>
      <c r="L9027" t="n">
        <v>0</v>
      </c>
      <c r="M9027" t="n">
        <v>0</v>
      </c>
      <c r="N9027" t="n">
        <v>0</v>
      </c>
      <c r="O9027" t="n">
        <v>0</v>
      </c>
      <c r="P9027" t="n">
        <v>0</v>
      </c>
      <c r="Q9027" t="n">
        <v>0</v>
      </c>
      <c r="R9027" s="2" t="inlineStr"/>
    </row>
    <row r="9028" ht="15" customHeight="1">
      <c r="A9028" t="inlineStr">
        <is>
          <t>A 56503-2023</t>
        </is>
      </c>
      <c r="B9028" s="1" t="n">
        <v>45243</v>
      </c>
      <c r="C9028" s="1" t="n">
        <v>45587</v>
      </c>
      <c r="D9028" t="inlineStr">
        <is>
          <t>GÄVLEBORGS LÄN</t>
        </is>
      </c>
      <c r="E9028" t="inlineStr">
        <is>
          <t>BOLLNÄS</t>
        </is>
      </c>
      <c r="F9028" t="inlineStr">
        <is>
          <t>Sveaskog</t>
        </is>
      </c>
      <c r="G9028" t="n">
        <v>4.3</v>
      </c>
      <c r="H9028" t="n">
        <v>0</v>
      </c>
      <c r="I9028" t="n">
        <v>0</v>
      </c>
      <c r="J9028" t="n">
        <v>0</v>
      </c>
      <c r="K9028" t="n">
        <v>0</v>
      </c>
      <c r="L9028" t="n">
        <v>0</v>
      </c>
      <c r="M9028" t="n">
        <v>0</v>
      </c>
      <c r="N9028" t="n">
        <v>0</v>
      </c>
      <c r="O9028" t="n">
        <v>0</v>
      </c>
      <c r="P9028" t="n">
        <v>0</v>
      </c>
      <c r="Q9028" t="n">
        <v>0</v>
      </c>
      <c r="R9028" s="2" t="inlineStr"/>
    </row>
    <row r="9029" ht="15" customHeight="1">
      <c r="A9029" t="inlineStr">
        <is>
          <t>A 56319-2023</t>
        </is>
      </c>
      <c r="B9029" s="1" t="n">
        <v>45243</v>
      </c>
      <c r="C9029" s="1" t="n">
        <v>45587</v>
      </c>
      <c r="D9029" t="inlineStr">
        <is>
          <t>GÄVLEBORGS LÄN</t>
        </is>
      </c>
      <c r="E9029" t="inlineStr">
        <is>
          <t>SANDVIKEN</t>
        </is>
      </c>
      <c r="F9029" t="inlineStr">
        <is>
          <t>Bergvik skog öst AB</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56644-2023</t>
        </is>
      </c>
      <c r="B9030" s="1" t="n">
        <v>45243</v>
      </c>
      <c r="C9030" s="1" t="n">
        <v>45587</v>
      </c>
      <c r="D9030" t="inlineStr">
        <is>
          <t>GÄVLEBORGS LÄN</t>
        </is>
      </c>
      <c r="E9030" t="inlineStr">
        <is>
          <t>OCKELBO</t>
        </is>
      </c>
      <c r="G9030" t="n">
        <v>11.7</v>
      </c>
      <c r="H9030" t="n">
        <v>0</v>
      </c>
      <c r="I9030" t="n">
        <v>0</v>
      </c>
      <c r="J9030" t="n">
        <v>0</v>
      </c>
      <c r="K9030" t="n">
        <v>0</v>
      </c>
      <c r="L9030" t="n">
        <v>0</v>
      </c>
      <c r="M9030" t="n">
        <v>0</v>
      </c>
      <c r="N9030" t="n">
        <v>0</v>
      </c>
      <c r="O9030" t="n">
        <v>0</v>
      </c>
      <c r="P9030" t="n">
        <v>0</v>
      </c>
      <c r="Q9030" t="n">
        <v>0</v>
      </c>
      <c r="R9030" s="2" t="inlineStr"/>
    </row>
    <row r="9031" ht="15" customHeight="1">
      <c r="A9031" t="inlineStr">
        <is>
          <t>A 56456-2023</t>
        </is>
      </c>
      <c r="B9031" s="1" t="n">
        <v>45243</v>
      </c>
      <c r="C9031" s="1" t="n">
        <v>45587</v>
      </c>
      <c r="D9031" t="inlineStr">
        <is>
          <t>GÄVLEBORGS LÄN</t>
        </is>
      </c>
      <c r="E9031" t="inlineStr">
        <is>
          <t>GÄVLE</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56462-2023</t>
        </is>
      </c>
      <c r="B9032" s="1" t="n">
        <v>45243</v>
      </c>
      <c r="C9032" s="1" t="n">
        <v>45587</v>
      </c>
      <c r="D9032" t="inlineStr">
        <is>
          <t>GÄVLEBORGS LÄN</t>
        </is>
      </c>
      <c r="E9032" t="inlineStr">
        <is>
          <t>GÄVLE</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56502-2023</t>
        </is>
      </c>
      <c r="B9033" s="1" t="n">
        <v>45243</v>
      </c>
      <c r="C9033" s="1" t="n">
        <v>45587</v>
      </c>
      <c r="D9033" t="inlineStr">
        <is>
          <t>GÄVLEBORGS LÄN</t>
        </is>
      </c>
      <c r="E9033" t="inlineStr">
        <is>
          <t>SÖDERHAMN</t>
        </is>
      </c>
      <c r="G9033" t="n">
        <v>3.7</v>
      </c>
      <c r="H9033" t="n">
        <v>0</v>
      </c>
      <c r="I9033" t="n">
        <v>0</v>
      </c>
      <c r="J9033" t="n">
        <v>0</v>
      </c>
      <c r="K9033" t="n">
        <v>0</v>
      </c>
      <c r="L9033" t="n">
        <v>0</v>
      </c>
      <c r="M9033" t="n">
        <v>0</v>
      </c>
      <c r="N9033" t="n">
        <v>0</v>
      </c>
      <c r="O9033" t="n">
        <v>0</v>
      </c>
      <c r="P9033" t="n">
        <v>0</v>
      </c>
      <c r="Q9033" t="n">
        <v>0</v>
      </c>
      <c r="R9033" s="2" t="inlineStr"/>
    </row>
    <row r="9034" ht="15" customHeight="1">
      <c r="A9034" t="inlineStr">
        <is>
          <t>A 56508-2023</t>
        </is>
      </c>
      <c r="B9034" s="1" t="n">
        <v>45243</v>
      </c>
      <c r="C9034" s="1" t="n">
        <v>45587</v>
      </c>
      <c r="D9034" t="inlineStr">
        <is>
          <t>GÄVLEBORGS LÄN</t>
        </is>
      </c>
      <c r="E9034" t="inlineStr">
        <is>
          <t>BOLLNÄS</t>
        </is>
      </c>
      <c r="F9034" t="inlineStr">
        <is>
          <t>Sveaskog</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56586-2023</t>
        </is>
      </c>
      <c r="B9035" s="1" t="n">
        <v>45243</v>
      </c>
      <c r="C9035" s="1" t="n">
        <v>45587</v>
      </c>
      <c r="D9035" t="inlineStr">
        <is>
          <t>GÄVLEBORGS LÄN</t>
        </is>
      </c>
      <c r="E9035" t="inlineStr">
        <is>
          <t>NORDANSTIG</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56591-2023</t>
        </is>
      </c>
      <c r="B9036" s="1" t="n">
        <v>45243</v>
      </c>
      <c r="C9036" s="1" t="n">
        <v>45587</v>
      </c>
      <c r="D9036" t="inlineStr">
        <is>
          <t>GÄVLEBORGS LÄN</t>
        </is>
      </c>
      <c r="E9036" t="inlineStr">
        <is>
          <t>HUDIKSVALL</t>
        </is>
      </c>
      <c r="F9036" t="inlineStr">
        <is>
          <t>Holmen skog AB</t>
        </is>
      </c>
      <c r="G9036" t="n">
        <v>16.8</v>
      </c>
      <c r="H9036" t="n">
        <v>0</v>
      </c>
      <c r="I9036" t="n">
        <v>0</v>
      </c>
      <c r="J9036" t="n">
        <v>0</v>
      </c>
      <c r="K9036" t="n">
        <v>0</v>
      </c>
      <c r="L9036" t="n">
        <v>0</v>
      </c>
      <c r="M9036" t="n">
        <v>0</v>
      </c>
      <c r="N9036" t="n">
        <v>0</v>
      </c>
      <c r="O9036" t="n">
        <v>0</v>
      </c>
      <c r="P9036" t="n">
        <v>0</v>
      </c>
      <c r="Q9036" t="n">
        <v>0</v>
      </c>
      <c r="R9036" s="2" t="inlineStr"/>
    </row>
    <row r="9037" ht="15" customHeight="1">
      <c r="A9037" t="inlineStr">
        <is>
          <t>A 56631-2023</t>
        </is>
      </c>
      <c r="B9037" s="1" t="n">
        <v>45243</v>
      </c>
      <c r="C9037" s="1" t="n">
        <v>45587</v>
      </c>
      <c r="D9037" t="inlineStr">
        <is>
          <t>GÄVLEBORGS LÄN</t>
        </is>
      </c>
      <c r="E9037" t="inlineStr">
        <is>
          <t>OCKELBO</t>
        </is>
      </c>
      <c r="G9037" t="n">
        <v>2.7</v>
      </c>
      <c r="H9037" t="n">
        <v>0</v>
      </c>
      <c r="I9037" t="n">
        <v>0</v>
      </c>
      <c r="J9037" t="n">
        <v>0</v>
      </c>
      <c r="K9037" t="n">
        <v>0</v>
      </c>
      <c r="L9037" t="n">
        <v>0</v>
      </c>
      <c r="M9037" t="n">
        <v>0</v>
      </c>
      <c r="N9037" t="n">
        <v>0</v>
      </c>
      <c r="O9037" t="n">
        <v>0</v>
      </c>
      <c r="P9037" t="n">
        <v>0</v>
      </c>
      <c r="Q9037" t="n">
        <v>0</v>
      </c>
      <c r="R9037" s="2" t="inlineStr"/>
    </row>
    <row r="9038" ht="15" customHeight="1">
      <c r="A9038" t="inlineStr">
        <is>
          <t>A 56643-2023</t>
        </is>
      </c>
      <c r="B9038" s="1" t="n">
        <v>45243</v>
      </c>
      <c r="C9038" s="1" t="n">
        <v>45587</v>
      </c>
      <c r="D9038" t="inlineStr">
        <is>
          <t>GÄVLEBORGS LÄN</t>
        </is>
      </c>
      <c r="E9038" t="inlineStr">
        <is>
          <t>LJUSDAL</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56321-2023</t>
        </is>
      </c>
      <c r="B9039" s="1" t="n">
        <v>45243</v>
      </c>
      <c r="C9039" s="1" t="n">
        <v>45587</v>
      </c>
      <c r="D9039" t="inlineStr">
        <is>
          <t>GÄVLEBORGS LÄN</t>
        </is>
      </c>
      <c r="E9039" t="inlineStr">
        <is>
          <t>SANDVIKEN</t>
        </is>
      </c>
      <c r="F9039" t="inlineStr">
        <is>
          <t>Bergvik skog öst AB</t>
        </is>
      </c>
      <c r="G9039" t="n">
        <v>48.7</v>
      </c>
      <c r="H9039" t="n">
        <v>0</v>
      </c>
      <c r="I9039" t="n">
        <v>0</v>
      </c>
      <c r="J9039" t="n">
        <v>0</v>
      </c>
      <c r="K9039" t="n">
        <v>0</v>
      </c>
      <c r="L9039" t="n">
        <v>0</v>
      </c>
      <c r="M9039" t="n">
        <v>0</v>
      </c>
      <c r="N9039" t="n">
        <v>0</v>
      </c>
      <c r="O9039" t="n">
        <v>0</v>
      </c>
      <c r="P9039" t="n">
        <v>0</v>
      </c>
      <c r="Q9039" t="n">
        <v>0</v>
      </c>
      <c r="R9039" s="2" t="inlineStr"/>
    </row>
    <row r="9040" ht="15" customHeight="1">
      <c r="A9040" t="inlineStr">
        <is>
          <t>A 56330-2023</t>
        </is>
      </c>
      <c r="B9040" s="1" t="n">
        <v>45243</v>
      </c>
      <c r="C9040" s="1" t="n">
        <v>45587</v>
      </c>
      <c r="D9040" t="inlineStr">
        <is>
          <t>GÄVLEBORGS LÄN</t>
        </is>
      </c>
      <c r="E9040" t="inlineStr">
        <is>
          <t>LJUSDAL</t>
        </is>
      </c>
      <c r="G9040" t="n">
        <v>2.9</v>
      </c>
      <c r="H9040" t="n">
        <v>0</v>
      </c>
      <c r="I9040" t="n">
        <v>0</v>
      </c>
      <c r="J9040" t="n">
        <v>0</v>
      </c>
      <c r="K9040" t="n">
        <v>0</v>
      </c>
      <c r="L9040" t="n">
        <v>0</v>
      </c>
      <c r="M9040" t="n">
        <v>0</v>
      </c>
      <c r="N9040" t="n">
        <v>0</v>
      </c>
      <c r="O9040" t="n">
        <v>0</v>
      </c>
      <c r="P9040" t="n">
        <v>0</v>
      </c>
      <c r="Q9040" t="n">
        <v>0</v>
      </c>
      <c r="R9040" s="2" t="inlineStr"/>
    </row>
    <row r="9041" ht="15" customHeight="1">
      <c r="A9041" t="inlineStr">
        <is>
          <t>A 56371-2023</t>
        </is>
      </c>
      <c r="B9041" s="1" t="n">
        <v>45243</v>
      </c>
      <c r="C9041" s="1" t="n">
        <v>45587</v>
      </c>
      <c r="D9041" t="inlineStr">
        <is>
          <t>GÄVLEBORGS LÄN</t>
        </is>
      </c>
      <c r="E9041" t="inlineStr">
        <is>
          <t>SANDVIKEN</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56447-2023</t>
        </is>
      </c>
      <c r="B9042" s="1" t="n">
        <v>45243</v>
      </c>
      <c r="C9042" s="1" t="n">
        <v>45587</v>
      </c>
      <c r="D9042" t="inlineStr">
        <is>
          <t>GÄVLEBORGS LÄN</t>
        </is>
      </c>
      <c r="E9042" t="inlineStr">
        <is>
          <t>GÄVLE</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56464-2023</t>
        </is>
      </c>
      <c r="B9043" s="1" t="n">
        <v>45243</v>
      </c>
      <c r="C9043" s="1" t="n">
        <v>45587</v>
      </c>
      <c r="D9043" t="inlineStr">
        <is>
          <t>GÄVLEBORGS LÄN</t>
        </is>
      </c>
      <c r="E9043" t="inlineStr">
        <is>
          <t>LJUSDAL</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56500-2023</t>
        </is>
      </c>
      <c r="B9044" s="1" t="n">
        <v>45243</v>
      </c>
      <c r="C9044" s="1" t="n">
        <v>45587</v>
      </c>
      <c r="D9044" t="inlineStr">
        <is>
          <t>GÄVLEBORGS LÄN</t>
        </is>
      </c>
      <c r="E9044" t="inlineStr">
        <is>
          <t>SÖDERHAMN</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56598-2023</t>
        </is>
      </c>
      <c r="B9045" s="1" t="n">
        <v>45243</v>
      </c>
      <c r="C9045" s="1" t="n">
        <v>45587</v>
      </c>
      <c r="D9045" t="inlineStr">
        <is>
          <t>GÄVLEBORGS LÄN</t>
        </is>
      </c>
      <c r="E9045" t="inlineStr">
        <is>
          <t>OVANÅKER</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56608-2023</t>
        </is>
      </c>
      <c r="B9046" s="1" t="n">
        <v>45243</v>
      </c>
      <c r="C9046" s="1" t="n">
        <v>45587</v>
      </c>
      <c r="D9046" t="inlineStr">
        <is>
          <t>GÄVLEBORGS LÄN</t>
        </is>
      </c>
      <c r="E9046" t="inlineStr">
        <is>
          <t>OCKELBO</t>
        </is>
      </c>
      <c r="F9046" t="inlineStr">
        <is>
          <t>Bergvik skog väst AB</t>
        </is>
      </c>
      <c r="G9046" t="n">
        <v>5.7</v>
      </c>
      <c r="H9046" t="n">
        <v>0</v>
      </c>
      <c r="I9046" t="n">
        <v>0</v>
      </c>
      <c r="J9046" t="n">
        <v>0</v>
      </c>
      <c r="K9046" t="n">
        <v>0</v>
      </c>
      <c r="L9046" t="n">
        <v>0</v>
      </c>
      <c r="M9046" t="n">
        <v>0</v>
      </c>
      <c r="N9046" t="n">
        <v>0</v>
      </c>
      <c r="O9046" t="n">
        <v>0</v>
      </c>
      <c r="P9046" t="n">
        <v>0</v>
      </c>
      <c r="Q9046" t="n">
        <v>0</v>
      </c>
      <c r="R9046" s="2" t="inlineStr"/>
    </row>
    <row r="9047" ht="15" customHeight="1">
      <c r="A9047" t="inlineStr">
        <is>
          <t>A 56707-2023</t>
        </is>
      </c>
      <c r="B9047" s="1" t="n">
        <v>45244</v>
      </c>
      <c r="C9047" s="1" t="n">
        <v>45587</v>
      </c>
      <c r="D9047" t="inlineStr">
        <is>
          <t>GÄVLEBORGS LÄN</t>
        </is>
      </c>
      <c r="E9047" t="inlineStr">
        <is>
          <t>OVANÅKER</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56738-2023</t>
        </is>
      </c>
      <c r="B9048" s="1" t="n">
        <v>45244</v>
      </c>
      <c r="C9048" s="1" t="n">
        <v>45587</v>
      </c>
      <c r="D9048" t="inlineStr">
        <is>
          <t>GÄVLEBORGS LÄN</t>
        </is>
      </c>
      <c r="E9048" t="inlineStr">
        <is>
          <t>HUDIKSVALL</t>
        </is>
      </c>
      <c r="F9048" t="inlineStr">
        <is>
          <t>Holmen skog AB</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56704-2023</t>
        </is>
      </c>
      <c r="B9049" s="1" t="n">
        <v>45244</v>
      </c>
      <c r="C9049" s="1" t="n">
        <v>45587</v>
      </c>
      <c r="D9049" t="inlineStr">
        <is>
          <t>GÄVLEBORGS LÄN</t>
        </is>
      </c>
      <c r="E9049" t="inlineStr">
        <is>
          <t>BOLLNÄS</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56708-2023</t>
        </is>
      </c>
      <c r="B9050" s="1" t="n">
        <v>45244</v>
      </c>
      <c r="C9050" s="1" t="n">
        <v>45587</v>
      </c>
      <c r="D9050" t="inlineStr">
        <is>
          <t>GÄVLEBORGS LÄN</t>
        </is>
      </c>
      <c r="E9050" t="inlineStr">
        <is>
          <t>OVANÅKER</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56788-2023</t>
        </is>
      </c>
      <c r="B9051" s="1" t="n">
        <v>45244</v>
      </c>
      <c r="C9051" s="1" t="n">
        <v>45587</v>
      </c>
      <c r="D9051" t="inlineStr">
        <is>
          <t>GÄVLEBORGS LÄN</t>
        </is>
      </c>
      <c r="E9051" t="inlineStr">
        <is>
          <t>LJUSDAL</t>
        </is>
      </c>
      <c r="F9051" t="inlineStr">
        <is>
          <t>Sveaskog</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56755-2023</t>
        </is>
      </c>
      <c r="B9052" s="1" t="n">
        <v>45244</v>
      </c>
      <c r="C9052" s="1" t="n">
        <v>45587</v>
      </c>
      <c r="D9052" t="inlineStr">
        <is>
          <t>GÄVLEBORGS LÄN</t>
        </is>
      </c>
      <c r="E9052" t="inlineStr">
        <is>
          <t>HUDIKSVALL</t>
        </is>
      </c>
      <c r="F9052" t="inlineStr">
        <is>
          <t>Holmen skog AB</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56782-2023</t>
        </is>
      </c>
      <c r="B9053" s="1" t="n">
        <v>45244</v>
      </c>
      <c r="C9053" s="1" t="n">
        <v>45587</v>
      </c>
      <c r="D9053" t="inlineStr">
        <is>
          <t>GÄVLEBORGS LÄN</t>
        </is>
      </c>
      <c r="E9053" t="inlineStr">
        <is>
          <t>LJUSDAL</t>
        </is>
      </c>
      <c r="F9053" t="inlineStr">
        <is>
          <t>Sveaskog</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56817-2023</t>
        </is>
      </c>
      <c r="B9054" s="1" t="n">
        <v>45244</v>
      </c>
      <c r="C9054" s="1" t="n">
        <v>45587</v>
      </c>
      <c r="D9054" t="inlineStr">
        <is>
          <t>GÄVLEBORGS LÄN</t>
        </is>
      </c>
      <c r="E9054" t="inlineStr">
        <is>
          <t>HUDIKSVALL</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56862-2023</t>
        </is>
      </c>
      <c r="B9055" s="1" t="n">
        <v>45244</v>
      </c>
      <c r="C9055" s="1" t="n">
        <v>45587</v>
      </c>
      <c r="D9055" t="inlineStr">
        <is>
          <t>GÄVLEBORGS LÄN</t>
        </is>
      </c>
      <c r="E9055" t="inlineStr">
        <is>
          <t>HUDIKSVALL</t>
        </is>
      </c>
      <c r="G9055" t="n">
        <v>5</v>
      </c>
      <c r="H9055" t="n">
        <v>0</v>
      </c>
      <c r="I9055" t="n">
        <v>0</v>
      </c>
      <c r="J9055" t="n">
        <v>0</v>
      </c>
      <c r="K9055" t="n">
        <v>0</v>
      </c>
      <c r="L9055" t="n">
        <v>0</v>
      </c>
      <c r="M9055" t="n">
        <v>0</v>
      </c>
      <c r="N9055" t="n">
        <v>0</v>
      </c>
      <c r="O9055" t="n">
        <v>0</v>
      </c>
      <c r="P9055" t="n">
        <v>0</v>
      </c>
      <c r="Q9055" t="n">
        <v>0</v>
      </c>
      <c r="R9055" s="2" t="inlineStr"/>
    </row>
    <row r="9056" ht="15" customHeight="1">
      <c r="A9056" t="inlineStr">
        <is>
          <t>A 56985-2023</t>
        </is>
      </c>
      <c r="B9056" s="1" t="n">
        <v>45244</v>
      </c>
      <c r="C9056" s="1" t="n">
        <v>45587</v>
      </c>
      <c r="D9056" t="inlineStr">
        <is>
          <t>GÄVLEBORGS LÄN</t>
        </is>
      </c>
      <c r="E9056" t="inlineStr">
        <is>
          <t>LJUSDAL</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57015-2023</t>
        </is>
      </c>
      <c r="B9057" s="1" t="n">
        <v>45244</v>
      </c>
      <c r="C9057" s="1" t="n">
        <v>45587</v>
      </c>
      <c r="D9057" t="inlineStr">
        <is>
          <t>GÄVLEBORGS LÄN</t>
        </is>
      </c>
      <c r="E9057" t="inlineStr">
        <is>
          <t>HUDIKSVALL</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56816-2023</t>
        </is>
      </c>
      <c r="B9058" s="1" t="n">
        <v>45244</v>
      </c>
      <c r="C9058" s="1" t="n">
        <v>45587</v>
      </c>
      <c r="D9058" t="inlineStr">
        <is>
          <t>GÄVLEBORGS LÄN</t>
        </is>
      </c>
      <c r="E9058" t="inlineStr">
        <is>
          <t>HUDIKSVALL</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56820-2023</t>
        </is>
      </c>
      <c r="B9059" s="1" t="n">
        <v>45244</v>
      </c>
      <c r="C9059" s="1" t="n">
        <v>45587</v>
      </c>
      <c r="D9059" t="inlineStr">
        <is>
          <t>GÄVLEBORGS LÄN</t>
        </is>
      </c>
      <c r="E9059" t="inlineStr">
        <is>
          <t>HUDIKSVALL</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56865-2023</t>
        </is>
      </c>
      <c r="B9060" s="1" t="n">
        <v>45244</v>
      </c>
      <c r="C9060" s="1" t="n">
        <v>45587</v>
      </c>
      <c r="D9060" t="inlineStr">
        <is>
          <t>GÄVLEBORGS LÄN</t>
        </is>
      </c>
      <c r="E9060" t="inlineStr">
        <is>
          <t>HUDIKSVALL</t>
        </is>
      </c>
      <c r="G9060" t="n">
        <v>3.7</v>
      </c>
      <c r="H9060" t="n">
        <v>0</v>
      </c>
      <c r="I9060" t="n">
        <v>0</v>
      </c>
      <c r="J9060" t="n">
        <v>0</v>
      </c>
      <c r="K9060" t="n">
        <v>0</v>
      </c>
      <c r="L9060" t="n">
        <v>0</v>
      </c>
      <c r="M9060" t="n">
        <v>0</v>
      </c>
      <c r="N9060" t="n">
        <v>0</v>
      </c>
      <c r="O9060" t="n">
        <v>0</v>
      </c>
      <c r="P9060" t="n">
        <v>0</v>
      </c>
      <c r="Q9060" t="n">
        <v>0</v>
      </c>
      <c r="R9060" s="2" t="inlineStr"/>
    </row>
    <row r="9061" ht="15" customHeight="1">
      <c r="A9061" t="inlineStr">
        <is>
          <t>A 56825-2023</t>
        </is>
      </c>
      <c r="B9061" s="1" t="n">
        <v>45244</v>
      </c>
      <c r="C9061" s="1" t="n">
        <v>45587</v>
      </c>
      <c r="D9061" t="inlineStr">
        <is>
          <t>GÄVLEBORGS LÄN</t>
        </is>
      </c>
      <c r="E9061" t="inlineStr">
        <is>
          <t>HUDIKSVALL</t>
        </is>
      </c>
      <c r="G9061" t="n">
        <v>5.9</v>
      </c>
      <c r="H9061" t="n">
        <v>0</v>
      </c>
      <c r="I9061" t="n">
        <v>0</v>
      </c>
      <c r="J9061" t="n">
        <v>0</v>
      </c>
      <c r="K9061" t="n">
        <v>0</v>
      </c>
      <c r="L9061" t="n">
        <v>0</v>
      </c>
      <c r="M9061" t="n">
        <v>0</v>
      </c>
      <c r="N9061" t="n">
        <v>0</v>
      </c>
      <c r="O9061" t="n">
        <v>0</v>
      </c>
      <c r="P9061" t="n">
        <v>0</v>
      </c>
      <c r="Q9061" t="n">
        <v>0</v>
      </c>
      <c r="R9061" s="2" t="inlineStr"/>
    </row>
    <row r="9062" ht="15" customHeight="1">
      <c r="A9062" t="inlineStr">
        <is>
          <t>A 56864-2023</t>
        </is>
      </c>
      <c r="B9062" s="1" t="n">
        <v>45244</v>
      </c>
      <c r="C9062" s="1" t="n">
        <v>45587</v>
      </c>
      <c r="D9062" t="inlineStr">
        <is>
          <t>GÄVLEBORGS LÄN</t>
        </is>
      </c>
      <c r="E9062" t="inlineStr">
        <is>
          <t>HUDIKSVALL</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56882-2023</t>
        </is>
      </c>
      <c r="B9063" s="1" t="n">
        <v>45244</v>
      </c>
      <c r="C9063" s="1" t="n">
        <v>45587</v>
      </c>
      <c r="D9063" t="inlineStr">
        <is>
          <t>GÄVLEBORGS LÄN</t>
        </is>
      </c>
      <c r="E9063" t="inlineStr">
        <is>
          <t>HUDIKSVALL</t>
        </is>
      </c>
      <c r="G9063" t="n">
        <v>7.7</v>
      </c>
      <c r="H9063" t="n">
        <v>0</v>
      </c>
      <c r="I9063" t="n">
        <v>0</v>
      </c>
      <c r="J9063" t="n">
        <v>0</v>
      </c>
      <c r="K9063" t="n">
        <v>0</v>
      </c>
      <c r="L9063" t="n">
        <v>0</v>
      </c>
      <c r="M9063" t="n">
        <v>0</v>
      </c>
      <c r="N9063" t="n">
        <v>0</v>
      </c>
      <c r="O9063" t="n">
        <v>0</v>
      </c>
      <c r="P9063" t="n">
        <v>0</v>
      </c>
      <c r="Q9063" t="n">
        <v>0</v>
      </c>
      <c r="R9063" s="2" t="inlineStr"/>
    </row>
    <row r="9064" ht="15" customHeight="1">
      <c r="A9064" t="inlineStr">
        <is>
          <t>A 56894-2023</t>
        </is>
      </c>
      <c r="B9064" s="1" t="n">
        <v>45244</v>
      </c>
      <c r="C9064" s="1" t="n">
        <v>45587</v>
      </c>
      <c r="D9064" t="inlineStr">
        <is>
          <t>GÄVLEBORGS LÄN</t>
        </is>
      </c>
      <c r="E9064" t="inlineStr">
        <is>
          <t>HUDIKSVALL</t>
        </is>
      </c>
      <c r="F9064" t="inlineStr">
        <is>
          <t>Holmen skog AB</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56898-2023</t>
        </is>
      </c>
      <c r="B9065" s="1" t="n">
        <v>45244</v>
      </c>
      <c r="C9065" s="1" t="n">
        <v>45587</v>
      </c>
      <c r="D9065" t="inlineStr">
        <is>
          <t>GÄVLEBORGS LÄN</t>
        </is>
      </c>
      <c r="E9065" t="inlineStr">
        <is>
          <t>HUDIKSVALL</t>
        </is>
      </c>
      <c r="F9065" t="inlineStr">
        <is>
          <t>Holmen skog AB</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56945-2023</t>
        </is>
      </c>
      <c r="B9066" s="1" t="n">
        <v>45244</v>
      </c>
      <c r="C9066" s="1" t="n">
        <v>45587</v>
      </c>
      <c r="D9066" t="inlineStr">
        <is>
          <t>GÄVLEBORGS LÄN</t>
        </is>
      </c>
      <c r="E9066" t="inlineStr">
        <is>
          <t>BOLLNÄS</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56983-2023</t>
        </is>
      </c>
      <c r="B9067" s="1" t="n">
        <v>45244</v>
      </c>
      <c r="C9067" s="1" t="n">
        <v>45587</v>
      </c>
      <c r="D9067" t="inlineStr">
        <is>
          <t>GÄVLEBORGS LÄN</t>
        </is>
      </c>
      <c r="E9067" t="inlineStr">
        <is>
          <t>LJUSDAL</t>
        </is>
      </c>
      <c r="G9067" t="n">
        <v>7.7</v>
      </c>
      <c r="H9067" t="n">
        <v>0</v>
      </c>
      <c r="I9067" t="n">
        <v>0</v>
      </c>
      <c r="J9067" t="n">
        <v>0</v>
      </c>
      <c r="K9067" t="n">
        <v>0</v>
      </c>
      <c r="L9067" t="n">
        <v>0</v>
      </c>
      <c r="M9067" t="n">
        <v>0</v>
      </c>
      <c r="N9067" t="n">
        <v>0</v>
      </c>
      <c r="O9067" t="n">
        <v>0</v>
      </c>
      <c r="P9067" t="n">
        <v>0</v>
      </c>
      <c r="Q9067" t="n">
        <v>0</v>
      </c>
      <c r="R9067" s="2" t="inlineStr"/>
    </row>
    <row r="9068" ht="15" customHeight="1">
      <c r="A9068" t="inlineStr">
        <is>
          <t>A 57064-2023</t>
        </is>
      </c>
      <c r="B9068" s="1" t="n">
        <v>45245</v>
      </c>
      <c r="C9068" s="1" t="n">
        <v>45587</v>
      </c>
      <c r="D9068" t="inlineStr">
        <is>
          <t>GÄVLEBORGS LÄN</t>
        </is>
      </c>
      <c r="E9068" t="inlineStr">
        <is>
          <t>LJUSDAL</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57065-2023</t>
        </is>
      </c>
      <c r="B9069" s="1" t="n">
        <v>45245</v>
      </c>
      <c r="C9069" s="1" t="n">
        <v>45587</v>
      </c>
      <c r="D9069" t="inlineStr">
        <is>
          <t>GÄVLEBORGS LÄN</t>
        </is>
      </c>
      <c r="E9069" t="inlineStr">
        <is>
          <t>LJUSDAL</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57061-2023</t>
        </is>
      </c>
      <c r="B9070" s="1" t="n">
        <v>45244</v>
      </c>
      <c r="C9070" s="1" t="n">
        <v>45587</v>
      </c>
      <c r="D9070" t="inlineStr">
        <is>
          <t>GÄVLEBORGS LÄN</t>
        </is>
      </c>
      <c r="E9070" t="inlineStr">
        <is>
          <t>LJUSDAL</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57949-2023</t>
        </is>
      </c>
      <c r="B9071" s="1" t="n">
        <v>45244</v>
      </c>
      <c r="C9071" s="1" t="n">
        <v>45587</v>
      </c>
      <c r="D9071" t="inlineStr">
        <is>
          <t>GÄVLEBORGS LÄN</t>
        </is>
      </c>
      <c r="E9071" t="inlineStr">
        <is>
          <t>HUDIKSVALL</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57095-2023</t>
        </is>
      </c>
      <c r="B9072" s="1" t="n">
        <v>45245</v>
      </c>
      <c r="C9072" s="1" t="n">
        <v>45587</v>
      </c>
      <c r="D9072" t="inlineStr">
        <is>
          <t>GÄVLEBORGS LÄN</t>
        </is>
      </c>
      <c r="E9072" t="inlineStr">
        <is>
          <t>SANDVIKEN</t>
        </is>
      </c>
      <c r="G9072" t="n">
        <v>4.8</v>
      </c>
      <c r="H9072" t="n">
        <v>0</v>
      </c>
      <c r="I9072" t="n">
        <v>0</v>
      </c>
      <c r="J9072" t="n">
        <v>0</v>
      </c>
      <c r="K9072" t="n">
        <v>0</v>
      </c>
      <c r="L9072" t="n">
        <v>0</v>
      </c>
      <c r="M9072" t="n">
        <v>0</v>
      </c>
      <c r="N9072" t="n">
        <v>0</v>
      </c>
      <c r="O9072" t="n">
        <v>0</v>
      </c>
      <c r="P9072" t="n">
        <v>0</v>
      </c>
      <c r="Q9072" t="n">
        <v>0</v>
      </c>
      <c r="R9072" s="2" t="inlineStr"/>
    </row>
    <row r="9073" ht="15" customHeight="1">
      <c r="A9073" t="inlineStr">
        <is>
          <t>A 57156-2023</t>
        </is>
      </c>
      <c r="B9073" s="1" t="n">
        <v>45245</v>
      </c>
      <c r="C9073" s="1" t="n">
        <v>45587</v>
      </c>
      <c r="D9073" t="inlineStr">
        <is>
          <t>GÄVLEBORGS LÄN</t>
        </is>
      </c>
      <c r="E9073" t="inlineStr">
        <is>
          <t>GÄVLE</t>
        </is>
      </c>
      <c r="F9073" t="inlineStr">
        <is>
          <t>Kyrkan</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57161-2023</t>
        </is>
      </c>
      <c r="B9074" s="1" t="n">
        <v>45245</v>
      </c>
      <c r="C9074" s="1" t="n">
        <v>45587</v>
      </c>
      <c r="D9074" t="inlineStr">
        <is>
          <t>GÄVLEBORGS LÄN</t>
        </is>
      </c>
      <c r="E9074" t="inlineStr">
        <is>
          <t>GÄVLE</t>
        </is>
      </c>
      <c r="F9074" t="inlineStr">
        <is>
          <t>Kyrkan</t>
        </is>
      </c>
      <c r="G9074" t="n">
        <v>5</v>
      </c>
      <c r="H9074" t="n">
        <v>0</v>
      </c>
      <c r="I9074" t="n">
        <v>0</v>
      </c>
      <c r="J9074" t="n">
        <v>0</v>
      </c>
      <c r="K9074" t="n">
        <v>0</v>
      </c>
      <c r="L9074" t="n">
        <v>0</v>
      </c>
      <c r="M9074" t="n">
        <v>0</v>
      </c>
      <c r="N9074" t="n">
        <v>0</v>
      </c>
      <c r="O9074" t="n">
        <v>0</v>
      </c>
      <c r="P9074" t="n">
        <v>0</v>
      </c>
      <c r="Q9074" t="n">
        <v>0</v>
      </c>
      <c r="R9074" s="2" t="inlineStr"/>
    </row>
    <row r="9075" ht="15" customHeight="1">
      <c r="A9075" t="inlineStr">
        <is>
          <t>A 57165-2023</t>
        </is>
      </c>
      <c r="B9075" s="1" t="n">
        <v>45245</v>
      </c>
      <c r="C9075" s="1" t="n">
        <v>45587</v>
      </c>
      <c r="D9075" t="inlineStr">
        <is>
          <t>GÄVLEBORGS LÄN</t>
        </is>
      </c>
      <c r="E9075" t="inlineStr">
        <is>
          <t>OVANÅKER</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57171-2023</t>
        </is>
      </c>
      <c r="B9076" s="1" t="n">
        <v>45245</v>
      </c>
      <c r="C9076" s="1" t="n">
        <v>45587</v>
      </c>
      <c r="D9076" t="inlineStr">
        <is>
          <t>GÄVLEBORGS LÄN</t>
        </is>
      </c>
      <c r="E9076" t="inlineStr">
        <is>
          <t>GÄVLE</t>
        </is>
      </c>
      <c r="F9076" t="inlineStr">
        <is>
          <t>Kyrkan</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57228-2023</t>
        </is>
      </c>
      <c r="B9077" s="1" t="n">
        <v>45245</v>
      </c>
      <c r="C9077" s="1" t="n">
        <v>45587</v>
      </c>
      <c r="D9077" t="inlineStr">
        <is>
          <t>GÄVLEBORGS LÄN</t>
        </is>
      </c>
      <c r="E9077" t="inlineStr">
        <is>
          <t>SANDVIKEN</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57341-2023</t>
        </is>
      </c>
      <c r="B9078" s="1" t="n">
        <v>45245</v>
      </c>
      <c r="C9078" s="1" t="n">
        <v>45587</v>
      </c>
      <c r="D9078" t="inlineStr">
        <is>
          <t>GÄVLEBORGS LÄN</t>
        </is>
      </c>
      <c r="E9078" t="inlineStr">
        <is>
          <t>GÄVLE</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57129-2023</t>
        </is>
      </c>
      <c r="B9079" s="1" t="n">
        <v>45245</v>
      </c>
      <c r="C9079" s="1" t="n">
        <v>45587</v>
      </c>
      <c r="D9079" t="inlineStr">
        <is>
          <t>GÄVLEBORGS LÄN</t>
        </is>
      </c>
      <c r="E9079" t="inlineStr">
        <is>
          <t>SANDVIKEN</t>
        </is>
      </c>
      <c r="F9079" t="inlineStr">
        <is>
          <t>Bergvik skog öst AB</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57177-2023</t>
        </is>
      </c>
      <c r="B9080" s="1" t="n">
        <v>45245</v>
      </c>
      <c r="C9080" s="1" t="n">
        <v>45587</v>
      </c>
      <c r="D9080" t="inlineStr">
        <is>
          <t>GÄVLEBORGS LÄN</t>
        </is>
      </c>
      <c r="E9080" t="inlineStr">
        <is>
          <t>GÄVLE</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57184-2023</t>
        </is>
      </c>
      <c r="B9081" s="1" t="n">
        <v>45245</v>
      </c>
      <c r="C9081" s="1" t="n">
        <v>45587</v>
      </c>
      <c r="D9081" t="inlineStr">
        <is>
          <t>GÄVLEBORGS LÄN</t>
        </is>
      </c>
      <c r="E9081" t="inlineStr">
        <is>
          <t>GÄVLE</t>
        </is>
      </c>
      <c r="F9081" t="inlineStr">
        <is>
          <t>Kyrkan</t>
        </is>
      </c>
      <c r="G9081" t="n">
        <v>3.4</v>
      </c>
      <c r="H9081" t="n">
        <v>0</v>
      </c>
      <c r="I9081" t="n">
        <v>0</v>
      </c>
      <c r="J9081" t="n">
        <v>0</v>
      </c>
      <c r="K9081" t="n">
        <v>0</v>
      </c>
      <c r="L9081" t="n">
        <v>0</v>
      </c>
      <c r="M9081" t="n">
        <v>0</v>
      </c>
      <c r="N9081" t="n">
        <v>0</v>
      </c>
      <c r="O9081" t="n">
        <v>0</v>
      </c>
      <c r="P9081" t="n">
        <v>0</v>
      </c>
      <c r="Q9081" t="n">
        <v>0</v>
      </c>
      <c r="R9081" s="2" t="inlineStr"/>
    </row>
    <row r="9082" ht="15" customHeight="1">
      <c r="A9082" t="inlineStr">
        <is>
          <t>A 57096-2023</t>
        </is>
      </c>
      <c r="B9082" s="1" t="n">
        <v>45245</v>
      </c>
      <c r="C9082" s="1" t="n">
        <v>45587</v>
      </c>
      <c r="D9082" t="inlineStr">
        <is>
          <t>GÄVLEBORGS LÄN</t>
        </is>
      </c>
      <c r="E9082" t="inlineStr">
        <is>
          <t>LJUSDAL</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57101-2023</t>
        </is>
      </c>
      <c r="B9083" s="1" t="n">
        <v>45245</v>
      </c>
      <c r="C9083" s="1" t="n">
        <v>45587</v>
      </c>
      <c r="D9083" t="inlineStr">
        <is>
          <t>GÄVLEBORGS LÄN</t>
        </is>
      </c>
      <c r="E9083" t="inlineStr">
        <is>
          <t>LJUSDAL</t>
        </is>
      </c>
      <c r="F9083" t="inlineStr">
        <is>
          <t>Holmen skog AB</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57227-2023</t>
        </is>
      </c>
      <c r="B9084" s="1" t="n">
        <v>45245</v>
      </c>
      <c r="C9084" s="1" t="n">
        <v>45587</v>
      </c>
      <c r="D9084" t="inlineStr">
        <is>
          <t>GÄVLEBORGS LÄN</t>
        </is>
      </c>
      <c r="E9084" t="inlineStr">
        <is>
          <t>SANDVIKEN</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57122-2023</t>
        </is>
      </c>
      <c r="B9085" s="1" t="n">
        <v>45245</v>
      </c>
      <c r="C9085" s="1" t="n">
        <v>45587</v>
      </c>
      <c r="D9085" t="inlineStr">
        <is>
          <t>GÄVLEBORGS LÄN</t>
        </is>
      </c>
      <c r="E9085" t="inlineStr">
        <is>
          <t>GÄVLE</t>
        </is>
      </c>
      <c r="F9085" t="inlineStr">
        <is>
          <t>Kyrkan</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57166-2023</t>
        </is>
      </c>
      <c r="B9086" s="1" t="n">
        <v>45245</v>
      </c>
      <c r="C9086" s="1" t="n">
        <v>45587</v>
      </c>
      <c r="D9086" t="inlineStr">
        <is>
          <t>GÄVLEBORGS LÄN</t>
        </is>
      </c>
      <c r="E9086" t="inlineStr">
        <is>
          <t>GÄVLE</t>
        </is>
      </c>
      <c r="G9086" t="n">
        <v>6.8</v>
      </c>
      <c r="H9086" t="n">
        <v>0</v>
      </c>
      <c r="I9086" t="n">
        <v>0</v>
      </c>
      <c r="J9086" t="n">
        <v>0</v>
      </c>
      <c r="K9086" t="n">
        <v>0</v>
      </c>
      <c r="L9086" t="n">
        <v>0</v>
      </c>
      <c r="M9086" t="n">
        <v>0</v>
      </c>
      <c r="N9086" t="n">
        <v>0</v>
      </c>
      <c r="O9086" t="n">
        <v>0</v>
      </c>
      <c r="P9086" t="n">
        <v>0</v>
      </c>
      <c r="Q9086" t="n">
        <v>0</v>
      </c>
      <c r="R9086" s="2" t="inlineStr"/>
    </row>
    <row r="9087" ht="15" customHeight="1">
      <c r="A9087" t="inlineStr">
        <is>
          <t>A 57172-2023</t>
        </is>
      </c>
      <c r="B9087" s="1" t="n">
        <v>45245</v>
      </c>
      <c r="C9087" s="1" t="n">
        <v>45587</v>
      </c>
      <c r="D9087" t="inlineStr">
        <is>
          <t>GÄVLEBORGS LÄN</t>
        </is>
      </c>
      <c r="E9087" t="inlineStr">
        <is>
          <t>HUDIKSVALL</t>
        </is>
      </c>
      <c r="F9087" t="inlineStr">
        <is>
          <t>Holmen skog AB</t>
        </is>
      </c>
      <c r="G9087" t="n">
        <v>22.5</v>
      </c>
      <c r="H9087" t="n">
        <v>0</v>
      </c>
      <c r="I9087" t="n">
        <v>0</v>
      </c>
      <c r="J9087" t="n">
        <v>0</v>
      </c>
      <c r="K9087" t="n">
        <v>0</v>
      </c>
      <c r="L9087" t="n">
        <v>0</v>
      </c>
      <c r="M9087" t="n">
        <v>0</v>
      </c>
      <c r="N9087" t="n">
        <v>0</v>
      </c>
      <c r="O9087" t="n">
        <v>0</v>
      </c>
      <c r="P9087" t="n">
        <v>0</v>
      </c>
      <c r="Q9087" t="n">
        <v>0</v>
      </c>
      <c r="R9087" s="2" t="inlineStr"/>
    </row>
    <row r="9088" ht="15" customHeight="1">
      <c r="A9088" t="inlineStr">
        <is>
          <t>A 57253-2023</t>
        </is>
      </c>
      <c r="B9088" s="1" t="n">
        <v>45245</v>
      </c>
      <c r="C9088" s="1" t="n">
        <v>45587</v>
      </c>
      <c r="D9088" t="inlineStr">
        <is>
          <t>GÄVLEBORGS LÄN</t>
        </is>
      </c>
      <c r="E9088" t="inlineStr">
        <is>
          <t>NORDANSTIG</t>
        </is>
      </c>
      <c r="F9088" t="inlineStr">
        <is>
          <t>Holmen skog AB</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57087-2023</t>
        </is>
      </c>
      <c r="B9089" s="1" t="n">
        <v>45245</v>
      </c>
      <c r="C9089" s="1" t="n">
        <v>45587</v>
      </c>
      <c r="D9089" t="inlineStr">
        <is>
          <t>GÄVLEBORGS LÄN</t>
        </is>
      </c>
      <c r="E9089" t="inlineStr">
        <is>
          <t>SANDVIKEN</t>
        </is>
      </c>
      <c r="F9089" t="inlineStr">
        <is>
          <t>Bergvik skog öst AB</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57098-2023</t>
        </is>
      </c>
      <c r="B9090" s="1" t="n">
        <v>45245</v>
      </c>
      <c r="C9090" s="1" t="n">
        <v>45587</v>
      </c>
      <c r="D9090" t="inlineStr">
        <is>
          <t>GÄVLEBORGS LÄN</t>
        </is>
      </c>
      <c r="E9090" t="inlineStr">
        <is>
          <t>LJUSDAL</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57103-2023</t>
        </is>
      </c>
      <c r="B9091" s="1" t="n">
        <v>45245</v>
      </c>
      <c r="C9091" s="1" t="n">
        <v>45587</v>
      </c>
      <c r="D9091" t="inlineStr">
        <is>
          <t>GÄVLEBORGS LÄN</t>
        </is>
      </c>
      <c r="E9091" t="inlineStr">
        <is>
          <t>SÖDERHAMN</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57145-2023</t>
        </is>
      </c>
      <c r="B9092" s="1" t="n">
        <v>45245</v>
      </c>
      <c r="C9092" s="1" t="n">
        <v>45587</v>
      </c>
      <c r="D9092" t="inlineStr">
        <is>
          <t>GÄVLEBORGS LÄN</t>
        </is>
      </c>
      <c r="E9092" t="inlineStr">
        <is>
          <t>SANDVIKEN</t>
        </is>
      </c>
      <c r="F9092" t="inlineStr">
        <is>
          <t>Bergvik skog öst AB</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57163-2023</t>
        </is>
      </c>
      <c r="B9093" s="1" t="n">
        <v>45245</v>
      </c>
      <c r="C9093" s="1" t="n">
        <v>45587</v>
      </c>
      <c r="D9093" t="inlineStr">
        <is>
          <t>GÄVLEBORGS LÄN</t>
        </is>
      </c>
      <c r="E9093" t="inlineStr">
        <is>
          <t>SANDVIKEN</t>
        </is>
      </c>
      <c r="F9093" t="inlineStr">
        <is>
          <t>Bergvik skog öst AB</t>
        </is>
      </c>
      <c r="G9093" t="n">
        <v>3.5</v>
      </c>
      <c r="H9093" t="n">
        <v>0</v>
      </c>
      <c r="I9093" t="n">
        <v>0</v>
      </c>
      <c r="J9093" t="n">
        <v>0</v>
      </c>
      <c r="K9093" t="n">
        <v>0</v>
      </c>
      <c r="L9093" t="n">
        <v>0</v>
      </c>
      <c r="M9093" t="n">
        <v>0</v>
      </c>
      <c r="N9093" t="n">
        <v>0</v>
      </c>
      <c r="O9093" t="n">
        <v>0</v>
      </c>
      <c r="P9093" t="n">
        <v>0</v>
      </c>
      <c r="Q9093" t="n">
        <v>0</v>
      </c>
      <c r="R9093" s="2" t="inlineStr"/>
    </row>
    <row r="9094" ht="15" customHeight="1">
      <c r="A9094" t="inlineStr">
        <is>
          <t>A 57168-2023</t>
        </is>
      </c>
      <c r="B9094" s="1" t="n">
        <v>45245</v>
      </c>
      <c r="C9094" s="1" t="n">
        <v>45587</v>
      </c>
      <c r="D9094" t="inlineStr">
        <is>
          <t>GÄVLEBORGS LÄN</t>
        </is>
      </c>
      <c r="E9094" t="inlineStr">
        <is>
          <t>GÄVLE</t>
        </is>
      </c>
      <c r="F9094" t="inlineStr">
        <is>
          <t>Kyrkan</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58182-2023</t>
        </is>
      </c>
      <c r="B9095" s="1" t="n">
        <v>45245</v>
      </c>
      <c r="C9095" s="1" t="n">
        <v>45587</v>
      </c>
      <c r="D9095" t="inlineStr">
        <is>
          <t>GÄVLEBORGS LÄN</t>
        </is>
      </c>
      <c r="E9095" t="inlineStr">
        <is>
          <t>SANDVIKEN</t>
        </is>
      </c>
      <c r="G9095" t="n">
        <v>8.1</v>
      </c>
      <c r="H9095" t="n">
        <v>0</v>
      </c>
      <c r="I9095" t="n">
        <v>0</v>
      </c>
      <c r="J9095" t="n">
        <v>0</v>
      </c>
      <c r="K9095" t="n">
        <v>0</v>
      </c>
      <c r="L9095" t="n">
        <v>0</v>
      </c>
      <c r="M9095" t="n">
        <v>0</v>
      </c>
      <c r="N9095" t="n">
        <v>0</v>
      </c>
      <c r="O9095" t="n">
        <v>0</v>
      </c>
      <c r="P9095" t="n">
        <v>0</v>
      </c>
      <c r="Q9095" t="n">
        <v>0</v>
      </c>
      <c r="R9095" s="2" t="inlineStr"/>
    </row>
    <row r="9096" ht="15" customHeight="1">
      <c r="A9096" t="inlineStr">
        <is>
          <t>A 57479-2023</t>
        </is>
      </c>
      <c r="B9096" s="1" t="n">
        <v>45246</v>
      </c>
      <c r="C9096" s="1" t="n">
        <v>45587</v>
      </c>
      <c r="D9096" t="inlineStr">
        <is>
          <t>GÄVLEBORGS LÄN</t>
        </is>
      </c>
      <c r="E9096" t="inlineStr">
        <is>
          <t>LJUSDAL</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57510-2023</t>
        </is>
      </c>
      <c r="B9097" s="1" t="n">
        <v>45246</v>
      </c>
      <c r="C9097" s="1" t="n">
        <v>45587</v>
      </c>
      <c r="D9097" t="inlineStr">
        <is>
          <t>GÄVLEBORGS LÄN</t>
        </is>
      </c>
      <c r="E9097" t="inlineStr">
        <is>
          <t>BOLLNÄS</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57430-2023</t>
        </is>
      </c>
      <c r="B9098" s="1" t="n">
        <v>45246</v>
      </c>
      <c r="C9098" s="1" t="n">
        <v>45587</v>
      </c>
      <c r="D9098" t="inlineStr">
        <is>
          <t>GÄVLEBORGS LÄN</t>
        </is>
      </c>
      <c r="E9098" t="inlineStr">
        <is>
          <t>HUDIKSVALL</t>
        </is>
      </c>
      <c r="G9098" t="n">
        <v>6.2</v>
      </c>
      <c r="H9098" t="n">
        <v>0</v>
      </c>
      <c r="I9098" t="n">
        <v>0</v>
      </c>
      <c r="J9098" t="n">
        <v>0</v>
      </c>
      <c r="K9098" t="n">
        <v>0</v>
      </c>
      <c r="L9098" t="n">
        <v>0</v>
      </c>
      <c r="M9098" t="n">
        <v>0</v>
      </c>
      <c r="N9098" t="n">
        <v>0</v>
      </c>
      <c r="O9098" t="n">
        <v>0</v>
      </c>
      <c r="P9098" t="n">
        <v>0</v>
      </c>
      <c r="Q9098" t="n">
        <v>0</v>
      </c>
      <c r="R9098" s="2" t="inlineStr"/>
    </row>
    <row r="9099" ht="15" customHeight="1">
      <c r="A9099" t="inlineStr">
        <is>
          <t>A 57464-2023</t>
        </is>
      </c>
      <c r="B9099" s="1" t="n">
        <v>45246</v>
      </c>
      <c r="C9099" s="1" t="n">
        <v>45587</v>
      </c>
      <c r="D9099" t="inlineStr">
        <is>
          <t>GÄVLEBORGS LÄN</t>
        </is>
      </c>
      <c r="E9099" t="inlineStr">
        <is>
          <t>HUDIKSVALL</t>
        </is>
      </c>
      <c r="G9099" t="n">
        <v>4.7</v>
      </c>
      <c r="H9099" t="n">
        <v>0</v>
      </c>
      <c r="I9099" t="n">
        <v>0</v>
      </c>
      <c r="J9099" t="n">
        <v>0</v>
      </c>
      <c r="K9099" t="n">
        <v>0</v>
      </c>
      <c r="L9099" t="n">
        <v>0</v>
      </c>
      <c r="M9099" t="n">
        <v>0</v>
      </c>
      <c r="N9099" t="n">
        <v>0</v>
      </c>
      <c r="O9099" t="n">
        <v>0</v>
      </c>
      <c r="P9099" t="n">
        <v>0</v>
      </c>
      <c r="Q9099" t="n">
        <v>0</v>
      </c>
      <c r="R9099" s="2" t="inlineStr"/>
    </row>
    <row r="9100" ht="15" customHeight="1">
      <c r="A9100" t="inlineStr">
        <is>
          <t>A 57475-2023</t>
        </is>
      </c>
      <c r="B9100" s="1" t="n">
        <v>45246</v>
      </c>
      <c r="C9100" s="1" t="n">
        <v>45587</v>
      </c>
      <c r="D9100" t="inlineStr">
        <is>
          <t>GÄVLEBORGS LÄN</t>
        </is>
      </c>
      <c r="E9100" t="inlineStr">
        <is>
          <t>LJUSDAL</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57463-2023</t>
        </is>
      </c>
      <c r="B9101" s="1" t="n">
        <v>45246</v>
      </c>
      <c r="C9101" s="1" t="n">
        <v>45587</v>
      </c>
      <c r="D9101" t="inlineStr">
        <is>
          <t>GÄVLEBORGS LÄN</t>
        </is>
      </c>
      <c r="E9101" t="inlineStr">
        <is>
          <t>NORDANSTIG</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57488-2023</t>
        </is>
      </c>
      <c r="B9102" s="1" t="n">
        <v>45246</v>
      </c>
      <c r="C9102" s="1" t="n">
        <v>45587</v>
      </c>
      <c r="D9102" t="inlineStr">
        <is>
          <t>GÄVLEBORGS LÄN</t>
        </is>
      </c>
      <c r="E9102" t="inlineStr">
        <is>
          <t>NORDANSTIG</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57609-2023</t>
        </is>
      </c>
      <c r="B9103" s="1" t="n">
        <v>45246</v>
      </c>
      <c r="C9103" s="1" t="n">
        <v>45587</v>
      </c>
      <c r="D9103" t="inlineStr">
        <is>
          <t>GÄVLEBORGS LÄN</t>
        </is>
      </c>
      <c r="E9103" t="inlineStr">
        <is>
          <t>SANDVIKEN</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57500-2023</t>
        </is>
      </c>
      <c r="B9104" s="1" t="n">
        <v>45246</v>
      </c>
      <c r="C9104" s="1" t="n">
        <v>45587</v>
      </c>
      <c r="D9104" t="inlineStr">
        <is>
          <t>GÄVLEBORGS LÄN</t>
        </is>
      </c>
      <c r="E9104" t="inlineStr">
        <is>
          <t>SÖDERHAMN</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57505-2023</t>
        </is>
      </c>
      <c r="B9105" s="1" t="n">
        <v>45246</v>
      </c>
      <c r="C9105" s="1" t="n">
        <v>45587</v>
      </c>
      <c r="D9105" t="inlineStr">
        <is>
          <t>GÄVLEBORGS LÄN</t>
        </is>
      </c>
      <c r="E9105" t="inlineStr">
        <is>
          <t>BOLLNÄS</t>
        </is>
      </c>
      <c r="G9105" t="n">
        <v>6.5</v>
      </c>
      <c r="H9105" t="n">
        <v>0</v>
      </c>
      <c r="I9105" t="n">
        <v>0</v>
      </c>
      <c r="J9105" t="n">
        <v>0</v>
      </c>
      <c r="K9105" t="n">
        <v>0</v>
      </c>
      <c r="L9105" t="n">
        <v>0</v>
      </c>
      <c r="M9105" t="n">
        <v>0</v>
      </c>
      <c r="N9105" t="n">
        <v>0</v>
      </c>
      <c r="O9105" t="n">
        <v>0</v>
      </c>
      <c r="P9105" t="n">
        <v>0</v>
      </c>
      <c r="Q9105" t="n">
        <v>0</v>
      </c>
      <c r="R9105" s="2" t="inlineStr"/>
    </row>
    <row r="9106" ht="15" customHeight="1">
      <c r="A9106" t="inlineStr">
        <is>
          <t>A 57649-2023</t>
        </is>
      </c>
      <c r="B9106" s="1" t="n">
        <v>45246</v>
      </c>
      <c r="C9106" s="1" t="n">
        <v>45587</v>
      </c>
      <c r="D9106" t="inlineStr">
        <is>
          <t>GÄVLEBORGS LÄN</t>
        </is>
      </c>
      <c r="E9106" t="inlineStr">
        <is>
          <t>LJUSDAL</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57546-2023</t>
        </is>
      </c>
      <c r="B9107" s="1" t="n">
        <v>45246</v>
      </c>
      <c r="C9107" s="1" t="n">
        <v>45587</v>
      </c>
      <c r="D9107" t="inlineStr">
        <is>
          <t>GÄVLEBORGS LÄN</t>
        </is>
      </c>
      <c r="E9107" t="inlineStr">
        <is>
          <t>BOLLNÄS</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57594-2023</t>
        </is>
      </c>
      <c r="B9108" s="1" t="n">
        <v>45246</v>
      </c>
      <c r="C9108" s="1" t="n">
        <v>45587</v>
      </c>
      <c r="D9108" t="inlineStr">
        <is>
          <t>GÄVLEBORGS LÄN</t>
        </is>
      </c>
      <c r="E9108" t="inlineStr">
        <is>
          <t>SANDVIKEN</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57714-2023</t>
        </is>
      </c>
      <c r="B9109" s="1" t="n">
        <v>45246</v>
      </c>
      <c r="C9109" s="1" t="n">
        <v>45587</v>
      </c>
      <c r="D9109" t="inlineStr">
        <is>
          <t>GÄVLEBORGS LÄN</t>
        </is>
      </c>
      <c r="E9109" t="inlineStr">
        <is>
          <t>BOLLNÄS</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57644-2023</t>
        </is>
      </c>
      <c r="B9110" s="1" t="n">
        <v>45246</v>
      </c>
      <c r="C9110" s="1" t="n">
        <v>45587</v>
      </c>
      <c r="D9110" t="inlineStr">
        <is>
          <t>GÄVLEBORGS LÄN</t>
        </is>
      </c>
      <c r="E9110" t="inlineStr">
        <is>
          <t>LJUSDAL</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57656-2023</t>
        </is>
      </c>
      <c r="B9111" s="1" t="n">
        <v>45246</v>
      </c>
      <c r="C9111" s="1" t="n">
        <v>45587</v>
      </c>
      <c r="D9111" t="inlineStr">
        <is>
          <t>GÄVLEBORGS LÄN</t>
        </is>
      </c>
      <c r="E9111" t="inlineStr">
        <is>
          <t>NORDANSTIG</t>
        </is>
      </c>
      <c r="F9111" t="inlineStr">
        <is>
          <t>Holmen skog AB</t>
        </is>
      </c>
      <c r="G9111" t="n">
        <v>10</v>
      </c>
      <c r="H9111" t="n">
        <v>0</v>
      </c>
      <c r="I9111" t="n">
        <v>0</v>
      </c>
      <c r="J9111" t="n">
        <v>0</v>
      </c>
      <c r="K9111" t="n">
        <v>0</v>
      </c>
      <c r="L9111" t="n">
        <v>0</v>
      </c>
      <c r="M9111" t="n">
        <v>0</v>
      </c>
      <c r="N9111" t="n">
        <v>0</v>
      </c>
      <c r="O9111" t="n">
        <v>0</v>
      </c>
      <c r="P9111" t="n">
        <v>0</v>
      </c>
      <c r="Q9111" t="n">
        <v>0</v>
      </c>
      <c r="R9111" s="2" t="inlineStr"/>
    </row>
    <row r="9112" ht="15" customHeight="1">
      <c r="A9112" t="inlineStr">
        <is>
          <t>A 57753-2023</t>
        </is>
      </c>
      <c r="B9112" s="1" t="n">
        <v>45246</v>
      </c>
      <c r="C9112" s="1" t="n">
        <v>45587</v>
      </c>
      <c r="D9112" t="inlineStr">
        <is>
          <t>GÄVLEBORGS LÄN</t>
        </is>
      </c>
      <c r="E9112" t="inlineStr">
        <is>
          <t>SÖDERHAMN</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57796-2023</t>
        </is>
      </c>
      <c r="B9113" s="1" t="n">
        <v>45246</v>
      </c>
      <c r="C9113" s="1" t="n">
        <v>45587</v>
      </c>
      <c r="D9113" t="inlineStr">
        <is>
          <t>GÄVLEBORGS LÄN</t>
        </is>
      </c>
      <c r="E9113" t="inlineStr">
        <is>
          <t>NORDANSTIG</t>
        </is>
      </c>
      <c r="F9113" t="inlineStr">
        <is>
          <t>SCA</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57840-2023</t>
        </is>
      </c>
      <c r="B9114" s="1" t="n">
        <v>45247</v>
      </c>
      <c r="C9114" s="1" t="n">
        <v>45587</v>
      </c>
      <c r="D9114" t="inlineStr">
        <is>
          <t>GÄVLEBORGS LÄN</t>
        </is>
      </c>
      <c r="E9114" t="inlineStr">
        <is>
          <t>LJUSDAL</t>
        </is>
      </c>
      <c r="G9114" t="n">
        <v>10.2</v>
      </c>
      <c r="H9114" t="n">
        <v>0</v>
      </c>
      <c r="I9114" t="n">
        <v>0</v>
      </c>
      <c r="J9114" t="n">
        <v>0</v>
      </c>
      <c r="K9114" t="n">
        <v>0</v>
      </c>
      <c r="L9114" t="n">
        <v>0</v>
      </c>
      <c r="M9114" t="n">
        <v>0</v>
      </c>
      <c r="N9114" t="n">
        <v>0</v>
      </c>
      <c r="O9114" t="n">
        <v>0</v>
      </c>
      <c r="P9114" t="n">
        <v>0</v>
      </c>
      <c r="Q9114" t="n">
        <v>0</v>
      </c>
      <c r="R9114" s="2" t="inlineStr"/>
    </row>
    <row r="9115" ht="15" customHeight="1">
      <c r="A9115" t="inlineStr">
        <is>
          <t>A 57891-2023</t>
        </is>
      </c>
      <c r="B9115" s="1" t="n">
        <v>45247</v>
      </c>
      <c r="C9115" s="1" t="n">
        <v>45587</v>
      </c>
      <c r="D9115" t="inlineStr">
        <is>
          <t>GÄVLEBORGS LÄN</t>
        </is>
      </c>
      <c r="E9115" t="inlineStr">
        <is>
          <t>HUDIKSVALL</t>
        </is>
      </c>
      <c r="F9115" t="inlineStr">
        <is>
          <t>Holmen skog AB</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57871-2023</t>
        </is>
      </c>
      <c r="B9116" s="1" t="n">
        <v>45247</v>
      </c>
      <c r="C9116" s="1" t="n">
        <v>45587</v>
      </c>
      <c r="D9116" t="inlineStr">
        <is>
          <t>GÄVLEBORGS LÄN</t>
        </is>
      </c>
      <c r="E9116" t="inlineStr">
        <is>
          <t>HUDIKSVALL</t>
        </is>
      </c>
      <c r="F9116" t="inlineStr">
        <is>
          <t>Holmen skog AB</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57899-2023</t>
        </is>
      </c>
      <c r="B9117" s="1" t="n">
        <v>45247</v>
      </c>
      <c r="C9117" s="1" t="n">
        <v>45587</v>
      </c>
      <c r="D9117" t="inlineStr">
        <is>
          <t>GÄVLEBORGS LÄN</t>
        </is>
      </c>
      <c r="E9117" t="inlineStr">
        <is>
          <t>OCKELBO</t>
        </is>
      </c>
      <c r="F9117" t="inlineStr">
        <is>
          <t>Bergvik skog väst AB</t>
        </is>
      </c>
      <c r="G9117" t="n">
        <v>14.2</v>
      </c>
      <c r="H9117" t="n">
        <v>0</v>
      </c>
      <c r="I9117" t="n">
        <v>0</v>
      </c>
      <c r="J9117" t="n">
        <v>0</v>
      </c>
      <c r="K9117" t="n">
        <v>0</v>
      </c>
      <c r="L9117" t="n">
        <v>0</v>
      </c>
      <c r="M9117" t="n">
        <v>0</v>
      </c>
      <c r="N9117" t="n">
        <v>0</v>
      </c>
      <c r="O9117" t="n">
        <v>0</v>
      </c>
      <c r="P9117" t="n">
        <v>0</v>
      </c>
      <c r="Q9117" t="n">
        <v>0</v>
      </c>
      <c r="R9117" s="2" t="inlineStr"/>
    </row>
    <row r="9118" ht="15" customHeight="1">
      <c r="A9118" t="inlineStr">
        <is>
          <t>A 57935-2023</t>
        </is>
      </c>
      <c r="B9118" s="1" t="n">
        <v>45247</v>
      </c>
      <c r="C9118" s="1" t="n">
        <v>45587</v>
      </c>
      <c r="D9118" t="inlineStr">
        <is>
          <t>GÄVLEBORGS LÄN</t>
        </is>
      </c>
      <c r="E9118" t="inlineStr">
        <is>
          <t>OCKELBO</t>
        </is>
      </c>
      <c r="F9118" t="inlineStr">
        <is>
          <t>Bergvik skog väst AB</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57940-2023</t>
        </is>
      </c>
      <c r="B9119" s="1" t="n">
        <v>45247</v>
      </c>
      <c r="C9119" s="1" t="n">
        <v>45587</v>
      </c>
      <c r="D9119" t="inlineStr">
        <is>
          <t>GÄVLEBORGS LÄN</t>
        </is>
      </c>
      <c r="E9119" t="inlineStr">
        <is>
          <t>OCKELBO</t>
        </is>
      </c>
      <c r="F9119" t="inlineStr">
        <is>
          <t>Bergvik skog väst AB</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57951-2023</t>
        </is>
      </c>
      <c r="B9120" s="1" t="n">
        <v>45247</v>
      </c>
      <c r="C9120" s="1" t="n">
        <v>45587</v>
      </c>
      <c r="D9120" t="inlineStr">
        <is>
          <t>GÄVLEBORGS LÄN</t>
        </is>
      </c>
      <c r="E9120" t="inlineStr">
        <is>
          <t>OCKELBO</t>
        </is>
      </c>
      <c r="F9120" t="inlineStr">
        <is>
          <t>Bergvik skog väst AB</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58856-2023</t>
        </is>
      </c>
      <c r="B9121" s="1" t="n">
        <v>45247</v>
      </c>
      <c r="C9121" s="1" t="n">
        <v>45587</v>
      </c>
      <c r="D9121" t="inlineStr">
        <is>
          <t>GÄVLEBORGS LÄN</t>
        </is>
      </c>
      <c r="E9121" t="inlineStr">
        <is>
          <t>HUDIKSVALL</t>
        </is>
      </c>
      <c r="F9121" t="inlineStr">
        <is>
          <t>Holmen skog AB</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57997-2023</t>
        </is>
      </c>
      <c r="B9122" s="1" t="n">
        <v>45247</v>
      </c>
      <c r="C9122" s="1" t="n">
        <v>45587</v>
      </c>
      <c r="D9122" t="inlineStr">
        <is>
          <t>GÄVLEBORGS LÄN</t>
        </is>
      </c>
      <c r="E9122" t="inlineStr">
        <is>
          <t>LJUSDAL</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57857-2023</t>
        </is>
      </c>
      <c r="B9123" s="1" t="n">
        <v>45247</v>
      </c>
      <c r="C9123" s="1" t="n">
        <v>45587</v>
      </c>
      <c r="D9123" t="inlineStr">
        <is>
          <t>GÄVLEBORGS LÄN</t>
        </is>
      </c>
      <c r="E9123" t="inlineStr">
        <is>
          <t>GÄVLE</t>
        </is>
      </c>
      <c r="F9123" t="inlineStr">
        <is>
          <t>Bergvik skog öst AB</t>
        </is>
      </c>
      <c r="G9123" t="n">
        <v>5.4</v>
      </c>
      <c r="H9123" t="n">
        <v>0</v>
      </c>
      <c r="I9123" t="n">
        <v>0</v>
      </c>
      <c r="J9123" t="n">
        <v>0</v>
      </c>
      <c r="K9123" t="n">
        <v>0</v>
      </c>
      <c r="L9123" t="n">
        <v>0</v>
      </c>
      <c r="M9123" t="n">
        <v>0</v>
      </c>
      <c r="N9123" t="n">
        <v>0</v>
      </c>
      <c r="O9123" t="n">
        <v>0</v>
      </c>
      <c r="P9123" t="n">
        <v>0</v>
      </c>
      <c r="Q9123" t="n">
        <v>0</v>
      </c>
      <c r="R9123" s="2" t="inlineStr"/>
    </row>
    <row r="9124" ht="15" customHeight="1">
      <c r="A9124" t="inlineStr">
        <is>
          <t>A 57822-2023</t>
        </is>
      </c>
      <c r="B9124" s="1" t="n">
        <v>45247</v>
      </c>
      <c r="C9124" s="1" t="n">
        <v>45587</v>
      </c>
      <c r="D9124" t="inlineStr">
        <is>
          <t>GÄVLEBORGS LÄN</t>
        </is>
      </c>
      <c r="E9124" t="inlineStr">
        <is>
          <t>HUDIKSVALL</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57815-2023</t>
        </is>
      </c>
      <c r="B9125" s="1" t="n">
        <v>45247</v>
      </c>
      <c r="C9125" s="1" t="n">
        <v>45587</v>
      </c>
      <c r="D9125" t="inlineStr">
        <is>
          <t>GÄVLEBORGS LÄN</t>
        </is>
      </c>
      <c r="E9125" t="inlineStr">
        <is>
          <t>HUDIKSVALL</t>
        </is>
      </c>
      <c r="F9125" t="inlineStr">
        <is>
          <t>Holmen skog AB</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58103-2023</t>
        </is>
      </c>
      <c r="B9126" s="1" t="n">
        <v>45249</v>
      </c>
      <c r="C9126" s="1" t="n">
        <v>45587</v>
      </c>
      <c r="D9126" t="inlineStr">
        <is>
          <t>GÄVLEBORGS LÄN</t>
        </is>
      </c>
      <c r="E9126" t="inlineStr">
        <is>
          <t>LJUSDAL</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58104-2023</t>
        </is>
      </c>
      <c r="B9127" s="1" t="n">
        <v>45249</v>
      </c>
      <c r="C9127" s="1" t="n">
        <v>45587</v>
      </c>
      <c r="D9127" t="inlineStr">
        <is>
          <t>GÄVLEBORGS LÄN</t>
        </is>
      </c>
      <c r="E9127" t="inlineStr">
        <is>
          <t>LJUSDAL</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58165-2023</t>
        </is>
      </c>
      <c r="B9128" s="1" t="n">
        <v>45250</v>
      </c>
      <c r="C9128" s="1" t="n">
        <v>45587</v>
      </c>
      <c r="D9128" t="inlineStr">
        <is>
          <t>GÄVLEBORGS LÄN</t>
        </is>
      </c>
      <c r="E9128" t="inlineStr">
        <is>
          <t>NORDANSTIG</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58151-2023</t>
        </is>
      </c>
      <c r="B9129" s="1" t="n">
        <v>45250</v>
      </c>
      <c r="C9129" s="1" t="n">
        <v>45587</v>
      </c>
      <c r="D9129" t="inlineStr">
        <is>
          <t>GÄVLEBORGS LÄN</t>
        </is>
      </c>
      <c r="E9129" t="inlineStr">
        <is>
          <t>SANDVIKEN</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58230-2023</t>
        </is>
      </c>
      <c r="B9130" s="1" t="n">
        <v>45250</v>
      </c>
      <c r="C9130" s="1" t="n">
        <v>45587</v>
      </c>
      <c r="D9130" t="inlineStr">
        <is>
          <t>GÄVLEBORGS LÄN</t>
        </is>
      </c>
      <c r="E9130" t="inlineStr">
        <is>
          <t>OCKELBO</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58153-2023</t>
        </is>
      </c>
      <c r="B9131" s="1" t="n">
        <v>45250</v>
      </c>
      <c r="C9131" s="1" t="n">
        <v>45587</v>
      </c>
      <c r="D9131" t="inlineStr">
        <is>
          <t>GÄVLEBORGS LÄN</t>
        </is>
      </c>
      <c r="E9131" t="inlineStr">
        <is>
          <t>GÄVLE</t>
        </is>
      </c>
      <c r="F9131" t="inlineStr">
        <is>
          <t>Kyrkan</t>
        </is>
      </c>
      <c r="G9131" t="n">
        <v>12.6</v>
      </c>
      <c r="H9131" t="n">
        <v>0</v>
      </c>
      <c r="I9131" t="n">
        <v>0</v>
      </c>
      <c r="J9131" t="n">
        <v>0</v>
      </c>
      <c r="K9131" t="n">
        <v>0</v>
      </c>
      <c r="L9131" t="n">
        <v>0</v>
      </c>
      <c r="M9131" t="n">
        <v>0</v>
      </c>
      <c r="N9131" t="n">
        <v>0</v>
      </c>
      <c r="O9131" t="n">
        <v>0</v>
      </c>
      <c r="P9131" t="n">
        <v>0</v>
      </c>
      <c r="Q9131" t="n">
        <v>0</v>
      </c>
      <c r="R9131" s="2" t="inlineStr"/>
    </row>
    <row r="9132" ht="15" customHeight="1">
      <c r="A9132" t="inlineStr">
        <is>
          <t>A 58166-2023</t>
        </is>
      </c>
      <c r="B9132" s="1" t="n">
        <v>45250</v>
      </c>
      <c r="C9132" s="1" t="n">
        <v>45587</v>
      </c>
      <c r="D9132" t="inlineStr">
        <is>
          <t>GÄVLEBORGS LÄN</t>
        </is>
      </c>
      <c r="E9132" t="inlineStr">
        <is>
          <t>BOLLNÄS</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58239-2023</t>
        </is>
      </c>
      <c r="B9133" s="1" t="n">
        <v>45250</v>
      </c>
      <c r="C9133" s="1" t="n">
        <v>45587</v>
      </c>
      <c r="D9133" t="inlineStr">
        <is>
          <t>GÄVLEBORGS LÄN</t>
        </is>
      </c>
      <c r="E9133" t="inlineStr">
        <is>
          <t>BOLLNÄS</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58309-2023</t>
        </is>
      </c>
      <c r="B9134" s="1" t="n">
        <v>45250</v>
      </c>
      <c r="C9134" s="1" t="n">
        <v>45587</v>
      </c>
      <c r="D9134" t="inlineStr">
        <is>
          <t>GÄVLEBORGS LÄN</t>
        </is>
      </c>
      <c r="E9134" t="inlineStr">
        <is>
          <t>LJUSDAL</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58908-2023</t>
        </is>
      </c>
      <c r="B9135" s="1" t="n">
        <v>45250</v>
      </c>
      <c r="C9135" s="1" t="n">
        <v>45587</v>
      </c>
      <c r="D9135" t="inlineStr">
        <is>
          <t>GÄVLEBORGS LÄN</t>
        </is>
      </c>
      <c r="E9135" t="inlineStr">
        <is>
          <t>SANDVIKEN</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58353-2023</t>
        </is>
      </c>
      <c r="B9136" s="1" t="n">
        <v>45250</v>
      </c>
      <c r="C9136" s="1" t="n">
        <v>45587</v>
      </c>
      <c r="D9136" t="inlineStr">
        <is>
          <t>GÄVLEBORGS LÄN</t>
        </is>
      </c>
      <c r="E9136" t="inlineStr">
        <is>
          <t>SANDVIKEN</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58369-2023</t>
        </is>
      </c>
      <c r="B9137" s="1" t="n">
        <v>45250</v>
      </c>
      <c r="C9137" s="1" t="n">
        <v>45587</v>
      </c>
      <c r="D9137" t="inlineStr">
        <is>
          <t>GÄVLEBORGS LÄN</t>
        </is>
      </c>
      <c r="E9137" t="inlineStr">
        <is>
          <t>HOFORS</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58373-2023</t>
        </is>
      </c>
      <c r="B9138" s="1" t="n">
        <v>45250</v>
      </c>
      <c r="C9138" s="1" t="n">
        <v>45587</v>
      </c>
      <c r="D9138" t="inlineStr">
        <is>
          <t>GÄVLEBORGS LÄN</t>
        </is>
      </c>
      <c r="E9138" t="inlineStr">
        <is>
          <t>HOFORS</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58419-2023</t>
        </is>
      </c>
      <c r="B9139" s="1" t="n">
        <v>45250</v>
      </c>
      <c r="C9139" s="1" t="n">
        <v>45587</v>
      </c>
      <c r="D9139" t="inlineStr">
        <is>
          <t>GÄVLEBORGS LÄN</t>
        </is>
      </c>
      <c r="E9139" t="inlineStr">
        <is>
          <t>SANDVIKEN</t>
        </is>
      </c>
      <c r="G9139" t="n">
        <v>4.5</v>
      </c>
      <c r="H9139" t="n">
        <v>0</v>
      </c>
      <c r="I9139" t="n">
        <v>0</v>
      </c>
      <c r="J9139" t="n">
        <v>0</v>
      </c>
      <c r="K9139" t="n">
        <v>0</v>
      </c>
      <c r="L9139" t="n">
        <v>0</v>
      </c>
      <c r="M9139" t="n">
        <v>0</v>
      </c>
      <c r="N9139" t="n">
        <v>0</v>
      </c>
      <c r="O9139" t="n">
        <v>0</v>
      </c>
      <c r="P9139" t="n">
        <v>0</v>
      </c>
      <c r="Q9139" t="n">
        <v>0</v>
      </c>
      <c r="R9139" s="2" t="inlineStr"/>
    </row>
    <row r="9140" ht="15" customHeight="1">
      <c r="A9140" t="inlineStr">
        <is>
          <t>A 58327-2023</t>
        </is>
      </c>
      <c r="B9140" s="1" t="n">
        <v>45250</v>
      </c>
      <c r="C9140" s="1" t="n">
        <v>45587</v>
      </c>
      <c r="D9140" t="inlineStr">
        <is>
          <t>GÄVLEBORGS LÄN</t>
        </is>
      </c>
      <c r="E9140" t="inlineStr">
        <is>
          <t>HUDIKSVALL</t>
        </is>
      </c>
      <c r="F9140" t="inlineStr">
        <is>
          <t>Holmen skog AB</t>
        </is>
      </c>
      <c r="G9140" t="n">
        <v>4.6</v>
      </c>
      <c r="H9140" t="n">
        <v>0</v>
      </c>
      <c r="I9140" t="n">
        <v>0</v>
      </c>
      <c r="J9140" t="n">
        <v>0</v>
      </c>
      <c r="K9140" t="n">
        <v>0</v>
      </c>
      <c r="L9140" t="n">
        <v>0</v>
      </c>
      <c r="M9140" t="n">
        <v>0</v>
      </c>
      <c r="N9140" t="n">
        <v>0</v>
      </c>
      <c r="O9140" t="n">
        <v>0</v>
      </c>
      <c r="P9140" t="n">
        <v>0</v>
      </c>
      <c r="Q9140" t="n">
        <v>0</v>
      </c>
      <c r="R9140" s="2" t="inlineStr"/>
    </row>
    <row r="9141" ht="15" customHeight="1">
      <c r="A9141" t="inlineStr">
        <is>
          <t>A 58351-2023</t>
        </is>
      </c>
      <c r="B9141" s="1" t="n">
        <v>45250</v>
      </c>
      <c r="C9141" s="1" t="n">
        <v>45587</v>
      </c>
      <c r="D9141" t="inlineStr">
        <is>
          <t>GÄVLEBORGS LÄN</t>
        </is>
      </c>
      <c r="E9141" t="inlineStr">
        <is>
          <t>SÖDERHAMN</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59014-2023</t>
        </is>
      </c>
      <c r="B9142" s="1" t="n">
        <v>45250</v>
      </c>
      <c r="C9142" s="1" t="n">
        <v>45587</v>
      </c>
      <c r="D9142" t="inlineStr">
        <is>
          <t>GÄVLEBORGS LÄN</t>
        </is>
      </c>
      <c r="E9142" t="inlineStr">
        <is>
          <t>OCKELBO</t>
        </is>
      </c>
      <c r="G9142" t="n">
        <v>6</v>
      </c>
      <c r="H9142" t="n">
        <v>0</v>
      </c>
      <c r="I9142" t="n">
        <v>0</v>
      </c>
      <c r="J9142" t="n">
        <v>0</v>
      </c>
      <c r="K9142" t="n">
        <v>0</v>
      </c>
      <c r="L9142" t="n">
        <v>0</v>
      </c>
      <c r="M9142" t="n">
        <v>0</v>
      </c>
      <c r="N9142" t="n">
        <v>0</v>
      </c>
      <c r="O9142" t="n">
        <v>0</v>
      </c>
      <c r="P9142" t="n">
        <v>0</v>
      </c>
      <c r="Q9142" t="n">
        <v>0</v>
      </c>
      <c r="R9142" s="2" t="inlineStr"/>
    </row>
    <row r="9143" ht="15" customHeight="1">
      <c r="A9143" t="inlineStr">
        <is>
          <t>A 58911-2023</t>
        </is>
      </c>
      <c r="B9143" s="1" t="n">
        <v>45250</v>
      </c>
      <c r="C9143" s="1" t="n">
        <v>45587</v>
      </c>
      <c r="D9143" t="inlineStr">
        <is>
          <t>GÄVLEBORGS LÄN</t>
        </is>
      </c>
      <c r="E9143" t="inlineStr">
        <is>
          <t>SANDVIKEN</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58506-2023</t>
        </is>
      </c>
      <c r="B9144" s="1" t="n">
        <v>45251</v>
      </c>
      <c r="C9144" s="1" t="n">
        <v>45587</v>
      </c>
      <c r="D9144" t="inlineStr">
        <is>
          <t>GÄVLEBORGS LÄN</t>
        </is>
      </c>
      <c r="E9144" t="inlineStr">
        <is>
          <t>BOLLNÄS</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58483-2023</t>
        </is>
      </c>
      <c r="B9145" s="1" t="n">
        <v>45251</v>
      </c>
      <c r="C9145" s="1" t="n">
        <v>45587</v>
      </c>
      <c r="D9145" t="inlineStr">
        <is>
          <t>GÄVLEBORGS LÄN</t>
        </is>
      </c>
      <c r="E9145" t="inlineStr">
        <is>
          <t>SÖDERHAMN</t>
        </is>
      </c>
      <c r="F9145" t="inlineStr">
        <is>
          <t>Bergvik skog väst AB</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58544-2023</t>
        </is>
      </c>
      <c r="B9146" s="1" t="n">
        <v>45251</v>
      </c>
      <c r="C9146" s="1" t="n">
        <v>45587</v>
      </c>
      <c r="D9146" t="inlineStr">
        <is>
          <t>GÄVLEBORGS LÄN</t>
        </is>
      </c>
      <c r="E9146" t="inlineStr">
        <is>
          <t>SÖDERHAMN</t>
        </is>
      </c>
      <c r="F9146" t="inlineStr">
        <is>
          <t>Bergvik skog väst AB</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58543-2023</t>
        </is>
      </c>
      <c r="B9147" s="1" t="n">
        <v>45251</v>
      </c>
      <c r="C9147" s="1" t="n">
        <v>45587</v>
      </c>
      <c r="D9147" t="inlineStr">
        <is>
          <t>GÄVLEBORGS LÄN</t>
        </is>
      </c>
      <c r="E9147" t="inlineStr">
        <is>
          <t>OVANÅKER</t>
        </is>
      </c>
      <c r="G9147" t="n">
        <v>26.8</v>
      </c>
      <c r="H9147" t="n">
        <v>0</v>
      </c>
      <c r="I9147" t="n">
        <v>0</v>
      </c>
      <c r="J9147" t="n">
        <v>0</v>
      </c>
      <c r="K9147" t="n">
        <v>0</v>
      </c>
      <c r="L9147" t="n">
        <v>0</v>
      </c>
      <c r="M9147" t="n">
        <v>0</v>
      </c>
      <c r="N9147" t="n">
        <v>0</v>
      </c>
      <c r="O9147" t="n">
        <v>0</v>
      </c>
      <c r="P9147" t="n">
        <v>0</v>
      </c>
      <c r="Q9147" t="n">
        <v>0</v>
      </c>
      <c r="R9147" s="2" t="inlineStr"/>
    </row>
    <row r="9148" ht="15" customHeight="1">
      <c r="A9148" t="inlineStr">
        <is>
          <t>A 58562-2023</t>
        </is>
      </c>
      <c r="B9148" s="1" t="n">
        <v>45251</v>
      </c>
      <c r="C9148" s="1" t="n">
        <v>45587</v>
      </c>
      <c r="D9148" t="inlineStr">
        <is>
          <t>GÄVLEBORGS LÄN</t>
        </is>
      </c>
      <c r="E9148" t="inlineStr">
        <is>
          <t>SANDVIKEN</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58610-2023</t>
        </is>
      </c>
      <c r="B9149" s="1" t="n">
        <v>45251</v>
      </c>
      <c r="C9149" s="1" t="n">
        <v>45587</v>
      </c>
      <c r="D9149" t="inlineStr">
        <is>
          <t>GÄVLEBORGS LÄN</t>
        </is>
      </c>
      <c r="E9149" t="inlineStr">
        <is>
          <t>SÖDERHAMN</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58622-2023</t>
        </is>
      </c>
      <c r="B9150" s="1" t="n">
        <v>45251</v>
      </c>
      <c r="C9150" s="1" t="n">
        <v>45587</v>
      </c>
      <c r="D9150" t="inlineStr">
        <is>
          <t>GÄVLEBORGS LÄN</t>
        </is>
      </c>
      <c r="E9150" t="inlineStr">
        <is>
          <t>LJUSDAL</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58626-2023</t>
        </is>
      </c>
      <c r="B9151" s="1" t="n">
        <v>45251</v>
      </c>
      <c r="C9151" s="1" t="n">
        <v>45587</v>
      </c>
      <c r="D9151" t="inlineStr">
        <is>
          <t>GÄVLEBORGS LÄN</t>
        </is>
      </c>
      <c r="E9151" t="inlineStr">
        <is>
          <t>LJUSDAL</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58630-2023</t>
        </is>
      </c>
      <c r="B9152" s="1" t="n">
        <v>45251</v>
      </c>
      <c r="C9152" s="1" t="n">
        <v>45587</v>
      </c>
      <c r="D9152" t="inlineStr">
        <is>
          <t>GÄVLEBORGS LÄN</t>
        </is>
      </c>
      <c r="E9152" t="inlineStr">
        <is>
          <t>BOLLNÄS</t>
        </is>
      </c>
      <c r="G9152" t="n">
        <v>5.1</v>
      </c>
      <c r="H9152" t="n">
        <v>0</v>
      </c>
      <c r="I9152" t="n">
        <v>0</v>
      </c>
      <c r="J9152" t="n">
        <v>0</v>
      </c>
      <c r="K9152" t="n">
        <v>0</v>
      </c>
      <c r="L9152" t="n">
        <v>0</v>
      </c>
      <c r="M9152" t="n">
        <v>0</v>
      </c>
      <c r="N9152" t="n">
        <v>0</v>
      </c>
      <c r="O9152" t="n">
        <v>0</v>
      </c>
      <c r="P9152" t="n">
        <v>0</v>
      </c>
      <c r="Q9152" t="n">
        <v>0</v>
      </c>
      <c r="R9152" s="2" t="inlineStr"/>
    </row>
    <row r="9153" ht="15" customHeight="1">
      <c r="A9153" t="inlineStr">
        <is>
          <t>A 58638-2023</t>
        </is>
      </c>
      <c r="B9153" s="1" t="n">
        <v>45251</v>
      </c>
      <c r="C9153" s="1" t="n">
        <v>45587</v>
      </c>
      <c r="D9153" t="inlineStr">
        <is>
          <t>GÄVLEBORGS LÄN</t>
        </is>
      </c>
      <c r="E9153" t="inlineStr">
        <is>
          <t>BOLLNÄS</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58629-2023</t>
        </is>
      </c>
      <c r="B9154" s="1" t="n">
        <v>45251</v>
      </c>
      <c r="C9154" s="1" t="n">
        <v>45587</v>
      </c>
      <c r="D9154" t="inlineStr">
        <is>
          <t>GÄVLEBORGS LÄN</t>
        </is>
      </c>
      <c r="E9154" t="inlineStr">
        <is>
          <t>LJUSDAL</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58612-2023</t>
        </is>
      </c>
      <c r="B9155" s="1" t="n">
        <v>45251</v>
      </c>
      <c r="C9155" s="1" t="n">
        <v>45587</v>
      </c>
      <c r="D9155" t="inlineStr">
        <is>
          <t>GÄVLEBORGS LÄN</t>
        </is>
      </c>
      <c r="E9155" t="inlineStr">
        <is>
          <t>SÖDERHAMN</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58661-2023</t>
        </is>
      </c>
      <c r="B9156" s="1" t="n">
        <v>45251</v>
      </c>
      <c r="C9156" s="1" t="n">
        <v>45587</v>
      </c>
      <c r="D9156" t="inlineStr">
        <is>
          <t>GÄVLEBORGS LÄN</t>
        </is>
      </c>
      <c r="E9156" t="inlineStr">
        <is>
          <t>SANDVIKEN</t>
        </is>
      </c>
      <c r="G9156" t="n">
        <v>4.6</v>
      </c>
      <c r="H9156" t="n">
        <v>0</v>
      </c>
      <c r="I9156" t="n">
        <v>0</v>
      </c>
      <c r="J9156" t="n">
        <v>0</v>
      </c>
      <c r="K9156" t="n">
        <v>0</v>
      </c>
      <c r="L9156" t="n">
        <v>0</v>
      </c>
      <c r="M9156" t="n">
        <v>0</v>
      </c>
      <c r="N9156" t="n">
        <v>0</v>
      </c>
      <c r="O9156" t="n">
        <v>0</v>
      </c>
      <c r="P9156" t="n">
        <v>0</v>
      </c>
      <c r="Q9156" t="n">
        <v>0</v>
      </c>
      <c r="R9156" s="2" t="inlineStr"/>
    </row>
    <row r="9157" ht="15" customHeight="1">
      <c r="A9157" t="inlineStr">
        <is>
          <t>A 58683-2023</t>
        </is>
      </c>
      <c r="B9157" s="1" t="n">
        <v>45251</v>
      </c>
      <c r="C9157" s="1" t="n">
        <v>45587</v>
      </c>
      <c r="D9157" t="inlineStr">
        <is>
          <t>GÄVLEBORGS LÄN</t>
        </is>
      </c>
      <c r="E9157" t="inlineStr">
        <is>
          <t>LJUSDAL</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58716-2023</t>
        </is>
      </c>
      <c r="B9158" s="1" t="n">
        <v>45251</v>
      </c>
      <c r="C9158" s="1" t="n">
        <v>45587</v>
      </c>
      <c r="D9158" t="inlineStr">
        <is>
          <t>GÄVLEBORGS LÄN</t>
        </is>
      </c>
      <c r="E9158" t="inlineStr">
        <is>
          <t>BOLLNÄS</t>
        </is>
      </c>
      <c r="G9158" t="n">
        <v>3.1</v>
      </c>
      <c r="H9158" t="n">
        <v>0</v>
      </c>
      <c r="I9158" t="n">
        <v>0</v>
      </c>
      <c r="J9158" t="n">
        <v>0</v>
      </c>
      <c r="K9158" t="n">
        <v>0</v>
      </c>
      <c r="L9158" t="n">
        <v>0</v>
      </c>
      <c r="M9158" t="n">
        <v>0</v>
      </c>
      <c r="N9158" t="n">
        <v>0</v>
      </c>
      <c r="O9158" t="n">
        <v>0</v>
      </c>
      <c r="P9158" t="n">
        <v>0</v>
      </c>
      <c r="Q9158" t="n">
        <v>0</v>
      </c>
      <c r="R9158" s="2" t="inlineStr"/>
    </row>
    <row r="9159" ht="15" customHeight="1">
      <c r="A9159" t="inlineStr">
        <is>
          <t>A 58674-2023</t>
        </is>
      </c>
      <c r="B9159" s="1" t="n">
        <v>45251</v>
      </c>
      <c r="C9159" s="1" t="n">
        <v>45587</v>
      </c>
      <c r="D9159" t="inlineStr">
        <is>
          <t>GÄVLEBORGS LÄN</t>
        </is>
      </c>
      <c r="E9159" t="inlineStr">
        <is>
          <t>SANDVIKEN</t>
        </is>
      </c>
      <c r="F9159" t="inlineStr">
        <is>
          <t>Sveaskog</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58687-2023</t>
        </is>
      </c>
      <c r="B9160" s="1" t="n">
        <v>45251</v>
      </c>
      <c r="C9160" s="1" t="n">
        <v>45587</v>
      </c>
      <c r="D9160" t="inlineStr">
        <is>
          <t>GÄVLEBORGS LÄN</t>
        </is>
      </c>
      <c r="E9160" t="inlineStr">
        <is>
          <t>SÖDERHAMN</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58611-2023</t>
        </is>
      </c>
      <c r="B9161" s="1" t="n">
        <v>45251</v>
      </c>
      <c r="C9161" s="1" t="n">
        <v>45587</v>
      </c>
      <c r="D9161" t="inlineStr">
        <is>
          <t>GÄVLEBORGS LÄN</t>
        </is>
      </c>
      <c r="E9161" t="inlineStr">
        <is>
          <t>SÖDERHAMN</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58623-2023</t>
        </is>
      </c>
      <c r="B9162" s="1" t="n">
        <v>45251</v>
      </c>
      <c r="C9162" s="1" t="n">
        <v>45587</v>
      </c>
      <c r="D9162" t="inlineStr">
        <is>
          <t>GÄVLEBORGS LÄN</t>
        </is>
      </c>
      <c r="E9162" t="inlineStr">
        <is>
          <t>LJUSDAL</t>
        </is>
      </c>
      <c r="G9162" t="n">
        <v>3.5</v>
      </c>
      <c r="H9162" t="n">
        <v>0</v>
      </c>
      <c r="I9162" t="n">
        <v>0</v>
      </c>
      <c r="J9162" t="n">
        <v>0</v>
      </c>
      <c r="K9162" t="n">
        <v>0</v>
      </c>
      <c r="L9162" t="n">
        <v>0</v>
      </c>
      <c r="M9162" t="n">
        <v>0</v>
      </c>
      <c r="N9162" t="n">
        <v>0</v>
      </c>
      <c r="O9162" t="n">
        <v>0</v>
      </c>
      <c r="P9162" t="n">
        <v>0</v>
      </c>
      <c r="Q9162" t="n">
        <v>0</v>
      </c>
      <c r="R9162" s="2" t="inlineStr"/>
    </row>
    <row r="9163" ht="15" customHeight="1">
      <c r="A9163" t="inlineStr">
        <is>
          <t>A 58820-2023</t>
        </is>
      </c>
      <c r="B9163" s="1" t="n">
        <v>45252</v>
      </c>
      <c r="C9163" s="1" t="n">
        <v>45587</v>
      </c>
      <c r="D9163" t="inlineStr">
        <is>
          <t>GÄVLEBORGS LÄN</t>
        </is>
      </c>
      <c r="E9163" t="inlineStr">
        <is>
          <t>OCKELBO</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58796-2023</t>
        </is>
      </c>
      <c r="B9164" s="1" t="n">
        <v>45252</v>
      </c>
      <c r="C9164" s="1" t="n">
        <v>45587</v>
      </c>
      <c r="D9164" t="inlineStr">
        <is>
          <t>GÄVLEBORGS LÄN</t>
        </is>
      </c>
      <c r="E9164" t="inlineStr">
        <is>
          <t>LJUSDAL</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58811-2023</t>
        </is>
      </c>
      <c r="B9165" s="1" t="n">
        <v>45252</v>
      </c>
      <c r="C9165" s="1" t="n">
        <v>45587</v>
      </c>
      <c r="D9165" t="inlineStr">
        <is>
          <t>GÄVLEBORGS LÄN</t>
        </is>
      </c>
      <c r="E9165" t="inlineStr">
        <is>
          <t>BOLLNÄS</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58840-2023</t>
        </is>
      </c>
      <c r="B9166" s="1" t="n">
        <v>45252</v>
      </c>
      <c r="C9166" s="1" t="n">
        <v>45587</v>
      </c>
      <c r="D9166" t="inlineStr">
        <is>
          <t>GÄVLEBORGS LÄN</t>
        </is>
      </c>
      <c r="E9166" t="inlineStr">
        <is>
          <t>SANDVIKEN</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58867-2023</t>
        </is>
      </c>
      <c r="B9167" s="1" t="n">
        <v>45252</v>
      </c>
      <c r="C9167" s="1" t="n">
        <v>45587</v>
      </c>
      <c r="D9167" t="inlineStr">
        <is>
          <t>GÄVLEBORGS LÄN</t>
        </is>
      </c>
      <c r="E9167" t="inlineStr">
        <is>
          <t>GÄVLE</t>
        </is>
      </c>
      <c r="G9167" t="n">
        <v>7.7</v>
      </c>
      <c r="H9167" t="n">
        <v>0</v>
      </c>
      <c r="I9167" t="n">
        <v>0</v>
      </c>
      <c r="J9167" t="n">
        <v>0</v>
      </c>
      <c r="K9167" t="n">
        <v>0</v>
      </c>
      <c r="L9167" t="n">
        <v>0</v>
      </c>
      <c r="M9167" t="n">
        <v>0</v>
      </c>
      <c r="N9167" t="n">
        <v>0</v>
      </c>
      <c r="O9167" t="n">
        <v>0</v>
      </c>
      <c r="P9167" t="n">
        <v>0</v>
      </c>
      <c r="Q9167" t="n">
        <v>0</v>
      </c>
      <c r="R9167" s="2" t="inlineStr"/>
    </row>
    <row r="9168" ht="15" customHeight="1">
      <c r="A9168" t="inlineStr">
        <is>
          <t>A 58883-2023</t>
        </is>
      </c>
      <c r="B9168" s="1" t="n">
        <v>45252</v>
      </c>
      <c r="C9168" s="1" t="n">
        <v>45587</v>
      </c>
      <c r="D9168" t="inlineStr">
        <is>
          <t>GÄVLEBORGS LÄN</t>
        </is>
      </c>
      <c r="E9168" t="inlineStr">
        <is>
          <t>LJUSDAL</t>
        </is>
      </c>
      <c r="F9168" t="inlineStr">
        <is>
          <t>Holmen skog AB</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58955-2023</t>
        </is>
      </c>
      <c r="B9169" s="1" t="n">
        <v>45252</v>
      </c>
      <c r="C9169" s="1" t="n">
        <v>45587</v>
      </c>
      <c r="D9169" t="inlineStr">
        <is>
          <t>GÄVLEBORGS LÄN</t>
        </is>
      </c>
      <c r="E9169" t="inlineStr">
        <is>
          <t>HOFORS</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58964-2023</t>
        </is>
      </c>
      <c r="B9170" s="1" t="n">
        <v>45252</v>
      </c>
      <c r="C9170" s="1" t="n">
        <v>45587</v>
      </c>
      <c r="D9170" t="inlineStr">
        <is>
          <t>GÄVLEBORGS LÄN</t>
        </is>
      </c>
      <c r="E9170" t="inlineStr">
        <is>
          <t>LJUSDAL</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58825-2023</t>
        </is>
      </c>
      <c r="B9171" s="1" t="n">
        <v>45252</v>
      </c>
      <c r="C9171" s="1" t="n">
        <v>45587</v>
      </c>
      <c r="D9171" t="inlineStr">
        <is>
          <t>GÄVLEBORGS LÄN</t>
        </is>
      </c>
      <c r="E9171" t="inlineStr">
        <is>
          <t>LJUSDAL</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58860-2023</t>
        </is>
      </c>
      <c r="B9172" s="1" t="n">
        <v>45252</v>
      </c>
      <c r="C9172" s="1" t="n">
        <v>45587</v>
      </c>
      <c r="D9172" t="inlineStr">
        <is>
          <t>GÄVLEBORGS LÄN</t>
        </is>
      </c>
      <c r="E9172" t="inlineStr">
        <is>
          <t>HUDIKSVALL</t>
        </is>
      </c>
      <c r="F9172" t="inlineStr">
        <is>
          <t>Holmen skog AB</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58988-2023</t>
        </is>
      </c>
      <c r="B9173" s="1" t="n">
        <v>45252</v>
      </c>
      <c r="C9173" s="1" t="n">
        <v>45587</v>
      </c>
      <c r="D9173" t="inlineStr">
        <is>
          <t>GÄVLEBORGS LÄN</t>
        </is>
      </c>
      <c r="E9173" t="inlineStr">
        <is>
          <t>SANDVIKEN</t>
        </is>
      </c>
      <c r="F9173" t="inlineStr">
        <is>
          <t>Bergvik skog öst AB</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58994-2023</t>
        </is>
      </c>
      <c r="B9174" s="1" t="n">
        <v>45252</v>
      </c>
      <c r="C9174" s="1" t="n">
        <v>45587</v>
      </c>
      <c r="D9174" t="inlineStr">
        <is>
          <t>GÄVLEBORGS LÄN</t>
        </is>
      </c>
      <c r="E9174" t="inlineStr">
        <is>
          <t>SÖDERHAMN</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59000-2023</t>
        </is>
      </c>
      <c r="B9175" s="1" t="n">
        <v>45252</v>
      </c>
      <c r="C9175" s="1" t="n">
        <v>45587</v>
      </c>
      <c r="D9175" t="inlineStr">
        <is>
          <t>GÄVLEBORGS LÄN</t>
        </is>
      </c>
      <c r="E9175" t="inlineStr">
        <is>
          <t>SÖDERHAMN</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59009-2023</t>
        </is>
      </c>
      <c r="B9176" s="1" t="n">
        <v>45252</v>
      </c>
      <c r="C9176" s="1" t="n">
        <v>45587</v>
      </c>
      <c r="D9176" t="inlineStr">
        <is>
          <t>GÄVLEBORGS LÄN</t>
        </is>
      </c>
      <c r="E9176" t="inlineStr">
        <is>
          <t>HOFORS</t>
        </is>
      </c>
      <c r="F9176" t="inlineStr">
        <is>
          <t>Sveaskog</t>
        </is>
      </c>
      <c r="G9176" t="n">
        <v>11.6</v>
      </c>
      <c r="H9176" t="n">
        <v>0</v>
      </c>
      <c r="I9176" t="n">
        <v>0</v>
      </c>
      <c r="J9176" t="n">
        <v>0</v>
      </c>
      <c r="K9176" t="n">
        <v>0</v>
      </c>
      <c r="L9176" t="n">
        <v>0</v>
      </c>
      <c r="M9176" t="n">
        <v>0</v>
      </c>
      <c r="N9176" t="n">
        <v>0</v>
      </c>
      <c r="O9176" t="n">
        <v>0</v>
      </c>
      <c r="P9176" t="n">
        <v>0</v>
      </c>
      <c r="Q9176" t="n">
        <v>0</v>
      </c>
      <c r="R9176" s="2" t="inlineStr"/>
    </row>
    <row r="9177" ht="15" customHeight="1">
      <c r="A9177" t="inlineStr">
        <is>
          <t>A 58885-2023</t>
        </is>
      </c>
      <c r="B9177" s="1" t="n">
        <v>45252</v>
      </c>
      <c r="C9177" s="1" t="n">
        <v>45587</v>
      </c>
      <c r="D9177" t="inlineStr">
        <is>
          <t>GÄVLEBORGS LÄN</t>
        </is>
      </c>
      <c r="E9177" t="inlineStr">
        <is>
          <t>SANDVIKEN</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58909-2023</t>
        </is>
      </c>
      <c r="B9178" s="1" t="n">
        <v>45252</v>
      </c>
      <c r="C9178" s="1" t="n">
        <v>45587</v>
      </c>
      <c r="D9178" t="inlineStr">
        <is>
          <t>GÄVLEBORGS LÄN</t>
        </is>
      </c>
      <c r="E9178" t="inlineStr">
        <is>
          <t>LJUSDAL</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58916-2023</t>
        </is>
      </c>
      <c r="B9179" s="1" t="n">
        <v>45252</v>
      </c>
      <c r="C9179" s="1" t="n">
        <v>45587</v>
      </c>
      <c r="D9179" t="inlineStr">
        <is>
          <t>GÄVLEBORGS LÄN</t>
        </is>
      </c>
      <c r="E9179" t="inlineStr">
        <is>
          <t>SANDVIKEN</t>
        </is>
      </c>
      <c r="F9179" t="inlineStr">
        <is>
          <t>Bergvik skog öst AB</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58929-2023</t>
        </is>
      </c>
      <c r="B9180" s="1" t="n">
        <v>45252</v>
      </c>
      <c r="C9180" s="1" t="n">
        <v>45587</v>
      </c>
      <c r="D9180" t="inlineStr">
        <is>
          <t>GÄVLEBORGS LÄN</t>
        </is>
      </c>
      <c r="E9180" t="inlineStr">
        <is>
          <t>BOLLNÄS</t>
        </is>
      </c>
      <c r="F9180" t="inlineStr">
        <is>
          <t>Holmen skog AB</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58945-2023</t>
        </is>
      </c>
      <c r="B9181" s="1" t="n">
        <v>45252</v>
      </c>
      <c r="C9181" s="1" t="n">
        <v>45587</v>
      </c>
      <c r="D9181" t="inlineStr">
        <is>
          <t>GÄVLEBORGS LÄN</t>
        </is>
      </c>
      <c r="E9181" t="inlineStr">
        <is>
          <t>HUDIKSVALL</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58983-2023</t>
        </is>
      </c>
      <c r="B9182" s="1" t="n">
        <v>45252</v>
      </c>
      <c r="C9182" s="1" t="n">
        <v>45587</v>
      </c>
      <c r="D9182" t="inlineStr">
        <is>
          <t>GÄVLEBORGS LÄN</t>
        </is>
      </c>
      <c r="E9182" t="inlineStr">
        <is>
          <t>SANDVIKEN</t>
        </is>
      </c>
      <c r="F9182" t="inlineStr">
        <is>
          <t>Bergvik skog öst AB</t>
        </is>
      </c>
      <c r="G9182" t="n">
        <v>0.4</v>
      </c>
      <c r="H9182" t="n">
        <v>0</v>
      </c>
      <c r="I9182" t="n">
        <v>0</v>
      </c>
      <c r="J9182" t="n">
        <v>0</v>
      </c>
      <c r="K9182" t="n">
        <v>0</v>
      </c>
      <c r="L9182" t="n">
        <v>0</v>
      </c>
      <c r="M9182" t="n">
        <v>0</v>
      </c>
      <c r="N9182" t="n">
        <v>0</v>
      </c>
      <c r="O9182" t="n">
        <v>0</v>
      </c>
      <c r="P9182" t="n">
        <v>0</v>
      </c>
      <c r="Q9182" t="n">
        <v>0</v>
      </c>
      <c r="R9182" s="2" t="inlineStr"/>
    </row>
    <row r="9183" ht="15" customHeight="1">
      <c r="A9183" t="inlineStr">
        <is>
          <t>A 59044-2023</t>
        </is>
      </c>
      <c r="B9183" s="1" t="n">
        <v>45252</v>
      </c>
      <c r="C9183" s="1" t="n">
        <v>45587</v>
      </c>
      <c r="D9183" t="inlineStr">
        <is>
          <t>GÄVLEBORGS LÄN</t>
        </is>
      </c>
      <c r="E9183" t="inlineStr">
        <is>
          <t>GÄVLE</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59049-2023</t>
        </is>
      </c>
      <c r="B9184" s="1" t="n">
        <v>45252</v>
      </c>
      <c r="C9184" s="1" t="n">
        <v>45587</v>
      </c>
      <c r="D9184" t="inlineStr">
        <is>
          <t>GÄVLEBORGS LÄN</t>
        </is>
      </c>
      <c r="E9184" t="inlineStr">
        <is>
          <t>BOLLNÄS</t>
        </is>
      </c>
      <c r="G9184" t="n">
        <v>3.1</v>
      </c>
      <c r="H9184" t="n">
        <v>0</v>
      </c>
      <c r="I9184" t="n">
        <v>0</v>
      </c>
      <c r="J9184" t="n">
        <v>0</v>
      </c>
      <c r="K9184" t="n">
        <v>0</v>
      </c>
      <c r="L9184" t="n">
        <v>0</v>
      </c>
      <c r="M9184" t="n">
        <v>0</v>
      </c>
      <c r="N9184" t="n">
        <v>0</v>
      </c>
      <c r="O9184" t="n">
        <v>0</v>
      </c>
      <c r="P9184" t="n">
        <v>0</v>
      </c>
      <c r="Q9184" t="n">
        <v>0</v>
      </c>
      <c r="R9184" s="2" t="inlineStr"/>
    </row>
    <row r="9185" ht="15" customHeight="1">
      <c r="A9185" t="inlineStr">
        <is>
          <t>A 58986-2023</t>
        </is>
      </c>
      <c r="B9185" s="1" t="n">
        <v>45252</v>
      </c>
      <c r="C9185" s="1" t="n">
        <v>45587</v>
      </c>
      <c r="D9185" t="inlineStr">
        <is>
          <t>GÄVLEBORGS LÄN</t>
        </is>
      </c>
      <c r="E9185" t="inlineStr">
        <is>
          <t>SANDVIKEN</t>
        </is>
      </c>
      <c r="F9185" t="inlineStr">
        <is>
          <t>Bergvik skog öst AB</t>
        </is>
      </c>
      <c r="G9185" t="n">
        <v>19.1</v>
      </c>
      <c r="H9185" t="n">
        <v>0</v>
      </c>
      <c r="I9185" t="n">
        <v>0</v>
      </c>
      <c r="J9185" t="n">
        <v>0</v>
      </c>
      <c r="K9185" t="n">
        <v>0</v>
      </c>
      <c r="L9185" t="n">
        <v>0</v>
      </c>
      <c r="M9185" t="n">
        <v>0</v>
      </c>
      <c r="N9185" t="n">
        <v>0</v>
      </c>
      <c r="O9185" t="n">
        <v>0</v>
      </c>
      <c r="P9185" t="n">
        <v>0</v>
      </c>
      <c r="Q9185" t="n">
        <v>0</v>
      </c>
      <c r="R9185" s="2" t="inlineStr"/>
    </row>
    <row r="9186" ht="15" customHeight="1">
      <c r="A9186" t="inlineStr">
        <is>
          <t>A 59002-2023</t>
        </is>
      </c>
      <c r="B9186" s="1" t="n">
        <v>45252</v>
      </c>
      <c r="C9186" s="1" t="n">
        <v>45587</v>
      </c>
      <c r="D9186" t="inlineStr">
        <is>
          <t>GÄVLEBORGS LÄN</t>
        </is>
      </c>
      <c r="E9186" t="inlineStr">
        <is>
          <t>HOFORS</t>
        </is>
      </c>
      <c r="F9186" t="inlineStr">
        <is>
          <t>Sveaskog</t>
        </is>
      </c>
      <c r="G9186" t="n">
        <v>4.5</v>
      </c>
      <c r="H9186" t="n">
        <v>0</v>
      </c>
      <c r="I9186" t="n">
        <v>0</v>
      </c>
      <c r="J9186" t="n">
        <v>0</v>
      </c>
      <c r="K9186" t="n">
        <v>0</v>
      </c>
      <c r="L9186" t="n">
        <v>0</v>
      </c>
      <c r="M9186" t="n">
        <v>0</v>
      </c>
      <c r="N9186" t="n">
        <v>0</v>
      </c>
      <c r="O9186" t="n">
        <v>0</v>
      </c>
      <c r="P9186" t="n">
        <v>0</v>
      </c>
      <c r="Q9186" t="n">
        <v>0</v>
      </c>
      <c r="R9186" s="2" t="inlineStr"/>
    </row>
    <row r="9187" ht="15" customHeight="1">
      <c r="A9187" t="inlineStr">
        <is>
          <t>A 59007-2023</t>
        </is>
      </c>
      <c r="B9187" s="1" t="n">
        <v>45252</v>
      </c>
      <c r="C9187" s="1" t="n">
        <v>45587</v>
      </c>
      <c r="D9187" t="inlineStr">
        <is>
          <t>GÄVLEBORGS LÄN</t>
        </is>
      </c>
      <c r="E9187" t="inlineStr">
        <is>
          <t>HOFORS</t>
        </is>
      </c>
      <c r="F9187" t="inlineStr">
        <is>
          <t>Sveaskog</t>
        </is>
      </c>
      <c r="G9187" t="n">
        <v>17.7</v>
      </c>
      <c r="H9187" t="n">
        <v>0</v>
      </c>
      <c r="I9187" t="n">
        <v>0</v>
      </c>
      <c r="J9187" t="n">
        <v>0</v>
      </c>
      <c r="K9187" t="n">
        <v>0</v>
      </c>
      <c r="L9187" t="n">
        <v>0</v>
      </c>
      <c r="M9187" t="n">
        <v>0</v>
      </c>
      <c r="N9187" t="n">
        <v>0</v>
      </c>
      <c r="O9187" t="n">
        <v>0</v>
      </c>
      <c r="P9187" t="n">
        <v>0</v>
      </c>
      <c r="Q9187" t="n">
        <v>0</v>
      </c>
      <c r="R9187" s="2" t="inlineStr"/>
    </row>
    <row r="9188" ht="15" customHeight="1">
      <c r="A9188" t="inlineStr">
        <is>
          <t>A 58791-2023</t>
        </is>
      </c>
      <c r="B9188" s="1" t="n">
        <v>45252</v>
      </c>
      <c r="C9188" s="1" t="n">
        <v>45587</v>
      </c>
      <c r="D9188" t="inlineStr">
        <is>
          <t>GÄVLEBORGS LÄN</t>
        </is>
      </c>
      <c r="E9188" t="inlineStr">
        <is>
          <t>OVANÅKER</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58837-2023</t>
        </is>
      </c>
      <c r="B9189" s="1" t="n">
        <v>45252</v>
      </c>
      <c r="C9189" s="1" t="n">
        <v>45587</v>
      </c>
      <c r="D9189" t="inlineStr">
        <is>
          <t>GÄVLEBORGS LÄN</t>
        </is>
      </c>
      <c r="E9189" t="inlineStr">
        <is>
          <t>SANDVIKEN</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58870-2023</t>
        </is>
      </c>
      <c r="B9190" s="1" t="n">
        <v>45252</v>
      </c>
      <c r="C9190" s="1" t="n">
        <v>45587</v>
      </c>
      <c r="D9190" t="inlineStr">
        <is>
          <t>GÄVLEBORGS LÄN</t>
        </is>
      </c>
      <c r="E9190" t="inlineStr">
        <is>
          <t>NORDANSTIG</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58952-2023</t>
        </is>
      </c>
      <c r="B9191" s="1" t="n">
        <v>45252</v>
      </c>
      <c r="C9191" s="1" t="n">
        <v>45587</v>
      </c>
      <c r="D9191" t="inlineStr">
        <is>
          <t>GÄVLEBORGS LÄN</t>
        </is>
      </c>
      <c r="E9191" t="inlineStr">
        <is>
          <t>BOLLNÄS</t>
        </is>
      </c>
      <c r="F9191" t="inlineStr">
        <is>
          <t>Holmen skog AB</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58980-2023</t>
        </is>
      </c>
      <c r="B9192" s="1" t="n">
        <v>45252</v>
      </c>
      <c r="C9192" s="1" t="n">
        <v>45587</v>
      </c>
      <c r="D9192" t="inlineStr">
        <is>
          <t>GÄVLEBORGS LÄN</t>
        </is>
      </c>
      <c r="E9192" t="inlineStr">
        <is>
          <t>SANDVIKEN</t>
        </is>
      </c>
      <c r="F9192" t="inlineStr">
        <is>
          <t>Bergvik skog öst AB</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59001-2023</t>
        </is>
      </c>
      <c r="B9193" s="1" t="n">
        <v>45252</v>
      </c>
      <c r="C9193" s="1" t="n">
        <v>45587</v>
      </c>
      <c r="D9193" t="inlineStr">
        <is>
          <t>GÄVLEBORGS LÄN</t>
        </is>
      </c>
      <c r="E9193" t="inlineStr">
        <is>
          <t>HOFORS</t>
        </is>
      </c>
      <c r="F9193" t="inlineStr">
        <is>
          <t>Sveaskog</t>
        </is>
      </c>
      <c r="G9193" t="n">
        <v>8.9</v>
      </c>
      <c r="H9193" t="n">
        <v>0</v>
      </c>
      <c r="I9193" t="n">
        <v>0</v>
      </c>
      <c r="J9193" t="n">
        <v>0</v>
      </c>
      <c r="K9193" t="n">
        <v>0</v>
      </c>
      <c r="L9193" t="n">
        <v>0</v>
      </c>
      <c r="M9193" t="n">
        <v>0</v>
      </c>
      <c r="N9193" t="n">
        <v>0</v>
      </c>
      <c r="O9193" t="n">
        <v>0</v>
      </c>
      <c r="P9193" t="n">
        <v>0</v>
      </c>
      <c r="Q9193" t="n">
        <v>0</v>
      </c>
      <c r="R9193" s="2" t="inlineStr"/>
    </row>
    <row r="9194" ht="15" customHeight="1">
      <c r="A9194" t="inlineStr">
        <is>
          <t>A 59063-2023</t>
        </is>
      </c>
      <c r="B9194" s="1" t="n">
        <v>45252</v>
      </c>
      <c r="C9194" s="1" t="n">
        <v>45587</v>
      </c>
      <c r="D9194" t="inlineStr">
        <is>
          <t>GÄVLEBORGS LÄN</t>
        </is>
      </c>
      <c r="E9194" t="inlineStr">
        <is>
          <t>OCKELBO</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59118-2023</t>
        </is>
      </c>
      <c r="B9195" s="1" t="n">
        <v>45253</v>
      </c>
      <c r="C9195" s="1" t="n">
        <v>45587</v>
      </c>
      <c r="D9195" t="inlineStr">
        <is>
          <t>GÄVLEBORGS LÄN</t>
        </is>
      </c>
      <c r="E9195" t="inlineStr">
        <is>
          <t>OCKELBO</t>
        </is>
      </c>
      <c r="F9195" t="inlineStr">
        <is>
          <t>Bergvik skog väst AB</t>
        </is>
      </c>
      <c r="G9195" t="n">
        <v>9.199999999999999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59143-2023</t>
        </is>
      </c>
      <c r="B9196" s="1" t="n">
        <v>45253</v>
      </c>
      <c r="C9196" s="1" t="n">
        <v>45587</v>
      </c>
      <c r="D9196" t="inlineStr">
        <is>
          <t>GÄVLEBORGS LÄN</t>
        </is>
      </c>
      <c r="E9196" t="inlineStr">
        <is>
          <t>LJUSDAL</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59196-2023</t>
        </is>
      </c>
      <c r="B9197" s="1" t="n">
        <v>45253</v>
      </c>
      <c r="C9197" s="1" t="n">
        <v>45587</v>
      </c>
      <c r="D9197" t="inlineStr">
        <is>
          <t>GÄVLEBORGS LÄN</t>
        </is>
      </c>
      <c r="E9197" t="inlineStr">
        <is>
          <t>GÄVLE</t>
        </is>
      </c>
      <c r="G9197" t="n">
        <v>6.6</v>
      </c>
      <c r="H9197" t="n">
        <v>0</v>
      </c>
      <c r="I9197" t="n">
        <v>0</v>
      </c>
      <c r="J9197" t="n">
        <v>0</v>
      </c>
      <c r="K9197" t="n">
        <v>0</v>
      </c>
      <c r="L9197" t="n">
        <v>0</v>
      </c>
      <c r="M9197" t="n">
        <v>0</v>
      </c>
      <c r="N9197" t="n">
        <v>0</v>
      </c>
      <c r="O9197" t="n">
        <v>0</v>
      </c>
      <c r="P9197" t="n">
        <v>0</v>
      </c>
      <c r="Q9197" t="n">
        <v>0</v>
      </c>
      <c r="R9197" s="2" t="inlineStr"/>
    </row>
    <row r="9198" ht="15" customHeight="1">
      <c r="A9198" t="inlineStr">
        <is>
          <t>A 59243-2023</t>
        </is>
      </c>
      <c r="B9198" s="1" t="n">
        <v>45253</v>
      </c>
      <c r="C9198" s="1" t="n">
        <v>45587</v>
      </c>
      <c r="D9198" t="inlineStr">
        <is>
          <t>GÄVLEBORGS LÄN</t>
        </is>
      </c>
      <c r="E9198" t="inlineStr">
        <is>
          <t>LJUSDAL</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59257-2023</t>
        </is>
      </c>
      <c r="B9199" s="1" t="n">
        <v>45253</v>
      </c>
      <c r="C9199" s="1" t="n">
        <v>45587</v>
      </c>
      <c r="D9199" t="inlineStr">
        <is>
          <t>GÄVLEBORGS LÄN</t>
        </is>
      </c>
      <c r="E9199" t="inlineStr">
        <is>
          <t>OVANÅKER</t>
        </is>
      </c>
      <c r="G9199" t="n">
        <v>4.4</v>
      </c>
      <c r="H9199" t="n">
        <v>0</v>
      </c>
      <c r="I9199" t="n">
        <v>0</v>
      </c>
      <c r="J9199" t="n">
        <v>0</v>
      </c>
      <c r="K9199" t="n">
        <v>0</v>
      </c>
      <c r="L9199" t="n">
        <v>0</v>
      </c>
      <c r="M9199" t="n">
        <v>0</v>
      </c>
      <c r="N9199" t="n">
        <v>0</v>
      </c>
      <c r="O9199" t="n">
        <v>0</v>
      </c>
      <c r="P9199" t="n">
        <v>0</v>
      </c>
      <c r="Q9199" t="n">
        <v>0</v>
      </c>
      <c r="R9199" s="2" t="inlineStr"/>
    </row>
    <row r="9200" ht="15" customHeight="1">
      <c r="A9200" t="inlineStr">
        <is>
          <t>A 59253-2023</t>
        </is>
      </c>
      <c r="B9200" s="1" t="n">
        <v>45253</v>
      </c>
      <c r="C9200" s="1" t="n">
        <v>45587</v>
      </c>
      <c r="D9200" t="inlineStr">
        <is>
          <t>GÄVLEBORGS LÄN</t>
        </is>
      </c>
      <c r="E9200" t="inlineStr">
        <is>
          <t>OVANÅKER</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59359-2023</t>
        </is>
      </c>
      <c r="B9201" s="1" t="n">
        <v>45253</v>
      </c>
      <c r="C9201" s="1" t="n">
        <v>45587</v>
      </c>
      <c r="D9201" t="inlineStr">
        <is>
          <t>GÄVLEBORGS LÄN</t>
        </is>
      </c>
      <c r="E9201" t="inlineStr">
        <is>
          <t>GÄVLE</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59363-2023</t>
        </is>
      </c>
      <c r="B9202" s="1" t="n">
        <v>45253</v>
      </c>
      <c r="C9202" s="1" t="n">
        <v>45587</v>
      </c>
      <c r="D9202" t="inlineStr">
        <is>
          <t>GÄVLEBORGS LÄN</t>
        </is>
      </c>
      <c r="E9202" t="inlineStr">
        <is>
          <t>GÄVLE</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59115-2023</t>
        </is>
      </c>
      <c r="B9203" s="1" t="n">
        <v>45253</v>
      </c>
      <c r="C9203" s="1" t="n">
        <v>45587</v>
      </c>
      <c r="D9203" t="inlineStr">
        <is>
          <t>GÄVLEBORGS LÄN</t>
        </is>
      </c>
      <c r="E9203" t="inlineStr">
        <is>
          <t>SÖDERHAMN</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59227-2023</t>
        </is>
      </c>
      <c r="B9204" s="1" t="n">
        <v>45253</v>
      </c>
      <c r="C9204" s="1" t="n">
        <v>45587</v>
      </c>
      <c r="D9204" t="inlineStr">
        <is>
          <t>GÄVLEBORGS LÄN</t>
        </is>
      </c>
      <c r="E9204" t="inlineStr">
        <is>
          <t>LJUSDAL</t>
        </is>
      </c>
      <c r="G9204" t="n">
        <v>11.3</v>
      </c>
      <c r="H9204" t="n">
        <v>0</v>
      </c>
      <c r="I9204" t="n">
        <v>0</v>
      </c>
      <c r="J9204" t="n">
        <v>0</v>
      </c>
      <c r="K9204" t="n">
        <v>0</v>
      </c>
      <c r="L9204" t="n">
        <v>0</v>
      </c>
      <c r="M9204" t="n">
        <v>0</v>
      </c>
      <c r="N9204" t="n">
        <v>0</v>
      </c>
      <c r="O9204" t="n">
        <v>0</v>
      </c>
      <c r="P9204" t="n">
        <v>0</v>
      </c>
      <c r="Q9204" t="n">
        <v>0</v>
      </c>
      <c r="R9204" s="2" t="inlineStr"/>
    </row>
    <row r="9205" ht="15" customHeight="1">
      <c r="A9205" t="inlineStr">
        <is>
          <t>A 59409-2023</t>
        </is>
      </c>
      <c r="B9205" s="1" t="n">
        <v>45253</v>
      </c>
      <c r="C9205" s="1" t="n">
        <v>45587</v>
      </c>
      <c r="D9205" t="inlineStr">
        <is>
          <t>GÄVLEBORGS LÄN</t>
        </is>
      </c>
      <c r="E9205" t="inlineStr">
        <is>
          <t>NORDANSTIG</t>
        </is>
      </c>
      <c r="G9205" t="n">
        <v>12.5</v>
      </c>
      <c r="H9205" t="n">
        <v>0</v>
      </c>
      <c r="I9205" t="n">
        <v>0</v>
      </c>
      <c r="J9205" t="n">
        <v>0</v>
      </c>
      <c r="K9205" t="n">
        <v>0</v>
      </c>
      <c r="L9205" t="n">
        <v>0</v>
      </c>
      <c r="M9205" t="n">
        <v>0</v>
      </c>
      <c r="N9205" t="n">
        <v>0</v>
      </c>
      <c r="O9205" t="n">
        <v>0</v>
      </c>
      <c r="P9205" t="n">
        <v>0</v>
      </c>
      <c r="Q9205" t="n">
        <v>0</v>
      </c>
      <c r="R9205" s="2" t="inlineStr"/>
    </row>
    <row r="9206" ht="15" customHeight="1">
      <c r="A9206" t="inlineStr">
        <is>
          <t>A 59453-2023</t>
        </is>
      </c>
      <c r="B9206" s="1" t="n">
        <v>45254</v>
      </c>
      <c r="C9206" s="1" t="n">
        <v>45587</v>
      </c>
      <c r="D9206" t="inlineStr">
        <is>
          <t>GÄVLEBORGS LÄN</t>
        </is>
      </c>
      <c r="E9206" t="inlineStr">
        <is>
          <t>OVANÅKER</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59467-2023</t>
        </is>
      </c>
      <c r="B9207" s="1" t="n">
        <v>45254</v>
      </c>
      <c r="C9207" s="1" t="n">
        <v>45587</v>
      </c>
      <c r="D9207" t="inlineStr">
        <is>
          <t>GÄVLEBORGS LÄN</t>
        </is>
      </c>
      <c r="E9207" t="inlineStr">
        <is>
          <t>HUDIKSVALL</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59536-2023</t>
        </is>
      </c>
      <c r="B9208" s="1" t="n">
        <v>45254</v>
      </c>
      <c r="C9208" s="1" t="n">
        <v>45587</v>
      </c>
      <c r="D9208" t="inlineStr">
        <is>
          <t>GÄVLEBORGS LÄN</t>
        </is>
      </c>
      <c r="E9208" t="inlineStr">
        <is>
          <t>HUDIKSVALL</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59569-2023</t>
        </is>
      </c>
      <c r="B9209" s="1" t="n">
        <v>45254</v>
      </c>
      <c r="C9209" s="1" t="n">
        <v>45587</v>
      </c>
      <c r="D9209" t="inlineStr">
        <is>
          <t>GÄVLEBORGS LÄN</t>
        </is>
      </c>
      <c r="E9209" t="inlineStr">
        <is>
          <t>HUDIKSVALL</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59533-2023</t>
        </is>
      </c>
      <c r="B9210" s="1" t="n">
        <v>45254</v>
      </c>
      <c r="C9210" s="1" t="n">
        <v>45587</v>
      </c>
      <c r="D9210" t="inlineStr">
        <is>
          <t>GÄVLEBORGS LÄN</t>
        </is>
      </c>
      <c r="E9210" t="inlineStr">
        <is>
          <t>OCKELBO</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59652-2023</t>
        </is>
      </c>
      <c r="B9211" s="1" t="n">
        <v>45254</v>
      </c>
      <c r="C9211" s="1" t="n">
        <v>45587</v>
      </c>
      <c r="D9211" t="inlineStr">
        <is>
          <t>GÄVLEBORGS LÄN</t>
        </is>
      </c>
      <c r="E9211" t="inlineStr">
        <is>
          <t>HUDIKSVALL</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59615-2023</t>
        </is>
      </c>
      <c r="B9212" s="1" t="n">
        <v>45254</v>
      </c>
      <c r="C9212" s="1" t="n">
        <v>45587</v>
      </c>
      <c r="D9212" t="inlineStr">
        <is>
          <t>GÄVLEBORGS LÄN</t>
        </is>
      </c>
      <c r="E9212" t="inlineStr">
        <is>
          <t>HOFORS</t>
        </is>
      </c>
      <c r="F9212" t="inlineStr">
        <is>
          <t>Sveaskog</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59654-2023</t>
        </is>
      </c>
      <c r="B9213" s="1" t="n">
        <v>45254</v>
      </c>
      <c r="C9213" s="1" t="n">
        <v>45587</v>
      </c>
      <c r="D9213" t="inlineStr">
        <is>
          <t>GÄVLEBORGS LÄN</t>
        </is>
      </c>
      <c r="E9213" t="inlineStr">
        <is>
          <t>HUDIKSVALL</t>
        </is>
      </c>
      <c r="G9213" t="n">
        <v>30.9</v>
      </c>
      <c r="H9213" t="n">
        <v>0</v>
      </c>
      <c r="I9213" t="n">
        <v>0</v>
      </c>
      <c r="J9213" t="n">
        <v>0</v>
      </c>
      <c r="K9213" t="n">
        <v>0</v>
      </c>
      <c r="L9213" t="n">
        <v>0</v>
      </c>
      <c r="M9213" t="n">
        <v>0</v>
      </c>
      <c r="N9213" t="n">
        <v>0</v>
      </c>
      <c r="O9213" t="n">
        <v>0</v>
      </c>
      <c r="P9213" t="n">
        <v>0</v>
      </c>
      <c r="Q9213" t="n">
        <v>0</v>
      </c>
      <c r="R9213" s="2" t="inlineStr"/>
    </row>
    <row r="9214" ht="15" customHeight="1">
      <c r="A9214" t="inlineStr">
        <is>
          <t>A 59901-2023</t>
        </is>
      </c>
      <c r="B9214" s="1" t="n">
        <v>45254</v>
      </c>
      <c r="C9214" s="1" t="n">
        <v>45587</v>
      </c>
      <c r="D9214" t="inlineStr">
        <is>
          <t>GÄVLEBORGS LÄN</t>
        </is>
      </c>
      <c r="E9214" t="inlineStr">
        <is>
          <t>OCKELBO</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59922-2023</t>
        </is>
      </c>
      <c r="B9215" s="1" t="n">
        <v>45254</v>
      </c>
      <c r="C9215" s="1" t="n">
        <v>45587</v>
      </c>
      <c r="D9215" t="inlineStr">
        <is>
          <t>GÄVLEBORGS LÄN</t>
        </is>
      </c>
      <c r="E9215" t="inlineStr">
        <is>
          <t>SÖDERHAMN</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59672-2023</t>
        </is>
      </c>
      <c r="B9216" s="1" t="n">
        <v>45255</v>
      </c>
      <c r="C9216" s="1" t="n">
        <v>45587</v>
      </c>
      <c r="D9216" t="inlineStr">
        <is>
          <t>GÄVLEBORGS LÄN</t>
        </is>
      </c>
      <c r="E9216" t="inlineStr">
        <is>
          <t>GÄVLE</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59917-2023</t>
        </is>
      </c>
      <c r="B9217" s="1" t="n">
        <v>45254</v>
      </c>
      <c r="C9217" s="1" t="n">
        <v>45587</v>
      </c>
      <c r="D9217" t="inlineStr">
        <is>
          <t>GÄVLEBORGS LÄN</t>
        </is>
      </c>
      <c r="E9217" t="inlineStr">
        <is>
          <t>SÖDERHAMN</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59902-2023</t>
        </is>
      </c>
      <c r="B9218" s="1" t="n">
        <v>45254</v>
      </c>
      <c r="C9218" s="1" t="n">
        <v>45587</v>
      </c>
      <c r="D9218" t="inlineStr">
        <is>
          <t>GÄVLEBORGS LÄN</t>
        </is>
      </c>
      <c r="E9218" t="inlineStr">
        <is>
          <t>OCKELBO</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59978-2023</t>
        </is>
      </c>
      <c r="B9219" s="1" t="n">
        <v>45254</v>
      </c>
      <c r="C9219" s="1" t="n">
        <v>45587</v>
      </c>
      <c r="D9219" t="inlineStr">
        <is>
          <t>GÄVLEBORGS LÄN</t>
        </is>
      </c>
      <c r="E9219" t="inlineStr">
        <is>
          <t>OCKELBO</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59976-2023</t>
        </is>
      </c>
      <c r="B9220" s="1" t="n">
        <v>45254</v>
      </c>
      <c r="C9220" s="1" t="n">
        <v>45587</v>
      </c>
      <c r="D9220" t="inlineStr">
        <is>
          <t>GÄVLEBORGS LÄN</t>
        </is>
      </c>
      <c r="E9220" t="inlineStr">
        <is>
          <t>OCKELBO</t>
        </is>
      </c>
      <c r="G9220" t="n">
        <v>5.1</v>
      </c>
      <c r="H9220" t="n">
        <v>0</v>
      </c>
      <c r="I9220" t="n">
        <v>0</v>
      </c>
      <c r="J9220" t="n">
        <v>0</v>
      </c>
      <c r="K9220" t="n">
        <v>0</v>
      </c>
      <c r="L9220" t="n">
        <v>0</v>
      </c>
      <c r="M9220" t="n">
        <v>0</v>
      </c>
      <c r="N9220" t="n">
        <v>0</v>
      </c>
      <c r="O9220" t="n">
        <v>0</v>
      </c>
      <c r="P9220" t="n">
        <v>0</v>
      </c>
      <c r="Q9220" t="n">
        <v>0</v>
      </c>
      <c r="R9220" s="2" t="inlineStr"/>
    </row>
    <row r="9221" ht="15" customHeight="1">
      <c r="A9221" t="inlineStr">
        <is>
          <t>A 59590-2023</t>
        </is>
      </c>
      <c r="B9221" s="1" t="n">
        <v>45254</v>
      </c>
      <c r="C9221" s="1" t="n">
        <v>45587</v>
      </c>
      <c r="D9221" t="inlineStr">
        <is>
          <t>GÄVLEBORGS LÄN</t>
        </is>
      </c>
      <c r="E9221" t="inlineStr">
        <is>
          <t>LJUSDAL</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59616-2023</t>
        </is>
      </c>
      <c r="B9222" s="1" t="n">
        <v>45254</v>
      </c>
      <c r="C9222" s="1" t="n">
        <v>45587</v>
      </c>
      <c r="D9222" t="inlineStr">
        <is>
          <t>GÄVLEBORGS LÄN</t>
        </is>
      </c>
      <c r="E9222" t="inlineStr">
        <is>
          <t>SANDVIKEN</t>
        </is>
      </c>
      <c r="F9222" t="inlineStr">
        <is>
          <t>Sveaskog</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59817-2023</t>
        </is>
      </c>
      <c r="B9223" s="1" t="n">
        <v>45257</v>
      </c>
      <c r="C9223" s="1" t="n">
        <v>45587</v>
      </c>
      <c r="D9223" t="inlineStr">
        <is>
          <t>GÄVLEBORGS LÄN</t>
        </is>
      </c>
      <c r="E9223" t="inlineStr">
        <is>
          <t>GÄVLE</t>
        </is>
      </c>
      <c r="F9223" t="inlineStr">
        <is>
          <t>Bergvik skog väst AB</t>
        </is>
      </c>
      <c r="G9223" t="n">
        <v>0.4</v>
      </c>
      <c r="H9223" t="n">
        <v>0</v>
      </c>
      <c r="I9223" t="n">
        <v>0</v>
      </c>
      <c r="J9223" t="n">
        <v>0</v>
      </c>
      <c r="K9223" t="n">
        <v>0</v>
      </c>
      <c r="L9223" t="n">
        <v>0</v>
      </c>
      <c r="M9223" t="n">
        <v>0</v>
      </c>
      <c r="N9223" t="n">
        <v>0</v>
      </c>
      <c r="O9223" t="n">
        <v>0</v>
      </c>
      <c r="P9223" t="n">
        <v>0</v>
      </c>
      <c r="Q9223" t="n">
        <v>0</v>
      </c>
      <c r="R9223" s="2" t="inlineStr"/>
    </row>
    <row r="9224" ht="15" customHeight="1">
      <c r="A9224" t="inlineStr">
        <is>
          <t>A 59841-2023</t>
        </is>
      </c>
      <c r="B9224" s="1" t="n">
        <v>45257</v>
      </c>
      <c r="C9224" s="1" t="n">
        <v>45587</v>
      </c>
      <c r="D9224" t="inlineStr">
        <is>
          <t>GÄVLEBORGS LÄN</t>
        </is>
      </c>
      <c r="E9224" t="inlineStr">
        <is>
          <t>SANDVIKEN</t>
        </is>
      </c>
      <c r="F9224" t="inlineStr">
        <is>
          <t>Bergvik skog öst AB</t>
        </is>
      </c>
      <c r="G9224" t="n">
        <v>3.9</v>
      </c>
      <c r="H9224" t="n">
        <v>0</v>
      </c>
      <c r="I9224" t="n">
        <v>0</v>
      </c>
      <c r="J9224" t="n">
        <v>0</v>
      </c>
      <c r="K9224" t="n">
        <v>0</v>
      </c>
      <c r="L9224" t="n">
        <v>0</v>
      </c>
      <c r="M9224" t="n">
        <v>0</v>
      </c>
      <c r="N9224" t="n">
        <v>0</v>
      </c>
      <c r="O9224" t="n">
        <v>0</v>
      </c>
      <c r="P9224" t="n">
        <v>0</v>
      </c>
      <c r="Q9224" t="n">
        <v>0</v>
      </c>
      <c r="R9224" s="2" t="inlineStr"/>
    </row>
    <row r="9225" ht="15" customHeight="1">
      <c r="A9225" t="inlineStr">
        <is>
          <t>A 59860-2023</t>
        </is>
      </c>
      <c r="B9225" s="1" t="n">
        <v>45257</v>
      </c>
      <c r="C9225" s="1" t="n">
        <v>45587</v>
      </c>
      <c r="D9225" t="inlineStr">
        <is>
          <t>GÄVLEBORGS LÄN</t>
        </is>
      </c>
      <c r="E9225" t="inlineStr">
        <is>
          <t>HUDIKSVALL</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59869-2023</t>
        </is>
      </c>
      <c r="B9226" s="1" t="n">
        <v>45257</v>
      </c>
      <c r="C9226" s="1" t="n">
        <v>45587</v>
      </c>
      <c r="D9226" t="inlineStr">
        <is>
          <t>GÄVLEBORGS LÄN</t>
        </is>
      </c>
      <c r="E9226" t="inlineStr">
        <is>
          <t>SÖDERHAMN</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59875-2023</t>
        </is>
      </c>
      <c r="B9227" s="1" t="n">
        <v>45257</v>
      </c>
      <c r="C9227" s="1" t="n">
        <v>45587</v>
      </c>
      <c r="D9227" t="inlineStr">
        <is>
          <t>GÄVLEBORGS LÄN</t>
        </is>
      </c>
      <c r="E9227" t="inlineStr">
        <is>
          <t>HUDIKSVALL</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59912-2023</t>
        </is>
      </c>
      <c r="B9228" s="1" t="n">
        <v>45257</v>
      </c>
      <c r="C9228" s="1" t="n">
        <v>45587</v>
      </c>
      <c r="D9228" t="inlineStr">
        <is>
          <t>GÄVLEBORGS LÄN</t>
        </is>
      </c>
      <c r="E9228" t="inlineStr">
        <is>
          <t>OVANÅKER</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59720-2023</t>
        </is>
      </c>
      <c r="B9229" s="1" t="n">
        <v>45257</v>
      </c>
      <c r="C9229" s="1" t="n">
        <v>45587</v>
      </c>
      <c r="D9229" t="inlineStr">
        <is>
          <t>GÄVLEBORGS LÄN</t>
        </is>
      </c>
      <c r="E9229" t="inlineStr">
        <is>
          <t>OVANÅKER</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59744-2023</t>
        </is>
      </c>
      <c r="B9230" s="1" t="n">
        <v>45257</v>
      </c>
      <c r="C9230" s="1" t="n">
        <v>45587</v>
      </c>
      <c r="D9230" t="inlineStr">
        <is>
          <t>GÄVLEBORGS LÄN</t>
        </is>
      </c>
      <c r="E9230" t="inlineStr">
        <is>
          <t>BOLLNÄS</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59848-2023</t>
        </is>
      </c>
      <c r="B9231" s="1" t="n">
        <v>45257</v>
      </c>
      <c r="C9231" s="1" t="n">
        <v>45587</v>
      </c>
      <c r="D9231" t="inlineStr">
        <is>
          <t>GÄVLEBORGS LÄN</t>
        </is>
      </c>
      <c r="E9231" t="inlineStr">
        <is>
          <t>HUDIKSVALL</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59852-2023</t>
        </is>
      </c>
      <c r="B9232" s="1" t="n">
        <v>45257</v>
      </c>
      <c r="C9232" s="1" t="n">
        <v>45587</v>
      </c>
      <c r="D9232" t="inlineStr">
        <is>
          <t>GÄVLEBORGS LÄN</t>
        </is>
      </c>
      <c r="E9232" t="inlineStr">
        <is>
          <t>HUDIKSVALL</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59867-2023</t>
        </is>
      </c>
      <c r="B9233" s="1" t="n">
        <v>45257</v>
      </c>
      <c r="C9233" s="1" t="n">
        <v>45587</v>
      </c>
      <c r="D9233" t="inlineStr">
        <is>
          <t>GÄVLEBORGS LÄN</t>
        </is>
      </c>
      <c r="E9233" t="inlineStr">
        <is>
          <t>HUDIKSVALL</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59882-2023</t>
        </is>
      </c>
      <c r="B9234" s="1" t="n">
        <v>45257</v>
      </c>
      <c r="C9234" s="1" t="n">
        <v>45587</v>
      </c>
      <c r="D9234" t="inlineStr">
        <is>
          <t>GÄVLEBORGS LÄN</t>
        </is>
      </c>
      <c r="E9234" t="inlineStr">
        <is>
          <t>HOFORS</t>
        </is>
      </c>
      <c r="F9234" t="inlineStr">
        <is>
          <t>Sveaskog</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59894-2023</t>
        </is>
      </c>
      <c r="B9235" s="1" t="n">
        <v>45257</v>
      </c>
      <c r="C9235" s="1" t="n">
        <v>45587</v>
      </c>
      <c r="D9235" t="inlineStr">
        <is>
          <t>GÄVLEBORGS LÄN</t>
        </is>
      </c>
      <c r="E9235" t="inlineStr">
        <is>
          <t>SANDVIKEN</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59729-2023</t>
        </is>
      </c>
      <c r="B9236" s="1" t="n">
        <v>45257</v>
      </c>
      <c r="C9236" s="1" t="n">
        <v>45587</v>
      </c>
      <c r="D9236" t="inlineStr">
        <is>
          <t>GÄVLEBORGS LÄN</t>
        </is>
      </c>
      <c r="E9236" t="inlineStr">
        <is>
          <t>OVANÅKER</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59914-2023</t>
        </is>
      </c>
      <c r="B9237" s="1" t="n">
        <v>45257</v>
      </c>
      <c r="C9237" s="1" t="n">
        <v>45587</v>
      </c>
      <c r="D9237" t="inlineStr">
        <is>
          <t>GÄVLEBORGS LÄN</t>
        </is>
      </c>
      <c r="E9237" t="inlineStr">
        <is>
          <t>HUDIKSVALL</t>
        </is>
      </c>
      <c r="G9237" t="n">
        <v>6.5</v>
      </c>
      <c r="H9237" t="n">
        <v>0</v>
      </c>
      <c r="I9237" t="n">
        <v>0</v>
      </c>
      <c r="J9237" t="n">
        <v>0</v>
      </c>
      <c r="K9237" t="n">
        <v>0</v>
      </c>
      <c r="L9237" t="n">
        <v>0</v>
      </c>
      <c r="M9237" t="n">
        <v>0</v>
      </c>
      <c r="N9237" t="n">
        <v>0</v>
      </c>
      <c r="O9237" t="n">
        <v>0</v>
      </c>
      <c r="P9237" t="n">
        <v>0</v>
      </c>
      <c r="Q9237" t="n">
        <v>0</v>
      </c>
      <c r="R9237" s="2" t="inlineStr"/>
    </row>
    <row r="9238" ht="15" customHeight="1">
      <c r="A9238" t="inlineStr">
        <is>
          <t>A 59796-2023</t>
        </is>
      </c>
      <c r="B9238" s="1" t="n">
        <v>45257</v>
      </c>
      <c r="C9238" s="1" t="n">
        <v>45587</v>
      </c>
      <c r="D9238" t="inlineStr">
        <is>
          <t>GÄVLEBORGS LÄN</t>
        </is>
      </c>
      <c r="E9238" t="inlineStr">
        <is>
          <t>SÖDERHAMN</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59806-2023</t>
        </is>
      </c>
      <c r="B9239" s="1" t="n">
        <v>45257</v>
      </c>
      <c r="C9239" s="1" t="n">
        <v>45587</v>
      </c>
      <c r="D9239" t="inlineStr">
        <is>
          <t>GÄVLEBORGS LÄN</t>
        </is>
      </c>
      <c r="E9239" t="inlineStr">
        <is>
          <t>GÄVLE</t>
        </is>
      </c>
      <c r="G9239" t="n">
        <v>8.699999999999999</v>
      </c>
      <c r="H9239" t="n">
        <v>0</v>
      </c>
      <c r="I9239" t="n">
        <v>0</v>
      </c>
      <c r="J9239" t="n">
        <v>0</v>
      </c>
      <c r="K9239" t="n">
        <v>0</v>
      </c>
      <c r="L9239" t="n">
        <v>0</v>
      </c>
      <c r="M9239" t="n">
        <v>0</v>
      </c>
      <c r="N9239" t="n">
        <v>0</v>
      </c>
      <c r="O9239" t="n">
        <v>0</v>
      </c>
      <c r="P9239" t="n">
        <v>0</v>
      </c>
      <c r="Q9239" t="n">
        <v>0</v>
      </c>
      <c r="R9239" s="2" t="inlineStr"/>
    </row>
    <row r="9240" ht="15" customHeight="1">
      <c r="A9240" t="inlineStr">
        <is>
          <t>A 59812-2023</t>
        </is>
      </c>
      <c r="B9240" s="1" t="n">
        <v>45257</v>
      </c>
      <c r="C9240" s="1" t="n">
        <v>45587</v>
      </c>
      <c r="D9240" t="inlineStr">
        <is>
          <t>GÄVLEBORGS LÄN</t>
        </is>
      </c>
      <c r="E9240" t="inlineStr">
        <is>
          <t>GÄVLE</t>
        </is>
      </c>
      <c r="F9240" t="inlineStr">
        <is>
          <t>Bergvik skog väst AB</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59776-2023</t>
        </is>
      </c>
      <c r="B9241" s="1" t="n">
        <v>45257</v>
      </c>
      <c r="C9241" s="1" t="n">
        <v>45587</v>
      </c>
      <c r="D9241" t="inlineStr">
        <is>
          <t>GÄVLEBORGS LÄN</t>
        </is>
      </c>
      <c r="E9241" t="inlineStr">
        <is>
          <t>SÖDERHAMN</t>
        </is>
      </c>
      <c r="G9241" t="n">
        <v>4.1</v>
      </c>
      <c r="H9241" t="n">
        <v>0</v>
      </c>
      <c r="I9241" t="n">
        <v>0</v>
      </c>
      <c r="J9241" t="n">
        <v>0</v>
      </c>
      <c r="K9241" t="n">
        <v>0</v>
      </c>
      <c r="L9241" t="n">
        <v>0</v>
      </c>
      <c r="M9241" t="n">
        <v>0</v>
      </c>
      <c r="N9241" t="n">
        <v>0</v>
      </c>
      <c r="O9241" t="n">
        <v>0</v>
      </c>
      <c r="P9241" t="n">
        <v>0</v>
      </c>
      <c r="Q9241" t="n">
        <v>0</v>
      </c>
      <c r="R9241" s="2" t="inlineStr"/>
    </row>
    <row r="9242" ht="15" customHeight="1">
      <c r="A9242" t="inlineStr">
        <is>
          <t>A 59816-2023</t>
        </is>
      </c>
      <c r="B9242" s="1" t="n">
        <v>45257</v>
      </c>
      <c r="C9242" s="1" t="n">
        <v>45587</v>
      </c>
      <c r="D9242" t="inlineStr">
        <is>
          <t>GÄVLEBORGS LÄN</t>
        </is>
      </c>
      <c r="E9242" t="inlineStr">
        <is>
          <t>GÄVLE</t>
        </is>
      </c>
      <c r="F9242" t="inlineStr">
        <is>
          <t>Bergvik skog väst AB</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59853-2023</t>
        </is>
      </c>
      <c r="B9243" s="1" t="n">
        <v>45257</v>
      </c>
      <c r="C9243" s="1" t="n">
        <v>45587</v>
      </c>
      <c r="D9243" t="inlineStr">
        <is>
          <t>GÄVLEBORGS LÄN</t>
        </is>
      </c>
      <c r="E9243" t="inlineStr">
        <is>
          <t>SÖDERHAMN</t>
        </is>
      </c>
      <c r="G9243" t="n">
        <v>5.3</v>
      </c>
      <c r="H9243" t="n">
        <v>0</v>
      </c>
      <c r="I9243" t="n">
        <v>0</v>
      </c>
      <c r="J9243" t="n">
        <v>0</v>
      </c>
      <c r="K9243" t="n">
        <v>0</v>
      </c>
      <c r="L9243" t="n">
        <v>0</v>
      </c>
      <c r="M9243" t="n">
        <v>0</v>
      </c>
      <c r="N9243" t="n">
        <v>0</v>
      </c>
      <c r="O9243" t="n">
        <v>0</v>
      </c>
      <c r="P9243" t="n">
        <v>0</v>
      </c>
      <c r="Q9243" t="n">
        <v>0</v>
      </c>
      <c r="R9243" s="2" t="inlineStr"/>
    </row>
    <row r="9244" ht="15" customHeight="1">
      <c r="A9244" t="inlineStr">
        <is>
          <t>A 59883-2023</t>
        </is>
      </c>
      <c r="B9244" s="1" t="n">
        <v>45257</v>
      </c>
      <c r="C9244" s="1" t="n">
        <v>45587</v>
      </c>
      <c r="D9244" t="inlineStr">
        <is>
          <t>GÄVLEBORGS LÄN</t>
        </is>
      </c>
      <c r="E9244" t="inlineStr">
        <is>
          <t>LJUSDAL</t>
        </is>
      </c>
      <c r="G9244" t="n">
        <v>16.6</v>
      </c>
      <c r="H9244" t="n">
        <v>0</v>
      </c>
      <c r="I9244" t="n">
        <v>0</v>
      </c>
      <c r="J9244" t="n">
        <v>0</v>
      </c>
      <c r="K9244" t="n">
        <v>0</v>
      </c>
      <c r="L9244" t="n">
        <v>0</v>
      </c>
      <c r="M9244" t="n">
        <v>0</v>
      </c>
      <c r="N9244" t="n">
        <v>0</v>
      </c>
      <c r="O9244" t="n">
        <v>0</v>
      </c>
      <c r="P9244" t="n">
        <v>0</v>
      </c>
      <c r="Q9244" t="n">
        <v>0</v>
      </c>
      <c r="R9244" s="2" t="inlineStr"/>
    </row>
    <row r="9245" ht="15" customHeight="1">
      <c r="A9245" t="inlineStr">
        <is>
          <t>A 59900-2023</t>
        </is>
      </c>
      <c r="B9245" s="1" t="n">
        <v>45257</v>
      </c>
      <c r="C9245" s="1" t="n">
        <v>45587</v>
      </c>
      <c r="D9245" t="inlineStr">
        <is>
          <t>GÄVLEBORGS LÄN</t>
        </is>
      </c>
      <c r="E9245" t="inlineStr">
        <is>
          <t>LJUSDAL</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59931-2023</t>
        </is>
      </c>
      <c r="B9246" s="1" t="n">
        <v>45257</v>
      </c>
      <c r="C9246" s="1" t="n">
        <v>45587</v>
      </c>
      <c r="D9246" t="inlineStr">
        <is>
          <t>GÄVLEBORGS LÄN</t>
        </is>
      </c>
      <c r="E9246" t="inlineStr">
        <is>
          <t>LJUSDAL</t>
        </is>
      </c>
      <c r="G9246" t="n">
        <v>4.2</v>
      </c>
      <c r="H9246" t="n">
        <v>0</v>
      </c>
      <c r="I9246" t="n">
        <v>0</v>
      </c>
      <c r="J9246" t="n">
        <v>0</v>
      </c>
      <c r="K9246" t="n">
        <v>0</v>
      </c>
      <c r="L9246" t="n">
        <v>0</v>
      </c>
      <c r="M9246" t="n">
        <v>0</v>
      </c>
      <c r="N9246" t="n">
        <v>0</v>
      </c>
      <c r="O9246" t="n">
        <v>0</v>
      </c>
      <c r="P9246" t="n">
        <v>0</v>
      </c>
      <c r="Q9246" t="n">
        <v>0</v>
      </c>
      <c r="R9246" s="2" t="inlineStr"/>
    </row>
    <row r="9247" ht="15" customHeight="1">
      <c r="A9247" t="inlineStr">
        <is>
          <t>A 59783-2023</t>
        </is>
      </c>
      <c r="B9247" s="1" t="n">
        <v>45257</v>
      </c>
      <c r="C9247" s="1" t="n">
        <v>45587</v>
      </c>
      <c r="D9247" t="inlineStr">
        <is>
          <t>GÄVLEBORGS LÄN</t>
        </is>
      </c>
      <c r="E9247" t="inlineStr">
        <is>
          <t>SÖDERHAMN</t>
        </is>
      </c>
      <c r="G9247" t="n">
        <v>3.1</v>
      </c>
      <c r="H9247" t="n">
        <v>0</v>
      </c>
      <c r="I9247" t="n">
        <v>0</v>
      </c>
      <c r="J9247" t="n">
        <v>0</v>
      </c>
      <c r="K9247" t="n">
        <v>0</v>
      </c>
      <c r="L9247" t="n">
        <v>0</v>
      </c>
      <c r="M9247" t="n">
        <v>0</v>
      </c>
      <c r="N9247" t="n">
        <v>0</v>
      </c>
      <c r="O9247" t="n">
        <v>0</v>
      </c>
      <c r="P9247" t="n">
        <v>0</v>
      </c>
      <c r="Q9247" t="n">
        <v>0</v>
      </c>
      <c r="R9247" s="2" t="inlineStr"/>
    </row>
    <row r="9248" ht="15" customHeight="1">
      <c r="A9248" t="inlineStr">
        <is>
          <t>A 59773-2023</t>
        </is>
      </c>
      <c r="B9248" s="1" t="n">
        <v>45257</v>
      </c>
      <c r="C9248" s="1" t="n">
        <v>45587</v>
      </c>
      <c r="D9248" t="inlineStr">
        <is>
          <t>GÄVLEBORGS LÄN</t>
        </is>
      </c>
      <c r="E9248" t="inlineStr">
        <is>
          <t>HUDIKSVALL</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59740-2023</t>
        </is>
      </c>
      <c r="B9249" s="1" t="n">
        <v>45257</v>
      </c>
      <c r="C9249" s="1" t="n">
        <v>45587</v>
      </c>
      <c r="D9249" t="inlineStr">
        <is>
          <t>GÄVLEBORGS LÄN</t>
        </is>
      </c>
      <c r="E9249" t="inlineStr">
        <is>
          <t>BOLLNÄS</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59723-2023</t>
        </is>
      </c>
      <c r="B9250" s="1" t="n">
        <v>45257</v>
      </c>
      <c r="C9250" s="1" t="n">
        <v>45587</v>
      </c>
      <c r="D9250" t="inlineStr">
        <is>
          <t>GÄVLEBORGS LÄN</t>
        </is>
      </c>
      <c r="E9250" t="inlineStr">
        <is>
          <t>OVANÅKER</t>
        </is>
      </c>
      <c r="G9250" t="n">
        <v>3.1</v>
      </c>
      <c r="H9250" t="n">
        <v>0</v>
      </c>
      <c r="I9250" t="n">
        <v>0</v>
      </c>
      <c r="J9250" t="n">
        <v>0</v>
      </c>
      <c r="K9250" t="n">
        <v>0</v>
      </c>
      <c r="L9250" t="n">
        <v>0</v>
      </c>
      <c r="M9250" t="n">
        <v>0</v>
      </c>
      <c r="N9250" t="n">
        <v>0</v>
      </c>
      <c r="O9250" t="n">
        <v>0</v>
      </c>
      <c r="P9250" t="n">
        <v>0</v>
      </c>
      <c r="Q9250" t="n">
        <v>0</v>
      </c>
      <c r="R9250" s="2" t="inlineStr"/>
    </row>
    <row r="9251" ht="15" customHeight="1">
      <c r="A9251" t="inlineStr">
        <is>
          <t>A 59719-2023</t>
        </is>
      </c>
      <c r="B9251" s="1" t="n">
        <v>45257</v>
      </c>
      <c r="C9251" s="1" t="n">
        <v>45587</v>
      </c>
      <c r="D9251" t="inlineStr">
        <is>
          <t>GÄVLEBORGS LÄN</t>
        </is>
      </c>
      <c r="E9251" t="inlineStr">
        <is>
          <t>OVANÅKER</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59950-2023</t>
        </is>
      </c>
      <c r="B9252" s="1" t="n">
        <v>45257</v>
      </c>
      <c r="C9252" s="1" t="n">
        <v>45587</v>
      </c>
      <c r="D9252" t="inlineStr">
        <is>
          <t>GÄVLEBORGS LÄN</t>
        </is>
      </c>
      <c r="E9252" t="inlineStr">
        <is>
          <t>BOLLNÄS</t>
        </is>
      </c>
      <c r="G9252" t="n">
        <v>5.1</v>
      </c>
      <c r="H9252" t="n">
        <v>0</v>
      </c>
      <c r="I9252" t="n">
        <v>0</v>
      </c>
      <c r="J9252" t="n">
        <v>0</v>
      </c>
      <c r="K9252" t="n">
        <v>0</v>
      </c>
      <c r="L9252" t="n">
        <v>0</v>
      </c>
      <c r="M9252" t="n">
        <v>0</v>
      </c>
      <c r="N9252" t="n">
        <v>0</v>
      </c>
      <c r="O9252" t="n">
        <v>0</v>
      </c>
      <c r="P9252" t="n">
        <v>0</v>
      </c>
      <c r="Q9252" t="n">
        <v>0</v>
      </c>
      <c r="R9252" s="2" t="inlineStr"/>
    </row>
    <row r="9253" ht="15" customHeight="1">
      <c r="A9253" t="inlineStr">
        <is>
          <t>A 59851-2023</t>
        </is>
      </c>
      <c r="B9253" s="1" t="n">
        <v>45257</v>
      </c>
      <c r="C9253" s="1" t="n">
        <v>45587</v>
      </c>
      <c r="D9253" t="inlineStr">
        <is>
          <t>GÄVLEBORGS LÄN</t>
        </is>
      </c>
      <c r="E9253" t="inlineStr">
        <is>
          <t>HUDIKSVALL</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59861-2023</t>
        </is>
      </c>
      <c r="B9254" s="1" t="n">
        <v>45257</v>
      </c>
      <c r="C9254" s="1" t="n">
        <v>45587</v>
      </c>
      <c r="D9254" t="inlineStr">
        <is>
          <t>GÄVLEBORGS LÄN</t>
        </is>
      </c>
      <c r="E9254" t="inlineStr">
        <is>
          <t>GÄVLE</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59886-2023</t>
        </is>
      </c>
      <c r="B9255" s="1" t="n">
        <v>45257</v>
      </c>
      <c r="C9255" s="1" t="n">
        <v>45587</v>
      </c>
      <c r="D9255" t="inlineStr">
        <is>
          <t>GÄVLEBORGS LÄN</t>
        </is>
      </c>
      <c r="E9255" t="inlineStr">
        <is>
          <t>HOFORS</t>
        </is>
      </c>
      <c r="F9255" t="inlineStr">
        <is>
          <t>Sveaskog</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59951-2023</t>
        </is>
      </c>
      <c r="B9256" s="1" t="n">
        <v>45257</v>
      </c>
      <c r="C9256" s="1" t="n">
        <v>45587</v>
      </c>
      <c r="D9256" t="inlineStr">
        <is>
          <t>GÄVLEBORGS LÄN</t>
        </is>
      </c>
      <c r="E9256" t="inlineStr">
        <is>
          <t>NORDANSTIG</t>
        </is>
      </c>
      <c r="F9256" t="inlineStr">
        <is>
          <t>Holmen skog AB</t>
        </is>
      </c>
      <c r="G9256" t="n">
        <v>13.4</v>
      </c>
      <c r="H9256" t="n">
        <v>0</v>
      </c>
      <c r="I9256" t="n">
        <v>0</v>
      </c>
      <c r="J9256" t="n">
        <v>0</v>
      </c>
      <c r="K9256" t="n">
        <v>0</v>
      </c>
      <c r="L9256" t="n">
        <v>0</v>
      </c>
      <c r="M9256" t="n">
        <v>0</v>
      </c>
      <c r="N9256" t="n">
        <v>0</v>
      </c>
      <c r="O9256" t="n">
        <v>0</v>
      </c>
      <c r="P9256" t="n">
        <v>0</v>
      </c>
      <c r="Q9256" t="n">
        <v>0</v>
      </c>
      <c r="R9256" s="2" t="inlineStr"/>
    </row>
    <row r="9257" ht="15" customHeight="1">
      <c r="A9257" t="inlineStr">
        <is>
          <t>A 59960-2023</t>
        </is>
      </c>
      <c r="B9257" s="1" t="n">
        <v>45257</v>
      </c>
      <c r="C9257" s="1" t="n">
        <v>45587</v>
      </c>
      <c r="D9257" t="inlineStr">
        <is>
          <t>GÄVLEBORGS LÄN</t>
        </is>
      </c>
      <c r="E9257" t="inlineStr">
        <is>
          <t>OCKELBO</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60030-2023</t>
        </is>
      </c>
      <c r="B9258" s="1" t="n">
        <v>45258</v>
      </c>
      <c r="C9258" s="1" t="n">
        <v>45587</v>
      </c>
      <c r="D9258" t="inlineStr">
        <is>
          <t>GÄVLEBORGS LÄN</t>
        </is>
      </c>
      <c r="E9258" t="inlineStr">
        <is>
          <t>HUDIKSVALL</t>
        </is>
      </c>
      <c r="F9258" t="inlineStr">
        <is>
          <t>Holmen skog AB</t>
        </is>
      </c>
      <c r="G9258" t="n">
        <v>3.7</v>
      </c>
      <c r="H9258" t="n">
        <v>0</v>
      </c>
      <c r="I9258" t="n">
        <v>0</v>
      </c>
      <c r="J9258" t="n">
        <v>0</v>
      </c>
      <c r="K9258" t="n">
        <v>0</v>
      </c>
      <c r="L9258" t="n">
        <v>0</v>
      </c>
      <c r="M9258" t="n">
        <v>0</v>
      </c>
      <c r="N9258" t="n">
        <v>0</v>
      </c>
      <c r="O9258" t="n">
        <v>0</v>
      </c>
      <c r="P9258" t="n">
        <v>0</v>
      </c>
      <c r="Q9258" t="n">
        <v>0</v>
      </c>
      <c r="R9258" s="2" t="inlineStr"/>
    </row>
    <row r="9259" ht="15" customHeight="1">
      <c r="A9259" t="inlineStr">
        <is>
          <t>A 60041-2023</t>
        </is>
      </c>
      <c r="B9259" s="1" t="n">
        <v>45258</v>
      </c>
      <c r="C9259" s="1" t="n">
        <v>45587</v>
      </c>
      <c r="D9259" t="inlineStr">
        <is>
          <t>GÄVLEBORGS LÄN</t>
        </is>
      </c>
      <c r="E9259" t="inlineStr">
        <is>
          <t>NORDANSTIG</t>
        </is>
      </c>
      <c r="G9259" t="n">
        <v>7.2</v>
      </c>
      <c r="H9259" t="n">
        <v>0</v>
      </c>
      <c r="I9259" t="n">
        <v>0</v>
      </c>
      <c r="J9259" t="n">
        <v>0</v>
      </c>
      <c r="K9259" t="n">
        <v>0</v>
      </c>
      <c r="L9259" t="n">
        <v>0</v>
      </c>
      <c r="M9259" t="n">
        <v>0</v>
      </c>
      <c r="N9259" t="n">
        <v>0</v>
      </c>
      <c r="O9259" t="n">
        <v>0</v>
      </c>
      <c r="P9259" t="n">
        <v>0</v>
      </c>
      <c r="Q9259" t="n">
        <v>0</v>
      </c>
      <c r="R9259" s="2" t="inlineStr"/>
    </row>
    <row r="9260" ht="15" customHeight="1">
      <c r="A9260" t="inlineStr">
        <is>
          <t>A 60090-2023</t>
        </is>
      </c>
      <c r="B9260" s="1" t="n">
        <v>45258</v>
      </c>
      <c r="C9260" s="1" t="n">
        <v>45587</v>
      </c>
      <c r="D9260" t="inlineStr">
        <is>
          <t>GÄVLEBORGS LÄN</t>
        </is>
      </c>
      <c r="E9260" t="inlineStr">
        <is>
          <t>BOLLNÄS</t>
        </is>
      </c>
      <c r="G9260" t="n">
        <v>5</v>
      </c>
      <c r="H9260" t="n">
        <v>0</v>
      </c>
      <c r="I9260" t="n">
        <v>0</v>
      </c>
      <c r="J9260" t="n">
        <v>0</v>
      </c>
      <c r="K9260" t="n">
        <v>0</v>
      </c>
      <c r="L9260" t="n">
        <v>0</v>
      </c>
      <c r="M9260" t="n">
        <v>0</v>
      </c>
      <c r="N9260" t="n">
        <v>0</v>
      </c>
      <c r="O9260" t="n">
        <v>0</v>
      </c>
      <c r="P9260" t="n">
        <v>0</v>
      </c>
      <c r="Q9260" t="n">
        <v>0</v>
      </c>
      <c r="R9260" s="2" t="inlineStr"/>
    </row>
    <row r="9261" ht="15" customHeight="1">
      <c r="A9261" t="inlineStr">
        <is>
          <t>A 60098-2023</t>
        </is>
      </c>
      <c r="B9261" s="1" t="n">
        <v>45258</v>
      </c>
      <c r="C9261" s="1" t="n">
        <v>45587</v>
      </c>
      <c r="D9261" t="inlineStr">
        <is>
          <t>GÄVLEBORGS LÄN</t>
        </is>
      </c>
      <c r="E9261" t="inlineStr">
        <is>
          <t>LJUSDAL</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60160-2023</t>
        </is>
      </c>
      <c r="B9262" s="1" t="n">
        <v>45258</v>
      </c>
      <c r="C9262" s="1" t="n">
        <v>45587</v>
      </c>
      <c r="D9262" t="inlineStr">
        <is>
          <t>GÄVLEBORGS LÄN</t>
        </is>
      </c>
      <c r="E9262" t="inlineStr">
        <is>
          <t>LJUSDAL</t>
        </is>
      </c>
      <c r="G9262" t="n">
        <v>7.1</v>
      </c>
      <c r="H9262" t="n">
        <v>0</v>
      </c>
      <c r="I9262" t="n">
        <v>0</v>
      </c>
      <c r="J9262" t="n">
        <v>0</v>
      </c>
      <c r="K9262" t="n">
        <v>0</v>
      </c>
      <c r="L9262" t="n">
        <v>0</v>
      </c>
      <c r="M9262" t="n">
        <v>0</v>
      </c>
      <c r="N9262" t="n">
        <v>0</v>
      </c>
      <c r="O9262" t="n">
        <v>0</v>
      </c>
      <c r="P9262" t="n">
        <v>0</v>
      </c>
      <c r="Q9262" t="n">
        <v>0</v>
      </c>
      <c r="R9262" s="2" t="inlineStr"/>
    </row>
    <row r="9263" ht="15" customHeight="1">
      <c r="A9263" t="inlineStr">
        <is>
          <t>A 60190-2023</t>
        </is>
      </c>
      <c r="B9263" s="1" t="n">
        <v>45258</v>
      </c>
      <c r="C9263" s="1" t="n">
        <v>45587</v>
      </c>
      <c r="D9263" t="inlineStr">
        <is>
          <t>GÄVLEBORGS LÄN</t>
        </is>
      </c>
      <c r="E9263" t="inlineStr">
        <is>
          <t>HUDIKSVALL</t>
        </is>
      </c>
      <c r="F9263" t="inlineStr">
        <is>
          <t>Holmen skog AB</t>
        </is>
      </c>
      <c r="G9263" t="n">
        <v>0.3</v>
      </c>
      <c r="H9263" t="n">
        <v>0</v>
      </c>
      <c r="I9263" t="n">
        <v>0</v>
      </c>
      <c r="J9263" t="n">
        <v>0</v>
      </c>
      <c r="K9263" t="n">
        <v>0</v>
      </c>
      <c r="L9263" t="n">
        <v>0</v>
      </c>
      <c r="M9263" t="n">
        <v>0</v>
      </c>
      <c r="N9263" t="n">
        <v>0</v>
      </c>
      <c r="O9263" t="n">
        <v>0</v>
      </c>
      <c r="P9263" t="n">
        <v>0</v>
      </c>
      <c r="Q9263" t="n">
        <v>0</v>
      </c>
      <c r="R9263" s="2" t="inlineStr"/>
    </row>
    <row r="9264" ht="15" customHeight="1">
      <c r="A9264" t="inlineStr">
        <is>
          <t>A 60218-2023</t>
        </is>
      </c>
      <c r="B9264" s="1" t="n">
        <v>45258</v>
      </c>
      <c r="C9264" s="1" t="n">
        <v>45587</v>
      </c>
      <c r="D9264" t="inlineStr">
        <is>
          <t>GÄVLEBORGS LÄN</t>
        </is>
      </c>
      <c r="E9264" t="inlineStr">
        <is>
          <t>OVANÅKER</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60076-2023</t>
        </is>
      </c>
      <c r="B9265" s="1" t="n">
        <v>45258</v>
      </c>
      <c r="C9265" s="1" t="n">
        <v>45587</v>
      </c>
      <c r="D9265" t="inlineStr">
        <is>
          <t>GÄVLEBORGS LÄN</t>
        </is>
      </c>
      <c r="E9265" t="inlineStr">
        <is>
          <t>LJUSDAL</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60148-2023</t>
        </is>
      </c>
      <c r="B9266" s="1" t="n">
        <v>45258</v>
      </c>
      <c r="C9266" s="1" t="n">
        <v>45587</v>
      </c>
      <c r="D9266" t="inlineStr">
        <is>
          <t>GÄVLEBORGS LÄN</t>
        </is>
      </c>
      <c r="E9266" t="inlineStr">
        <is>
          <t>OCKELBO</t>
        </is>
      </c>
      <c r="G9266" t="n">
        <v>2.7</v>
      </c>
      <c r="H9266" t="n">
        <v>0</v>
      </c>
      <c r="I9266" t="n">
        <v>0</v>
      </c>
      <c r="J9266" t="n">
        <v>0</v>
      </c>
      <c r="K9266" t="n">
        <v>0</v>
      </c>
      <c r="L9266" t="n">
        <v>0</v>
      </c>
      <c r="M9266" t="n">
        <v>0</v>
      </c>
      <c r="N9266" t="n">
        <v>0</v>
      </c>
      <c r="O9266" t="n">
        <v>0</v>
      </c>
      <c r="P9266" t="n">
        <v>0</v>
      </c>
      <c r="Q9266" t="n">
        <v>0</v>
      </c>
      <c r="R9266" s="2" t="inlineStr"/>
    </row>
    <row r="9267" ht="15" customHeight="1">
      <c r="A9267" t="inlineStr">
        <is>
          <t>A 60192-2023</t>
        </is>
      </c>
      <c r="B9267" s="1" t="n">
        <v>45258</v>
      </c>
      <c r="C9267" s="1" t="n">
        <v>45587</v>
      </c>
      <c r="D9267" t="inlineStr">
        <is>
          <t>GÄVLEBORGS LÄN</t>
        </is>
      </c>
      <c r="E9267" t="inlineStr">
        <is>
          <t>HUDIKSVALL</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60197-2023</t>
        </is>
      </c>
      <c r="B9268" s="1" t="n">
        <v>45258</v>
      </c>
      <c r="C9268" s="1" t="n">
        <v>45587</v>
      </c>
      <c r="D9268" t="inlineStr">
        <is>
          <t>GÄVLEBORGS LÄN</t>
        </is>
      </c>
      <c r="E9268" t="inlineStr">
        <is>
          <t>LJUSDAL</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60214-2023</t>
        </is>
      </c>
      <c r="B9269" s="1" t="n">
        <v>45258</v>
      </c>
      <c r="C9269" s="1" t="n">
        <v>45587</v>
      </c>
      <c r="D9269" t="inlineStr">
        <is>
          <t>GÄVLEBORGS LÄN</t>
        </is>
      </c>
      <c r="E9269" t="inlineStr">
        <is>
          <t>OCKELBO</t>
        </is>
      </c>
      <c r="F9269" t="inlineStr">
        <is>
          <t>Bergvik skog väst AB</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60182-2023</t>
        </is>
      </c>
      <c r="B9270" s="1" t="n">
        <v>45258</v>
      </c>
      <c r="C9270" s="1" t="n">
        <v>45587</v>
      </c>
      <c r="D9270" t="inlineStr">
        <is>
          <t>GÄVLEBORGS LÄN</t>
        </is>
      </c>
      <c r="E9270" t="inlineStr">
        <is>
          <t>HUDIKSVALL</t>
        </is>
      </c>
      <c r="G9270" t="n">
        <v>10.1</v>
      </c>
      <c r="H9270" t="n">
        <v>0</v>
      </c>
      <c r="I9270" t="n">
        <v>0</v>
      </c>
      <c r="J9270" t="n">
        <v>0</v>
      </c>
      <c r="K9270" t="n">
        <v>0</v>
      </c>
      <c r="L9270" t="n">
        <v>0</v>
      </c>
      <c r="M9270" t="n">
        <v>0</v>
      </c>
      <c r="N9270" t="n">
        <v>0</v>
      </c>
      <c r="O9270" t="n">
        <v>0</v>
      </c>
      <c r="P9270" t="n">
        <v>0</v>
      </c>
      <c r="Q9270" t="n">
        <v>0</v>
      </c>
      <c r="R9270" s="2" t="inlineStr"/>
    </row>
    <row r="9271" ht="15" customHeight="1">
      <c r="A9271" t="inlineStr">
        <is>
          <t>A 60188-2023</t>
        </is>
      </c>
      <c r="B9271" s="1" t="n">
        <v>45258</v>
      </c>
      <c r="C9271" s="1" t="n">
        <v>45587</v>
      </c>
      <c r="D9271" t="inlineStr">
        <is>
          <t>GÄVLEBORGS LÄN</t>
        </is>
      </c>
      <c r="E9271" t="inlineStr">
        <is>
          <t>HUDIKSVALL</t>
        </is>
      </c>
      <c r="F9271" t="inlineStr">
        <is>
          <t>Holmen skog AB</t>
        </is>
      </c>
      <c r="G9271" t="n">
        <v>0.2</v>
      </c>
      <c r="H9271" t="n">
        <v>0</v>
      </c>
      <c r="I9271" t="n">
        <v>0</v>
      </c>
      <c r="J9271" t="n">
        <v>0</v>
      </c>
      <c r="K9271" t="n">
        <v>0</v>
      </c>
      <c r="L9271" t="n">
        <v>0</v>
      </c>
      <c r="M9271" t="n">
        <v>0</v>
      </c>
      <c r="N9271" t="n">
        <v>0</v>
      </c>
      <c r="O9271" t="n">
        <v>0</v>
      </c>
      <c r="P9271" t="n">
        <v>0</v>
      </c>
      <c r="Q9271" t="n">
        <v>0</v>
      </c>
      <c r="R9271" s="2" t="inlineStr"/>
    </row>
    <row r="9272" ht="15" customHeight="1">
      <c r="A9272" t="inlineStr">
        <is>
          <t>A 60253-2023</t>
        </is>
      </c>
      <c r="B9272" s="1" t="n">
        <v>45258</v>
      </c>
      <c r="C9272" s="1" t="n">
        <v>45587</v>
      </c>
      <c r="D9272" t="inlineStr">
        <is>
          <t>GÄVLEBORGS LÄN</t>
        </is>
      </c>
      <c r="E9272" t="inlineStr">
        <is>
          <t>OCKELBO</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60194-2023</t>
        </is>
      </c>
      <c r="B9273" s="1" t="n">
        <v>45258</v>
      </c>
      <c r="C9273" s="1" t="n">
        <v>45587</v>
      </c>
      <c r="D9273" t="inlineStr">
        <is>
          <t>GÄVLEBORGS LÄN</t>
        </is>
      </c>
      <c r="E9273" t="inlineStr">
        <is>
          <t>HUDIKSVALL</t>
        </is>
      </c>
      <c r="F9273" t="inlineStr">
        <is>
          <t>Holmen skog AB</t>
        </is>
      </c>
      <c r="G9273" t="n">
        <v>5.8</v>
      </c>
      <c r="H9273" t="n">
        <v>0</v>
      </c>
      <c r="I9273" t="n">
        <v>0</v>
      </c>
      <c r="J9273" t="n">
        <v>0</v>
      </c>
      <c r="K9273" t="n">
        <v>0</v>
      </c>
      <c r="L9273" t="n">
        <v>0</v>
      </c>
      <c r="M9273" t="n">
        <v>0</v>
      </c>
      <c r="N9273" t="n">
        <v>0</v>
      </c>
      <c r="O9273" t="n">
        <v>0</v>
      </c>
      <c r="P9273" t="n">
        <v>0</v>
      </c>
      <c r="Q9273" t="n">
        <v>0</v>
      </c>
      <c r="R9273" s="2" t="inlineStr"/>
    </row>
    <row r="9274" ht="15" customHeight="1">
      <c r="A9274" t="inlineStr">
        <is>
          <t>A 60476-2023</t>
        </is>
      </c>
      <c r="B9274" s="1" t="n">
        <v>45258</v>
      </c>
      <c r="C9274" s="1" t="n">
        <v>45587</v>
      </c>
      <c r="D9274" t="inlineStr">
        <is>
          <t>GÄVLEBORGS LÄN</t>
        </is>
      </c>
      <c r="E9274" t="inlineStr">
        <is>
          <t>BOLLNÄS</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60495-2023</t>
        </is>
      </c>
      <c r="B9275" s="1" t="n">
        <v>45258</v>
      </c>
      <c r="C9275" s="1" t="n">
        <v>45587</v>
      </c>
      <c r="D9275" t="inlineStr">
        <is>
          <t>GÄVLEBORGS LÄN</t>
        </is>
      </c>
      <c r="E9275" t="inlineStr">
        <is>
          <t>BOLLNÄS</t>
        </is>
      </c>
      <c r="G9275" t="n">
        <v>7.1</v>
      </c>
      <c r="H9275" t="n">
        <v>0</v>
      </c>
      <c r="I9275" t="n">
        <v>0</v>
      </c>
      <c r="J9275" t="n">
        <v>0</v>
      </c>
      <c r="K9275" t="n">
        <v>0</v>
      </c>
      <c r="L9275" t="n">
        <v>0</v>
      </c>
      <c r="M9275" t="n">
        <v>0</v>
      </c>
      <c r="N9275" t="n">
        <v>0</v>
      </c>
      <c r="O9275" t="n">
        <v>0</v>
      </c>
      <c r="P9275" t="n">
        <v>0</v>
      </c>
      <c r="Q9275" t="n">
        <v>0</v>
      </c>
      <c r="R9275" s="2" t="inlineStr"/>
    </row>
    <row r="9276" ht="15" customHeight="1">
      <c r="A9276" t="inlineStr">
        <is>
          <t>A 60491-2023</t>
        </is>
      </c>
      <c r="B9276" s="1" t="n">
        <v>45258</v>
      </c>
      <c r="C9276" s="1" t="n">
        <v>45587</v>
      </c>
      <c r="D9276" t="inlineStr">
        <is>
          <t>GÄVLEBORGS LÄN</t>
        </is>
      </c>
      <c r="E9276" t="inlineStr">
        <is>
          <t>BOLLNÄS</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60490-2023</t>
        </is>
      </c>
      <c r="B9277" s="1" t="n">
        <v>45258</v>
      </c>
      <c r="C9277" s="1" t="n">
        <v>45587</v>
      </c>
      <c r="D9277" t="inlineStr">
        <is>
          <t>GÄVLEBORGS LÄN</t>
        </is>
      </c>
      <c r="E9277" t="inlineStr">
        <is>
          <t>BOLLNÄS</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60345-2023</t>
        </is>
      </c>
      <c r="B9278" s="1" t="n">
        <v>45259</v>
      </c>
      <c r="C9278" s="1" t="n">
        <v>45587</v>
      </c>
      <c r="D9278" t="inlineStr">
        <is>
          <t>GÄVLEBORGS LÄN</t>
        </is>
      </c>
      <c r="E9278" t="inlineStr">
        <is>
          <t>NORDANSTIG</t>
        </is>
      </c>
      <c r="F9278" t="inlineStr">
        <is>
          <t>Holmen skog AB</t>
        </is>
      </c>
      <c r="G9278" t="n">
        <v>3.7</v>
      </c>
      <c r="H9278" t="n">
        <v>0</v>
      </c>
      <c r="I9278" t="n">
        <v>0</v>
      </c>
      <c r="J9278" t="n">
        <v>0</v>
      </c>
      <c r="K9278" t="n">
        <v>0</v>
      </c>
      <c r="L9278" t="n">
        <v>0</v>
      </c>
      <c r="M9278" t="n">
        <v>0</v>
      </c>
      <c r="N9278" t="n">
        <v>0</v>
      </c>
      <c r="O9278" t="n">
        <v>0</v>
      </c>
      <c r="P9278" t="n">
        <v>0</v>
      </c>
      <c r="Q9278" t="n">
        <v>0</v>
      </c>
      <c r="R9278" s="2" t="inlineStr"/>
    </row>
    <row r="9279" ht="15" customHeight="1">
      <c r="A9279" t="inlineStr">
        <is>
          <t>A 60454-2023</t>
        </is>
      </c>
      <c r="B9279" s="1" t="n">
        <v>45259</v>
      </c>
      <c r="C9279" s="1" t="n">
        <v>45587</v>
      </c>
      <c r="D9279" t="inlineStr">
        <is>
          <t>GÄVLEBORGS LÄN</t>
        </is>
      </c>
      <c r="E9279" t="inlineStr">
        <is>
          <t>BOLLNÄS</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60502-2023</t>
        </is>
      </c>
      <c r="B9280" s="1" t="n">
        <v>45259</v>
      </c>
      <c r="C9280" s="1" t="n">
        <v>45587</v>
      </c>
      <c r="D9280" t="inlineStr">
        <is>
          <t>GÄVLEBORGS LÄN</t>
        </is>
      </c>
      <c r="E9280" t="inlineStr">
        <is>
          <t>GÄVLE</t>
        </is>
      </c>
      <c r="G9280" t="n">
        <v>5</v>
      </c>
      <c r="H9280" t="n">
        <v>0</v>
      </c>
      <c r="I9280" t="n">
        <v>0</v>
      </c>
      <c r="J9280" t="n">
        <v>0</v>
      </c>
      <c r="K9280" t="n">
        <v>0</v>
      </c>
      <c r="L9280" t="n">
        <v>0</v>
      </c>
      <c r="M9280" t="n">
        <v>0</v>
      </c>
      <c r="N9280" t="n">
        <v>0</v>
      </c>
      <c r="O9280" t="n">
        <v>0</v>
      </c>
      <c r="P9280" t="n">
        <v>0</v>
      </c>
      <c r="Q9280" t="n">
        <v>0</v>
      </c>
      <c r="R9280" s="2" t="inlineStr"/>
    </row>
    <row r="9281" ht="15" customHeight="1">
      <c r="A9281" t="inlineStr">
        <is>
          <t>A 60520-2023</t>
        </is>
      </c>
      <c r="B9281" s="1" t="n">
        <v>45259</v>
      </c>
      <c r="C9281" s="1" t="n">
        <v>45587</v>
      </c>
      <c r="D9281" t="inlineStr">
        <is>
          <t>GÄVLEBORGS LÄN</t>
        </is>
      </c>
      <c r="E9281" t="inlineStr">
        <is>
          <t>NORDANSTIG</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60449-2023</t>
        </is>
      </c>
      <c r="B9282" s="1" t="n">
        <v>45259</v>
      </c>
      <c r="C9282" s="1" t="n">
        <v>45587</v>
      </c>
      <c r="D9282" t="inlineStr">
        <is>
          <t>GÄVLEBORGS LÄN</t>
        </is>
      </c>
      <c r="E9282" t="inlineStr">
        <is>
          <t>BOLLNÄS</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60398-2023</t>
        </is>
      </c>
      <c r="B9283" s="1" t="n">
        <v>45259</v>
      </c>
      <c r="C9283" s="1" t="n">
        <v>45587</v>
      </c>
      <c r="D9283" t="inlineStr">
        <is>
          <t>GÄVLEBORGS LÄN</t>
        </is>
      </c>
      <c r="E9283" t="inlineStr">
        <is>
          <t>NORDANSTIG</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60417-2023</t>
        </is>
      </c>
      <c r="B9284" s="1" t="n">
        <v>45259</v>
      </c>
      <c r="C9284" s="1" t="n">
        <v>45587</v>
      </c>
      <c r="D9284" t="inlineStr">
        <is>
          <t>GÄVLEBORGS LÄN</t>
        </is>
      </c>
      <c r="E9284" t="inlineStr">
        <is>
          <t>OVANÅKER</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60473-2023</t>
        </is>
      </c>
      <c r="B9285" s="1" t="n">
        <v>45259</v>
      </c>
      <c r="C9285" s="1" t="n">
        <v>45587</v>
      </c>
      <c r="D9285" t="inlineStr">
        <is>
          <t>GÄVLEBORGS LÄN</t>
        </is>
      </c>
      <c r="E9285" t="inlineStr">
        <is>
          <t>HUDIKSVALL</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60452-2023</t>
        </is>
      </c>
      <c r="B9286" s="1" t="n">
        <v>45259</v>
      </c>
      <c r="C9286" s="1" t="n">
        <v>45587</v>
      </c>
      <c r="D9286" t="inlineStr">
        <is>
          <t>GÄVLEBORGS LÄN</t>
        </is>
      </c>
      <c r="E9286" t="inlineStr">
        <is>
          <t>BOLLNÄS</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60610-2023</t>
        </is>
      </c>
      <c r="B9287" s="1" t="n">
        <v>45260</v>
      </c>
      <c r="C9287" s="1" t="n">
        <v>45587</v>
      </c>
      <c r="D9287" t="inlineStr">
        <is>
          <t>GÄVLEBORGS LÄN</t>
        </is>
      </c>
      <c r="E9287" t="inlineStr">
        <is>
          <t>HOFORS</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60691-2023</t>
        </is>
      </c>
      <c r="B9288" s="1" t="n">
        <v>45260</v>
      </c>
      <c r="C9288" s="1" t="n">
        <v>45587</v>
      </c>
      <c r="D9288" t="inlineStr">
        <is>
          <t>GÄVLEBORGS LÄN</t>
        </is>
      </c>
      <c r="E9288" t="inlineStr">
        <is>
          <t>SÖDERHAMN</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60590-2023</t>
        </is>
      </c>
      <c r="B9289" s="1" t="n">
        <v>45260</v>
      </c>
      <c r="C9289" s="1" t="n">
        <v>45587</v>
      </c>
      <c r="D9289" t="inlineStr">
        <is>
          <t>GÄVLEBORGS LÄN</t>
        </is>
      </c>
      <c r="E9289" t="inlineStr">
        <is>
          <t>LJUSDAL</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60608-2023</t>
        </is>
      </c>
      <c r="B9290" s="1" t="n">
        <v>45260</v>
      </c>
      <c r="C9290" s="1" t="n">
        <v>45587</v>
      </c>
      <c r="D9290" t="inlineStr">
        <is>
          <t>GÄVLEBORGS LÄN</t>
        </is>
      </c>
      <c r="E9290" t="inlineStr">
        <is>
          <t>LJUSDAL</t>
        </is>
      </c>
      <c r="F9290" t="inlineStr">
        <is>
          <t>Holmen skog AB</t>
        </is>
      </c>
      <c r="G9290" t="n">
        <v>3.4</v>
      </c>
      <c r="H9290" t="n">
        <v>0</v>
      </c>
      <c r="I9290" t="n">
        <v>0</v>
      </c>
      <c r="J9290" t="n">
        <v>0</v>
      </c>
      <c r="K9290" t="n">
        <v>0</v>
      </c>
      <c r="L9290" t="n">
        <v>0</v>
      </c>
      <c r="M9290" t="n">
        <v>0</v>
      </c>
      <c r="N9290" t="n">
        <v>0</v>
      </c>
      <c r="O9290" t="n">
        <v>0</v>
      </c>
      <c r="P9290" t="n">
        <v>0</v>
      </c>
      <c r="Q9290" t="n">
        <v>0</v>
      </c>
      <c r="R9290" s="2" t="inlineStr"/>
    </row>
    <row r="9291" ht="15" customHeight="1">
      <c r="A9291" t="inlineStr">
        <is>
          <t>A 60695-2023</t>
        </is>
      </c>
      <c r="B9291" s="1" t="n">
        <v>45260</v>
      </c>
      <c r="C9291" s="1" t="n">
        <v>45587</v>
      </c>
      <c r="D9291" t="inlineStr">
        <is>
          <t>GÄVLEBORGS LÄN</t>
        </is>
      </c>
      <c r="E9291" t="inlineStr">
        <is>
          <t>SÖDERHAMN</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60694-2023</t>
        </is>
      </c>
      <c r="B9292" s="1" t="n">
        <v>45260</v>
      </c>
      <c r="C9292" s="1" t="n">
        <v>45587</v>
      </c>
      <c r="D9292" t="inlineStr">
        <is>
          <t>GÄVLEBORGS LÄN</t>
        </is>
      </c>
      <c r="E9292" t="inlineStr">
        <is>
          <t>SÖDERHAMN</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60698-2023</t>
        </is>
      </c>
      <c r="B9293" s="1" t="n">
        <v>45260</v>
      </c>
      <c r="C9293" s="1" t="n">
        <v>45587</v>
      </c>
      <c r="D9293" t="inlineStr">
        <is>
          <t>GÄVLEBORGS LÄN</t>
        </is>
      </c>
      <c r="E9293" t="inlineStr">
        <is>
          <t>SÖDERHAMN</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60710-2023</t>
        </is>
      </c>
      <c r="B9294" s="1" t="n">
        <v>45260</v>
      </c>
      <c r="C9294" s="1" t="n">
        <v>45587</v>
      </c>
      <c r="D9294" t="inlineStr">
        <is>
          <t>GÄVLEBORGS LÄN</t>
        </is>
      </c>
      <c r="E9294" t="inlineStr">
        <is>
          <t>HUDIKSVALL</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60719-2023</t>
        </is>
      </c>
      <c r="B9295" s="1" t="n">
        <v>45260</v>
      </c>
      <c r="C9295" s="1" t="n">
        <v>45587</v>
      </c>
      <c r="D9295" t="inlineStr">
        <is>
          <t>GÄVLEBORGS LÄN</t>
        </is>
      </c>
      <c r="E9295" t="inlineStr">
        <is>
          <t>NORDANSTIG</t>
        </is>
      </c>
      <c r="F9295" t="inlineStr">
        <is>
          <t>Holmen skog AB</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60736-2023</t>
        </is>
      </c>
      <c r="B9296" s="1" t="n">
        <v>45260</v>
      </c>
      <c r="C9296" s="1" t="n">
        <v>45587</v>
      </c>
      <c r="D9296" t="inlineStr">
        <is>
          <t>GÄVLEBORGS LÄN</t>
        </is>
      </c>
      <c r="E9296" t="inlineStr">
        <is>
          <t>HUDIKSVALL</t>
        </is>
      </c>
      <c r="F9296" t="inlineStr">
        <is>
          <t>Holmen skog AB</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60775-2023</t>
        </is>
      </c>
      <c r="B9297" s="1" t="n">
        <v>45260</v>
      </c>
      <c r="C9297" s="1" t="n">
        <v>45587</v>
      </c>
      <c r="D9297" t="inlineStr">
        <is>
          <t>GÄVLEBORGS LÄN</t>
        </is>
      </c>
      <c r="E9297" t="inlineStr">
        <is>
          <t>OCKELBO</t>
        </is>
      </c>
      <c r="F9297" t="inlineStr">
        <is>
          <t>Bergvik skog väst AB</t>
        </is>
      </c>
      <c r="G9297" t="n">
        <v>4.6</v>
      </c>
      <c r="H9297" t="n">
        <v>0</v>
      </c>
      <c r="I9297" t="n">
        <v>0</v>
      </c>
      <c r="J9297" t="n">
        <v>0</v>
      </c>
      <c r="K9297" t="n">
        <v>0</v>
      </c>
      <c r="L9297" t="n">
        <v>0</v>
      </c>
      <c r="M9297" t="n">
        <v>0</v>
      </c>
      <c r="N9297" t="n">
        <v>0</v>
      </c>
      <c r="O9297" t="n">
        <v>0</v>
      </c>
      <c r="P9297" t="n">
        <v>0</v>
      </c>
      <c r="Q9297" t="n">
        <v>0</v>
      </c>
      <c r="R9297" s="2" t="inlineStr"/>
    </row>
    <row r="9298" ht="15" customHeight="1">
      <c r="A9298" t="inlineStr">
        <is>
          <t>A 60789-2023</t>
        </is>
      </c>
      <c r="B9298" s="1" t="n">
        <v>45260</v>
      </c>
      <c r="C9298" s="1" t="n">
        <v>45587</v>
      </c>
      <c r="D9298" t="inlineStr">
        <is>
          <t>GÄVLEBORGS LÄN</t>
        </is>
      </c>
      <c r="E9298" t="inlineStr">
        <is>
          <t>HUDIKSVALL</t>
        </is>
      </c>
      <c r="G9298" t="n">
        <v>4.8</v>
      </c>
      <c r="H9298" t="n">
        <v>0</v>
      </c>
      <c r="I9298" t="n">
        <v>0</v>
      </c>
      <c r="J9298" t="n">
        <v>0</v>
      </c>
      <c r="K9298" t="n">
        <v>0</v>
      </c>
      <c r="L9298" t="n">
        <v>0</v>
      </c>
      <c r="M9298" t="n">
        <v>0</v>
      </c>
      <c r="N9298" t="n">
        <v>0</v>
      </c>
      <c r="O9298" t="n">
        <v>0</v>
      </c>
      <c r="P9298" t="n">
        <v>0</v>
      </c>
      <c r="Q9298" t="n">
        <v>0</v>
      </c>
      <c r="R9298" s="2" t="inlineStr"/>
    </row>
    <row r="9299" ht="15" customHeight="1">
      <c r="A9299" t="inlineStr">
        <is>
          <t>A 60801-2023</t>
        </is>
      </c>
      <c r="B9299" s="1" t="n">
        <v>45260</v>
      </c>
      <c r="C9299" s="1" t="n">
        <v>45587</v>
      </c>
      <c r="D9299" t="inlineStr">
        <is>
          <t>GÄVLEBORGS LÄN</t>
        </is>
      </c>
      <c r="E9299" t="inlineStr">
        <is>
          <t>HUDIKSVALL</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60617-2023</t>
        </is>
      </c>
      <c r="B9300" s="1" t="n">
        <v>45260</v>
      </c>
      <c r="C9300" s="1" t="n">
        <v>45587</v>
      </c>
      <c r="D9300" t="inlineStr">
        <is>
          <t>GÄVLEBORGS LÄN</t>
        </is>
      </c>
      <c r="E9300" t="inlineStr">
        <is>
          <t>HUDIKSVALL</t>
        </is>
      </c>
      <c r="F9300" t="inlineStr">
        <is>
          <t>Holmen skog AB</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60701-2023</t>
        </is>
      </c>
      <c r="B9301" s="1" t="n">
        <v>45260</v>
      </c>
      <c r="C9301" s="1" t="n">
        <v>45587</v>
      </c>
      <c r="D9301" t="inlineStr">
        <is>
          <t>GÄVLEBORGS LÄN</t>
        </is>
      </c>
      <c r="E9301" t="inlineStr">
        <is>
          <t>SÖDERHAMN</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60705-2023</t>
        </is>
      </c>
      <c r="B9302" s="1" t="n">
        <v>45260</v>
      </c>
      <c r="C9302" s="1" t="n">
        <v>45587</v>
      </c>
      <c r="D9302" t="inlineStr">
        <is>
          <t>GÄVLEBORGS LÄN</t>
        </is>
      </c>
      <c r="E9302" t="inlineStr">
        <is>
          <t>HOFORS</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60798-2023</t>
        </is>
      </c>
      <c r="B9303" s="1" t="n">
        <v>45260</v>
      </c>
      <c r="C9303" s="1" t="n">
        <v>45587</v>
      </c>
      <c r="D9303" t="inlineStr">
        <is>
          <t>GÄVLEBORGS LÄN</t>
        </is>
      </c>
      <c r="E9303" t="inlineStr">
        <is>
          <t>SANDVIKEN</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60737-2023</t>
        </is>
      </c>
      <c r="B9304" s="1" t="n">
        <v>45260</v>
      </c>
      <c r="C9304" s="1" t="n">
        <v>45587</v>
      </c>
      <c r="D9304" t="inlineStr">
        <is>
          <t>GÄVLEBORGS LÄN</t>
        </is>
      </c>
      <c r="E9304" t="inlineStr">
        <is>
          <t>OCKELBO</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60628-2023</t>
        </is>
      </c>
      <c r="B9305" s="1" t="n">
        <v>45260</v>
      </c>
      <c r="C9305" s="1" t="n">
        <v>45587</v>
      </c>
      <c r="D9305" t="inlineStr">
        <is>
          <t>GÄVLEBORGS LÄN</t>
        </is>
      </c>
      <c r="E9305" t="inlineStr">
        <is>
          <t>HUDIKSVALL</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60700-2023</t>
        </is>
      </c>
      <c r="B9306" s="1" t="n">
        <v>45260</v>
      </c>
      <c r="C9306" s="1" t="n">
        <v>45587</v>
      </c>
      <c r="D9306" t="inlineStr">
        <is>
          <t>GÄVLEBORGS LÄN</t>
        </is>
      </c>
      <c r="E9306" t="inlineStr">
        <is>
          <t>SANDVIKEN</t>
        </is>
      </c>
      <c r="G9306" t="n">
        <v>2.9</v>
      </c>
      <c r="H9306" t="n">
        <v>0</v>
      </c>
      <c r="I9306" t="n">
        <v>0</v>
      </c>
      <c r="J9306" t="n">
        <v>0</v>
      </c>
      <c r="K9306" t="n">
        <v>0</v>
      </c>
      <c r="L9306" t="n">
        <v>0</v>
      </c>
      <c r="M9306" t="n">
        <v>0</v>
      </c>
      <c r="N9306" t="n">
        <v>0</v>
      </c>
      <c r="O9306" t="n">
        <v>0</v>
      </c>
      <c r="P9306" t="n">
        <v>0</v>
      </c>
      <c r="Q9306" t="n">
        <v>0</v>
      </c>
      <c r="R9306" s="2" t="inlineStr"/>
    </row>
    <row r="9307" ht="15" customHeight="1">
      <c r="A9307" t="inlineStr">
        <is>
          <t>A 60708-2023</t>
        </is>
      </c>
      <c r="B9307" s="1" t="n">
        <v>45260</v>
      </c>
      <c r="C9307" s="1" t="n">
        <v>45587</v>
      </c>
      <c r="D9307" t="inlineStr">
        <is>
          <t>GÄVLEBORGS LÄN</t>
        </is>
      </c>
      <c r="E9307" t="inlineStr">
        <is>
          <t>NORDANSTIG</t>
        </is>
      </c>
      <c r="F9307" t="inlineStr">
        <is>
          <t>Holmen skog AB</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60750-2023</t>
        </is>
      </c>
      <c r="B9308" s="1" t="n">
        <v>45260</v>
      </c>
      <c r="C9308" s="1" t="n">
        <v>45587</v>
      </c>
      <c r="D9308" t="inlineStr">
        <is>
          <t>GÄVLEBORGS LÄN</t>
        </is>
      </c>
      <c r="E9308" t="inlineStr">
        <is>
          <t>HUDIKSVALL</t>
        </is>
      </c>
      <c r="F9308" t="inlineStr">
        <is>
          <t>Holmen skog AB</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60796-2023</t>
        </is>
      </c>
      <c r="B9309" s="1" t="n">
        <v>45260</v>
      </c>
      <c r="C9309" s="1" t="n">
        <v>45587</v>
      </c>
      <c r="D9309" t="inlineStr">
        <is>
          <t>GÄVLEBORGS LÄN</t>
        </is>
      </c>
      <c r="E9309" t="inlineStr">
        <is>
          <t>HUDIKSVALL</t>
        </is>
      </c>
      <c r="F9309" t="inlineStr">
        <is>
          <t>Holmen skog AB</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60804-2023</t>
        </is>
      </c>
      <c r="B9310" s="1" t="n">
        <v>45260</v>
      </c>
      <c r="C9310" s="1" t="n">
        <v>45587</v>
      </c>
      <c r="D9310" t="inlineStr">
        <is>
          <t>GÄVLEBORGS LÄN</t>
        </is>
      </c>
      <c r="E9310" t="inlineStr">
        <is>
          <t>OVANÅKER</t>
        </is>
      </c>
      <c r="G9310" t="n">
        <v>8</v>
      </c>
      <c r="H9310" t="n">
        <v>0</v>
      </c>
      <c r="I9310" t="n">
        <v>0</v>
      </c>
      <c r="J9310" t="n">
        <v>0</v>
      </c>
      <c r="K9310" t="n">
        <v>0</v>
      </c>
      <c r="L9310" t="n">
        <v>0</v>
      </c>
      <c r="M9310" t="n">
        <v>0</v>
      </c>
      <c r="N9310" t="n">
        <v>0</v>
      </c>
      <c r="O9310" t="n">
        <v>0</v>
      </c>
      <c r="P9310" t="n">
        <v>0</v>
      </c>
      <c r="Q9310" t="n">
        <v>0</v>
      </c>
      <c r="R9310" s="2" t="inlineStr"/>
    </row>
    <row r="9311" ht="15" customHeight="1">
      <c r="A9311" t="inlineStr">
        <is>
          <t>A 60839-2023</t>
        </is>
      </c>
      <c r="B9311" s="1" t="n">
        <v>45260</v>
      </c>
      <c r="C9311" s="1" t="n">
        <v>45587</v>
      </c>
      <c r="D9311" t="inlineStr">
        <is>
          <t>GÄVLEBORGS LÄN</t>
        </is>
      </c>
      <c r="E9311" t="inlineStr">
        <is>
          <t>NORDANSTIG</t>
        </is>
      </c>
      <c r="G9311" t="n">
        <v>3.7</v>
      </c>
      <c r="H9311" t="n">
        <v>0</v>
      </c>
      <c r="I9311" t="n">
        <v>0</v>
      </c>
      <c r="J9311" t="n">
        <v>0</v>
      </c>
      <c r="K9311" t="n">
        <v>0</v>
      </c>
      <c r="L9311" t="n">
        <v>0</v>
      </c>
      <c r="M9311" t="n">
        <v>0</v>
      </c>
      <c r="N9311" t="n">
        <v>0</v>
      </c>
      <c r="O9311" t="n">
        <v>0</v>
      </c>
      <c r="P9311" t="n">
        <v>0</v>
      </c>
      <c r="Q9311" t="n">
        <v>0</v>
      </c>
      <c r="R9311" s="2" t="inlineStr"/>
    </row>
    <row r="9312" ht="15" customHeight="1">
      <c r="A9312" t="inlineStr">
        <is>
          <t>A 60834-2023</t>
        </is>
      </c>
      <c r="B9312" s="1" t="n">
        <v>45260</v>
      </c>
      <c r="C9312" s="1" t="n">
        <v>45587</v>
      </c>
      <c r="D9312" t="inlineStr">
        <is>
          <t>GÄVLEBORGS LÄN</t>
        </is>
      </c>
      <c r="E9312" t="inlineStr">
        <is>
          <t>NORDANSTIG</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60853-2023</t>
        </is>
      </c>
      <c r="B9313" s="1" t="n">
        <v>45260</v>
      </c>
      <c r="C9313" s="1" t="n">
        <v>45587</v>
      </c>
      <c r="D9313" t="inlineStr">
        <is>
          <t>GÄVLEBORGS LÄN</t>
        </is>
      </c>
      <c r="E9313" t="inlineStr">
        <is>
          <t>NORDANSTIG</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60885-2023</t>
        </is>
      </c>
      <c r="B9314" s="1" t="n">
        <v>45261</v>
      </c>
      <c r="C9314" s="1" t="n">
        <v>45587</v>
      </c>
      <c r="D9314" t="inlineStr">
        <is>
          <t>GÄVLEBORGS LÄN</t>
        </is>
      </c>
      <c r="E9314" t="inlineStr">
        <is>
          <t>GÄVLE</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60897-2023</t>
        </is>
      </c>
      <c r="B9315" s="1" t="n">
        <v>45261</v>
      </c>
      <c r="C9315" s="1" t="n">
        <v>45587</v>
      </c>
      <c r="D9315" t="inlineStr">
        <is>
          <t>GÄVLEBORGS LÄN</t>
        </is>
      </c>
      <c r="E9315" t="inlineStr">
        <is>
          <t>SANDVIKEN</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60901-2023</t>
        </is>
      </c>
      <c r="B9316" s="1" t="n">
        <v>45261</v>
      </c>
      <c r="C9316" s="1" t="n">
        <v>45587</v>
      </c>
      <c r="D9316" t="inlineStr">
        <is>
          <t>GÄVLEBORGS LÄN</t>
        </is>
      </c>
      <c r="E9316" t="inlineStr">
        <is>
          <t>HUDIKSVALL</t>
        </is>
      </c>
      <c r="F9316" t="inlineStr">
        <is>
          <t>Holmen skog AB</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60917-2023</t>
        </is>
      </c>
      <c r="B9317" s="1" t="n">
        <v>45261</v>
      </c>
      <c r="C9317" s="1" t="n">
        <v>45587</v>
      </c>
      <c r="D9317" t="inlineStr">
        <is>
          <t>GÄVLEBORGS LÄN</t>
        </is>
      </c>
      <c r="E9317" t="inlineStr">
        <is>
          <t>HUDIKSVALL</t>
        </is>
      </c>
      <c r="F9317" t="inlineStr">
        <is>
          <t>Holmen skog AB</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60933-2023</t>
        </is>
      </c>
      <c r="B9318" s="1" t="n">
        <v>45261</v>
      </c>
      <c r="C9318" s="1" t="n">
        <v>45587</v>
      </c>
      <c r="D9318" t="inlineStr">
        <is>
          <t>GÄVLEBORGS LÄN</t>
        </is>
      </c>
      <c r="E9318" t="inlineStr">
        <is>
          <t>HUDIKSVALL</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60938-2023</t>
        </is>
      </c>
      <c r="B9319" s="1" t="n">
        <v>45261</v>
      </c>
      <c r="C9319" s="1" t="n">
        <v>45587</v>
      </c>
      <c r="D9319" t="inlineStr">
        <is>
          <t>GÄVLEBORGS LÄN</t>
        </is>
      </c>
      <c r="E9319" t="inlineStr">
        <is>
          <t>HUDIKSVALL</t>
        </is>
      </c>
      <c r="F9319" t="inlineStr">
        <is>
          <t>Holmen skog AB</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60879-2023</t>
        </is>
      </c>
      <c r="B9320" s="1" t="n">
        <v>45261</v>
      </c>
      <c r="C9320" s="1" t="n">
        <v>45587</v>
      </c>
      <c r="D9320" t="inlineStr">
        <is>
          <t>GÄVLEBORGS LÄN</t>
        </is>
      </c>
      <c r="E9320" t="inlineStr">
        <is>
          <t>GÄVLE</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60891-2023</t>
        </is>
      </c>
      <c r="B9321" s="1" t="n">
        <v>45261</v>
      </c>
      <c r="C9321" s="1" t="n">
        <v>45587</v>
      </c>
      <c r="D9321" t="inlineStr">
        <is>
          <t>GÄVLEBORGS LÄN</t>
        </is>
      </c>
      <c r="E9321" t="inlineStr">
        <is>
          <t>SANDVIKEN</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60895-2023</t>
        </is>
      </c>
      <c r="B9322" s="1" t="n">
        <v>45261</v>
      </c>
      <c r="C9322" s="1" t="n">
        <v>45587</v>
      </c>
      <c r="D9322" t="inlineStr">
        <is>
          <t>GÄVLEBORGS LÄN</t>
        </is>
      </c>
      <c r="E9322" t="inlineStr">
        <is>
          <t>SANDVIKEN</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60899-2023</t>
        </is>
      </c>
      <c r="B9323" s="1" t="n">
        <v>45261</v>
      </c>
      <c r="C9323" s="1" t="n">
        <v>45587</v>
      </c>
      <c r="D9323" t="inlineStr">
        <is>
          <t>GÄVLEBORGS LÄN</t>
        </is>
      </c>
      <c r="E9323" t="inlineStr">
        <is>
          <t>HUDIKSVALL</t>
        </is>
      </c>
      <c r="F9323" t="inlineStr">
        <is>
          <t>Holmen skog AB</t>
        </is>
      </c>
      <c r="G9323" t="n">
        <v>3.4</v>
      </c>
      <c r="H9323" t="n">
        <v>0</v>
      </c>
      <c r="I9323" t="n">
        <v>0</v>
      </c>
      <c r="J9323" t="n">
        <v>0</v>
      </c>
      <c r="K9323" t="n">
        <v>0</v>
      </c>
      <c r="L9323" t="n">
        <v>0</v>
      </c>
      <c r="M9323" t="n">
        <v>0</v>
      </c>
      <c r="N9323" t="n">
        <v>0</v>
      </c>
      <c r="O9323" t="n">
        <v>0</v>
      </c>
      <c r="P9323" t="n">
        <v>0</v>
      </c>
      <c r="Q9323" t="n">
        <v>0</v>
      </c>
      <c r="R9323" s="2" t="inlineStr"/>
    </row>
    <row r="9324" ht="15" customHeight="1">
      <c r="A9324" t="inlineStr">
        <is>
          <t>A 60931-2023</t>
        </is>
      </c>
      <c r="B9324" s="1" t="n">
        <v>45261</v>
      </c>
      <c r="C9324" s="1" t="n">
        <v>45587</v>
      </c>
      <c r="D9324" t="inlineStr">
        <is>
          <t>GÄVLEBORGS LÄN</t>
        </is>
      </c>
      <c r="E9324" t="inlineStr">
        <is>
          <t>HUDIKSVALL</t>
        </is>
      </c>
      <c r="F9324" t="inlineStr">
        <is>
          <t>Holmen skog AB</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60892-2023</t>
        </is>
      </c>
      <c r="B9325" s="1" t="n">
        <v>45261</v>
      </c>
      <c r="C9325" s="1" t="n">
        <v>45587</v>
      </c>
      <c r="D9325" t="inlineStr">
        <is>
          <t>GÄVLEBORGS LÄN</t>
        </is>
      </c>
      <c r="E9325" t="inlineStr">
        <is>
          <t>NORDANSTIG</t>
        </is>
      </c>
      <c r="G9325" t="n">
        <v>5</v>
      </c>
      <c r="H9325" t="n">
        <v>0</v>
      </c>
      <c r="I9325" t="n">
        <v>0</v>
      </c>
      <c r="J9325" t="n">
        <v>0</v>
      </c>
      <c r="K9325" t="n">
        <v>0</v>
      </c>
      <c r="L9325" t="n">
        <v>0</v>
      </c>
      <c r="M9325" t="n">
        <v>0</v>
      </c>
      <c r="N9325" t="n">
        <v>0</v>
      </c>
      <c r="O9325" t="n">
        <v>0</v>
      </c>
      <c r="P9325" t="n">
        <v>0</v>
      </c>
      <c r="Q9325" t="n">
        <v>0</v>
      </c>
      <c r="R9325" s="2" t="inlineStr"/>
    </row>
    <row r="9326" ht="15" customHeight="1">
      <c r="A9326" t="inlineStr">
        <is>
          <t>A 60948-2023</t>
        </is>
      </c>
      <c r="B9326" s="1" t="n">
        <v>45261</v>
      </c>
      <c r="C9326" s="1" t="n">
        <v>45587</v>
      </c>
      <c r="D9326" t="inlineStr">
        <is>
          <t>GÄVLEBORGS LÄN</t>
        </is>
      </c>
      <c r="E9326" t="inlineStr">
        <is>
          <t>LJUSDAL</t>
        </is>
      </c>
      <c r="G9326" t="n">
        <v>4.8</v>
      </c>
      <c r="H9326" t="n">
        <v>0</v>
      </c>
      <c r="I9326" t="n">
        <v>0</v>
      </c>
      <c r="J9326" t="n">
        <v>0</v>
      </c>
      <c r="K9326" t="n">
        <v>0</v>
      </c>
      <c r="L9326" t="n">
        <v>0</v>
      </c>
      <c r="M9326" t="n">
        <v>0</v>
      </c>
      <c r="N9326" t="n">
        <v>0</v>
      </c>
      <c r="O9326" t="n">
        <v>0</v>
      </c>
      <c r="P9326" t="n">
        <v>0</v>
      </c>
      <c r="Q9326" t="n">
        <v>0</v>
      </c>
      <c r="R9326" s="2" t="inlineStr"/>
    </row>
    <row r="9327" ht="15" customHeight="1">
      <c r="A9327" t="inlineStr">
        <is>
          <t>A 61031-2023</t>
        </is>
      </c>
      <c r="B9327" s="1" t="n">
        <v>45261</v>
      </c>
      <c r="C9327" s="1" t="n">
        <v>45587</v>
      </c>
      <c r="D9327" t="inlineStr">
        <is>
          <t>GÄVLEBORGS LÄN</t>
        </is>
      </c>
      <c r="E9327" t="inlineStr">
        <is>
          <t>SÖDERHAMN</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60972-2023</t>
        </is>
      </c>
      <c r="B9328" s="1" t="n">
        <v>45261</v>
      </c>
      <c r="C9328" s="1" t="n">
        <v>45587</v>
      </c>
      <c r="D9328" t="inlineStr">
        <is>
          <t>GÄVLEBORGS LÄN</t>
        </is>
      </c>
      <c r="E9328" t="inlineStr">
        <is>
          <t>OCKELBO</t>
        </is>
      </c>
      <c r="F9328" t="inlineStr">
        <is>
          <t>Bergvik skog väst AB</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61020-2023</t>
        </is>
      </c>
      <c r="B9329" s="1" t="n">
        <v>45261</v>
      </c>
      <c r="C9329" s="1" t="n">
        <v>45587</v>
      </c>
      <c r="D9329" t="inlineStr">
        <is>
          <t>GÄVLEBORGS LÄN</t>
        </is>
      </c>
      <c r="E9329" t="inlineStr">
        <is>
          <t>LJUSDAL</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61053-2023</t>
        </is>
      </c>
      <c r="B9330" s="1" t="n">
        <v>45261</v>
      </c>
      <c r="C9330" s="1" t="n">
        <v>45587</v>
      </c>
      <c r="D9330" t="inlineStr">
        <is>
          <t>GÄVLEBORGS LÄN</t>
        </is>
      </c>
      <c r="E9330" t="inlineStr">
        <is>
          <t>LJUSDAL</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61065-2023</t>
        </is>
      </c>
      <c r="B9331" s="1" t="n">
        <v>45261</v>
      </c>
      <c r="C9331" s="1" t="n">
        <v>45587</v>
      </c>
      <c r="D9331" t="inlineStr">
        <is>
          <t>GÄVLEBORGS LÄN</t>
        </is>
      </c>
      <c r="E9331" t="inlineStr">
        <is>
          <t>BOLLNÄS</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61116-2023</t>
        </is>
      </c>
      <c r="B9332" s="1" t="n">
        <v>45261</v>
      </c>
      <c r="C9332" s="1" t="n">
        <v>45587</v>
      </c>
      <c r="D9332" t="inlineStr">
        <is>
          <t>GÄVLEBORGS LÄN</t>
        </is>
      </c>
      <c r="E9332" t="inlineStr">
        <is>
          <t>OCKELBO</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60952-2023</t>
        </is>
      </c>
      <c r="B9333" s="1" t="n">
        <v>45261</v>
      </c>
      <c r="C9333" s="1" t="n">
        <v>45587</v>
      </c>
      <c r="D9333" t="inlineStr">
        <is>
          <t>GÄVLEBORGS LÄN</t>
        </is>
      </c>
      <c r="E9333" t="inlineStr">
        <is>
          <t>LJUSDAL</t>
        </is>
      </c>
      <c r="G9333" t="n">
        <v>6.3</v>
      </c>
      <c r="H9333" t="n">
        <v>0</v>
      </c>
      <c r="I9333" t="n">
        <v>0</v>
      </c>
      <c r="J9333" t="n">
        <v>0</v>
      </c>
      <c r="K9333" t="n">
        <v>0</v>
      </c>
      <c r="L9333" t="n">
        <v>0</v>
      </c>
      <c r="M9333" t="n">
        <v>0</v>
      </c>
      <c r="N9333" t="n">
        <v>0</v>
      </c>
      <c r="O9333" t="n">
        <v>0</v>
      </c>
      <c r="P9333" t="n">
        <v>0</v>
      </c>
      <c r="Q9333" t="n">
        <v>0</v>
      </c>
      <c r="R9333" s="2" t="inlineStr"/>
    </row>
    <row r="9334" ht="15" customHeight="1">
      <c r="A9334" t="inlineStr">
        <is>
          <t>A 60957-2023</t>
        </is>
      </c>
      <c r="B9334" s="1" t="n">
        <v>45261</v>
      </c>
      <c r="C9334" s="1" t="n">
        <v>45587</v>
      </c>
      <c r="D9334" t="inlineStr">
        <is>
          <t>GÄVLEBORGS LÄN</t>
        </is>
      </c>
      <c r="E9334" t="inlineStr">
        <is>
          <t>LJUSDAL</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61098-2023</t>
        </is>
      </c>
      <c r="B9335" s="1" t="n">
        <v>45261</v>
      </c>
      <c r="C9335" s="1" t="n">
        <v>45587</v>
      </c>
      <c r="D9335" t="inlineStr">
        <is>
          <t>GÄVLEBORGS LÄN</t>
        </is>
      </c>
      <c r="E9335" t="inlineStr">
        <is>
          <t>BOLLNÄS</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61060-2023</t>
        </is>
      </c>
      <c r="B9336" s="1" t="n">
        <v>45261</v>
      </c>
      <c r="C9336" s="1" t="n">
        <v>45587</v>
      </c>
      <c r="D9336" t="inlineStr">
        <is>
          <t>GÄVLEBORGS LÄN</t>
        </is>
      </c>
      <c r="E9336" t="inlineStr">
        <is>
          <t>BOLLNÄS</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61092-2023</t>
        </is>
      </c>
      <c r="B9337" s="1" t="n">
        <v>45261</v>
      </c>
      <c r="C9337" s="1" t="n">
        <v>45587</v>
      </c>
      <c r="D9337" t="inlineStr">
        <is>
          <t>GÄVLEBORGS LÄN</t>
        </is>
      </c>
      <c r="E9337" t="inlineStr">
        <is>
          <t>LJUSDAL</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61097-2023</t>
        </is>
      </c>
      <c r="B9338" s="1" t="n">
        <v>45261</v>
      </c>
      <c r="C9338" s="1" t="n">
        <v>45587</v>
      </c>
      <c r="D9338" t="inlineStr">
        <is>
          <t>GÄVLEBORGS LÄN</t>
        </is>
      </c>
      <c r="E9338" t="inlineStr">
        <is>
          <t>SÖDERHAMN</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61114-2023</t>
        </is>
      </c>
      <c r="B9339" s="1" t="n">
        <v>45261</v>
      </c>
      <c r="C9339" s="1" t="n">
        <v>45587</v>
      </c>
      <c r="D9339" t="inlineStr">
        <is>
          <t>GÄVLEBORGS LÄN</t>
        </is>
      </c>
      <c r="E9339" t="inlineStr">
        <is>
          <t>LJUSDAL</t>
        </is>
      </c>
      <c r="G9339" t="n">
        <v>6</v>
      </c>
      <c r="H9339" t="n">
        <v>0</v>
      </c>
      <c r="I9339" t="n">
        <v>0</v>
      </c>
      <c r="J9339" t="n">
        <v>0</v>
      </c>
      <c r="K9339" t="n">
        <v>0</v>
      </c>
      <c r="L9339" t="n">
        <v>0</v>
      </c>
      <c r="M9339" t="n">
        <v>0</v>
      </c>
      <c r="N9339" t="n">
        <v>0</v>
      </c>
      <c r="O9339" t="n">
        <v>0</v>
      </c>
      <c r="P9339" t="n">
        <v>0</v>
      </c>
      <c r="Q9339" t="n">
        <v>0</v>
      </c>
      <c r="R9339" s="2" t="inlineStr"/>
    </row>
    <row r="9340" ht="15" customHeight="1">
      <c r="A9340" t="inlineStr">
        <is>
          <t>A 61215-2023</t>
        </is>
      </c>
      <c r="B9340" s="1" t="n">
        <v>45264</v>
      </c>
      <c r="C9340" s="1" t="n">
        <v>45587</v>
      </c>
      <c r="D9340" t="inlineStr">
        <is>
          <t>GÄVLEBORGS LÄN</t>
        </is>
      </c>
      <c r="E9340" t="inlineStr">
        <is>
          <t>BOLLNÄS</t>
        </is>
      </c>
      <c r="G9340" t="n">
        <v>11.2</v>
      </c>
      <c r="H9340" t="n">
        <v>0</v>
      </c>
      <c r="I9340" t="n">
        <v>0</v>
      </c>
      <c r="J9340" t="n">
        <v>0</v>
      </c>
      <c r="K9340" t="n">
        <v>0</v>
      </c>
      <c r="L9340" t="n">
        <v>0</v>
      </c>
      <c r="M9340" t="n">
        <v>0</v>
      </c>
      <c r="N9340" t="n">
        <v>0</v>
      </c>
      <c r="O9340" t="n">
        <v>0</v>
      </c>
      <c r="P9340" t="n">
        <v>0</v>
      </c>
      <c r="Q9340" t="n">
        <v>0</v>
      </c>
      <c r="R9340" s="2" t="inlineStr"/>
    </row>
    <row r="9341" ht="15" customHeight="1">
      <c r="A9341" t="inlineStr">
        <is>
          <t>A 61231-2023</t>
        </is>
      </c>
      <c r="B9341" s="1" t="n">
        <v>45264</v>
      </c>
      <c r="C9341" s="1" t="n">
        <v>45587</v>
      </c>
      <c r="D9341" t="inlineStr">
        <is>
          <t>GÄVLEBORGS LÄN</t>
        </is>
      </c>
      <c r="E9341" t="inlineStr">
        <is>
          <t>GÄVLE</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61211-2023</t>
        </is>
      </c>
      <c r="B9342" s="1" t="n">
        <v>45264</v>
      </c>
      <c r="C9342" s="1" t="n">
        <v>45587</v>
      </c>
      <c r="D9342" t="inlineStr">
        <is>
          <t>GÄVLEBORGS LÄN</t>
        </is>
      </c>
      <c r="E9342" t="inlineStr">
        <is>
          <t>HUDIKSVALL</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61234-2023</t>
        </is>
      </c>
      <c r="B9343" s="1" t="n">
        <v>45264</v>
      </c>
      <c r="C9343" s="1" t="n">
        <v>45587</v>
      </c>
      <c r="D9343" t="inlineStr">
        <is>
          <t>GÄVLEBORGS LÄN</t>
        </is>
      </c>
      <c r="E9343" t="inlineStr">
        <is>
          <t>HUDIKSVALL</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61255-2023</t>
        </is>
      </c>
      <c r="B9344" s="1" t="n">
        <v>45264</v>
      </c>
      <c r="C9344" s="1" t="n">
        <v>45587</v>
      </c>
      <c r="D9344" t="inlineStr">
        <is>
          <t>GÄVLEBORGS LÄN</t>
        </is>
      </c>
      <c r="E9344" t="inlineStr">
        <is>
          <t>HUDIKSVALL</t>
        </is>
      </c>
      <c r="G9344" t="n">
        <v>4.6</v>
      </c>
      <c r="H9344" t="n">
        <v>0</v>
      </c>
      <c r="I9344" t="n">
        <v>0</v>
      </c>
      <c r="J9344" t="n">
        <v>0</v>
      </c>
      <c r="K9344" t="n">
        <v>0</v>
      </c>
      <c r="L9344" t="n">
        <v>0</v>
      </c>
      <c r="M9344" t="n">
        <v>0</v>
      </c>
      <c r="N9344" t="n">
        <v>0</v>
      </c>
      <c r="O9344" t="n">
        <v>0</v>
      </c>
      <c r="P9344" t="n">
        <v>0</v>
      </c>
      <c r="Q9344" t="n">
        <v>0</v>
      </c>
      <c r="R9344" s="2" t="inlineStr"/>
    </row>
    <row r="9345" ht="15" customHeight="1">
      <c r="A9345" t="inlineStr">
        <is>
          <t>A 61265-2023</t>
        </is>
      </c>
      <c r="B9345" s="1" t="n">
        <v>45264</v>
      </c>
      <c r="C9345" s="1" t="n">
        <v>45587</v>
      </c>
      <c r="D9345" t="inlineStr">
        <is>
          <t>GÄVLEBORGS LÄN</t>
        </is>
      </c>
      <c r="E9345" t="inlineStr">
        <is>
          <t>NORDANSTIG</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61212-2023</t>
        </is>
      </c>
      <c r="B9346" s="1" t="n">
        <v>45264</v>
      </c>
      <c r="C9346" s="1" t="n">
        <v>45587</v>
      </c>
      <c r="D9346" t="inlineStr">
        <is>
          <t>GÄVLEBORGS LÄN</t>
        </is>
      </c>
      <c r="E9346" t="inlineStr">
        <is>
          <t>HUDIKSVALL</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61340-2023</t>
        </is>
      </c>
      <c r="B9347" s="1" t="n">
        <v>45264</v>
      </c>
      <c r="C9347" s="1" t="n">
        <v>45587</v>
      </c>
      <c r="D9347" t="inlineStr">
        <is>
          <t>GÄVLEBORGS LÄN</t>
        </is>
      </c>
      <c r="E9347" t="inlineStr">
        <is>
          <t>GÄVLE</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61406-2023</t>
        </is>
      </c>
      <c r="B9348" s="1" t="n">
        <v>45264</v>
      </c>
      <c r="C9348" s="1" t="n">
        <v>45587</v>
      </c>
      <c r="D9348" t="inlineStr">
        <is>
          <t>GÄVLEBORGS LÄN</t>
        </is>
      </c>
      <c r="E9348" t="inlineStr">
        <is>
          <t>HUDIKSVALL</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61214-2023</t>
        </is>
      </c>
      <c r="B9349" s="1" t="n">
        <v>45264</v>
      </c>
      <c r="C9349" s="1" t="n">
        <v>45587</v>
      </c>
      <c r="D9349" t="inlineStr">
        <is>
          <t>GÄVLEBORGS LÄN</t>
        </is>
      </c>
      <c r="E9349" t="inlineStr">
        <is>
          <t>LJUSDAL</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61325-2023</t>
        </is>
      </c>
      <c r="B9350" s="1" t="n">
        <v>45264</v>
      </c>
      <c r="C9350" s="1" t="n">
        <v>45587</v>
      </c>
      <c r="D9350" t="inlineStr">
        <is>
          <t>GÄVLEBORGS LÄN</t>
        </is>
      </c>
      <c r="E9350" t="inlineStr">
        <is>
          <t>HOFORS</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61363-2023</t>
        </is>
      </c>
      <c r="B9351" s="1" t="n">
        <v>45264</v>
      </c>
      <c r="C9351" s="1" t="n">
        <v>45587</v>
      </c>
      <c r="D9351" t="inlineStr">
        <is>
          <t>GÄVLEBORGS LÄN</t>
        </is>
      </c>
      <c r="E9351" t="inlineStr">
        <is>
          <t>SANDVIKEN</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61390-2023</t>
        </is>
      </c>
      <c r="B9352" s="1" t="n">
        <v>45264</v>
      </c>
      <c r="C9352" s="1" t="n">
        <v>45587</v>
      </c>
      <c r="D9352" t="inlineStr">
        <is>
          <t>GÄVLEBORGS LÄN</t>
        </is>
      </c>
      <c r="E9352" t="inlineStr">
        <is>
          <t>GÄVLE</t>
        </is>
      </c>
      <c r="G9352" t="n">
        <v>4.1</v>
      </c>
      <c r="H9352" t="n">
        <v>0</v>
      </c>
      <c r="I9352" t="n">
        <v>0</v>
      </c>
      <c r="J9352" t="n">
        <v>0</v>
      </c>
      <c r="K9352" t="n">
        <v>0</v>
      </c>
      <c r="L9352" t="n">
        <v>0</v>
      </c>
      <c r="M9352" t="n">
        <v>0</v>
      </c>
      <c r="N9352" t="n">
        <v>0</v>
      </c>
      <c r="O9352" t="n">
        <v>0</v>
      </c>
      <c r="P9352" t="n">
        <v>0</v>
      </c>
      <c r="Q9352" t="n">
        <v>0</v>
      </c>
      <c r="R9352" s="2" t="inlineStr"/>
    </row>
    <row r="9353" ht="15" customHeight="1">
      <c r="A9353" t="inlineStr">
        <is>
          <t>A 61399-2023</t>
        </is>
      </c>
      <c r="B9353" s="1" t="n">
        <v>45264</v>
      </c>
      <c r="C9353" s="1" t="n">
        <v>45587</v>
      </c>
      <c r="D9353" t="inlineStr">
        <is>
          <t>GÄVLEBORGS LÄN</t>
        </is>
      </c>
      <c r="E9353" t="inlineStr">
        <is>
          <t>BOLLNÄS</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61408-2023</t>
        </is>
      </c>
      <c r="B9354" s="1" t="n">
        <v>45264</v>
      </c>
      <c r="C9354" s="1" t="n">
        <v>45587</v>
      </c>
      <c r="D9354" t="inlineStr">
        <is>
          <t>GÄVLEBORGS LÄN</t>
        </is>
      </c>
      <c r="E9354" t="inlineStr">
        <is>
          <t>SÖDERHAMN</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61412-2023</t>
        </is>
      </c>
      <c r="B9355" s="1" t="n">
        <v>45264</v>
      </c>
      <c r="C9355" s="1" t="n">
        <v>45587</v>
      </c>
      <c r="D9355" t="inlineStr">
        <is>
          <t>GÄVLEBORGS LÄN</t>
        </is>
      </c>
      <c r="E9355" t="inlineStr">
        <is>
          <t>HUDIKSVALL</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61478-2023</t>
        </is>
      </c>
      <c r="B9356" s="1" t="n">
        <v>45264</v>
      </c>
      <c r="C9356" s="1" t="n">
        <v>45587</v>
      </c>
      <c r="D9356" t="inlineStr">
        <is>
          <t>GÄVLEBORGS LÄN</t>
        </is>
      </c>
      <c r="E9356" t="inlineStr">
        <is>
          <t>HUDIKSVALL</t>
        </is>
      </c>
      <c r="G9356" t="n">
        <v>4.1</v>
      </c>
      <c r="H9356" t="n">
        <v>0</v>
      </c>
      <c r="I9356" t="n">
        <v>0</v>
      </c>
      <c r="J9356" t="n">
        <v>0</v>
      </c>
      <c r="K9356" t="n">
        <v>0</v>
      </c>
      <c r="L9356" t="n">
        <v>0</v>
      </c>
      <c r="M9356" t="n">
        <v>0</v>
      </c>
      <c r="N9356" t="n">
        <v>0</v>
      </c>
      <c r="O9356" t="n">
        <v>0</v>
      </c>
      <c r="P9356" t="n">
        <v>0</v>
      </c>
      <c r="Q9356" t="n">
        <v>0</v>
      </c>
      <c r="R9356" s="2" t="inlineStr"/>
    </row>
    <row r="9357" ht="15" customHeight="1">
      <c r="A9357" t="inlineStr">
        <is>
          <t>A 61431-2023</t>
        </is>
      </c>
      <c r="B9357" s="1" t="n">
        <v>45264</v>
      </c>
      <c r="C9357" s="1" t="n">
        <v>45587</v>
      </c>
      <c r="D9357" t="inlineStr">
        <is>
          <t>GÄVLEBORGS LÄN</t>
        </is>
      </c>
      <c r="E9357" t="inlineStr">
        <is>
          <t>LJUSDAL</t>
        </is>
      </c>
      <c r="G9357" t="n">
        <v>5.9</v>
      </c>
      <c r="H9357" t="n">
        <v>0</v>
      </c>
      <c r="I9357" t="n">
        <v>0</v>
      </c>
      <c r="J9357" t="n">
        <v>0</v>
      </c>
      <c r="K9357" t="n">
        <v>0</v>
      </c>
      <c r="L9357" t="n">
        <v>0</v>
      </c>
      <c r="M9357" t="n">
        <v>0</v>
      </c>
      <c r="N9357" t="n">
        <v>0</v>
      </c>
      <c r="O9357" t="n">
        <v>0</v>
      </c>
      <c r="P9357" t="n">
        <v>0</v>
      </c>
      <c r="Q9357" t="n">
        <v>0</v>
      </c>
      <c r="R9357" s="2" t="inlineStr"/>
    </row>
    <row r="9358" ht="15" customHeight="1">
      <c r="A9358" t="inlineStr">
        <is>
          <t>A 61706-2023</t>
        </is>
      </c>
      <c r="B9358" s="1" t="n">
        <v>45264</v>
      </c>
      <c r="C9358" s="1" t="n">
        <v>45587</v>
      </c>
      <c r="D9358" t="inlineStr">
        <is>
          <t>GÄVLEBORGS LÄN</t>
        </is>
      </c>
      <c r="E9358" t="inlineStr">
        <is>
          <t>SÖDERHAMN</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61537-2023</t>
        </is>
      </c>
      <c r="B9359" s="1" t="n">
        <v>45265</v>
      </c>
      <c r="C9359" s="1" t="n">
        <v>45587</v>
      </c>
      <c r="D9359" t="inlineStr">
        <is>
          <t>GÄVLEBORGS LÄN</t>
        </is>
      </c>
      <c r="E9359" t="inlineStr">
        <is>
          <t>SANDVIKEN</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61582-2023</t>
        </is>
      </c>
      <c r="B9360" s="1" t="n">
        <v>45265</v>
      </c>
      <c r="C9360" s="1" t="n">
        <v>45587</v>
      </c>
      <c r="D9360" t="inlineStr">
        <is>
          <t>GÄVLEBORGS LÄN</t>
        </is>
      </c>
      <c r="E9360" t="inlineStr">
        <is>
          <t>OVANÅKER</t>
        </is>
      </c>
      <c r="G9360" t="n">
        <v>5.8</v>
      </c>
      <c r="H9360" t="n">
        <v>0</v>
      </c>
      <c r="I9360" t="n">
        <v>0</v>
      </c>
      <c r="J9360" t="n">
        <v>0</v>
      </c>
      <c r="K9360" t="n">
        <v>0</v>
      </c>
      <c r="L9360" t="n">
        <v>0</v>
      </c>
      <c r="M9360" t="n">
        <v>0</v>
      </c>
      <c r="N9360" t="n">
        <v>0</v>
      </c>
      <c r="O9360" t="n">
        <v>0</v>
      </c>
      <c r="P9360" t="n">
        <v>0</v>
      </c>
      <c r="Q9360" t="n">
        <v>0</v>
      </c>
      <c r="R9360" s="2" t="inlineStr"/>
    </row>
    <row r="9361" ht="15" customHeight="1">
      <c r="A9361" t="inlineStr">
        <is>
          <t>A 61673-2023</t>
        </is>
      </c>
      <c r="B9361" s="1" t="n">
        <v>45265</v>
      </c>
      <c r="C9361" s="1" t="n">
        <v>45587</v>
      </c>
      <c r="D9361" t="inlineStr">
        <is>
          <t>GÄVLEBORGS LÄN</t>
        </is>
      </c>
      <c r="E9361" t="inlineStr">
        <is>
          <t>OVANÅKER</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61686-2023</t>
        </is>
      </c>
      <c r="B9362" s="1" t="n">
        <v>45265</v>
      </c>
      <c r="C9362" s="1" t="n">
        <v>45587</v>
      </c>
      <c r="D9362" t="inlineStr">
        <is>
          <t>GÄVLEBORGS LÄN</t>
        </is>
      </c>
      <c r="E9362" t="inlineStr">
        <is>
          <t>SÖDERHAMN</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61718-2023</t>
        </is>
      </c>
      <c r="B9363" s="1" t="n">
        <v>45265</v>
      </c>
      <c r="C9363" s="1" t="n">
        <v>45587</v>
      </c>
      <c r="D9363" t="inlineStr">
        <is>
          <t>GÄVLEBORGS LÄN</t>
        </is>
      </c>
      <c r="E9363" t="inlineStr">
        <is>
          <t>LJUSDAL</t>
        </is>
      </c>
      <c r="F9363" t="inlineStr">
        <is>
          <t>Kommuner</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61528-2023</t>
        </is>
      </c>
      <c r="B9364" s="1" t="n">
        <v>45265</v>
      </c>
      <c r="C9364" s="1" t="n">
        <v>45587</v>
      </c>
      <c r="D9364" t="inlineStr">
        <is>
          <t>GÄVLEBORGS LÄN</t>
        </is>
      </c>
      <c r="E9364" t="inlineStr">
        <is>
          <t>OVANÅKER</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61567-2023</t>
        </is>
      </c>
      <c r="B9365" s="1" t="n">
        <v>45265</v>
      </c>
      <c r="C9365" s="1" t="n">
        <v>45587</v>
      </c>
      <c r="D9365" t="inlineStr">
        <is>
          <t>GÄVLEBORGS LÄN</t>
        </is>
      </c>
      <c r="E9365" t="inlineStr">
        <is>
          <t>OVANÅKER</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61610-2023</t>
        </is>
      </c>
      <c r="B9366" s="1" t="n">
        <v>45265</v>
      </c>
      <c r="C9366" s="1" t="n">
        <v>45587</v>
      </c>
      <c r="D9366" t="inlineStr">
        <is>
          <t>GÄVLEBORGS LÄN</t>
        </is>
      </c>
      <c r="E9366" t="inlineStr">
        <is>
          <t>HUDIKSVALL</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61680-2023</t>
        </is>
      </c>
      <c r="B9367" s="1" t="n">
        <v>45265</v>
      </c>
      <c r="C9367" s="1" t="n">
        <v>45587</v>
      </c>
      <c r="D9367" t="inlineStr">
        <is>
          <t>GÄVLEBORGS LÄN</t>
        </is>
      </c>
      <c r="E9367" t="inlineStr">
        <is>
          <t>SÖDERHAMN</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61711-2023</t>
        </is>
      </c>
      <c r="B9368" s="1" t="n">
        <v>45265</v>
      </c>
      <c r="C9368" s="1" t="n">
        <v>45587</v>
      </c>
      <c r="D9368" t="inlineStr">
        <is>
          <t>GÄVLEBORGS LÄN</t>
        </is>
      </c>
      <c r="E9368" t="inlineStr">
        <is>
          <t>BOLLNÄS</t>
        </is>
      </c>
      <c r="G9368" t="n">
        <v>7.1</v>
      </c>
      <c r="H9368" t="n">
        <v>0</v>
      </c>
      <c r="I9368" t="n">
        <v>0</v>
      </c>
      <c r="J9368" t="n">
        <v>0</v>
      </c>
      <c r="K9368" t="n">
        <v>0</v>
      </c>
      <c r="L9368" t="n">
        <v>0</v>
      </c>
      <c r="M9368" t="n">
        <v>0</v>
      </c>
      <c r="N9368" t="n">
        <v>0</v>
      </c>
      <c r="O9368" t="n">
        <v>0</v>
      </c>
      <c r="P9368" t="n">
        <v>0</v>
      </c>
      <c r="Q9368" t="n">
        <v>0</v>
      </c>
      <c r="R9368" s="2" t="inlineStr"/>
    </row>
    <row r="9369" ht="15" customHeight="1">
      <c r="A9369" t="inlineStr">
        <is>
          <t>A 61526-2023</t>
        </is>
      </c>
      <c r="B9369" s="1" t="n">
        <v>45265</v>
      </c>
      <c r="C9369" s="1" t="n">
        <v>45587</v>
      </c>
      <c r="D9369" t="inlineStr">
        <is>
          <t>GÄVLEBORGS LÄN</t>
        </is>
      </c>
      <c r="E9369" t="inlineStr">
        <is>
          <t>OVANÅKER</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61576-2023</t>
        </is>
      </c>
      <c r="B9370" s="1" t="n">
        <v>45265</v>
      </c>
      <c r="C9370" s="1" t="n">
        <v>45587</v>
      </c>
      <c r="D9370" t="inlineStr">
        <is>
          <t>GÄVLEBORGS LÄN</t>
        </is>
      </c>
      <c r="E9370" t="inlineStr">
        <is>
          <t>OVANÅKER</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61672-2023</t>
        </is>
      </c>
      <c r="B9371" s="1" t="n">
        <v>45265</v>
      </c>
      <c r="C9371" s="1" t="n">
        <v>45587</v>
      </c>
      <c r="D9371" t="inlineStr">
        <is>
          <t>GÄVLEBORGS LÄN</t>
        </is>
      </c>
      <c r="E9371" t="inlineStr">
        <is>
          <t>GÄVLE</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61772-2023</t>
        </is>
      </c>
      <c r="B9372" s="1" t="n">
        <v>45265</v>
      </c>
      <c r="C9372" s="1" t="n">
        <v>45587</v>
      </c>
      <c r="D9372" t="inlineStr">
        <is>
          <t>GÄVLEBORGS LÄN</t>
        </is>
      </c>
      <c r="E9372" t="inlineStr">
        <is>
          <t>HUDIKSVALL</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61750-2023</t>
        </is>
      </c>
      <c r="B9373" s="1" t="n">
        <v>45265</v>
      </c>
      <c r="C9373" s="1" t="n">
        <v>45587</v>
      </c>
      <c r="D9373" t="inlineStr">
        <is>
          <t>GÄVLEBORGS LÄN</t>
        </is>
      </c>
      <c r="E9373" t="inlineStr">
        <is>
          <t>OCKELBO</t>
        </is>
      </c>
      <c r="G9373" t="n">
        <v>11.2</v>
      </c>
      <c r="H9373" t="n">
        <v>0</v>
      </c>
      <c r="I9373" t="n">
        <v>0</v>
      </c>
      <c r="J9373" t="n">
        <v>0</v>
      </c>
      <c r="K9373" t="n">
        <v>0</v>
      </c>
      <c r="L9373" t="n">
        <v>0</v>
      </c>
      <c r="M9373" t="n">
        <v>0</v>
      </c>
      <c r="N9373" t="n">
        <v>0</v>
      </c>
      <c r="O9373" t="n">
        <v>0</v>
      </c>
      <c r="P9373" t="n">
        <v>0</v>
      </c>
      <c r="Q9373" t="n">
        <v>0</v>
      </c>
      <c r="R9373" s="2" t="inlineStr"/>
    </row>
    <row r="9374" ht="15" customHeight="1">
      <c r="A9374" t="inlineStr">
        <is>
          <t>A 61774-2023</t>
        </is>
      </c>
      <c r="B9374" s="1" t="n">
        <v>45265</v>
      </c>
      <c r="C9374" s="1" t="n">
        <v>45587</v>
      </c>
      <c r="D9374" t="inlineStr">
        <is>
          <t>GÄVLEBORGS LÄN</t>
        </is>
      </c>
      <c r="E9374" t="inlineStr">
        <is>
          <t>HUDIKSVALL</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61534-2023</t>
        </is>
      </c>
      <c r="B9375" s="1" t="n">
        <v>45265</v>
      </c>
      <c r="C9375" s="1" t="n">
        <v>45587</v>
      </c>
      <c r="D9375" t="inlineStr">
        <is>
          <t>GÄVLEBORGS LÄN</t>
        </is>
      </c>
      <c r="E9375" t="inlineStr">
        <is>
          <t>SANDVIKEN</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61611-2023</t>
        </is>
      </c>
      <c r="B9376" s="1" t="n">
        <v>45265</v>
      </c>
      <c r="C9376" s="1" t="n">
        <v>45587</v>
      </c>
      <c r="D9376" t="inlineStr">
        <is>
          <t>GÄVLEBORGS LÄN</t>
        </is>
      </c>
      <c r="E9376" t="inlineStr">
        <is>
          <t>HUDIKSVALL</t>
        </is>
      </c>
      <c r="G9376" t="n">
        <v>4.7</v>
      </c>
      <c r="H9376" t="n">
        <v>0</v>
      </c>
      <c r="I9376" t="n">
        <v>0</v>
      </c>
      <c r="J9376" t="n">
        <v>0</v>
      </c>
      <c r="K9376" t="n">
        <v>0</v>
      </c>
      <c r="L9376" t="n">
        <v>0</v>
      </c>
      <c r="M9376" t="n">
        <v>0</v>
      </c>
      <c r="N9376" t="n">
        <v>0</v>
      </c>
      <c r="O9376" t="n">
        <v>0</v>
      </c>
      <c r="P9376" t="n">
        <v>0</v>
      </c>
      <c r="Q9376" t="n">
        <v>0</v>
      </c>
      <c r="R9376" s="2" t="inlineStr"/>
    </row>
    <row r="9377" ht="15" customHeight="1">
      <c r="A9377" t="inlineStr">
        <is>
          <t>A 61771-2023</t>
        </is>
      </c>
      <c r="B9377" s="1" t="n">
        <v>45265</v>
      </c>
      <c r="C9377" s="1" t="n">
        <v>45587</v>
      </c>
      <c r="D9377" t="inlineStr">
        <is>
          <t>GÄVLEBORGS LÄN</t>
        </is>
      </c>
      <c r="E9377" t="inlineStr">
        <is>
          <t>HUDIKSVALL</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61848-2023</t>
        </is>
      </c>
      <c r="B9378" s="1" t="n">
        <v>45265</v>
      </c>
      <c r="C9378" s="1" t="n">
        <v>45587</v>
      </c>
      <c r="D9378" t="inlineStr">
        <is>
          <t>GÄVLEBORGS LÄN</t>
        </is>
      </c>
      <c r="E9378" t="inlineStr">
        <is>
          <t>SANDVIKEN</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61819-2023</t>
        </is>
      </c>
      <c r="B9379" s="1" t="n">
        <v>45266</v>
      </c>
      <c r="C9379" s="1" t="n">
        <v>45587</v>
      </c>
      <c r="D9379" t="inlineStr">
        <is>
          <t>GÄVLEBORGS LÄN</t>
        </is>
      </c>
      <c r="E9379" t="inlineStr">
        <is>
          <t>GÄVLE</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61823-2023</t>
        </is>
      </c>
      <c r="B9380" s="1" t="n">
        <v>45266</v>
      </c>
      <c r="C9380" s="1" t="n">
        <v>45587</v>
      </c>
      <c r="D9380" t="inlineStr">
        <is>
          <t>GÄVLEBORGS LÄN</t>
        </is>
      </c>
      <c r="E9380" t="inlineStr">
        <is>
          <t>GÄVLE</t>
        </is>
      </c>
      <c r="G9380" t="n">
        <v>4.7</v>
      </c>
      <c r="H9380" t="n">
        <v>0</v>
      </c>
      <c r="I9380" t="n">
        <v>0</v>
      </c>
      <c r="J9380" t="n">
        <v>0</v>
      </c>
      <c r="K9380" t="n">
        <v>0</v>
      </c>
      <c r="L9380" t="n">
        <v>0</v>
      </c>
      <c r="M9380" t="n">
        <v>0</v>
      </c>
      <c r="N9380" t="n">
        <v>0</v>
      </c>
      <c r="O9380" t="n">
        <v>0</v>
      </c>
      <c r="P9380" t="n">
        <v>0</v>
      </c>
      <c r="Q9380" t="n">
        <v>0</v>
      </c>
      <c r="R9380" s="2" t="inlineStr"/>
    </row>
    <row r="9381" ht="15" customHeight="1">
      <c r="A9381" t="inlineStr">
        <is>
          <t>A 61918-2023</t>
        </is>
      </c>
      <c r="B9381" s="1" t="n">
        <v>45266</v>
      </c>
      <c r="C9381" s="1" t="n">
        <v>45587</v>
      </c>
      <c r="D9381" t="inlineStr">
        <is>
          <t>GÄVLEBORGS LÄN</t>
        </is>
      </c>
      <c r="E9381" t="inlineStr">
        <is>
          <t>GÄVLE</t>
        </is>
      </c>
      <c r="G9381" t="n">
        <v>5.3</v>
      </c>
      <c r="H9381" t="n">
        <v>0</v>
      </c>
      <c r="I9381" t="n">
        <v>0</v>
      </c>
      <c r="J9381" t="n">
        <v>0</v>
      </c>
      <c r="K9381" t="n">
        <v>0</v>
      </c>
      <c r="L9381" t="n">
        <v>0</v>
      </c>
      <c r="M9381" t="n">
        <v>0</v>
      </c>
      <c r="N9381" t="n">
        <v>0</v>
      </c>
      <c r="O9381" t="n">
        <v>0</v>
      </c>
      <c r="P9381" t="n">
        <v>0</v>
      </c>
      <c r="Q9381" t="n">
        <v>0</v>
      </c>
      <c r="R9381" s="2" t="inlineStr"/>
    </row>
    <row r="9382" ht="15" customHeight="1">
      <c r="A9382" t="inlineStr">
        <is>
          <t>A 61836-2023</t>
        </is>
      </c>
      <c r="B9382" s="1" t="n">
        <v>45266</v>
      </c>
      <c r="C9382" s="1" t="n">
        <v>45587</v>
      </c>
      <c r="D9382" t="inlineStr">
        <is>
          <t>GÄVLEBORGS LÄN</t>
        </is>
      </c>
      <c r="E9382" t="inlineStr">
        <is>
          <t>LJUSDAL</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61843-2023</t>
        </is>
      </c>
      <c r="B9383" s="1" t="n">
        <v>45266</v>
      </c>
      <c r="C9383" s="1" t="n">
        <v>45587</v>
      </c>
      <c r="D9383" t="inlineStr">
        <is>
          <t>GÄVLEBORGS LÄN</t>
        </is>
      </c>
      <c r="E9383" t="inlineStr">
        <is>
          <t>GÄVLE</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61968-2023</t>
        </is>
      </c>
      <c r="B9384" s="1" t="n">
        <v>45266</v>
      </c>
      <c r="C9384" s="1" t="n">
        <v>45587</v>
      </c>
      <c r="D9384" t="inlineStr">
        <is>
          <t>GÄVLEBORGS LÄN</t>
        </is>
      </c>
      <c r="E9384" t="inlineStr">
        <is>
          <t>BOLLNÄS</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61949-2023</t>
        </is>
      </c>
      <c r="B9385" s="1" t="n">
        <v>45266</v>
      </c>
      <c r="C9385" s="1" t="n">
        <v>45587</v>
      </c>
      <c r="D9385" t="inlineStr">
        <is>
          <t>GÄVLEBORGS LÄN</t>
        </is>
      </c>
      <c r="E9385" t="inlineStr">
        <is>
          <t>LJUSDAL</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61813-2023</t>
        </is>
      </c>
      <c r="B9386" s="1" t="n">
        <v>45266</v>
      </c>
      <c r="C9386" s="1" t="n">
        <v>45587</v>
      </c>
      <c r="D9386" t="inlineStr">
        <is>
          <t>GÄVLEBORGS LÄN</t>
        </is>
      </c>
      <c r="E9386" t="inlineStr">
        <is>
          <t>GÄVLE</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62041-2023</t>
        </is>
      </c>
      <c r="B9387" s="1" t="n">
        <v>45266</v>
      </c>
      <c r="C9387" s="1" t="n">
        <v>45587</v>
      </c>
      <c r="D9387" t="inlineStr">
        <is>
          <t>GÄVLEBORGS LÄN</t>
        </is>
      </c>
      <c r="E9387" t="inlineStr">
        <is>
          <t>GÄVLE</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62031-2023</t>
        </is>
      </c>
      <c r="B9388" s="1" t="n">
        <v>45266</v>
      </c>
      <c r="C9388" s="1" t="n">
        <v>45587</v>
      </c>
      <c r="D9388" t="inlineStr">
        <is>
          <t>GÄVLEBORGS LÄN</t>
        </is>
      </c>
      <c r="E9388" t="inlineStr">
        <is>
          <t>NORDANSTIG</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61880-2023</t>
        </is>
      </c>
      <c r="B9389" s="1" t="n">
        <v>45266</v>
      </c>
      <c r="C9389" s="1" t="n">
        <v>45587</v>
      </c>
      <c r="D9389" t="inlineStr">
        <is>
          <t>GÄVLEBORGS LÄN</t>
        </is>
      </c>
      <c r="E9389" t="inlineStr">
        <is>
          <t>LJUSDAL</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61979-2023</t>
        </is>
      </c>
      <c r="B9390" s="1" t="n">
        <v>45266</v>
      </c>
      <c r="C9390" s="1" t="n">
        <v>45587</v>
      </c>
      <c r="D9390" t="inlineStr">
        <is>
          <t>GÄVLEBORGS LÄN</t>
        </is>
      </c>
      <c r="E9390" t="inlineStr">
        <is>
          <t>BOLLNÄS</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62063-2023</t>
        </is>
      </c>
      <c r="B9391" s="1" t="n">
        <v>45266</v>
      </c>
      <c r="C9391" s="1" t="n">
        <v>45587</v>
      </c>
      <c r="D9391" t="inlineStr">
        <is>
          <t>GÄVLEBORGS LÄN</t>
        </is>
      </c>
      <c r="E9391" t="inlineStr">
        <is>
          <t>GÄVLE</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62095-2023</t>
        </is>
      </c>
      <c r="B9392" s="1" t="n">
        <v>45266</v>
      </c>
      <c r="C9392" s="1" t="n">
        <v>45587</v>
      </c>
      <c r="D9392" t="inlineStr">
        <is>
          <t>GÄVLEBORGS LÄN</t>
        </is>
      </c>
      <c r="E9392" t="inlineStr">
        <is>
          <t>LJUSDAL</t>
        </is>
      </c>
      <c r="G9392" t="n">
        <v>0.2</v>
      </c>
      <c r="H9392" t="n">
        <v>0</v>
      </c>
      <c r="I9392" t="n">
        <v>0</v>
      </c>
      <c r="J9392" t="n">
        <v>0</v>
      </c>
      <c r="K9392" t="n">
        <v>0</v>
      </c>
      <c r="L9392" t="n">
        <v>0</v>
      </c>
      <c r="M9392" t="n">
        <v>0</v>
      </c>
      <c r="N9392" t="n">
        <v>0</v>
      </c>
      <c r="O9392" t="n">
        <v>0</v>
      </c>
      <c r="P9392" t="n">
        <v>0</v>
      </c>
      <c r="Q9392" t="n">
        <v>0</v>
      </c>
      <c r="R9392" s="2" t="inlineStr"/>
    </row>
    <row r="9393" ht="15" customHeight="1">
      <c r="A9393" t="inlineStr">
        <is>
          <t>A 62101-2023</t>
        </is>
      </c>
      <c r="B9393" s="1" t="n">
        <v>45266</v>
      </c>
      <c r="C9393" s="1" t="n">
        <v>45587</v>
      </c>
      <c r="D9393" t="inlineStr">
        <is>
          <t>GÄVLEBORGS LÄN</t>
        </is>
      </c>
      <c r="E9393" t="inlineStr">
        <is>
          <t>LJUSDAL</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62127-2023</t>
        </is>
      </c>
      <c r="B9394" s="1" t="n">
        <v>45267</v>
      </c>
      <c r="C9394" s="1" t="n">
        <v>45587</v>
      </c>
      <c r="D9394" t="inlineStr">
        <is>
          <t>GÄVLEBORGS LÄN</t>
        </is>
      </c>
      <c r="E9394" t="inlineStr">
        <is>
          <t>NORDANSTIG</t>
        </is>
      </c>
      <c r="G9394" t="n">
        <v>5.2</v>
      </c>
      <c r="H9394" t="n">
        <v>0</v>
      </c>
      <c r="I9394" t="n">
        <v>0</v>
      </c>
      <c r="J9394" t="n">
        <v>0</v>
      </c>
      <c r="K9394" t="n">
        <v>0</v>
      </c>
      <c r="L9394" t="n">
        <v>0</v>
      </c>
      <c r="M9394" t="n">
        <v>0</v>
      </c>
      <c r="N9394" t="n">
        <v>0</v>
      </c>
      <c r="O9394" t="n">
        <v>0</v>
      </c>
      <c r="P9394" t="n">
        <v>0</v>
      </c>
      <c r="Q9394" t="n">
        <v>0</v>
      </c>
      <c r="R9394" s="2" t="inlineStr"/>
    </row>
    <row r="9395" ht="15" customHeight="1">
      <c r="A9395" t="inlineStr">
        <is>
          <t>A 62215-2023</t>
        </is>
      </c>
      <c r="B9395" s="1" t="n">
        <v>45267</v>
      </c>
      <c r="C9395" s="1" t="n">
        <v>45587</v>
      </c>
      <c r="D9395" t="inlineStr">
        <is>
          <t>GÄVLEBORGS LÄN</t>
        </is>
      </c>
      <c r="E9395" t="inlineStr">
        <is>
          <t>GÄVLE</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62124-2023</t>
        </is>
      </c>
      <c r="B9396" s="1" t="n">
        <v>45267</v>
      </c>
      <c r="C9396" s="1" t="n">
        <v>45587</v>
      </c>
      <c r="D9396" t="inlineStr">
        <is>
          <t>GÄVLEBORGS LÄN</t>
        </is>
      </c>
      <c r="E9396" t="inlineStr">
        <is>
          <t>HUDIKSVALL</t>
        </is>
      </c>
      <c r="F9396" t="inlineStr">
        <is>
          <t>Sveaskog</t>
        </is>
      </c>
      <c r="G9396" t="n">
        <v>10.3</v>
      </c>
      <c r="H9396" t="n">
        <v>0</v>
      </c>
      <c r="I9396" t="n">
        <v>0</v>
      </c>
      <c r="J9396" t="n">
        <v>0</v>
      </c>
      <c r="K9396" t="n">
        <v>0</v>
      </c>
      <c r="L9396" t="n">
        <v>0</v>
      </c>
      <c r="M9396" t="n">
        <v>0</v>
      </c>
      <c r="N9396" t="n">
        <v>0</v>
      </c>
      <c r="O9396" t="n">
        <v>0</v>
      </c>
      <c r="P9396" t="n">
        <v>0</v>
      </c>
      <c r="Q9396" t="n">
        <v>0</v>
      </c>
      <c r="R9396" s="2" t="inlineStr"/>
    </row>
    <row r="9397" ht="15" customHeight="1">
      <c r="A9397" t="inlineStr">
        <is>
          <t>A 62337-2023</t>
        </is>
      </c>
      <c r="B9397" s="1" t="n">
        <v>45267</v>
      </c>
      <c r="C9397" s="1" t="n">
        <v>45587</v>
      </c>
      <c r="D9397" t="inlineStr">
        <is>
          <t>GÄVLEBORGS LÄN</t>
        </is>
      </c>
      <c r="E9397" t="inlineStr">
        <is>
          <t>OVANÅKER</t>
        </is>
      </c>
      <c r="G9397" t="n">
        <v>7.6</v>
      </c>
      <c r="H9397" t="n">
        <v>0</v>
      </c>
      <c r="I9397" t="n">
        <v>0</v>
      </c>
      <c r="J9397" t="n">
        <v>0</v>
      </c>
      <c r="K9397" t="n">
        <v>0</v>
      </c>
      <c r="L9397" t="n">
        <v>0</v>
      </c>
      <c r="M9397" t="n">
        <v>0</v>
      </c>
      <c r="N9397" t="n">
        <v>0</v>
      </c>
      <c r="O9397" t="n">
        <v>0</v>
      </c>
      <c r="P9397" t="n">
        <v>0</v>
      </c>
      <c r="Q9397" t="n">
        <v>0</v>
      </c>
      <c r="R9397" s="2" t="inlineStr"/>
    </row>
    <row r="9398" ht="15" customHeight="1">
      <c r="A9398" t="inlineStr">
        <is>
          <t>A 62153-2023</t>
        </is>
      </c>
      <c r="B9398" s="1" t="n">
        <v>45267</v>
      </c>
      <c r="C9398" s="1" t="n">
        <v>45587</v>
      </c>
      <c r="D9398" t="inlineStr">
        <is>
          <t>GÄVLEBORGS LÄN</t>
        </is>
      </c>
      <c r="E9398" t="inlineStr">
        <is>
          <t>OVANÅKER</t>
        </is>
      </c>
      <c r="G9398" t="n">
        <v>3.3</v>
      </c>
      <c r="H9398" t="n">
        <v>0</v>
      </c>
      <c r="I9398" t="n">
        <v>0</v>
      </c>
      <c r="J9398" t="n">
        <v>0</v>
      </c>
      <c r="K9398" t="n">
        <v>0</v>
      </c>
      <c r="L9398" t="n">
        <v>0</v>
      </c>
      <c r="M9398" t="n">
        <v>0</v>
      </c>
      <c r="N9398" t="n">
        <v>0</v>
      </c>
      <c r="O9398" t="n">
        <v>0</v>
      </c>
      <c r="P9398" t="n">
        <v>0</v>
      </c>
      <c r="Q9398" t="n">
        <v>0</v>
      </c>
      <c r="R9398" s="2" t="inlineStr"/>
    </row>
    <row r="9399" ht="15" customHeight="1">
      <c r="A9399" t="inlineStr">
        <is>
          <t>A 62196-2023</t>
        </is>
      </c>
      <c r="B9399" s="1" t="n">
        <v>45267</v>
      </c>
      <c r="C9399" s="1" t="n">
        <v>45587</v>
      </c>
      <c r="D9399" t="inlineStr">
        <is>
          <t>GÄVLEBORGS LÄN</t>
        </is>
      </c>
      <c r="E9399" t="inlineStr">
        <is>
          <t>OVANÅKER</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62126-2023</t>
        </is>
      </c>
      <c r="B9400" s="1" t="n">
        <v>45267</v>
      </c>
      <c r="C9400" s="1" t="n">
        <v>45587</v>
      </c>
      <c r="D9400" t="inlineStr">
        <is>
          <t>GÄVLEBORGS LÄN</t>
        </is>
      </c>
      <c r="E9400" t="inlineStr">
        <is>
          <t>OVANÅKER</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62151-2023</t>
        </is>
      </c>
      <c r="B9401" s="1" t="n">
        <v>45267</v>
      </c>
      <c r="C9401" s="1" t="n">
        <v>45587</v>
      </c>
      <c r="D9401" t="inlineStr">
        <is>
          <t>GÄVLEBORGS LÄN</t>
        </is>
      </c>
      <c r="E9401" t="inlineStr">
        <is>
          <t>SANDVIKEN</t>
        </is>
      </c>
      <c r="G9401" t="n">
        <v>5.9</v>
      </c>
      <c r="H9401" t="n">
        <v>0</v>
      </c>
      <c r="I9401" t="n">
        <v>0</v>
      </c>
      <c r="J9401" t="n">
        <v>0</v>
      </c>
      <c r="K9401" t="n">
        <v>0</v>
      </c>
      <c r="L9401" t="n">
        <v>0</v>
      </c>
      <c r="M9401" t="n">
        <v>0</v>
      </c>
      <c r="N9401" t="n">
        <v>0</v>
      </c>
      <c r="O9401" t="n">
        <v>0</v>
      </c>
      <c r="P9401" t="n">
        <v>0</v>
      </c>
      <c r="Q9401" t="n">
        <v>0</v>
      </c>
      <c r="R9401" s="2" t="inlineStr"/>
    </row>
    <row r="9402" ht="15" customHeight="1">
      <c r="A9402" t="inlineStr">
        <is>
          <t>A 62202-2023</t>
        </is>
      </c>
      <c r="B9402" s="1" t="n">
        <v>45267</v>
      </c>
      <c r="C9402" s="1" t="n">
        <v>45587</v>
      </c>
      <c r="D9402" t="inlineStr">
        <is>
          <t>GÄVLEBORGS LÄN</t>
        </is>
      </c>
      <c r="E9402" t="inlineStr">
        <is>
          <t>SÖDERHAMN</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62206-2023</t>
        </is>
      </c>
      <c r="B9403" s="1" t="n">
        <v>45267</v>
      </c>
      <c r="C9403" s="1" t="n">
        <v>45587</v>
      </c>
      <c r="D9403" t="inlineStr">
        <is>
          <t>GÄVLEBORGS LÄN</t>
        </is>
      </c>
      <c r="E9403" t="inlineStr">
        <is>
          <t>SÖDERHAMN</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62252-2023</t>
        </is>
      </c>
      <c r="B9404" s="1" t="n">
        <v>45267</v>
      </c>
      <c r="C9404" s="1" t="n">
        <v>45587</v>
      </c>
      <c r="D9404" t="inlineStr">
        <is>
          <t>GÄVLEBORGS LÄN</t>
        </is>
      </c>
      <c r="E9404" t="inlineStr">
        <is>
          <t>LJUSDAL</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62256-2023</t>
        </is>
      </c>
      <c r="B9405" s="1" t="n">
        <v>45267</v>
      </c>
      <c r="C9405" s="1" t="n">
        <v>45587</v>
      </c>
      <c r="D9405" t="inlineStr">
        <is>
          <t>GÄVLEBORGS LÄN</t>
        </is>
      </c>
      <c r="E9405" t="inlineStr">
        <is>
          <t>LJUSDAL</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62212-2023</t>
        </is>
      </c>
      <c r="B9406" s="1" t="n">
        <v>45267</v>
      </c>
      <c r="C9406" s="1" t="n">
        <v>45587</v>
      </c>
      <c r="D9406" t="inlineStr">
        <is>
          <t>GÄVLEBORGS LÄN</t>
        </is>
      </c>
      <c r="E9406" t="inlineStr">
        <is>
          <t>SÖDERHAMN</t>
        </is>
      </c>
      <c r="G9406" t="n">
        <v>5.5</v>
      </c>
      <c r="H9406" t="n">
        <v>0</v>
      </c>
      <c r="I9406" t="n">
        <v>0</v>
      </c>
      <c r="J9406" t="n">
        <v>0</v>
      </c>
      <c r="K9406" t="n">
        <v>0</v>
      </c>
      <c r="L9406" t="n">
        <v>0</v>
      </c>
      <c r="M9406" t="n">
        <v>0</v>
      </c>
      <c r="N9406" t="n">
        <v>0</v>
      </c>
      <c r="O9406" t="n">
        <v>0</v>
      </c>
      <c r="P9406" t="n">
        <v>0</v>
      </c>
      <c r="Q9406" t="n">
        <v>0</v>
      </c>
      <c r="R9406" s="2" t="inlineStr"/>
    </row>
    <row r="9407" ht="15" customHeight="1">
      <c r="A9407" t="inlineStr">
        <is>
          <t>A 62216-2023</t>
        </is>
      </c>
      <c r="B9407" s="1" t="n">
        <v>45267</v>
      </c>
      <c r="C9407" s="1" t="n">
        <v>45587</v>
      </c>
      <c r="D9407" t="inlineStr">
        <is>
          <t>GÄVLEBORGS LÄN</t>
        </is>
      </c>
      <c r="E9407" t="inlineStr">
        <is>
          <t>GÄVLE</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62293-2023</t>
        </is>
      </c>
      <c r="B9408" s="1" t="n">
        <v>45267</v>
      </c>
      <c r="C9408" s="1" t="n">
        <v>45587</v>
      </c>
      <c r="D9408" t="inlineStr">
        <is>
          <t>GÄVLEBORGS LÄN</t>
        </is>
      </c>
      <c r="E9408" t="inlineStr">
        <is>
          <t>HOFORS</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62237-2023</t>
        </is>
      </c>
      <c r="B9409" s="1" t="n">
        <v>45267</v>
      </c>
      <c r="C9409" s="1" t="n">
        <v>45587</v>
      </c>
      <c r="D9409" t="inlineStr">
        <is>
          <t>GÄVLEBORGS LÄN</t>
        </is>
      </c>
      <c r="E9409" t="inlineStr">
        <is>
          <t>OCKELBO</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62339-2023</t>
        </is>
      </c>
      <c r="B9410" s="1" t="n">
        <v>45267</v>
      </c>
      <c r="C9410" s="1" t="n">
        <v>45587</v>
      </c>
      <c r="D9410" t="inlineStr">
        <is>
          <t>GÄVLEBORGS LÄN</t>
        </is>
      </c>
      <c r="E9410" t="inlineStr">
        <is>
          <t>SÖDERHAMN</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62359-2023</t>
        </is>
      </c>
      <c r="B9411" s="1" t="n">
        <v>45267</v>
      </c>
      <c r="C9411" s="1" t="n">
        <v>45587</v>
      </c>
      <c r="D9411" t="inlineStr">
        <is>
          <t>GÄVLEBORGS LÄN</t>
        </is>
      </c>
      <c r="E9411" t="inlineStr">
        <is>
          <t>NORDANSTIG</t>
        </is>
      </c>
      <c r="F9411" t="inlineStr">
        <is>
          <t>SCA</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62362-2023</t>
        </is>
      </c>
      <c r="B9412" s="1" t="n">
        <v>45267</v>
      </c>
      <c r="C9412" s="1" t="n">
        <v>45587</v>
      </c>
      <c r="D9412" t="inlineStr">
        <is>
          <t>GÄVLEBORGS LÄN</t>
        </is>
      </c>
      <c r="E9412" t="inlineStr">
        <is>
          <t>NORDANSTIG</t>
        </is>
      </c>
      <c r="F9412" t="inlineStr">
        <is>
          <t>SCA</t>
        </is>
      </c>
      <c r="G9412" t="n">
        <v>4</v>
      </c>
      <c r="H9412" t="n">
        <v>0</v>
      </c>
      <c r="I9412" t="n">
        <v>0</v>
      </c>
      <c r="J9412" t="n">
        <v>0</v>
      </c>
      <c r="K9412" t="n">
        <v>0</v>
      </c>
      <c r="L9412" t="n">
        <v>0</v>
      </c>
      <c r="M9412" t="n">
        <v>0</v>
      </c>
      <c r="N9412" t="n">
        <v>0</v>
      </c>
      <c r="O9412" t="n">
        <v>0</v>
      </c>
      <c r="P9412" t="n">
        <v>0</v>
      </c>
      <c r="Q9412" t="n">
        <v>0</v>
      </c>
      <c r="R9412" s="2" t="inlineStr"/>
    </row>
    <row r="9413" ht="15" customHeight="1">
      <c r="A9413" t="inlineStr">
        <is>
          <t>A 62433-2023</t>
        </is>
      </c>
      <c r="B9413" s="1" t="n">
        <v>45268</v>
      </c>
      <c r="C9413" s="1" t="n">
        <v>45587</v>
      </c>
      <c r="D9413" t="inlineStr">
        <is>
          <t>GÄVLEBORGS LÄN</t>
        </is>
      </c>
      <c r="E9413" t="inlineStr">
        <is>
          <t>BOLLNÄS</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62522-2023</t>
        </is>
      </c>
      <c r="B9414" s="1" t="n">
        <v>45268</v>
      </c>
      <c r="C9414" s="1" t="n">
        <v>45587</v>
      </c>
      <c r="D9414" t="inlineStr">
        <is>
          <t>GÄVLEBORGS LÄN</t>
        </is>
      </c>
      <c r="E9414" t="inlineStr">
        <is>
          <t>HUDIKSVALL</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62438-2023</t>
        </is>
      </c>
      <c r="B9415" s="1" t="n">
        <v>45268</v>
      </c>
      <c r="C9415" s="1" t="n">
        <v>45587</v>
      </c>
      <c r="D9415" t="inlineStr">
        <is>
          <t>GÄVLEBORGS LÄN</t>
        </is>
      </c>
      <c r="E9415" t="inlineStr">
        <is>
          <t>BOLLNÄS</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62458-2023</t>
        </is>
      </c>
      <c r="B9416" s="1" t="n">
        <v>45268</v>
      </c>
      <c r="C9416" s="1" t="n">
        <v>45587</v>
      </c>
      <c r="D9416" t="inlineStr">
        <is>
          <t>GÄVLEBORGS LÄN</t>
        </is>
      </c>
      <c r="E9416" t="inlineStr">
        <is>
          <t>NORDANSTIG</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62389-2023</t>
        </is>
      </c>
      <c r="B9417" s="1" t="n">
        <v>45268</v>
      </c>
      <c r="C9417" s="1" t="n">
        <v>45587</v>
      </c>
      <c r="D9417" t="inlineStr">
        <is>
          <t>GÄVLEBORGS LÄN</t>
        </is>
      </c>
      <c r="E9417" t="inlineStr">
        <is>
          <t>NORDANSTIG</t>
        </is>
      </c>
      <c r="F9417" t="inlineStr">
        <is>
          <t>Holmen skog AB</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62439-2023</t>
        </is>
      </c>
      <c r="B9418" s="1" t="n">
        <v>45268</v>
      </c>
      <c r="C9418" s="1" t="n">
        <v>45587</v>
      </c>
      <c r="D9418" t="inlineStr">
        <is>
          <t>GÄVLEBORGS LÄN</t>
        </is>
      </c>
      <c r="E9418" t="inlineStr">
        <is>
          <t>HUDIKSVALL</t>
        </is>
      </c>
      <c r="G9418" t="n">
        <v>13.3</v>
      </c>
      <c r="H9418" t="n">
        <v>0</v>
      </c>
      <c r="I9418" t="n">
        <v>0</v>
      </c>
      <c r="J9418" t="n">
        <v>0</v>
      </c>
      <c r="K9418" t="n">
        <v>0</v>
      </c>
      <c r="L9418" t="n">
        <v>0</v>
      </c>
      <c r="M9418" t="n">
        <v>0</v>
      </c>
      <c r="N9418" t="n">
        <v>0</v>
      </c>
      <c r="O9418" t="n">
        <v>0</v>
      </c>
      <c r="P9418" t="n">
        <v>0</v>
      </c>
      <c r="Q9418" t="n">
        <v>0</v>
      </c>
      <c r="R9418" s="2" t="inlineStr"/>
    </row>
    <row r="9419" ht="15" customHeight="1">
      <c r="A9419" t="inlineStr">
        <is>
          <t>A 62459-2023</t>
        </is>
      </c>
      <c r="B9419" s="1" t="n">
        <v>45268</v>
      </c>
      <c r="C9419" s="1" t="n">
        <v>45587</v>
      </c>
      <c r="D9419" t="inlineStr">
        <is>
          <t>GÄVLEBORGS LÄN</t>
        </is>
      </c>
      <c r="E9419" t="inlineStr">
        <is>
          <t>SANDVIKEN</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62469-2023</t>
        </is>
      </c>
      <c r="B9420" s="1" t="n">
        <v>45268</v>
      </c>
      <c r="C9420" s="1" t="n">
        <v>45587</v>
      </c>
      <c r="D9420" t="inlineStr">
        <is>
          <t>GÄVLEBORGS LÄN</t>
        </is>
      </c>
      <c r="E9420" t="inlineStr">
        <is>
          <t>BOLLNÄS</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62738-2023</t>
        </is>
      </c>
      <c r="B9421" s="1" t="n">
        <v>45268</v>
      </c>
      <c r="C9421" s="1" t="n">
        <v>45587</v>
      </c>
      <c r="D9421" t="inlineStr">
        <is>
          <t>GÄVLEBORGS LÄN</t>
        </is>
      </c>
      <c r="E9421" t="inlineStr">
        <is>
          <t>OVANÅKER</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62568-2023</t>
        </is>
      </c>
      <c r="B9422" s="1" t="n">
        <v>45269</v>
      </c>
      <c r="C9422" s="1" t="n">
        <v>45587</v>
      </c>
      <c r="D9422" t="inlineStr">
        <is>
          <t>GÄVLEBORGS LÄN</t>
        </is>
      </c>
      <c r="E9422" t="inlineStr">
        <is>
          <t>NORDANSTIG</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62567-2023</t>
        </is>
      </c>
      <c r="B9423" s="1" t="n">
        <v>45269</v>
      </c>
      <c r="C9423" s="1" t="n">
        <v>45587</v>
      </c>
      <c r="D9423" t="inlineStr">
        <is>
          <t>GÄVLEBORGS LÄN</t>
        </is>
      </c>
      <c r="E9423" t="inlineStr">
        <is>
          <t>HOFORS</t>
        </is>
      </c>
      <c r="G9423" t="n">
        <v>4.5</v>
      </c>
      <c r="H9423" t="n">
        <v>0</v>
      </c>
      <c r="I9423" t="n">
        <v>0</v>
      </c>
      <c r="J9423" t="n">
        <v>0</v>
      </c>
      <c r="K9423" t="n">
        <v>0</v>
      </c>
      <c r="L9423" t="n">
        <v>0</v>
      </c>
      <c r="M9423" t="n">
        <v>0</v>
      </c>
      <c r="N9423" t="n">
        <v>0</v>
      </c>
      <c r="O9423" t="n">
        <v>0</v>
      </c>
      <c r="P9423" t="n">
        <v>0</v>
      </c>
      <c r="Q9423" t="n">
        <v>0</v>
      </c>
      <c r="R9423" s="2" t="inlineStr"/>
    </row>
    <row r="9424" ht="15" customHeight="1">
      <c r="A9424" t="inlineStr">
        <is>
          <t>A 62597-2023</t>
        </is>
      </c>
      <c r="B9424" s="1" t="n">
        <v>45271</v>
      </c>
      <c r="C9424" s="1" t="n">
        <v>45587</v>
      </c>
      <c r="D9424" t="inlineStr">
        <is>
          <t>GÄVLEBORGS LÄN</t>
        </is>
      </c>
      <c r="E9424" t="inlineStr">
        <is>
          <t>SANDVIKEN</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62685-2023</t>
        </is>
      </c>
      <c r="B9425" s="1" t="n">
        <v>45271</v>
      </c>
      <c r="C9425" s="1" t="n">
        <v>45587</v>
      </c>
      <c r="D9425" t="inlineStr">
        <is>
          <t>GÄVLEBORGS LÄN</t>
        </is>
      </c>
      <c r="E9425" t="inlineStr">
        <is>
          <t>BOLLNÄS</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62716-2023</t>
        </is>
      </c>
      <c r="B9426" s="1" t="n">
        <v>45271</v>
      </c>
      <c r="C9426" s="1" t="n">
        <v>45587</v>
      </c>
      <c r="D9426" t="inlineStr">
        <is>
          <t>GÄVLEBORGS LÄN</t>
        </is>
      </c>
      <c r="E9426" t="inlineStr">
        <is>
          <t>HUDIKSVALL</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62619-2023</t>
        </is>
      </c>
      <c r="B9427" s="1" t="n">
        <v>45271</v>
      </c>
      <c r="C9427" s="1" t="n">
        <v>45587</v>
      </c>
      <c r="D9427" t="inlineStr">
        <is>
          <t>GÄVLEBORGS LÄN</t>
        </is>
      </c>
      <c r="E9427" t="inlineStr">
        <is>
          <t>NORDANSTIG</t>
        </is>
      </c>
      <c r="F9427" t="inlineStr">
        <is>
          <t>Holmen skog AB</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62628-2023</t>
        </is>
      </c>
      <c r="B9428" s="1" t="n">
        <v>45271</v>
      </c>
      <c r="C9428" s="1" t="n">
        <v>45587</v>
      </c>
      <c r="D9428" t="inlineStr">
        <is>
          <t>GÄVLEBORGS LÄN</t>
        </is>
      </c>
      <c r="E9428" t="inlineStr">
        <is>
          <t>HUDIKSVALL</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62645-2023</t>
        </is>
      </c>
      <c r="B9429" s="1" t="n">
        <v>45271</v>
      </c>
      <c r="C9429" s="1" t="n">
        <v>45587</v>
      </c>
      <c r="D9429" t="inlineStr">
        <is>
          <t>GÄVLEBORGS LÄN</t>
        </is>
      </c>
      <c r="E9429" t="inlineStr">
        <is>
          <t>HUDIKSVALL</t>
        </is>
      </c>
      <c r="G9429" t="n">
        <v>3.9</v>
      </c>
      <c r="H9429" t="n">
        <v>0</v>
      </c>
      <c r="I9429" t="n">
        <v>0</v>
      </c>
      <c r="J9429" t="n">
        <v>0</v>
      </c>
      <c r="K9429" t="n">
        <v>0</v>
      </c>
      <c r="L9429" t="n">
        <v>0</v>
      </c>
      <c r="M9429" t="n">
        <v>0</v>
      </c>
      <c r="N9429" t="n">
        <v>0</v>
      </c>
      <c r="O9429" t="n">
        <v>0</v>
      </c>
      <c r="P9429" t="n">
        <v>0</v>
      </c>
      <c r="Q9429" t="n">
        <v>0</v>
      </c>
      <c r="R9429" s="2" t="inlineStr"/>
    </row>
    <row r="9430" ht="15" customHeight="1">
      <c r="A9430" t="inlineStr">
        <is>
          <t>A 62596-2023</t>
        </is>
      </c>
      <c r="B9430" s="1" t="n">
        <v>45271</v>
      </c>
      <c r="C9430" s="1" t="n">
        <v>45587</v>
      </c>
      <c r="D9430" t="inlineStr">
        <is>
          <t>GÄVLEBORGS LÄN</t>
        </is>
      </c>
      <c r="E9430" t="inlineStr">
        <is>
          <t>HOFORS</t>
        </is>
      </c>
      <c r="G9430" t="n">
        <v>3.6</v>
      </c>
      <c r="H9430" t="n">
        <v>0</v>
      </c>
      <c r="I9430" t="n">
        <v>0</v>
      </c>
      <c r="J9430" t="n">
        <v>0</v>
      </c>
      <c r="K9430" t="n">
        <v>0</v>
      </c>
      <c r="L9430" t="n">
        <v>0</v>
      </c>
      <c r="M9430" t="n">
        <v>0</v>
      </c>
      <c r="N9430" t="n">
        <v>0</v>
      </c>
      <c r="O9430" t="n">
        <v>0</v>
      </c>
      <c r="P9430" t="n">
        <v>0</v>
      </c>
      <c r="Q9430" t="n">
        <v>0</v>
      </c>
      <c r="R9430" s="2" t="inlineStr"/>
    </row>
    <row r="9431" ht="15" customHeight="1">
      <c r="A9431" t="inlineStr">
        <is>
          <t>A 62639-2023</t>
        </is>
      </c>
      <c r="B9431" s="1" t="n">
        <v>45271</v>
      </c>
      <c r="C9431" s="1" t="n">
        <v>45587</v>
      </c>
      <c r="D9431" t="inlineStr">
        <is>
          <t>GÄVLEBORGS LÄN</t>
        </is>
      </c>
      <c r="E9431" t="inlineStr">
        <is>
          <t>HUDIKSVALL</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62651-2023</t>
        </is>
      </c>
      <c r="B9432" s="1" t="n">
        <v>45271</v>
      </c>
      <c r="C9432" s="1" t="n">
        <v>45587</v>
      </c>
      <c r="D9432" t="inlineStr">
        <is>
          <t>GÄVLEBORGS LÄN</t>
        </is>
      </c>
      <c r="E9432" t="inlineStr">
        <is>
          <t>OVANÅKER</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62674-2023</t>
        </is>
      </c>
      <c r="B9433" s="1" t="n">
        <v>45271</v>
      </c>
      <c r="C9433" s="1" t="n">
        <v>45587</v>
      </c>
      <c r="D9433" t="inlineStr">
        <is>
          <t>GÄVLEBORGS LÄN</t>
        </is>
      </c>
      <c r="E9433" t="inlineStr">
        <is>
          <t>HUDIKSVALL</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62756-2023</t>
        </is>
      </c>
      <c r="B9434" s="1" t="n">
        <v>45271</v>
      </c>
      <c r="C9434" s="1" t="n">
        <v>45587</v>
      </c>
      <c r="D9434" t="inlineStr">
        <is>
          <t>GÄVLEBORGS LÄN</t>
        </is>
      </c>
      <c r="E9434" t="inlineStr">
        <is>
          <t>NORDANSTIG</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62816-2023</t>
        </is>
      </c>
      <c r="B9435" s="1" t="n">
        <v>45271</v>
      </c>
      <c r="C9435" s="1" t="n">
        <v>45587</v>
      </c>
      <c r="D9435" t="inlineStr">
        <is>
          <t>GÄVLEBORGS LÄN</t>
        </is>
      </c>
      <c r="E9435" t="inlineStr">
        <is>
          <t>NORDANSTIG</t>
        </is>
      </c>
      <c r="G9435" t="n">
        <v>3.5</v>
      </c>
      <c r="H9435" t="n">
        <v>0</v>
      </c>
      <c r="I9435" t="n">
        <v>0</v>
      </c>
      <c r="J9435" t="n">
        <v>0</v>
      </c>
      <c r="K9435" t="n">
        <v>0</v>
      </c>
      <c r="L9435" t="n">
        <v>0</v>
      </c>
      <c r="M9435" t="n">
        <v>0</v>
      </c>
      <c r="N9435" t="n">
        <v>0</v>
      </c>
      <c r="O9435" t="n">
        <v>0</v>
      </c>
      <c r="P9435" t="n">
        <v>0</v>
      </c>
      <c r="Q9435" t="n">
        <v>0</v>
      </c>
      <c r="R9435" s="2" t="inlineStr"/>
    </row>
    <row r="9436" ht="15" customHeight="1">
      <c r="A9436" t="inlineStr">
        <is>
          <t>A 62642-2023</t>
        </is>
      </c>
      <c r="B9436" s="1" t="n">
        <v>45271</v>
      </c>
      <c r="C9436" s="1" t="n">
        <v>45587</v>
      </c>
      <c r="D9436" t="inlineStr">
        <is>
          <t>GÄVLEBORGS LÄN</t>
        </is>
      </c>
      <c r="E9436" t="inlineStr">
        <is>
          <t>SANDVIKEN</t>
        </is>
      </c>
      <c r="F9436" t="inlineStr">
        <is>
          <t>Bergvik skog öst AB</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62646-2023</t>
        </is>
      </c>
      <c r="B9437" s="1" t="n">
        <v>45271</v>
      </c>
      <c r="C9437" s="1" t="n">
        <v>45587</v>
      </c>
      <c r="D9437" t="inlineStr">
        <is>
          <t>GÄVLEBORGS LÄN</t>
        </is>
      </c>
      <c r="E9437" t="inlineStr">
        <is>
          <t>NORDANSTIG</t>
        </is>
      </c>
      <c r="G9437" t="n">
        <v>4.1</v>
      </c>
      <c r="H9437" t="n">
        <v>0</v>
      </c>
      <c r="I9437" t="n">
        <v>0</v>
      </c>
      <c r="J9437" t="n">
        <v>0</v>
      </c>
      <c r="K9437" t="n">
        <v>0</v>
      </c>
      <c r="L9437" t="n">
        <v>0</v>
      </c>
      <c r="M9437" t="n">
        <v>0</v>
      </c>
      <c r="N9437" t="n">
        <v>0</v>
      </c>
      <c r="O9437" t="n">
        <v>0</v>
      </c>
      <c r="P9437" t="n">
        <v>0</v>
      </c>
      <c r="Q9437" t="n">
        <v>0</v>
      </c>
      <c r="R9437" s="2" t="inlineStr"/>
    </row>
    <row r="9438" ht="15" customHeight="1">
      <c r="A9438" t="inlineStr">
        <is>
          <t>A 62668-2023</t>
        </is>
      </c>
      <c r="B9438" s="1" t="n">
        <v>45271</v>
      </c>
      <c r="C9438" s="1" t="n">
        <v>45587</v>
      </c>
      <c r="D9438" t="inlineStr">
        <is>
          <t>GÄVLEBORGS LÄN</t>
        </is>
      </c>
      <c r="E9438" t="inlineStr">
        <is>
          <t>HUDIKSVALL</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62903-2023</t>
        </is>
      </c>
      <c r="B9439" s="1" t="n">
        <v>45272</v>
      </c>
      <c r="C9439" s="1" t="n">
        <v>45587</v>
      </c>
      <c r="D9439" t="inlineStr">
        <is>
          <t>GÄVLEBORGS LÄN</t>
        </is>
      </c>
      <c r="E9439" t="inlineStr">
        <is>
          <t>SÖDERHAMN</t>
        </is>
      </c>
      <c r="G9439" t="n">
        <v>7.4</v>
      </c>
      <c r="H9439" t="n">
        <v>0</v>
      </c>
      <c r="I9439" t="n">
        <v>0</v>
      </c>
      <c r="J9439" t="n">
        <v>0</v>
      </c>
      <c r="K9439" t="n">
        <v>0</v>
      </c>
      <c r="L9439" t="n">
        <v>0</v>
      </c>
      <c r="M9439" t="n">
        <v>0</v>
      </c>
      <c r="N9439" t="n">
        <v>0</v>
      </c>
      <c r="O9439" t="n">
        <v>0</v>
      </c>
      <c r="P9439" t="n">
        <v>0</v>
      </c>
      <c r="Q9439" t="n">
        <v>0</v>
      </c>
      <c r="R9439" s="2" t="inlineStr"/>
    </row>
    <row r="9440" ht="15" customHeight="1">
      <c r="A9440" t="inlineStr">
        <is>
          <t>A 62952-2023</t>
        </is>
      </c>
      <c r="B9440" s="1" t="n">
        <v>45272</v>
      </c>
      <c r="C9440" s="1" t="n">
        <v>45587</v>
      </c>
      <c r="D9440" t="inlineStr">
        <is>
          <t>GÄVLEBORGS LÄN</t>
        </is>
      </c>
      <c r="E9440" t="inlineStr">
        <is>
          <t>BOLLNÄS</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62927-2023</t>
        </is>
      </c>
      <c r="B9441" s="1" t="n">
        <v>45272</v>
      </c>
      <c r="C9441" s="1" t="n">
        <v>45587</v>
      </c>
      <c r="D9441" t="inlineStr">
        <is>
          <t>GÄVLEBORGS LÄN</t>
        </is>
      </c>
      <c r="E9441" t="inlineStr">
        <is>
          <t>HUDIKSVALL</t>
        </is>
      </c>
      <c r="G9441" t="n">
        <v>8.5</v>
      </c>
      <c r="H9441" t="n">
        <v>0</v>
      </c>
      <c r="I9441" t="n">
        <v>0</v>
      </c>
      <c r="J9441" t="n">
        <v>0</v>
      </c>
      <c r="K9441" t="n">
        <v>0</v>
      </c>
      <c r="L9441" t="n">
        <v>0</v>
      </c>
      <c r="M9441" t="n">
        <v>0</v>
      </c>
      <c r="N9441" t="n">
        <v>0</v>
      </c>
      <c r="O9441" t="n">
        <v>0</v>
      </c>
      <c r="P9441" t="n">
        <v>0</v>
      </c>
      <c r="Q9441" t="n">
        <v>0</v>
      </c>
      <c r="R9441" s="2" t="inlineStr"/>
    </row>
    <row r="9442" ht="15" customHeight="1">
      <c r="A9442" t="inlineStr">
        <is>
          <t>A 62910-2023</t>
        </is>
      </c>
      <c r="B9442" s="1" t="n">
        <v>45272</v>
      </c>
      <c r="C9442" s="1" t="n">
        <v>45587</v>
      </c>
      <c r="D9442" t="inlineStr">
        <is>
          <t>GÄVLEBORGS LÄN</t>
        </is>
      </c>
      <c r="E9442" t="inlineStr">
        <is>
          <t>HUDIKSVALL</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62928-2023</t>
        </is>
      </c>
      <c r="B9443" s="1" t="n">
        <v>45272</v>
      </c>
      <c r="C9443" s="1" t="n">
        <v>45587</v>
      </c>
      <c r="D9443" t="inlineStr">
        <is>
          <t>GÄVLEBORGS LÄN</t>
        </is>
      </c>
      <c r="E9443" t="inlineStr">
        <is>
          <t>SÖDERHAMN</t>
        </is>
      </c>
      <c r="G9443" t="n">
        <v>5.2</v>
      </c>
      <c r="H9443" t="n">
        <v>0</v>
      </c>
      <c r="I9443" t="n">
        <v>0</v>
      </c>
      <c r="J9443" t="n">
        <v>0</v>
      </c>
      <c r="K9443" t="n">
        <v>0</v>
      </c>
      <c r="L9443" t="n">
        <v>0</v>
      </c>
      <c r="M9443" t="n">
        <v>0</v>
      </c>
      <c r="N9443" t="n">
        <v>0</v>
      </c>
      <c r="O9443" t="n">
        <v>0</v>
      </c>
      <c r="P9443" t="n">
        <v>0</v>
      </c>
      <c r="Q9443" t="n">
        <v>0</v>
      </c>
      <c r="R9443" s="2" t="inlineStr"/>
    </row>
    <row r="9444" ht="15" customHeight="1">
      <c r="A9444" t="inlineStr">
        <is>
          <t>A 62946-2023</t>
        </is>
      </c>
      <c r="B9444" s="1" t="n">
        <v>45272</v>
      </c>
      <c r="C9444" s="1" t="n">
        <v>45587</v>
      </c>
      <c r="D9444" t="inlineStr">
        <is>
          <t>GÄVLEBORGS LÄN</t>
        </is>
      </c>
      <c r="E9444" t="inlineStr">
        <is>
          <t>BOLLNÄS</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62983-2023</t>
        </is>
      </c>
      <c r="B9445" s="1" t="n">
        <v>45272</v>
      </c>
      <c r="C9445" s="1" t="n">
        <v>45587</v>
      </c>
      <c r="D9445" t="inlineStr">
        <is>
          <t>GÄVLEBORGS LÄN</t>
        </is>
      </c>
      <c r="E9445" t="inlineStr">
        <is>
          <t>GÄVLE</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63051-2023</t>
        </is>
      </c>
      <c r="B9446" s="1" t="n">
        <v>45272</v>
      </c>
      <c r="C9446" s="1" t="n">
        <v>45587</v>
      </c>
      <c r="D9446" t="inlineStr">
        <is>
          <t>GÄVLEBORGS LÄN</t>
        </is>
      </c>
      <c r="E9446" t="inlineStr">
        <is>
          <t>NORDANSTIG</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62906-2023</t>
        </is>
      </c>
      <c r="B9447" s="1" t="n">
        <v>45272</v>
      </c>
      <c r="C9447" s="1" t="n">
        <v>45587</v>
      </c>
      <c r="D9447" t="inlineStr">
        <is>
          <t>GÄVLEBORGS LÄN</t>
        </is>
      </c>
      <c r="E9447" t="inlineStr">
        <is>
          <t>SÖDERHAMN</t>
        </is>
      </c>
      <c r="G9447" t="n">
        <v>4.9</v>
      </c>
      <c r="H9447" t="n">
        <v>0</v>
      </c>
      <c r="I9447" t="n">
        <v>0</v>
      </c>
      <c r="J9447" t="n">
        <v>0</v>
      </c>
      <c r="K9447" t="n">
        <v>0</v>
      </c>
      <c r="L9447" t="n">
        <v>0</v>
      </c>
      <c r="M9447" t="n">
        <v>0</v>
      </c>
      <c r="N9447" t="n">
        <v>0</v>
      </c>
      <c r="O9447" t="n">
        <v>0</v>
      </c>
      <c r="P9447" t="n">
        <v>0</v>
      </c>
      <c r="Q9447" t="n">
        <v>0</v>
      </c>
      <c r="R9447" s="2" t="inlineStr"/>
    </row>
    <row r="9448" ht="15" customHeight="1">
      <c r="A9448" t="inlineStr">
        <is>
          <t>A 62926-2023</t>
        </is>
      </c>
      <c r="B9448" s="1" t="n">
        <v>45272</v>
      </c>
      <c r="C9448" s="1" t="n">
        <v>45587</v>
      </c>
      <c r="D9448" t="inlineStr">
        <is>
          <t>GÄVLEBORGS LÄN</t>
        </is>
      </c>
      <c r="E9448" t="inlineStr">
        <is>
          <t>HUDIKSVALL</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62930-2023</t>
        </is>
      </c>
      <c r="B9449" s="1" t="n">
        <v>45272</v>
      </c>
      <c r="C9449" s="1" t="n">
        <v>45587</v>
      </c>
      <c r="D9449" t="inlineStr">
        <is>
          <t>GÄVLEBORGS LÄN</t>
        </is>
      </c>
      <c r="E9449" t="inlineStr">
        <is>
          <t>HUDIKSVALL</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62938-2023</t>
        </is>
      </c>
      <c r="B9450" s="1" t="n">
        <v>45272</v>
      </c>
      <c r="C9450" s="1" t="n">
        <v>45587</v>
      </c>
      <c r="D9450" t="inlineStr">
        <is>
          <t>GÄVLEBORGS LÄN</t>
        </is>
      </c>
      <c r="E9450" t="inlineStr">
        <is>
          <t>SÖDERHAMN</t>
        </is>
      </c>
      <c r="G9450" t="n">
        <v>13.1</v>
      </c>
      <c r="H9450" t="n">
        <v>0</v>
      </c>
      <c r="I9450" t="n">
        <v>0</v>
      </c>
      <c r="J9450" t="n">
        <v>0</v>
      </c>
      <c r="K9450" t="n">
        <v>0</v>
      </c>
      <c r="L9450" t="n">
        <v>0</v>
      </c>
      <c r="M9450" t="n">
        <v>0</v>
      </c>
      <c r="N9450" t="n">
        <v>0</v>
      </c>
      <c r="O9450" t="n">
        <v>0</v>
      </c>
      <c r="P9450" t="n">
        <v>0</v>
      </c>
      <c r="Q9450" t="n">
        <v>0</v>
      </c>
      <c r="R9450" s="2" t="inlineStr"/>
    </row>
    <row r="9451" ht="15" customHeight="1">
      <c r="A9451" t="inlineStr">
        <is>
          <t>A 62943-2023</t>
        </is>
      </c>
      <c r="B9451" s="1" t="n">
        <v>45272</v>
      </c>
      <c r="C9451" s="1" t="n">
        <v>45587</v>
      </c>
      <c r="D9451" t="inlineStr">
        <is>
          <t>GÄVLEBORGS LÄN</t>
        </is>
      </c>
      <c r="E9451" t="inlineStr">
        <is>
          <t>SÖDERHAMN</t>
        </is>
      </c>
      <c r="G9451" t="n">
        <v>12.8</v>
      </c>
      <c r="H9451" t="n">
        <v>0</v>
      </c>
      <c r="I9451" t="n">
        <v>0</v>
      </c>
      <c r="J9451" t="n">
        <v>0</v>
      </c>
      <c r="K9451" t="n">
        <v>0</v>
      </c>
      <c r="L9451" t="n">
        <v>0</v>
      </c>
      <c r="M9451" t="n">
        <v>0</v>
      </c>
      <c r="N9451" t="n">
        <v>0</v>
      </c>
      <c r="O9451" t="n">
        <v>0</v>
      </c>
      <c r="P9451" t="n">
        <v>0</v>
      </c>
      <c r="Q9451" t="n">
        <v>0</v>
      </c>
      <c r="R9451" s="2" t="inlineStr"/>
    </row>
    <row r="9452" ht="15" customHeight="1">
      <c r="A9452" t="inlineStr">
        <is>
          <t>A 62956-2023</t>
        </is>
      </c>
      <c r="B9452" s="1" t="n">
        <v>45272</v>
      </c>
      <c r="C9452" s="1" t="n">
        <v>45587</v>
      </c>
      <c r="D9452" t="inlineStr">
        <is>
          <t>GÄVLEBORGS LÄN</t>
        </is>
      </c>
      <c r="E9452" t="inlineStr">
        <is>
          <t>BOLLNÄS</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63001-2023</t>
        </is>
      </c>
      <c r="B9453" s="1" t="n">
        <v>45272</v>
      </c>
      <c r="C9453" s="1" t="n">
        <v>45587</v>
      </c>
      <c r="D9453" t="inlineStr">
        <is>
          <t>GÄVLEBORGS LÄN</t>
        </is>
      </c>
      <c r="E9453" t="inlineStr">
        <is>
          <t>NORDANSTIG</t>
        </is>
      </c>
      <c r="F9453" t="inlineStr">
        <is>
          <t>Holmen skog AB</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63036-2023</t>
        </is>
      </c>
      <c r="B9454" s="1" t="n">
        <v>45272</v>
      </c>
      <c r="C9454" s="1" t="n">
        <v>45587</v>
      </c>
      <c r="D9454" t="inlineStr">
        <is>
          <t>GÄVLEBORGS LÄN</t>
        </is>
      </c>
      <c r="E9454" t="inlineStr">
        <is>
          <t>GÄVLE</t>
        </is>
      </c>
      <c r="G9454" t="n">
        <v>12.7</v>
      </c>
      <c r="H9454" t="n">
        <v>0</v>
      </c>
      <c r="I9454" t="n">
        <v>0</v>
      </c>
      <c r="J9454" t="n">
        <v>0</v>
      </c>
      <c r="K9454" t="n">
        <v>0</v>
      </c>
      <c r="L9454" t="n">
        <v>0</v>
      </c>
      <c r="M9454" t="n">
        <v>0</v>
      </c>
      <c r="N9454" t="n">
        <v>0</v>
      </c>
      <c r="O9454" t="n">
        <v>0</v>
      </c>
      <c r="P9454" t="n">
        <v>0</v>
      </c>
      <c r="Q9454" t="n">
        <v>0</v>
      </c>
      <c r="R9454" s="2" t="inlineStr"/>
    </row>
    <row r="9455" ht="15" customHeight="1">
      <c r="A9455" t="inlineStr">
        <is>
          <t>A 63052-2023</t>
        </is>
      </c>
      <c r="B9455" s="1" t="n">
        <v>45272</v>
      </c>
      <c r="C9455" s="1" t="n">
        <v>45587</v>
      </c>
      <c r="D9455" t="inlineStr">
        <is>
          <t>GÄVLEBORGS LÄN</t>
        </is>
      </c>
      <c r="E9455" t="inlineStr">
        <is>
          <t>NORDANSTIG</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63045-2023</t>
        </is>
      </c>
      <c r="B9456" s="1" t="n">
        <v>45272</v>
      </c>
      <c r="C9456" s="1" t="n">
        <v>45587</v>
      </c>
      <c r="D9456" t="inlineStr">
        <is>
          <t>GÄVLEBORGS LÄN</t>
        </is>
      </c>
      <c r="E9456" t="inlineStr">
        <is>
          <t>HUDIKSVALL</t>
        </is>
      </c>
      <c r="G9456" t="n">
        <v>6</v>
      </c>
      <c r="H9456" t="n">
        <v>0</v>
      </c>
      <c r="I9456" t="n">
        <v>0</v>
      </c>
      <c r="J9456" t="n">
        <v>0</v>
      </c>
      <c r="K9456" t="n">
        <v>0</v>
      </c>
      <c r="L9456" t="n">
        <v>0</v>
      </c>
      <c r="M9456" t="n">
        <v>0</v>
      </c>
      <c r="N9456" t="n">
        <v>0</v>
      </c>
      <c r="O9456" t="n">
        <v>0</v>
      </c>
      <c r="P9456" t="n">
        <v>0</v>
      </c>
      <c r="Q9456" t="n">
        <v>0</v>
      </c>
      <c r="R9456" s="2" t="inlineStr"/>
    </row>
    <row r="9457" ht="15" customHeight="1">
      <c r="A9457" t="inlineStr">
        <is>
          <t>A 63145-2023</t>
        </is>
      </c>
      <c r="B9457" s="1" t="n">
        <v>45273</v>
      </c>
      <c r="C9457" s="1" t="n">
        <v>45587</v>
      </c>
      <c r="D9457" t="inlineStr">
        <is>
          <t>GÄVLEBORGS LÄN</t>
        </is>
      </c>
      <c r="E9457" t="inlineStr">
        <is>
          <t>NORDANSTIG</t>
        </is>
      </c>
      <c r="F9457" t="inlineStr">
        <is>
          <t>Holmen skog AB</t>
        </is>
      </c>
      <c r="G9457" t="n">
        <v>0.3</v>
      </c>
      <c r="H9457" t="n">
        <v>0</v>
      </c>
      <c r="I9457" t="n">
        <v>0</v>
      </c>
      <c r="J9457" t="n">
        <v>0</v>
      </c>
      <c r="K9457" t="n">
        <v>0</v>
      </c>
      <c r="L9457" t="n">
        <v>0</v>
      </c>
      <c r="M9457" t="n">
        <v>0</v>
      </c>
      <c r="N9457" t="n">
        <v>0</v>
      </c>
      <c r="O9457" t="n">
        <v>0</v>
      </c>
      <c r="P9457" t="n">
        <v>0</v>
      </c>
      <c r="Q9457" t="n">
        <v>0</v>
      </c>
      <c r="R9457" s="2" t="inlineStr"/>
    </row>
    <row r="9458" ht="15" customHeight="1">
      <c r="A9458" t="inlineStr">
        <is>
          <t>A 63166-2023</t>
        </is>
      </c>
      <c r="B9458" s="1" t="n">
        <v>45273</v>
      </c>
      <c r="C9458" s="1" t="n">
        <v>45587</v>
      </c>
      <c r="D9458" t="inlineStr">
        <is>
          <t>GÄVLEBORGS LÄN</t>
        </is>
      </c>
      <c r="E9458" t="inlineStr">
        <is>
          <t>LJUSDAL</t>
        </is>
      </c>
      <c r="G9458" t="n">
        <v>3.1</v>
      </c>
      <c r="H9458" t="n">
        <v>0</v>
      </c>
      <c r="I9458" t="n">
        <v>0</v>
      </c>
      <c r="J9458" t="n">
        <v>0</v>
      </c>
      <c r="K9458" t="n">
        <v>0</v>
      </c>
      <c r="L9458" t="n">
        <v>0</v>
      </c>
      <c r="M9458" t="n">
        <v>0</v>
      </c>
      <c r="N9458" t="n">
        <v>0</v>
      </c>
      <c r="O9458" t="n">
        <v>0</v>
      </c>
      <c r="P9458" t="n">
        <v>0</v>
      </c>
      <c r="Q9458" t="n">
        <v>0</v>
      </c>
      <c r="R9458" s="2" t="inlineStr"/>
    </row>
    <row r="9459" ht="15" customHeight="1">
      <c r="A9459" t="inlineStr">
        <is>
          <t>A 63134-2023</t>
        </is>
      </c>
      <c r="B9459" s="1" t="n">
        <v>45273</v>
      </c>
      <c r="C9459" s="1" t="n">
        <v>45587</v>
      </c>
      <c r="D9459" t="inlineStr">
        <is>
          <t>GÄVLEBORGS LÄN</t>
        </is>
      </c>
      <c r="E9459" t="inlineStr">
        <is>
          <t>HUDIKSVALL</t>
        </is>
      </c>
      <c r="F9459" t="inlineStr">
        <is>
          <t>Holmen skog AB</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63088-2023</t>
        </is>
      </c>
      <c r="B9460" s="1" t="n">
        <v>45273</v>
      </c>
      <c r="C9460" s="1" t="n">
        <v>45587</v>
      </c>
      <c r="D9460" t="inlineStr">
        <is>
          <t>GÄVLEBORGS LÄN</t>
        </is>
      </c>
      <c r="E9460" t="inlineStr">
        <is>
          <t>HUDIKSVALL</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63220-2023</t>
        </is>
      </c>
      <c r="B9461" s="1" t="n">
        <v>45273</v>
      </c>
      <c r="C9461" s="1" t="n">
        <v>45587</v>
      </c>
      <c r="D9461" t="inlineStr">
        <is>
          <t>GÄVLEBORGS LÄN</t>
        </is>
      </c>
      <c r="E9461" t="inlineStr">
        <is>
          <t>BOLLNÄS</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63233-2023</t>
        </is>
      </c>
      <c r="B9462" s="1" t="n">
        <v>45273</v>
      </c>
      <c r="C9462" s="1" t="n">
        <v>45587</v>
      </c>
      <c r="D9462" t="inlineStr">
        <is>
          <t>GÄVLEBORGS LÄN</t>
        </is>
      </c>
      <c r="E9462" t="inlineStr">
        <is>
          <t>OCKELBO</t>
        </is>
      </c>
      <c r="G9462" t="n">
        <v>8.6</v>
      </c>
      <c r="H9462" t="n">
        <v>0</v>
      </c>
      <c r="I9462" t="n">
        <v>0</v>
      </c>
      <c r="J9462" t="n">
        <v>0</v>
      </c>
      <c r="K9462" t="n">
        <v>0</v>
      </c>
      <c r="L9462" t="n">
        <v>0</v>
      </c>
      <c r="M9462" t="n">
        <v>0</v>
      </c>
      <c r="N9462" t="n">
        <v>0</v>
      </c>
      <c r="O9462" t="n">
        <v>0</v>
      </c>
      <c r="P9462" t="n">
        <v>0</v>
      </c>
      <c r="Q9462" t="n">
        <v>0</v>
      </c>
      <c r="R9462" s="2" t="inlineStr"/>
    </row>
    <row r="9463" ht="15" customHeight="1">
      <c r="A9463" t="inlineStr">
        <is>
          <t>A 63258-2023</t>
        </is>
      </c>
      <c r="B9463" s="1" t="n">
        <v>45273</v>
      </c>
      <c r="C9463" s="1" t="n">
        <v>45587</v>
      </c>
      <c r="D9463" t="inlineStr">
        <is>
          <t>GÄVLEBORGS LÄN</t>
        </is>
      </c>
      <c r="E9463" t="inlineStr">
        <is>
          <t>LJUSDAL</t>
        </is>
      </c>
      <c r="G9463" t="n">
        <v>5.3</v>
      </c>
      <c r="H9463" t="n">
        <v>0</v>
      </c>
      <c r="I9463" t="n">
        <v>0</v>
      </c>
      <c r="J9463" t="n">
        <v>0</v>
      </c>
      <c r="K9463" t="n">
        <v>0</v>
      </c>
      <c r="L9463" t="n">
        <v>0</v>
      </c>
      <c r="M9463" t="n">
        <v>0</v>
      </c>
      <c r="N9463" t="n">
        <v>0</v>
      </c>
      <c r="O9463" t="n">
        <v>0</v>
      </c>
      <c r="P9463" t="n">
        <v>0</v>
      </c>
      <c r="Q9463" t="n">
        <v>0</v>
      </c>
      <c r="R9463" s="2" t="inlineStr"/>
    </row>
    <row r="9464" ht="15" customHeight="1">
      <c r="A9464" t="inlineStr">
        <is>
          <t>A 63256-2023</t>
        </is>
      </c>
      <c r="B9464" s="1" t="n">
        <v>45273</v>
      </c>
      <c r="C9464" s="1" t="n">
        <v>45587</v>
      </c>
      <c r="D9464" t="inlineStr">
        <is>
          <t>GÄVLEBORGS LÄN</t>
        </is>
      </c>
      <c r="E9464" t="inlineStr">
        <is>
          <t>LJUSDAL</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63253-2023</t>
        </is>
      </c>
      <c r="B9465" s="1" t="n">
        <v>45273</v>
      </c>
      <c r="C9465" s="1" t="n">
        <v>45587</v>
      </c>
      <c r="D9465" t="inlineStr">
        <is>
          <t>GÄVLEBORGS LÄN</t>
        </is>
      </c>
      <c r="E9465" t="inlineStr">
        <is>
          <t>LJUSDAL</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63386-2023</t>
        </is>
      </c>
      <c r="B9466" s="1" t="n">
        <v>45274</v>
      </c>
      <c r="C9466" s="1" t="n">
        <v>45587</v>
      </c>
      <c r="D9466" t="inlineStr">
        <is>
          <t>GÄVLEBORGS LÄN</t>
        </is>
      </c>
      <c r="E9466" t="inlineStr">
        <is>
          <t>OCKELBO</t>
        </is>
      </c>
      <c r="F9466" t="inlineStr">
        <is>
          <t>Bergvik skog väst AB</t>
        </is>
      </c>
      <c r="G9466" t="n">
        <v>6.8</v>
      </c>
      <c r="H9466" t="n">
        <v>0</v>
      </c>
      <c r="I9466" t="n">
        <v>0</v>
      </c>
      <c r="J9466" t="n">
        <v>0</v>
      </c>
      <c r="K9466" t="n">
        <v>0</v>
      </c>
      <c r="L9466" t="n">
        <v>0</v>
      </c>
      <c r="M9466" t="n">
        <v>0</v>
      </c>
      <c r="N9466" t="n">
        <v>0</v>
      </c>
      <c r="O9466" t="n">
        <v>0</v>
      </c>
      <c r="P9466" t="n">
        <v>0</v>
      </c>
      <c r="Q9466" t="n">
        <v>0</v>
      </c>
      <c r="R9466" s="2" t="inlineStr"/>
    </row>
    <row r="9467" ht="15" customHeight="1">
      <c r="A9467" t="inlineStr">
        <is>
          <t>A 63373-2023</t>
        </is>
      </c>
      <c r="B9467" s="1" t="n">
        <v>45274</v>
      </c>
      <c r="C9467" s="1" t="n">
        <v>45587</v>
      </c>
      <c r="D9467" t="inlineStr">
        <is>
          <t>GÄVLEBORGS LÄN</t>
        </is>
      </c>
      <c r="E9467" t="inlineStr">
        <is>
          <t>OCKELBO</t>
        </is>
      </c>
      <c r="F9467" t="inlineStr">
        <is>
          <t>Bergvik skog väst AB</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63428-2023</t>
        </is>
      </c>
      <c r="B9468" s="1" t="n">
        <v>45274</v>
      </c>
      <c r="C9468" s="1" t="n">
        <v>45587</v>
      </c>
      <c r="D9468" t="inlineStr">
        <is>
          <t>GÄVLEBORGS LÄN</t>
        </is>
      </c>
      <c r="E9468" t="inlineStr">
        <is>
          <t>HUDIKSVALL</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63388-2023</t>
        </is>
      </c>
      <c r="B9469" s="1" t="n">
        <v>45274</v>
      </c>
      <c r="C9469" s="1" t="n">
        <v>45587</v>
      </c>
      <c r="D9469" t="inlineStr">
        <is>
          <t>GÄVLEBORGS LÄN</t>
        </is>
      </c>
      <c r="E9469" t="inlineStr">
        <is>
          <t>OCKELBO</t>
        </is>
      </c>
      <c r="F9469" t="inlineStr">
        <is>
          <t>Bergvik skog väst AB</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63414-2023</t>
        </is>
      </c>
      <c r="B9470" s="1" t="n">
        <v>45274</v>
      </c>
      <c r="C9470" s="1" t="n">
        <v>45587</v>
      </c>
      <c r="D9470" t="inlineStr">
        <is>
          <t>GÄVLEBORGS LÄN</t>
        </is>
      </c>
      <c r="E9470" t="inlineStr">
        <is>
          <t>HUDIKSVALL</t>
        </is>
      </c>
      <c r="G9470" t="n">
        <v>9.1</v>
      </c>
      <c r="H9470" t="n">
        <v>0</v>
      </c>
      <c r="I9470" t="n">
        <v>0</v>
      </c>
      <c r="J9470" t="n">
        <v>0</v>
      </c>
      <c r="K9470" t="n">
        <v>0</v>
      </c>
      <c r="L9470" t="n">
        <v>0</v>
      </c>
      <c r="M9470" t="n">
        <v>0</v>
      </c>
      <c r="N9470" t="n">
        <v>0</v>
      </c>
      <c r="O9470" t="n">
        <v>0</v>
      </c>
      <c r="P9470" t="n">
        <v>0</v>
      </c>
      <c r="Q9470" t="n">
        <v>0</v>
      </c>
      <c r="R9470" s="2" t="inlineStr"/>
    </row>
    <row r="9471" ht="15" customHeight="1">
      <c r="A9471" t="inlineStr">
        <is>
          <t>A 63438-2023</t>
        </is>
      </c>
      <c r="B9471" s="1" t="n">
        <v>45274</v>
      </c>
      <c r="C9471" s="1" t="n">
        <v>45587</v>
      </c>
      <c r="D9471" t="inlineStr">
        <is>
          <t>GÄVLEBORGS LÄN</t>
        </is>
      </c>
      <c r="E9471" t="inlineStr">
        <is>
          <t>LJUSDAL</t>
        </is>
      </c>
      <c r="G9471" t="n">
        <v>8.9</v>
      </c>
      <c r="H9471" t="n">
        <v>0</v>
      </c>
      <c r="I9471" t="n">
        <v>0</v>
      </c>
      <c r="J9471" t="n">
        <v>0</v>
      </c>
      <c r="K9471" t="n">
        <v>0</v>
      </c>
      <c r="L9471" t="n">
        <v>0</v>
      </c>
      <c r="M9471" t="n">
        <v>0</v>
      </c>
      <c r="N9471" t="n">
        <v>0</v>
      </c>
      <c r="O9471" t="n">
        <v>0</v>
      </c>
      <c r="P9471" t="n">
        <v>0</v>
      </c>
      <c r="Q9471" t="n">
        <v>0</v>
      </c>
      <c r="R9471" s="2" t="inlineStr"/>
    </row>
    <row r="9472" ht="15" customHeight="1">
      <c r="A9472" t="inlineStr">
        <is>
          <t>A 63309-2023</t>
        </is>
      </c>
      <c r="B9472" s="1" t="n">
        <v>45274</v>
      </c>
      <c r="C9472" s="1" t="n">
        <v>45587</v>
      </c>
      <c r="D9472" t="inlineStr">
        <is>
          <t>GÄVLEBORGS LÄN</t>
        </is>
      </c>
      <c r="E9472" t="inlineStr">
        <is>
          <t>SANDVIKEN</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63324-2023</t>
        </is>
      </c>
      <c r="B9473" s="1" t="n">
        <v>45274</v>
      </c>
      <c r="C9473" s="1" t="n">
        <v>45587</v>
      </c>
      <c r="D9473" t="inlineStr">
        <is>
          <t>GÄVLEBORGS LÄN</t>
        </is>
      </c>
      <c r="E9473" t="inlineStr">
        <is>
          <t>LJUSDAL</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63511-2023</t>
        </is>
      </c>
      <c r="B9474" s="1" t="n">
        <v>45274</v>
      </c>
      <c r="C9474" s="1" t="n">
        <v>45587</v>
      </c>
      <c r="D9474" t="inlineStr">
        <is>
          <t>GÄVLEBORGS LÄN</t>
        </is>
      </c>
      <c r="E9474" t="inlineStr">
        <is>
          <t>LJUSDAL</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63550-2023</t>
        </is>
      </c>
      <c r="B9475" s="1" t="n">
        <v>45275</v>
      </c>
      <c r="C9475" s="1" t="n">
        <v>45587</v>
      </c>
      <c r="D9475" t="inlineStr">
        <is>
          <t>GÄVLEBORGS LÄN</t>
        </is>
      </c>
      <c r="E9475" t="inlineStr">
        <is>
          <t>LJUSDAL</t>
        </is>
      </c>
      <c r="G9475" t="n">
        <v>8.800000000000001</v>
      </c>
      <c r="H9475" t="n">
        <v>0</v>
      </c>
      <c r="I9475" t="n">
        <v>0</v>
      </c>
      <c r="J9475" t="n">
        <v>0</v>
      </c>
      <c r="K9475" t="n">
        <v>0</v>
      </c>
      <c r="L9475" t="n">
        <v>0</v>
      </c>
      <c r="M9475" t="n">
        <v>0</v>
      </c>
      <c r="N9475" t="n">
        <v>0</v>
      </c>
      <c r="O9475" t="n">
        <v>0</v>
      </c>
      <c r="P9475" t="n">
        <v>0</v>
      </c>
      <c r="Q9475" t="n">
        <v>0</v>
      </c>
      <c r="R9475" s="2" t="inlineStr"/>
    </row>
    <row r="9476" ht="15" customHeight="1">
      <c r="A9476" t="inlineStr">
        <is>
          <t>A 63615-2023</t>
        </is>
      </c>
      <c r="B9476" s="1" t="n">
        <v>45275</v>
      </c>
      <c r="C9476" s="1" t="n">
        <v>45587</v>
      </c>
      <c r="D9476" t="inlineStr">
        <is>
          <t>GÄVLEBORGS LÄN</t>
        </is>
      </c>
      <c r="E9476" t="inlineStr">
        <is>
          <t>HUDIKSVALL</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63619-2023</t>
        </is>
      </c>
      <c r="B9477" s="1" t="n">
        <v>45275</v>
      </c>
      <c r="C9477" s="1" t="n">
        <v>45587</v>
      </c>
      <c r="D9477" t="inlineStr">
        <is>
          <t>GÄVLEBORGS LÄN</t>
        </is>
      </c>
      <c r="E9477" t="inlineStr">
        <is>
          <t>HUDIKSVALL</t>
        </is>
      </c>
      <c r="G9477" t="n">
        <v>6.4</v>
      </c>
      <c r="H9477" t="n">
        <v>0</v>
      </c>
      <c r="I9477" t="n">
        <v>0</v>
      </c>
      <c r="J9477" t="n">
        <v>0</v>
      </c>
      <c r="K9477" t="n">
        <v>0</v>
      </c>
      <c r="L9477" t="n">
        <v>0</v>
      </c>
      <c r="M9477" t="n">
        <v>0</v>
      </c>
      <c r="N9477" t="n">
        <v>0</v>
      </c>
      <c r="O9477" t="n">
        <v>0</v>
      </c>
      <c r="P9477" t="n">
        <v>0</v>
      </c>
      <c r="Q9477" t="n">
        <v>0</v>
      </c>
      <c r="R9477" s="2" t="inlineStr"/>
    </row>
    <row r="9478" ht="15" customHeight="1">
      <c r="A9478" t="inlineStr">
        <is>
          <t>A 63623-2023</t>
        </is>
      </c>
      <c r="B9478" s="1" t="n">
        <v>45275</v>
      </c>
      <c r="C9478" s="1" t="n">
        <v>45587</v>
      </c>
      <c r="D9478" t="inlineStr">
        <is>
          <t>GÄVLEBORGS LÄN</t>
        </is>
      </c>
      <c r="E9478" t="inlineStr">
        <is>
          <t>HUDIKSVALL</t>
        </is>
      </c>
      <c r="G9478" t="n">
        <v>4.2</v>
      </c>
      <c r="H9478" t="n">
        <v>0</v>
      </c>
      <c r="I9478" t="n">
        <v>0</v>
      </c>
      <c r="J9478" t="n">
        <v>0</v>
      </c>
      <c r="K9478" t="n">
        <v>0</v>
      </c>
      <c r="L9478" t="n">
        <v>0</v>
      </c>
      <c r="M9478" t="n">
        <v>0</v>
      </c>
      <c r="N9478" t="n">
        <v>0</v>
      </c>
      <c r="O9478" t="n">
        <v>0</v>
      </c>
      <c r="P9478" t="n">
        <v>0</v>
      </c>
      <c r="Q9478" t="n">
        <v>0</v>
      </c>
      <c r="R9478" s="2" t="inlineStr"/>
    </row>
    <row r="9479" ht="15" customHeight="1">
      <c r="A9479" t="inlineStr">
        <is>
          <t>A 63627-2023</t>
        </is>
      </c>
      <c r="B9479" s="1" t="n">
        <v>45275</v>
      </c>
      <c r="C9479" s="1" t="n">
        <v>45587</v>
      </c>
      <c r="D9479" t="inlineStr">
        <is>
          <t>GÄVLEBORGS LÄN</t>
        </is>
      </c>
      <c r="E9479" t="inlineStr">
        <is>
          <t>HUDIKSVALL</t>
        </is>
      </c>
      <c r="G9479" t="n">
        <v>3.6</v>
      </c>
      <c r="H9479" t="n">
        <v>0</v>
      </c>
      <c r="I9479" t="n">
        <v>0</v>
      </c>
      <c r="J9479" t="n">
        <v>0</v>
      </c>
      <c r="K9479" t="n">
        <v>0</v>
      </c>
      <c r="L9479" t="n">
        <v>0</v>
      </c>
      <c r="M9479" t="n">
        <v>0</v>
      </c>
      <c r="N9479" t="n">
        <v>0</v>
      </c>
      <c r="O9479" t="n">
        <v>0</v>
      </c>
      <c r="P9479" t="n">
        <v>0</v>
      </c>
      <c r="Q9479" t="n">
        <v>0</v>
      </c>
      <c r="R9479" s="2" t="inlineStr"/>
    </row>
    <row r="9480" ht="15" customHeight="1">
      <c r="A9480" t="inlineStr">
        <is>
          <t>A 63643-2023</t>
        </is>
      </c>
      <c r="B9480" s="1" t="n">
        <v>45275</v>
      </c>
      <c r="C9480" s="1" t="n">
        <v>45587</v>
      </c>
      <c r="D9480" t="inlineStr">
        <is>
          <t>GÄVLEBORGS LÄN</t>
        </is>
      </c>
      <c r="E9480" t="inlineStr">
        <is>
          <t>HUDIKSVALL</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63629-2023</t>
        </is>
      </c>
      <c r="B9481" s="1" t="n">
        <v>45275</v>
      </c>
      <c r="C9481" s="1" t="n">
        <v>45587</v>
      </c>
      <c r="D9481" t="inlineStr">
        <is>
          <t>GÄVLEBORGS LÄN</t>
        </is>
      </c>
      <c r="E9481" t="inlineStr">
        <is>
          <t>BOLLNÄS</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63632-2023</t>
        </is>
      </c>
      <c r="B9482" s="1" t="n">
        <v>45275</v>
      </c>
      <c r="C9482" s="1" t="n">
        <v>45587</v>
      </c>
      <c r="D9482" t="inlineStr">
        <is>
          <t>GÄVLEBORGS LÄN</t>
        </is>
      </c>
      <c r="E9482" t="inlineStr">
        <is>
          <t>SÖDERHAMN</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63693-2023</t>
        </is>
      </c>
      <c r="B9483" s="1" t="n">
        <v>45275</v>
      </c>
      <c r="C9483" s="1" t="n">
        <v>45587</v>
      </c>
      <c r="D9483" t="inlineStr">
        <is>
          <t>GÄVLEBORGS LÄN</t>
        </is>
      </c>
      <c r="E9483" t="inlineStr">
        <is>
          <t>NORDANSTIG</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63703-2023</t>
        </is>
      </c>
      <c r="B9484" s="1" t="n">
        <v>45275</v>
      </c>
      <c r="C9484" s="1" t="n">
        <v>45587</v>
      </c>
      <c r="D9484" t="inlineStr">
        <is>
          <t>GÄVLEBORGS LÄN</t>
        </is>
      </c>
      <c r="E9484" t="inlineStr">
        <is>
          <t>OVANÅKER</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63782-2023</t>
        </is>
      </c>
      <c r="B9485" s="1" t="n">
        <v>45278</v>
      </c>
      <c r="C9485" s="1" t="n">
        <v>45587</v>
      </c>
      <c r="D9485" t="inlineStr">
        <is>
          <t>GÄVLEBORGS LÄN</t>
        </is>
      </c>
      <c r="E9485" t="inlineStr">
        <is>
          <t>SÖDERHAMN</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63786-2023</t>
        </is>
      </c>
      <c r="B9486" s="1" t="n">
        <v>45278</v>
      </c>
      <c r="C9486" s="1" t="n">
        <v>45587</v>
      </c>
      <c r="D9486" t="inlineStr">
        <is>
          <t>GÄVLEBORGS LÄN</t>
        </is>
      </c>
      <c r="E9486" t="inlineStr">
        <is>
          <t>SÖDERHAMN</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63797-2023</t>
        </is>
      </c>
      <c r="B9487" s="1" t="n">
        <v>45278</v>
      </c>
      <c r="C9487" s="1" t="n">
        <v>45587</v>
      </c>
      <c r="D9487" t="inlineStr">
        <is>
          <t>GÄVLEBORGS LÄN</t>
        </is>
      </c>
      <c r="E9487" t="inlineStr">
        <is>
          <t>HUDIKSVALL</t>
        </is>
      </c>
      <c r="F9487" t="inlineStr">
        <is>
          <t>Holmen skog AB</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63774-2023</t>
        </is>
      </c>
      <c r="B9488" s="1" t="n">
        <v>45278</v>
      </c>
      <c r="C9488" s="1" t="n">
        <v>45587</v>
      </c>
      <c r="D9488" t="inlineStr">
        <is>
          <t>GÄVLEBORGS LÄN</t>
        </is>
      </c>
      <c r="E9488" t="inlineStr">
        <is>
          <t>SÖDERHAMN</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63813-2023</t>
        </is>
      </c>
      <c r="B9489" s="1" t="n">
        <v>45278</v>
      </c>
      <c r="C9489" s="1" t="n">
        <v>45587</v>
      </c>
      <c r="D9489" t="inlineStr">
        <is>
          <t>GÄVLEBORGS LÄN</t>
        </is>
      </c>
      <c r="E9489" t="inlineStr">
        <is>
          <t>SÖDERHAMN</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63845-2023</t>
        </is>
      </c>
      <c r="B9490" s="1" t="n">
        <v>45278</v>
      </c>
      <c r="C9490" s="1" t="n">
        <v>45587</v>
      </c>
      <c r="D9490" t="inlineStr">
        <is>
          <t>GÄVLEBORGS LÄN</t>
        </is>
      </c>
      <c r="E9490" t="inlineStr">
        <is>
          <t>GÄVLE</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63796-2023</t>
        </is>
      </c>
      <c r="B9491" s="1" t="n">
        <v>45278</v>
      </c>
      <c r="C9491" s="1" t="n">
        <v>45587</v>
      </c>
      <c r="D9491" t="inlineStr">
        <is>
          <t>GÄVLEBORGS LÄN</t>
        </is>
      </c>
      <c r="E9491" t="inlineStr">
        <is>
          <t>SÖDERHAMN</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63862-2023</t>
        </is>
      </c>
      <c r="B9492" s="1" t="n">
        <v>45278</v>
      </c>
      <c r="C9492" s="1" t="n">
        <v>45587</v>
      </c>
      <c r="D9492" t="inlineStr">
        <is>
          <t>GÄVLEBORGS LÄN</t>
        </is>
      </c>
      <c r="E9492" t="inlineStr">
        <is>
          <t>BOLLNÄS</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63870-2023</t>
        </is>
      </c>
      <c r="B9493" s="1" t="n">
        <v>45278</v>
      </c>
      <c r="C9493" s="1" t="n">
        <v>45587</v>
      </c>
      <c r="D9493" t="inlineStr">
        <is>
          <t>GÄVLEBORGS LÄN</t>
        </is>
      </c>
      <c r="E9493" t="inlineStr">
        <is>
          <t>GÄVLE</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63853-2023</t>
        </is>
      </c>
      <c r="B9494" s="1" t="n">
        <v>45278</v>
      </c>
      <c r="C9494" s="1" t="n">
        <v>45587</v>
      </c>
      <c r="D9494" t="inlineStr">
        <is>
          <t>GÄVLEBORGS LÄN</t>
        </is>
      </c>
      <c r="E9494" t="inlineStr">
        <is>
          <t>BOLLNÄS</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63857-2023</t>
        </is>
      </c>
      <c r="B9495" s="1" t="n">
        <v>45278</v>
      </c>
      <c r="C9495" s="1" t="n">
        <v>45587</v>
      </c>
      <c r="D9495" t="inlineStr">
        <is>
          <t>GÄVLEBORGS LÄN</t>
        </is>
      </c>
      <c r="E9495" t="inlineStr">
        <is>
          <t>HUDIKSVALL</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63865-2023</t>
        </is>
      </c>
      <c r="B9496" s="1" t="n">
        <v>45278</v>
      </c>
      <c r="C9496" s="1" t="n">
        <v>45587</v>
      </c>
      <c r="D9496" t="inlineStr">
        <is>
          <t>GÄVLEBORGS LÄN</t>
        </is>
      </c>
      <c r="E9496" t="inlineStr">
        <is>
          <t>BOLLNÄS</t>
        </is>
      </c>
      <c r="G9496" t="n">
        <v>0.4</v>
      </c>
      <c r="H9496" t="n">
        <v>0</v>
      </c>
      <c r="I9496" t="n">
        <v>0</v>
      </c>
      <c r="J9496" t="n">
        <v>0</v>
      </c>
      <c r="K9496" t="n">
        <v>0</v>
      </c>
      <c r="L9496" t="n">
        <v>0</v>
      </c>
      <c r="M9496" t="n">
        <v>0</v>
      </c>
      <c r="N9496" t="n">
        <v>0</v>
      </c>
      <c r="O9496" t="n">
        <v>0</v>
      </c>
      <c r="P9496" t="n">
        <v>0</v>
      </c>
      <c r="Q9496" t="n">
        <v>0</v>
      </c>
      <c r="R9496" s="2" t="inlineStr"/>
    </row>
    <row r="9497" ht="15" customHeight="1">
      <c r="A9497" t="inlineStr">
        <is>
          <t>A 63923-2023</t>
        </is>
      </c>
      <c r="B9497" s="1" t="n">
        <v>45278</v>
      </c>
      <c r="C9497" s="1" t="n">
        <v>45587</v>
      </c>
      <c r="D9497" t="inlineStr">
        <is>
          <t>GÄVLEBORGS LÄN</t>
        </is>
      </c>
      <c r="E9497" t="inlineStr">
        <is>
          <t>SÖDERHAMN</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63798-2023</t>
        </is>
      </c>
      <c r="B9498" s="1" t="n">
        <v>45278</v>
      </c>
      <c r="C9498" s="1" t="n">
        <v>45587</v>
      </c>
      <c r="D9498" t="inlineStr">
        <is>
          <t>GÄVLEBORGS LÄN</t>
        </is>
      </c>
      <c r="E9498" t="inlineStr">
        <is>
          <t>SÖDERHAMN</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63868-2023</t>
        </is>
      </c>
      <c r="B9499" s="1" t="n">
        <v>45278</v>
      </c>
      <c r="C9499" s="1" t="n">
        <v>45587</v>
      </c>
      <c r="D9499" t="inlineStr">
        <is>
          <t>GÄVLEBORGS LÄN</t>
        </is>
      </c>
      <c r="E9499" t="inlineStr">
        <is>
          <t>BOLLNÄS</t>
        </is>
      </c>
      <c r="G9499" t="n">
        <v>0.3</v>
      </c>
      <c r="H9499" t="n">
        <v>0</v>
      </c>
      <c r="I9499" t="n">
        <v>0</v>
      </c>
      <c r="J9499" t="n">
        <v>0</v>
      </c>
      <c r="K9499" t="n">
        <v>0</v>
      </c>
      <c r="L9499" t="n">
        <v>0</v>
      </c>
      <c r="M9499" t="n">
        <v>0</v>
      </c>
      <c r="N9499" t="n">
        <v>0</v>
      </c>
      <c r="O9499" t="n">
        <v>0</v>
      </c>
      <c r="P9499" t="n">
        <v>0</v>
      </c>
      <c r="Q9499" t="n">
        <v>0</v>
      </c>
      <c r="R9499" s="2" t="inlineStr"/>
    </row>
    <row r="9500" ht="15" customHeight="1">
      <c r="A9500" t="inlineStr">
        <is>
          <t>A 63880-2023</t>
        </is>
      </c>
      <c r="B9500" s="1" t="n">
        <v>45278</v>
      </c>
      <c r="C9500" s="1" t="n">
        <v>45587</v>
      </c>
      <c r="D9500" t="inlineStr">
        <is>
          <t>GÄVLEBORGS LÄN</t>
        </is>
      </c>
      <c r="E9500" t="inlineStr">
        <is>
          <t>LJUSDAL</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63932-2023</t>
        </is>
      </c>
      <c r="B9501" s="1" t="n">
        <v>45278</v>
      </c>
      <c r="C9501" s="1" t="n">
        <v>45587</v>
      </c>
      <c r="D9501" t="inlineStr">
        <is>
          <t>GÄVLEBORGS LÄN</t>
        </is>
      </c>
      <c r="E9501" t="inlineStr">
        <is>
          <t>SÖDERHAMN</t>
        </is>
      </c>
      <c r="G9501" t="n">
        <v>0.4</v>
      </c>
      <c r="H9501" t="n">
        <v>0</v>
      </c>
      <c r="I9501" t="n">
        <v>0</v>
      </c>
      <c r="J9501" t="n">
        <v>0</v>
      </c>
      <c r="K9501" t="n">
        <v>0</v>
      </c>
      <c r="L9501" t="n">
        <v>0</v>
      </c>
      <c r="M9501" t="n">
        <v>0</v>
      </c>
      <c r="N9501" t="n">
        <v>0</v>
      </c>
      <c r="O9501" t="n">
        <v>0</v>
      </c>
      <c r="P9501" t="n">
        <v>0</v>
      </c>
      <c r="Q9501" t="n">
        <v>0</v>
      </c>
      <c r="R9501" s="2" t="inlineStr"/>
    </row>
    <row r="9502" ht="15" customHeight="1">
      <c r="A9502" t="inlineStr">
        <is>
          <t>A 63952-2023</t>
        </is>
      </c>
      <c r="B9502" s="1" t="n">
        <v>45278</v>
      </c>
      <c r="C9502" s="1" t="n">
        <v>45587</v>
      </c>
      <c r="D9502" t="inlineStr">
        <is>
          <t>GÄVLEBORGS LÄN</t>
        </is>
      </c>
      <c r="E9502" t="inlineStr">
        <is>
          <t>HUDIKSVALL</t>
        </is>
      </c>
      <c r="F9502" t="inlineStr">
        <is>
          <t>Holmen skog AB</t>
        </is>
      </c>
      <c r="G9502" t="n">
        <v>7.2</v>
      </c>
      <c r="H9502" t="n">
        <v>0</v>
      </c>
      <c r="I9502" t="n">
        <v>0</v>
      </c>
      <c r="J9502" t="n">
        <v>0</v>
      </c>
      <c r="K9502" t="n">
        <v>0</v>
      </c>
      <c r="L9502" t="n">
        <v>0</v>
      </c>
      <c r="M9502" t="n">
        <v>0</v>
      </c>
      <c r="N9502" t="n">
        <v>0</v>
      </c>
      <c r="O9502" t="n">
        <v>0</v>
      </c>
      <c r="P9502" t="n">
        <v>0</v>
      </c>
      <c r="Q9502" t="n">
        <v>0</v>
      </c>
      <c r="R9502" s="2" t="inlineStr"/>
    </row>
    <row r="9503" ht="15" customHeight="1">
      <c r="A9503" t="inlineStr">
        <is>
          <t>A 63998-2023</t>
        </is>
      </c>
      <c r="B9503" s="1" t="n">
        <v>45278</v>
      </c>
      <c r="C9503" s="1" t="n">
        <v>45587</v>
      </c>
      <c r="D9503" t="inlineStr">
        <is>
          <t>GÄVLEBORGS LÄN</t>
        </is>
      </c>
      <c r="E9503" t="inlineStr">
        <is>
          <t>SANDVIKEN</t>
        </is>
      </c>
      <c r="G9503" t="n">
        <v>7</v>
      </c>
      <c r="H9503" t="n">
        <v>0</v>
      </c>
      <c r="I9503" t="n">
        <v>0</v>
      </c>
      <c r="J9503" t="n">
        <v>0</v>
      </c>
      <c r="K9503" t="n">
        <v>0</v>
      </c>
      <c r="L9503" t="n">
        <v>0</v>
      </c>
      <c r="M9503" t="n">
        <v>0</v>
      </c>
      <c r="N9503" t="n">
        <v>0</v>
      </c>
      <c r="O9503" t="n">
        <v>0</v>
      </c>
      <c r="P9503" t="n">
        <v>0</v>
      </c>
      <c r="Q9503" t="n">
        <v>0</v>
      </c>
      <c r="R9503" s="2" t="inlineStr"/>
    </row>
    <row r="9504" ht="15" customHeight="1">
      <c r="A9504" t="inlineStr">
        <is>
          <t>A 64010-2023</t>
        </is>
      </c>
      <c r="B9504" s="1" t="n">
        <v>45278</v>
      </c>
      <c r="C9504" s="1" t="n">
        <v>45587</v>
      </c>
      <c r="D9504" t="inlineStr">
        <is>
          <t>GÄVLEBORGS LÄN</t>
        </is>
      </c>
      <c r="E9504" t="inlineStr">
        <is>
          <t>HUDIKSVALL</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64018-2023</t>
        </is>
      </c>
      <c r="B9505" s="1" t="n">
        <v>45278</v>
      </c>
      <c r="C9505" s="1" t="n">
        <v>45587</v>
      </c>
      <c r="D9505" t="inlineStr">
        <is>
          <t>GÄVLEBORGS LÄN</t>
        </is>
      </c>
      <c r="E9505" t="inlineStr">
        <is>
          <t>LJUSDAL</t>
        </is>
      </c>
      <c r="G9505" t="n">
        <v>5.4</v>
      </c>
      <c r="H9505" t="n">
        <v>0</v>
      </c>
      <c r="I9505" t="n">
        <v>0</v>
      </c>
      <c r="J9505" t="n">
        <v>0</v>
      </c>
      <c r="K9505" t="n">
        <v>0</v>
      </c>
      <c r="L9505" t="n">
        <v>0</v>
      </c>
      <c r="M9505" t="n">
        <v>0</v>
      </c>
      <c r="N9505" t="n">
        <v>0</v>
      </c>
      <c r="O9505" t="n">
        <v>0</v>
      </c>
      <c r="P9505" t="n">
        <v>0</v>
      </c>
      <c r="Q9505" t="n">
        <v>0</v>
      </c>
      <c r="R9505" s="2" t="inlineStr"/>
    </row>
    <row r="9506" ht="15" customHeight="1">
      <c r="A9506" t="inlineStr">
        <is>
          <t>A 64000-2023</t>
        </is>
      </c>
      <c r="B9506" s="1" t="n">
        <v>45278</v>
      </c>
      <c r="C9506" s="1" t="n">
        <v>45587</v>
      </c>
      <c r="D9506" t="inlineStr">
        <is>
          <t>GÄVLEBORGS LÄN</t>
        </is>
      </c>
      <c r="E9506" t="inlineStr">
        <is>
          <t>SANDVIKEN</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63971-2023</t>
        </is>
      </c>
      <c r="B9507" s="1" t="n">
        <v>45278</v>
      </c>
      <c r="C9507" s="1" t="n">
        <v>45587</v>
      </c>
      <c r="D9507" t="inlineStr">
        <is>
          <t>GÄVLEBORGS LÄN</t>
        </is>
      </c>
      <c r="E9507" t="inlineStr">
        <is>
          <t>SÖDERHAMN</t>
        </is>
      </c>
      <c r="G9507" t="n">
        <v>5.6</v>
      </c>
      <c r="H9507" t="n">
        <v>0</v>
      </c>
      <c r="I9507" t="n">
        <v>0</v>
      </c>
      <c r="J9507" t="n">
        <v>0</v>
      </c>
      <c r="K9507" t="n">
        <v>0</v>
      </c>
      <c r="L9507" t="n">
        <v>0</v>
      </c>
      <c r="M9507" t="n">
        <v>0</v>
      </c>
      <c r="N9507" t="n">
        <v>0</v>
      </c>
      <c r="O9507" t="n">
        <v>0</v>
      </c>
      <c r="P9507" t="n">
        <v>0</v>
      </c>
      <c r="Q9507" t="n">
        <v>0</v>
      </c>
      <c r="R9507" s="2" t="inlineStr"/>
    </row>
    <row r="9508" ht="15" customHeight="1">
      <c r="A9508" t="inlineStr">
        <is>
          <t>A 64015-2023</t>
        </is>
      </c>
      <c r="B9508" s="1" t="n">
        <v>45278</v>
      </c>
      <c r="C9508" s="1" t="n">
        <v>45587</v>
      </c>
      <c r="D9508" t="inlineStr">
        <is>
          <t>GÄVLEBORGS LÄN</t>
        </is>
      </c>
      <c r="E9508" t="inlineStr">
        <is>
          <t>HUDIKSVALL</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64019-2023</t>
        </is>
      </c>
      <c r="B9509" s="1" t="n">
        <v>45278</v>
      </c>
      <c r="C9509" s="1" t="n">
        <v>45587</v>
      </c>
      <c r="D9509" t="inlineStr">
        <is>
          <t>GÄVLEBORGS LÄN</t>
        </is>
      </c>
      <c r="E9509" t="inlineStr">
        <is>
          <t>LJUSDAL</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64095-2023</t>
        </is>
      </c>
      <c r="B9510" s="1" t="n">
        <v>45279</v>
      </c>
      <c r="C9510" s="1" t="n">
        <v>45587</v>
      </c>
      <c r="D9510" t="inlineStr">
        <is>
          <t>GÄVLEBORGS LÄN</t>
        </is>
      </c>
      <c r="E9510" t="inlineStr">
        <is>
          <t>GÄVLE</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64064-2023</t>
        </is>
      </c>
      <c r="B9511" s="1" t="n">
        <v>45279</v>
      </c>
      <c r="C9511" s="1" t="n">
        <v>45587</v>
      </c>
      <c r="D9511" t="inlineStr">
        <is>
          <t>GÄVLEBORGS LÄN</t>
        </is>
      </c>
      <c r="E9511" t="inlineStr">
        <is>
          <t>LJUSDAL</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64065-2023</t>
        </is>
      </c>
      <c r="B9512" s="1" t="n">
        <v>45279</v>
      </c>
      <c r="C9512" s="1" t="n">
        <v>45587</v>
      </c>
      <c r="D9512" t="inlineStr">
        <is>
          <t>GÄVLEBORGS LÄN</t>
        </is>
      </c>
      <c r="E9512" t="inlineStr">
        <is>
          <t>LJUSDAL</t>
        </is>
      </c>
      <c r="G9512" t="n">
        <v>4.8</v>
      </c>
      <c r="H9512" t="n">
        <v>0</v>
      </c>
      <c r="I9512" t="n">
        <v>0</v>
      </c>
      <c r="J9512" t="n">
        <v>0</v>
      </c>
      <c r="K9512" t="n">
        <v>0</v>
      </c>
      <c r="L9512" t="n">
        <v>0</v>
      </c>
      <c r="M9512" t="n">
        <v>0</v>
      </c>
      <c r="N9512" t="n">
        <v>0</v>
      </c>
      <c r="O9512" t="n">
        <v>0</v>
      </c>
      <c r="P9512" t="n">
        <v>0</v>
      </c>
      <c r="Q9512" t="n">
        <v>0</v>
      </c>
      <c r="R9512" s="2" t="inlineStr"/>
    </row>
    <row r="9513" ht="15" customHeight="1">
      <c r="A9513" t="inlineStr">
        <is>
          <t>A 64138-2023</t>
        </is>
      </c>
      <c r="B9513" s="1" t="n">
        <v>45279</v>
      </c>
      <c r="C9513" s="1" t="n">
        <v>45587</v>
      </c>
      <c r="D9513" t="inlineStr">
        <is>
          <t>GÄVLEBORGS LÄN</t>
        </is>
      </c>
      <c r="E9513" t="inlineStr">
        <is>
          <t>SÖDERHAMN</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64112-2023</t>
        </is>
      </c>
      <c r="B9514" s="1" t="n">
        <v>45279</v>
      </c>
      <c r="C9514" s="1" t="n">
        <v>45587</v>
      </c>
      <c r="D9514" t="inlineStr">
        <is>
          <t>GÄVLEBORGS LÄN</t>
        </is>
      </c>
      <c r="E9514" t="inlineStr">
        <is>
          <t>SANDVIKEN</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64116-2023</t>
        </is>
      </c>
      <c r="B9515" s="1" t="n">
        <v>45279</v>
      </c>
      <c r="C9515" s="1" t="n">
        <v>45587</v>
      </c>
      <c r="D9515" t="inlineStr">
        <is>
          <t>GÄVLEBORGS LÄN</t>
        </is>
      </c>
      <c r="E9515" t="inlineStr">
        <is>
          <t>SANDVIKEN</t>
        </is>
      </c>
      <c r="G9515" t="n">
        <v>4</v>
      </c>
      <c r="H9515" t="n">
        <v>0</v>
      </c>
      <c r="I9515" t="n">
        <v>0</v>
      </c>
      <c r="J9515" t="n">
        <v>0</v>
      </c>
      <c r="K9515" t="n">
        <v>0</v>
      </c>
      <c r="L9515" t="n">
        <v>0</v>
      </c>
      <c r="M9515" t="n">
        <v>0</v>
      </c>
      <c r="N9515" t="n">
        <v>0</v>
      </c>
      <c r="O9515" t="n">
        <v>0</v>
      </c>
      <c r="P9515" t="n">
        <v>0</v>
      </c>
      <c r="Q9515" t="n">
        <v>0</v>
      </c>
      <c r="R9515" s="2" t="inlineStr"/>
    </row>
    <row r="9516" ht="15" customHeight="1">
      <c r="A9516" t="inlineStr">
        <is>
          <t>A 64359-2023</t>
        </is>
      </c>
      <c r="B9516" s="1" t="n">
        <v>45280</v>
      </c>
      <c r="C9516" s="1" t="n">
        <v>45587</v>
      </c>
      <c r="D9516" t="inlineStr">
        <is>
          <t>GÄVLEBORGS LÄN</t>
        </is>
      </c>
      <c r="E9516" t="inlineStr">
        <is>
          <t>HOFORS</t>
        </is>
      </c>
      <c r="G9516" t="n">
        <v>4.7</v>
      </c>
      <c r="H9516" t="n">
        <v>0</v>
      </c>
      <c r="I9516" t="n">
        <v>0</v>
      </c>
      <c r="J9516" t="n">
        <v>0</v>
      </c>
      <c r="K9516" t="n">
        <v>0</v>
      </c>
      <c r="L9516" t="n">
        <v>0</v>
      </c>
      <c r="M9516" t="n">
        <v>0</v>
      </c>
      <c r="N9516" t="n">
        <v>0</v>
      </c>
      <c r="O9516" t="n">
        <v>0</v>
      </c>
      <c r="P9516" t="n">
        <v>0</v>
      </c>
      <c r="Q9516" t="n">
        <v>0</v>
      </c>
      <c r="R9516" s="2" t="inlineStr"/>
    </row>
    <row r="9517" ht="15" customHeight="1">
      <c r="A9517" t="inlineStr">
        <is>
          <t>A 64364-2023</t>
        </is>
      </c>
      <c r="B9517" s="1" t="n">
        <v>45280</v>
      </c>
      <c r="C9517" s="1" t="n">
        <v>45587</v>
      </c>
      <c r="D9517" t="inlineStr">
        <is>
          <t>GÄVLEBORGS LÄN</t>
        </is>
      </c>
      <c r="E9517" t="inlineStr">
        <is>
          <t>OCKELBO</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64382-2023</t>
        </is>
      </c>
      <c r="B9518" s="1" t="n">
        <v>45280</v>
      </c>
      <c r="C9518" s="1" t="n">
        <v>45587</v>
      </c>
      <c r="D9518" t="inlineStr">
        <is>
          <t>GÄVLEBORGS LÄN</t>
        </is>
      </c>
      <c r="E9518" t="inlineStr">
        <is>
          <t>LJUSDAL</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64337-2023</t>
        </is>
      </c>
      <c r="B9519" s="1" t="n">
        <v>45280</v>
      </c>
      <c r="C9519" s="1" t="n">
        <v>45587</v>
      </c>
      <c r="D9519" t="inlineStr">
        <is>
          <t>GÄVLEBORGS LÄN</t>
        </is>
      </c>
      <c r="E9519" t="inlineStr">
        <is>
          <t>OVANÅKER</t>
        </is>
      </c>
      <c r="G9519" t="n">
        <v>3.5</v>
      </c>
      <c r="H9519" t="n">
        <v>0</v>
      </c>
      <c r="I9519" t="n">
        <v>0</v>
      </c>
      <c r="J9519" t="n">
        <v>0</v>
      </c>
      <c r="K9519" t="n">
        <v>0</v>
      </c>
      <c r="L9519" t="n">
        <v>0</v>
      </c>
      <c r="M9519" t="n">
        <v>0</v>
      </c>
      <c r="N9519" t="n">
        <v>0</v>
      </c>
      <c r="O9519" t="n">
        <v>0</v>
      </c>
      <c r="P9519" t="n">
        <v>0</v>
      </c>
      <c r="Q9519" t="n">
        <v>0</v>
      </c>
      <c r="R9519" s="2" t="inlineStr"/>
    </row>
    <row r="9520" ht="15" customHeight="1">
      <c r="A9520" t="inlineStr">
        <is>
          <t>A 64367-2023</t>
        </is>
      </c>
      <c r="B9520" s="1" t="n">
        <v>45280</v>
      </c>
      <c r="C9520" s="1" t="n">
        <v>45587</v>
      </c>
      <c r="D9520" t="inlineStr">
        <is>
          <t>GÄVLEBORGS LÄN</t>
        </is>
      </c>
      <c r="E9520" t="inlineStr">
        <is>
          <t>OCKELBO</t>
        </is>
      </c>
      <c r="G9520" t="n">
        <v>0.4</v>
      </c>
      <c r="H9520" t="n">
        <v>0</v>
      </c>
      <c r="I9520" t="n">
        <v>0</v>
      </c>
      <c r="J9520" t="n">
        <v>0</v>
      </c>
      <c r="K9520" t="n">
        <v>0</v>
      </c>
      <c r="L9520" t="n">
        <v>0</v>
      </c>
      <c r="M9520" t="n">
        <v>0</v>
      </c>
      <c r="N9520" t="n">
        <v>0</v>
      </c>
      <c r="O9520" t="n">
        <v>0</v>
      </c>
      <c r="P9520" t="n">
        <v>0</v>
      </c>
      <c r="Q9520" t="n">
        <v>0</v>
      </c>
      <c r="R9520" s="2" t="inlineStr"/>
    </row>
    <row r="9521" ht="15" customHeight="1">
      <c r="A9521" t="inlineStr">
        <is>
          <t>A 64414-2023</t>
        </is>
      </c>
      <c r="B9521" s="1" t="n">
        <v>45280</v>
      </c>
      <c r="C9521" s="1" t="n">
        <v>45587</v>
      </c>
      <c r="D9521" t="inlineStr">
        <is>
          <t>GÄVLEBORGS LÄN</t>
        </is>
      </c>
      <c r="E9521" t="inlineStr">
        <is>
          <t>OVANÅKER</t>
        </is>
      </c>
      <c r="G9521" t="n">
        <v>4.3</v>
      </c>
      <c r="H9521" t="n">
        <v>0</v>
      </c>
      <c r="I9521" t="n">
        <v>0</v>
      </c>
      <c r="J9521" t="n">
        <v>0</v>
      </c>
      <c r="K9521" t="n">
        <v>0</v>
      </c>
      <c r="L9521" t="n">
        <v>0</v>
      </c>
      <c r="M9521" t="n">
        <v>0</v>
      </c>
      <c r="N9521" t="n">
        <v>0</v>
      </c>
      <c r="O9521" t="n">
        <v>0</v>
      </c>
      <c r="P9521" t="n">
        <v>0</v>
      </c>
      <c r="Q9521" t="n">
        <v>0</v>
      </c>
      <c r="R9521" s="2" t="inlineStr"/>
    </row>
    <row r="9522" ht="15" customHeight="1">
      <c r="A9522" t="inlineStr">
        <is>
          <t>A 64422-2023</t>
        </is>
      </c>
      <c r="B9522" s="1" t="n">
        <v>45280</v>
      </c>
      <c r="C9522" s="1" t="n">
        <v>45587</v>
      </c>
      <c r="D9522" t="inlineStr">
        <is>
          <t>GÄVLEBORGS LÄN</t>
        </is>
      </c>
      <c r="E9522" t="inlineStr">
        <is>
          <t>BOLLNÄS</t>
        </is>
      </c>
      <c r="G9522" t="n">
        <v>6.2</v>
      </c>
      <c r="H9522" t="n">
        <v>0</v>
      </c>
      <c r="I9522" t="n">
        <v>0</v>
      </c>
      <c r="J9522" t="n">
        <v>0</v>
      </c>
      <c r="K9522" t="n">
        <v>0</v>
      </c>
      <c r="L9522" t="n">
        <v>0</v>
      </c>
      <c r="M9522" t="n">
        <v>0</v>
      </c>
      <c r="N9522" t="n">
        <v>0</v>
      </c>
      <c r="O9522" t="n">
        <v>0</v>
      </c>
      <c r="P9522" t="n">
        <v>0</v>
      </c>
      <c r="Q9522" t="n">
        <v>0</v>
      </c>
      <c r="R9522" s="2" t="inlineStr"/>
    </row>
    <row r="9523" ht="15" customHeight="1">
      <c r="A9523" t="inlineStr">
        <is>
          <t>A 64430-2023</t>
        </is>
      </c>
      <c r="B9523" s="1" t="n">
        <v>45280</v>
      </c>
      <c r="C9523" s="1" t="n">
        <v>45587</v>
      </c>
      <c r="D9523" t="inlineStr">
        <is>
          <t>GÄVLEBORGS LÄN</t>
        </is>
      </c>
      <c r="E9523" t="inlineStr">
        <is>
          <t>OCKELBO</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64393-2023</t>
        </is>
      </c>
      <c r="B9524" s="1" t="n">
        <v>45280</v>
      </c>
      <c r="C9524" s="1" t="n">
        <v>45587</v>
      </c>
      <c r="D9524" t="inlineStr">
        <is>
          <t>GÄVLEBORGS LÄN</t>
        </is>
      </c>
      <c r="E9524" t="inlineStr">
        <is>
          <t>SANDVIKEN</t>
        </is>
      </c>
      <c r="G9524" t="n">
        <v>11.9</v>
      </c>
      <c r="H9524" t="n">
        <v>0</v>
      </c>
      <c r="I9524" t="n">
        <v>0</v>
      </c>
      <c r="J9524" t="n">
        <v>0</v>
      </c>
      <c r="K9524" t="n">
        <v>0</v>
      </c>
      <c r="L9524" t="n">
        <v>0</v>
      </c>
      <c r="M9524" t="n">
        <v>0</v>
      </c>
      <c r="N9524" t="n">
        <v>0</v>
      </c>
      <c r="O9524" t="n">
        <v>0</v>
      </c>
      <c r="P9524" t="n">
        <v>0</v>
      </c>
      <c r="Q9524" t="n">
        <v>0</v>
      </c>
      <c r="R9524" s="2" t="inlineStr"/>
    </row>
    <row r="9525" ht="15" customHeight="1">
      <c r="A9525" t="inlineStr">
        <is>
          <t>A 64379-2023</t>
        </is>
      </c>
      <c r="B9525" s="1" t="n">
        <v>45280</v>
      </c>
      <c r="C9525" s="1" t="n">
        <v>45587</v>
      </c>
      <c r="D9525" t="inlineStr">
        <is>
          <t>GÄVLEBORGS LÄN</t>
        </is>
      </c>
      <c r="E9525" t="inlineStr">
        <is>
          <t>OVANÅKER</t>
        </is>
      </c>
      <c r="G9525" t="n">
        <v>6.4</v>
      </c>
      <c r="H9525" t="n">
        <v>0</v>
      </c>
      <c r="I9525" t="n">
        <v>0</v>
      </c>
      <c r="J9525" t="n">
        <v>0</v>
      </c>
      <c r="K9525" t="n">
        <v>0</v>
      </c>
      <c r="L9525" t="n">
        <v>0</v>
      </c>
      <c r="M9525" t="n">
        <v>0</v>
      </c>
      <c r="N9525" t="n">
        <v>0</v>
      </c>
      <c r="O9525" t="n">
        <v>0</v>
      </c>
      <c r="P9525" t="n">
        <v>0</v>
      </c>
      <c r="Q9525" t="n">
        <v>0</v>
      </c>
      <c r="R9525" s="2" t="inlineStr"/>
    </row>
    <row r="9526" ht="15" customHeight="1">
      <c r="A9526" t="inlineStr">
        <is>
          <t>A 64409-2023</t>
        </is>
      </c>
      <c r="B9526" s="1" t="n">
        <v>45280</v>
      </c>
      <c r="C9526" s="1" t="n">
        <v>45587</v>
      </c>
      <c r="D9526" t="inlineStr">
        <is>
          <t>GÄVLEBORGS LÄN</t>
        </is>
      </c>
      <c r="E9526" t="inlineStr">
        <is>
          <t>OVANÅKER</t>
        </is>
      </c>
      <c r="G9526" t="n">
        <v>7.3</v>
      </c>
      <c r="H9526" t="n">
        <v>0</v>
      </c>
      <c r="I9526" t="n">
        <v>0</v>
      </c>
      <c r="J9526" t="n">
        <v>0</v>
      </c>
      <c r="K9526" t="n">
        <v>0</v>
      </c>
      <c r="L9526" t="n">
        <v>0</v>
      </c>
      <c r="M9526" t="n">
        <v>0</v>
      </c>
      <c r="N9526" t="n">
        <v>0</v>
      </c>
      <c r="O9526" t="n">
        <v>0</v>
      </c>
      <c r="P9526" t="n">
        <v>0</v>
      </c>
      <c r="Q9526" t="n">
        <v>0</v>
      </c>
      <c r="R9526" s="2" t="inlineStr"/>
    </row>
    <row r="9527" ht="15" customHeight="1">
      <c r="A9527" t="inlineStr">
        <is>
          <t>A 64519-2023</t>
        </is>
      </c>
      <c r="B9527" s="1" t="n">
        <v>45281</v>
      </c>
      <c r="C9527" s="1" t="n">
        <v>45587</v>
      </c>
      <c r="D9527" t="inlineStr">
        <is>
          <t>GÄVLEBORGS LÄN</t>
        </is>
      </c>
      <c r="E9527" t="inlineStr">
        <is>
          <t>LJUSDAL</t>
        </is>
      </c>
      <c r="F9527" t="inlineStr">
        <is>
          <t>Holmen skog AB</t>
        </is>
      </c>
      <c r="G9527" t="n">
        <v>7.5</v>
      </c>
      <c r="H9527" t="n">
        <v>0</v>
      </c>
      <c r="I9527" t="n">
        <v>0</v>
      </c>
      <c r="J9527" t="n">
        <v>0</v>
      </c>
      <c r="K9527" t="n">
        <v>0</v>
      </c>
      <c r="L9527" t="n">
        <v>0</v>
      </c>
      <c r="M9527" t="n">
        <v>0</v>
      </c>
      <c r="N9527" t="n">
        <v>0</v>
      </c>
      <c r="O9527" t="n">
        <v>0</v>
      </c>
      <c r="P9527" t="n">
        <v>0</v>
      </c>
      <c r="Q9527" t="n">
        <v>0</v>
      </c>
      <c r="R9527" s="2" t="inlineStr"/>
    </row>
    <row r="9528" ht="15" customHeight="1">
      <c r="A9528" t="inlineStr">
        <is>
          <t>A 64589-2023</t>
        </is>
      </c>
      <c r="B9528" s="1" t="n">
        <v>45281</v>
      </c>
      <c r="C9528" s="1" t="n">
        <v>45587</v>
      </c>
      <c r="D9528" t="inlineStr">
        <is>
          <t>GÄVLEBORGS LÄN</t>
        </is>
      </c>
      <c r="E9528" t="inlineStr">
        <is>
          <t>SANDVIKEN</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64593-2023</t>
        </is>
      </c>
      <c r="B9529" s="1" t="n">
        <v>45281</v>
      </c>
      <c r="C9529" s="1" t="n">
        <v>45587</v>
      </c>
      <c r="D9529" t="inlineStr">
        <is>
          <t>GÄVLEBORGS LÄN</t>
        </is>
      </c>
      <c r="E9529" t="inlineStr">
        <is>
          <t>HUDIKSVALL</t>
        </is>
      </c>
      <c r="F9529" t="inlineStr">
        <is>
          <t>Holmen skog AB</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64535-2023</t>
        </is>
      </c>
      <c r="B9530" s="1" t="n">
        <v>45281</v>
      </c>
      <c r="C9530" s="1" t="n">
        <v>45587</v>
      </c>
      <c r="D9530" t="inlineStr">
        <is>
          <t>GÄVLEBORGS LÄN</t>
        </is>
      </c>
      <c r="E9530" t="inlineStr">
        <is>
          <t>OVANÅKER</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64609-2023</t>
        </is>
      </c>
      <c r="B9531" s="1" t="n">
        <v>45281</v>
      </c>
      <c r="C9531" s="1" t="n">
        <v>45587</v>
      </c>
      <c r="D9531" t="inlineStr">
        <is>
          <t>GÄVLEBORGS LÄN</t>
        </is>
      </c>
      <c r="E9531" t="inlineStr">
        <is>
          <t>OCKELBO</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64629-2023</t>
        </is>
      </c>
      <c r="B9532" s="1" t="n">
        <v>45281</v>
      </c>
      <c r="C9532" s="1" t="n">
        <v>45587</v>
      </c>
      <c r="D9532" t="inlineStr">
        <is>
          <t>GÄVLEBORGS LÄN</t>
        </is>
      </c>
      <c r="E9532" t="inlineStr">
        <is>
          <t>HOFORS</t>
        </is>
      </c>
      <c r="G9532" t="n">
        <v>5.1</v>
      </c>
      <c r="H9532" t="n">
        <v>0</v>
      </c>
      <c r="I9532" t="n">
        <v>0</v>
      </c>
      <c r="J9532" t="n">
        <v>0</v>
      </c>
      <c r="K9532" t="n">
        <v>0</v>
      </c>
      <c r="L9532" t="n">
        <v>0</v>
      </c>
      <c r="M9532" t="n">
        <v>0</v>
      </c>
      <c r="N9532" t="n">
        <v>0</v>
      </c>
      <c r="O9532" t="n">
        <v>0</v>
      </c>
      <c r="P9532" t="n">
        <v>0</v>
      </c>
      <c r="Q9532" t="n">
        <v>0</v>
      </c>
      <c r="R9532" s="2" t="inlineStr"/>
    </row>
    <row r="9533" ht="15" customHeight="1">
      <c r="A9533" t="inlineStr">
        <is>
          <t>A 64579-2023</t>
        </is>
      </c>
      <c r="B9533" s="1" t="n">
        <v>45281</v>
      </c>
      <c r="C9533" s="1" t="n">
        <v>45587</v>
      </c>
      <c r="D9533" t="inlineStr">
        <is>
          <t>GÄVLEBORGS LÄN</t>
        </is>
      </c>
      <c r="E9533" t="inlineStr">
        <is>
          <t>HUDIKSVALL</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64587-2023</t>
        </is>
      </c>
      <c r="B9534" s="1" t="n">
        <v>45281</v>
      </c>
      <c r="C9534" s="1" t="n">
        <v>45587</v>
      </c>
      <c r="D9534" t="inlineStr">
        <is>
          <t>GÄVLEBORGS LÄN</t>
        </is>
      </c>
      <c r="E9534" t="inlineStr">
        <is>
          <t>SANDVIKEN</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64623-2023</t>
        </is>
      </c>
      <c r="B9535" s="1" t="n">
        <v>45281</v>
      </c>
      <c r="C9535" s="1" t="n">
        <v>45587</v>
      </c>
      <c r="D9535" t="inlineStr">
        <is>
          <t>GÄVLEBORGS LÄN</t>
        </is>
      </c>
      <c r="E9535" t="inlineStr">
        <is>
          <t>SANDVIKEN</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64627-2023</t>
        </is>
      </c>
      <c r="B9536" s="1" t="n">
        <v>45281</v>
      </c>
      <c r="C9536" s="1" t="n">
        <v>45587</v>
      </c>
      <c r="D9536" t="inlineStr">
        <is>
          <t>GÄVLEBORGS LÄN</t>
        </is>
      </c>
      <c r="E9536" t="inlineStr">
        <is>
          <t>LJUSDAL</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64704-2023</t>
        </is>
      </c>
      <c r="B9537" s="1" t="n">
        <v>45281</v>
      </c>
      <c r="C9537" s="1" t="n">
        <v>45587</v>
      </c>
      <c r="D9537" t="inlineStr">
        <is>
          <t>GÄVLEBORGS LÄN</t>
        </is>
      </c>
      <c r="E9537" t="inlineStr">
        <is>
          <t>OVANÅKER</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64620-2023</t>
        </is>
      </c>
      <c r="B9538" s="1" t="n">
        <v>45281</v>
      </c>
      <c r="C9538" s="1" t="n">
        <v>45587</v>
      </c>
      <c r="D9538" t="inlineStr">
        <is>
          <t>GÄVLEBORGS LÄN</t>
        </is>
      </c>
      <c r="E9538" t="inlineStr">
        <is>
          <t>SANDVIKEN</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64588-2023</t>
        </is>
      </c>
      <c r="B9539" s="1" t="n">
        <v>45281</v>
      </c>
      <c r="C9539" s="1" t="n">
        <v>45587</v>
      </c>
      <c r="D9539" t="inlineStr">
        <is>
          <t>GÄVLEBORGS LÄN</t>
        </is>
      </c>
      <c r="E9539" t="inlineStr">
        <is>
          <t>SANDVIKEN</t>
        </is>
      </c>
      <c r="G9539" t="n">
        <v>3.3</v>
      </c>
      <c r="H9539" t="n">
        <v>0</v>
      </c>
      <c r="I9539" t="n">
        <v>0</v>
      </c>
      <c r="J9539" t="n">
        <v>0</v>
      </c>
      <c r="K9539" t="n">
        <v>0</v>
      </c>
      <c r="L9539" t="n">
        <v>0</v>
      </c>
      <c r="M9539" t="n">
        <v>0</v>
      </c>
      <c r="N9539" t="n">
        <v>0</v>
      </c>
      <c r="O9539" t="n">
        <v>0</v>
      </c>
      <c r="P9539" t="n">
        <v>0</v>
      </c>
      <c r="Q9539" t="n">
        <v>0</v>
      </c>
      <c r="R9539" s="2" t="inlineStr"/>
    </row>
    <row r="9540" ht="15" customHeight="1">
      <c r="A9540" t="inlineStr">
        <is>
          <t>A 64727-2023</t>
        </is>
      </c>
      <c r="B9540" s="1" t="n">
        <v>45281</v>
      </c>
      <c r="C9540" s="1" t="n">
        <v>45587</v>
      </c>
      <c r="D9540" t="inlineStr">
        <is>
          <t>GÄVLEBORGS LÄN</t>
        </is>
      </c>
      <c r="E9540" t="inlineStr">
        <is>
          <t>HUDIKSVALL</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64786-2023</t>
        </is>
      </c>
      <c r="B9541" s="1" t="n">
        <v>45282</v>
      </c>
      <c r="C9541" s="1" t="n">
        <v>45587</v>
      </c>
      <c r="D9541" t="inlineStr">
        <is>
          <t>GÄVLEBORGS LÄN</t>
        </is>
      </c>
      <c r="E9541" t="inlineStr">
        <is>
          <t>LJUSDAL</t>
        </is>
      </c>
      <c r="F9541" t="inlineStr">
        <is>
          <t>Holmen skog AB</t>
        </is>
      </c>
      <c r="G9541" t="n">
        <v>13.5</v>
      </c>
      <c r="H9541" t="n">
        <v>0</v>
      </c>
      <c r="I9541" t="n">
        <v>0</v>
      </c>
      <c r="J9541" t="n">
        <v>0</v>
      </c>
      <c r="K9541" t="n">
        <v>0</v>
      </c>
      <c r="L9541" t="n">
        <v>0</v>
      </c>
      <c r="M9541" t="n">
        <v>0</v>
      </c>
      <c r="N9541" t="n">
        <v>0</v>
      </c>
      <c r="O9541" t="n">
        <v>0</v>
      </c>
      <c r="P9541" t="n">
        <v>0</v>
      </c>
      <c r="Q9541" t="n">
        <v>0</v>
      </c>
      <c r="R9541" s="2" t="inlineStr"/>
    </row>
    <row r="9542" ht="15" customHeight="1">
      <c r="A9542" t="inlineStr">
        <is>
          <t>A 64814-2023</t>
        </is>
      </c>
      <c r="B9542" s="1" t="n">
        <v>45282</v>
      </c>
      <c r="C9542" s="1" t="n">
        <v>45587</v>
      </c>
      <c r="D9542" t="inlineStr">
        <is>
          <t>GÄVLEBORGS LÄN</t>
        </is>
      </c>
      <c r="E9542" t="inlineStr">
        <is>
          <t>OCKELBO</t>
        </is>
      </c>
      <c r="F9542" t="inlineStr">
        <is>
          <t>Bergvik skog väst AB</t>
        </is>
      </c>
      <c r="G9542" t="n">
        <v>19.8</v>
      </c>
      <c r="H9542" t="n">
        <v>0</v>
      </c>
      <c r="I9542" t="n">
        <v>0</v>
      </c>
      <c r="J9542" t="n">
        <v>0</v>
      </c>
      <c r="K9542" t="n">
        <v>0</v>
      </c>
      <c r="L9542" t="n">
        <v>0</v>
      </c>
      <c r="M9542" t="n">
        <v>0</v>
      </c>
      <c r="N9542" t="n">
        <v>0</v>
      </c>
      <c r="O9542" t="n">
        <v>0</v>
      </c>
      <c r="P9542" t="n">
        <v>0</v>
      </c>
      <c r="Q9542" t="n">
        <v>0</v>
      </c>
      <c r="R9542" s="2" t="inlineStr"/>
    </row>
    <row r="9543" ht="15" customHeight="1">
      <c r="A9543" t="inlineStr">
        <is>
          <t>A 64779-2023</t>
        </is>
      </c>
      <c r="B9543" s="1" t="n">
        <v>45282</v>
      </c>
      <c r="C9543" s="1" t="n">
        <v>45587</v>
      </c>
      <c r="D9543" t="inlineStr">
        <is>
          <t>GÄVLEBORGS LÄN</t>
        </is>
      </c>
      <c r="E9543" t="inlineStr">
        <is>
          <t>LJUSDAL</t>
        </is>
      </c>
      <c r="F9543" t="inlineStr">
        <is>
          <t>Holmen skog AB</t>
        </is>
      </c>
      <c r="G9543" t="n">
        <v>11.1</v>
      </c>
      <c r="H9543" t="n">
        <v>0</v>
      </c>
      <c r="I9543" t="n">
        <v>0</v>
      </c>
      <c r="J9543" t="n">
        <v>0</v>
      </c>
      <c r="K9543" t="n">
        <v>0</v>
      </c>
      <c r="L9543" t="n">
        <v>0</v>
      </c>
      <c r="M9543" t="n">
        <v>0</v>
      </c>
      <c r="N9543" t="n">
        <v>0</v>
      </c>
      <c r="O9543" t="n">
        <v>0</v>
      </c>
      <c r="P9543" t="n">
        <v>0</v>
      </c>
      <c r="Q9543" t="n">
        <v>0</v>
      </c>
      <c r="R9543" s="2" t="inlineStr"/>
    </row>
    <row r="9544" ht="15" customHeight="1">
      <c r="A9544" t="inlineStr">
        <is>
          <t>A 64818-2023</t>
        </is>
      </c>
      <c r="B9544" s="1" t="n">
        <v>45282</v>
      </c>
      <c r="C9544" s="1" t="n">
        <v>45587</v>
      </c>
      <c r="D9544" t="inlineStr">
        <is>
          <t>GÄVLEBORGS LÄN</t>
        </is>
      </c>
      <c r="E9544" t="inlineStr">
        <is>
          <t>OCKELBO</t>
        </is>
      </c>
      <c r="F9544" t="inlineStr">
        <is>
          <t>Bergvik skog väst AB</t>
        </is>
      </c>
      <c r="G9544" t="n">
        <v>5.4</v>
      </c>
      <c r="H9544" t="n">
        <v>0</v>
      </c>
      <c r="I9544" t="n">
        <v>0</v>
      </c>
      <c r="J9544" t="n">
        <v>0</v>
      </c>
      <c r="K9544" t="n">
        <v>0</v>
      </c>
      <c r="L9544" t="n">
        <v>0</v>
      </c>
      <c r="M9544" t="n">
        <v>0</v>
      </c>
      <c r="N9544" t="n">
        <v>0</v>
      </c>
      <c r="O9544" t="n">
        <v>0</v>
      </c>
      <c r="P9544" t="n">
        <v>0</v>
      </c>
      <c r="Q9544" t="n">
        <v>0</v>
      </c>
      <c r="R9544" s="2" t="inlineStr"/>
    </row>
    <row r="9545" ht="15" customHeight="1">
      <c r="A9545" t="inlineStr">
        <is>
          <t>A 64868-2023</t>
        </is>
      </c>
      <c r="B9545" s="1" t="n">
        <v>45282</v>
      </c>
      <c r="C9545" s="1" t="n">
        <v>45587</v>
      </c>
      <c r="D9545" t="inlineStr">
        <is>
          <t>GÄVLEBORGS LÄN</t>
        </is>
      </c>
      <c r="E9545" t="inlineStr">
        <is>
          <t>GÄVLE</t>
        </is>
      </c>
      <c r="G9545" t="n">
        <v>0.2</v>
      </c>
      <c r="H9545" t="n">
        <v>0</v>
      </c>
      <c r="I9545" t="n">
        <v>0</v>
      </c>
      <c r="J9545" t="n">
        <v>0</v>
      </c>
      <c r="K9545" t="n">
        <v>0</v>
      </c>
      <c r="L9545" t="n">
        <v>0</v>
      </c>
      <c r="M9545" t="n">
        <v>0</v>
      </c>
      <c r="N9545" t="n">
        <v>0</v>
      </c>
      <c r="O9545" t="n">
        <v>0</v>
      </c>
      <c r="P9545" t="n">
        <v>0</v>
      </c>
      <c r="Q9545" t="n">
        <v>0</v>
      </c>
      <c r="R9545" s="2" t="inlineStr"/>
    </row>
    <row r="9546" ht="15" customHeight="1">
      <c r="A9546" t="inlineStr">
        <is>
          <t>A 64912-2023</t>
        </is>
      </c>
      <c r="B9546" s="1" t="n">
        <v>45282</v>
      </c>
      <c r="C9546" s="1" t="n">
        <v>45587</v>
      </c>
      <c r="D9546" t="inlineStr">
        <is>
          <t>GÄVLEBORGS LÄN</t>
        </is>
      </c>
      <c r="E9546" t="inlineStr">
        <is>
          <t>OVANÅKER</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64924-2023</t>
        </is>
      </c>
      <c r="B9547" s="1" t="n">
        <v>45282</v>
      </c>
      <c r="C9547" s="1" t="n">
        <v>45587</v>
      </c>
      <c r="D9547" t="inlineStr">
        <is>
          <t>GÄVLEBORGS LÄN</t>
        </is>
      </c>
      <c r="E9547" t="inlineStr">
        <is>
          <t>OCKELBO</t>
        </is>
      </c>
      <c r="G9547" t="n">
        <v>6.8</v>
      </c>
      <c r="H9547" t="n">
        <v>0</v>
      </c>
      <c r="I9547" t="n">
        <v>0</v>
      </c>
      <c r="J9547" t="n">
        <v>0</v>
      </c>
      <c r="K9547" t="n">
        <v>0</v>
      </c>
      <c r="L9547" t="n">
        <v>0</v>
      </c>
      <c r="M9547" t="n">
        <v>0</v>
      </c>
      <c r="N9547" t="n">
        <v>0</v>
      </c>
      <c r="O9547" t="n">
        <v>0</v>
      </c>
      <c r="P9547" t="n">
        <v>0</v>
      </c>
      <c r="Q9547" t="n">
        <v>0</v>
      </c>
      <c r="R9547" s="2" t="inlineStr"/>
    </row>
    <row r="9548" ht="15" customHeight="1">
      <c r="A9548" t="inlineStr">
        <is>
          <t>A 64857-2023</t>
        </is>
      </c>
      <c r="B9548" s="1" t="n">
        <v>45282</v>
      </c>
      <c r="C9548" s="1" t="n">
        <v>45587</v>
      </c>
      <c r="D9548" t="inlineStr">
        <is>
          <t>GÄVLEBORGS LÄN</t>
        </is>
      </c>
      <c r="E9548" t="inlineStr">
        <is>
          <t>SANDVIKEN</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64878-2023</t>
        </is>
      </c>
      <c r="B9549" s="1" t="n">
        <v>45282</v>
      </c>
      <c r="C9549" s="1" t="n">
        <v>45587</v>
      </c>
      <c r="D9549" t="inlineStr">
        <is>
          <t>GÄVLEBORGS LÄN</t>
        </is>
      </c>
      <c r="E9549" t="inlineStr">
        <is>
          <t>GÄVLE</t>
        </is>
      </c>
      <c r="G9549" t="n">
        <v>0</v>
      </c>
      <c r="H9549" t="n">
        <v>0</v>
      </c>
      <c r="I9549" t="n">
        <v>0</v>
      </c>
      <c r="J9549" t="n">
        <v>0</v>
      </c>
      <c r="K9549" t="n">
        <v>0</v>
      </c>
      <c r="L9549" t="n">
        <v>0</v>
      </c>
      <c r="M9549" t="n">
        <v>0</v>
      </c>
      <c r="N9549" t="n">
        <v>0</v>
      </c>
      <c r="O9549" t="n">
        <v>0</v>
      </c>
      <c r="P9549" t="n">
        <v>0</v>
      </c>
      <c r="Q9549" t="n">
        <v>0</v>
      </c>
      <c r="R9549" s="2" t="inlineStr"/>
    </row>
    <row r="9550" ht="15" customHeight="1">
      <c r="A9550" t="inlineStr">
        <is>
          <t>A 64871-2023</t>
        </is>
      </c>
      <c r="B9550" s="1" t="n">
        <v>45282</v>
      </c>
      <c r="C9550" s="1" t="n">
        <v>45587</v>
      </c>
      <c r="D9550" t="inlineStr">
        <is>
          <t>GÄVLEBORGS LÄN</t>
        </is>
      </c>
      <c r="E9550" t="inlineStr">
        <is>
          <t>GÄVLE</t>
        </is>
      </c>
      <c r="G9550" t="n">
        <v>0.3</v>
      </c>
      <c r="H9550" t="n">
        <v>0</v>
      </c>
      <c r="I9550" t="n">
        <v>0</v>
      </c>
      <c r="J9550" t="n">
        <v>0</v>
      </c>
      <c r="K9550" t="n">
        <v>0</v>
      </c>
      <c r="L9550" t="n">
        <v>0</v>
      </c>
      <c r="M9550" t="n">
        <v>0</v>
      </c>
      <c r="N9550" t="n">
        <v>0</v>
      </c>
      <c r="O9550" t="n">
        <v>0</v>
      </c>
      <c r="P9550" t="n">
        <v>0</v>
      </c>
      <c r="Q9550" t="n">
        <v>0</v>
      </c>
      <c r="R9550" s="2" t="inlineStr"/>
    </row>
    <row r="9551" ht="15" customHeight="1">
      <c r="A9551" t="inlineStr">
        <is>
          <t>A 64875-2023</t>
        </is>
      </c>
      <c r="B9551" s="1" t="n">
        <v>45282</v>
      </c>
      <c r="C9551" s="1" t="n">
        <v>45587</v>
      </c>
      <c r="D9551" t="inlineStr">
        <is>
          <t>GÄVLEBORGS LÄN</t>
        </is>
      </c>
      <c r="E9551" t="inlineStr">
        <is>
          <t>GÄVLE</t>
        </is>
      </c>
      <c r="G9551" t="n">
        <v>0.1</v>
      </c>
      <c r="H9551" t="n">
        <v>0</v>
      </c>
      <c r="I9551" t="n">
        <v>0</v>
      </c>
      <c r="J9551" t="n">
        <v>0</v>
      </c>
      <c r="K9551" t="n">
        <v>0</v>
      </c>
      <c r="L9551" t="n">
        <v>0</v>
      </c>
      <c r="M9551" t="n">
        <v>0</v>
      </c>
      <c r="N9551" t="n">
        <v>0</v>
      </c>
      <c r="O9551" t="n">
        <v>0</v>
      </c>
      <c r="P9551" t="n">
        <v>0</v>
      </c>
      <c r="Q9551" t="n">
        <v>0</v>
      </c>
      <c r="R9551" s="2" t="inlineStr"/>
    </row>
    <row r="9552" ht="15" customHeight="1">
      <c r="A9552" t="inlineStr">
        <is>
          <t>A 64801-2023</t>
        </is>
      </c>
      <c r="B9552" s="1" t="n">
        <v>45282</v>
      </c>
      <c r="C9552" s="1" t="n">
        <v>45587</v>
      </c>
      <c r="D9552" t="inlineStr">
        <is>
          <t>GÄVLEBORGS LÄN</t>
        </is>
      </c>
      <c r="E9552" t="inlineStr">
        <is>
          <t>SANDVIKEN</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64852-2023</t>
        </is>
      </c>
      <c r="B9553" s="1" t="n">
        <v>45282</v>
      </c>
      <c r="C9553" s="1" t="n">
        <v>45587</v>
      </c>
      <c r="D9553" t="inlineStr">
        <is>
          <t>GÄVLEBORGS LÄN</t>
        </is>
      </c>
      <c r="E9553" t="inlineStr">
        <is>
          <t>OVANÅKER</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64873-2023</t>
        </is>
      </c>
      <c r="B9554" s="1" t="n">
        <v>45282</v>
      </c>
      <c r="C9554" s="1" t="n">
        <v>45587</v>
      </c>
      <c r="D9554" t="inlineStr">
        <is>
          <t>GÄVLEBORGS LÄN</t>
        </is>
      </c>
      <c r="E9554" t="inlineStr">
        <is>
          <t>GÄVLE</t>
        </is>
      </c>
      <c r="G9554" t="n">
        <v>0.4</v>
      </c>
      <c r="H9554" t="n">
        <v>0</v>
      </c>
      <c r="I9554" t="n">
        <v>0</v>
      </c>
      <c r="J9554" t="n">
        <v>0</v>
      </c>
      <c r="K9554" t="n">
        <v>0</v>
      </c>
      <c r="L9554" t="n">
        <v>0</v>
      </c>
      <c r="M9554" t="n">
        <v>0</v>
      </c>
      <c r="N9554" t="n">
        <v>0</v>
      </c>
      <c r="O9554" t="n">
        <v>0</v>
      </c>
      <c r="P9554" t="n">
        <v>0</v>
      </c>
      <c r="Q9554" t="n">
        <v>0</v>
      </c>
      <c r="R9554" s="2" t="inlineStr"/>
    </row>
    <row r="9555" ht="15" customHeight="1">
      <c r="A9555" t="inlineStr">
        <is>
          <t>A 64889-2023</t>
        </is>
      </c>
      <c r="B9555" s="1" t="n">
        <v>45282</v>
      </c>
      <c r="C9555" s="1" t="n">
        <v>45587</v>
      </c>
      <c r="D9555" t="inlineStr">
        <is>
          <t>GÄVLEBORGS LÄN</t>
        </is>
      </c>
      <c r="E9555" t="inlineStr">
        <is>
          <t>LJUSDAL</t>
        </is>
      </c>
      <c r="F9555" t="inlineStr">
        <is>
          <t>Holmen skog AB</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64921-2023</t>
        </is>
      </c>
      <c r="B9556" s="1" t="n">
        <v>45282</v>
      </c>
      <c r="C9556" s="1" t="n">
        <v>45587</v>
      </c>
      <c r="D9556" t="inlineStr">
        <is>
          <t>GÄVLEBORGS LÄN</t>
        </is>
      </c>
      <c r="E9556" t="inlineStr">
        <is>
          <t>GÄVLE</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64940-2023</t>
        </is>
      </c>
      <c r="B9557" s="1" t="n">
        <v>45282</v>
      </c>
      <c r="C9557" s="1" t="n">
        <v>45587</v>
      </c>
      <c r="D9557" t="inlineStr">
        <is>
          <t>GÄVLEBORGS LÄN</t>
        </is>
      </c>
      <c r="E9557" t="inlineStr">
        <is>
          <t>SÖDERHAMN</t>
        </is>
      </c>
      <c r="G9557" t="n">
        <v>7.7</v>
      </c>
      <c r="H9557" t="n">
        <v>0</v>
      </c>
      <c r="I9557" t="n">
        <v>0</v>
      </c>
      <c r="J9557" t="n">
        <v>0</v>
      </c>
      <c r="K9557" t="n">
        <v>0</v>
      </c>
      <c r="L9557" t="n">
        <v>0</v>
      </c>
      <c r="M9557" t="n">
        <v>0</v>
      </c>
      <c r="N9557" t="n">
        <v>0</v>
      </c>
      <c r="O9557" t="n">
        <v>0</v>
      </c>
      <c r="P9557" t="n">
        <v>0</v>
      </c>
      <c r="Q9557" t="n">
        <v>0</v>
      </c>
      <c r="R9557" s="2" t="inlineStr"/>
    </row>
    <row r="9558" ht="15" customHeight="1">
      <c r="A9558" t="inlineStr">
        <is>
          <t>A 64962-2023</t>
        </is>
      </c>
      <c r="B9558" s="1" t="n">
        <v>45283</v>
      </c>
      <c r="C9558" s="1" t="n">
        <v>45587</v>
      </c>
      <c r="D9558" t="inlineStr">
        <is>
          <t>GÄVLEBORGS LÄN</t>
        </is>
      </c>
      <c r="E9558" t="inlineStr">
        <is>
          <t>HUDIKSVALL</t>
        </is>
      </c>
      <c r="G9558" t="n">
        <v>4.2</v>
      </c>
      <c r="H9558" t="n">
        <v>0</v>
      </c>
      <c r="I9558" t="n">
        <v>0</v>
      </c>
      <c r="J9558" t="n">
        <v>0</v>
      </c>
      <c r="K9558" t="n">
        <v>0</v>
      </c>
      <c r="L9558" t="n">
        <v>0</v>
      </c>
      <c r="M9558" t="n">
        <v>0</v>
      </c>
      <c r="N9558" t="n">
        <v>0</v>
      </c>
      <c r="O9558" t="n">
        <v>0</v>
      </c>
      <c r="P9558" t="n">
        <v>0</v>
      </c>
      <c r="Q9558" t="n">
        <v>0</v>
      </c>
      <c r="R9558" s="2" t="inlineStr"/>
    </row>
    <row r="9559" ht="15" customHeight="1">
      <c r="A9559" t="inlineStr">
        <is>
          <t>A 65039-2023</t>
        </is>
      </c>
      <c r="B9559" s="1" t="n">
        <v>45287</v>
      </c>
      <c r="C9559" s="1" t="n">
        <v>45587</v>
      </c>
      <c r="D9559" t="inlineStr">
        <is>
          <t>GÄVLEBORGS LÄN</t>
        </is>
      </c>
      <c r="E9559" t="inlineStr">
        <is>
          <t>NORDANSTIG</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65107-2023</t>
        </is>
      </c>
      <c r="B9560" s="1" t="n">
        <v>45287</v>
      </c>
      <c r="C9560" s="1" t="n">
        <v>45587</v>
      </c>
      <c r="D9560" t="inlineStr">
        <is>
          <t>GÄVLEBORGS LÄN</t>
        </is>
      </c>
      <c r="E9560" t="inlineStr">
        <is>
          <t>OVANÅKER</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65098-2023</t>
        </is>
      </c>
      <c r="B9561" s="1" t="n">
        <v>45288</v>
      </c>
      <c r="C9561" s="1" t="n">
        <v>45587</v>
      </c>
      <c r="D9561" t="inlineStr">
        <is>
          <t>GÄVLEBORGS LÄN</t>
        </is>
      </c>
      <c r="E9561" t="inlineStr">
        <is>
          <t>SANDVIKEN</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65140-2023</t>
        </is>
      </c>
      <c r="B9562" s="1" t="n">
        <v>45288</v>
      </c>
      <c r="C9562" s="1" t="n">
        <v>45587</v>
      </c>
      <c r="D9562" t="inlineStr">
        <is>
          <t>GÄVLEBORGS LÄN</t>
        </is>
      </c>
      <c r="E9562" t="inlineStr">
        <is>
          <t>OCKELBO</t>
        </is>
      </c>
      <c r="G9562" t="n">
        <v>4.1</v>
      </c>
      <c r="H9562" t="n">
        <v>0</v>
      </c>
      <c r="I9562" t="n">
        <v>0</v>
      </c>
      <c r="J9562" t="n">
        <v>0</v>
      </c>
      <c r="K9562" t="n">
        <v>0</v>
      </c>
      <c r="L9562" t="n">
        <v>0</v>
      </c>
      <c r="M9562" t="n">
        <v>0</v>
      </c>
      <c r="N9562" t="n">
        <v>0</v>
      </c>
      <c r="O9562" t="n">
        <v>0</v>
      </c>
      <c r="P9562" t="n">
        <v>0</v>
      </c>
      <c r="Q9562" t="n">
        <v>0</v>
      </c>
      <c r="R9562" s="2" t="inlineStr"/>
    </row>
    <row r="9563" ht="15" customHeight="1">
      <c r="A9563" t="inlineStr">
        <is>
          <t>A 65180-2023</t>
        </is>
      </c>
      <c r="B9563" s="1" t="n">
        <v>45288</v>
      </c>
      <c r="C9563" s="1" t="n">
        <v>45587</v>
      </c>
      <c r="D9563" t="inlineStr">
        <is>
          <t>GÄVLEBORGS LÄN</t>
        </is>
      </c>
      <c r="E9563" t="inlineStr">
        <is>
          <t>NORDANSTIG</t>
        </is>
      </c>
      <c r="G9563" t="n">
        <v>7.5</v>
      </c>
      <c r="H9563" t="n">
        <v>0</v>
      </c>
      <c r="I9563" t="n">
        <v>0</v>
      </c>
      <c r="J9563" t="n">
        <v>0</v>
      </c>
      <c r="K9563" t="n">
        <v>0</v>
      </c>
      <c r="L9563" t="n">
        <v>0</v>
      </c>
      <c r="M9563" t="n">
        <v>0</v>
      </c>
      <c r="N9563" t="n">
        <v>0</v>
      </c>
      <c r="O9563" t="n">
        <v>0</v>
      </c>
      <c r="P9563" t="n">
        <v>0</v>
      </c>
      <c r="Q9563" t="n">
        <v>0</v>
      </c>
      <c r="R9563" s="2" t="inlineStr"/>
    </row>
    <row r="9564" ht="15" customHeight="1">
      <c r="A9564" t="inlineStr">
        <is>
          <t>A 65166-2023</t>
        </is>
      </c>
      <c r="B9564" s="1" t="n">
        <v>45288</v>
      </c>
      <c r="C9564" s="1" t="n">
        <v>45587</v>
      </c>
      <c r="D9564" t="inlineStr">
        <is>
          <t>GÄVLEBORGS LÄN</t>
        </is>
      </c>
      <c r="E9564" t="inlineStr">
        <is>
          <t>BOLLNÄS</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65175-2023</t>
        </is>
      </c>
      <c r="B9565" s="1" t="n">
        <v>45288</v>
      </c>
      <c r="C9565" s="1" t="n">
        <v>45587</v>
      </c>
      <c r="D9565" t="inlineStr">
        <is>
          <t>GÄVLEBORGS LÄN</t>
        </is>
      </c>
      <c r="E9565" t="inlineStr">
        <is>
          <t>LJUSDAL</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65179-2023</t>
        </is>
      </c>
      <c r="B9566" s="1" t="n">
        <v>45288</v>
      </c>
      <c r="C9566" s="1" t="n">
        <v>45587</v>
      </c>
      <c r="D9566" t="inlineStr">
        <is>
          <t>GÄVLEBORGS LÄN</t>
        </is>
      </c>
      <c r="E9566" t="inlineStr">
        <is>
          <t>NORDANSTIG</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65195-2023</t>
        </is>
      </c>
      <c r="B9567" s="1" t="n">
        <v>45289</v>
      </c>
      <c r="C9567" s="1" t="n">
        <v>45587</v>
      </c>
      <c r="D9567" t="inlineStr">
        <is>
          <t>GÄVLEBORGS LÄN</t>
        </is>
      </c>
      <c r="E9567" t="inlineStr">
        <is>
          <t>HUDIKSVALL</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65189-2023</t>
        </is>
      </c>
      <c r="B9568" s="1" t="n">
        <v>45289</v>
      </c>
      <c r="C9568" s="1" t="n">
        <v>45587</v>
      </c>
      <c r="D9568" t="inlineStr">
        <is>
          <t>GÄVLEBORGS LÄN</t>
        </is>
      </c>
      <c r="E9568" t="inlineStr">
        <is>
          <t>BOLLNÄS</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65208-2023</t>
        </is>
      </c>
      <c r="B9569" s="1" t="n">
        <v>45289</v>
      </c>
      <c r="C9569" s="1" t="n">
        <v>45587</v>
      </c>
      <c r="D9569" t="inlineStr">
        <is>
          <t>GÄVLEBORGS LÄN</t>
        </is>
      </c>
      <c r="E9569" t="inlineStr">
        <is>
          <t>NORDANSTIG</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65235-2023</t>
        </is>
      </c>
      <c r="B9570" s="1" t="n">
        <v>45289</v>
      </c>
      <c r="C9570" s="1" t="n">
        <v>45587</v>
      </c>
      <c r="D9570" t="inlineStr">
        <is>
          <t>GÄVLEBORGS LÄN</t>
        </is>
      </c>
      <c r="E9570" t="inlineStr">
        <is>
          <t>SÖDERHAMN</t>
        </is>
      </c>
      <c r="G9570" t="n">
        <v>7.4</v>
      </c>
      <c r="H9570" t="n">
        <v>0</v>
      </c>
      <c r="I9570" t="n">
        <v>0</v>
      </c>
      <c r="J9570" t="n">
        <v>0</v>
      </c>
      <c r="K9570" t="n">
        <v>0</v>
      </c>
      <c r="L9570" t="n">
        <v>0</v>
      </c>
      <c r="M9570" t="n">
        <v>0</v>
      </c>
      <c r="N9570" t="n">
        <v>0</v>
      </c>
      <c r="O9570" t="n">
        <v>0</v>
      </c>
      <c r="P9570" t="n">
        <v>0</v>
      </c>
      <c r="Q9570" t="n">
        <v>0</v>
      </c>
      <c r="R9570" s="2" t="inlineStr"/>
    </row>
    <row r="9571" ht="15" customHeight="1">
      <c r="A9571" t="inlineStr">
        <is>
          <t>A 65259-2023</t>
        </is>
      </c>
      <c r="B9571" s="1" t="n">
        <v>45291</v>
      </c>
      <c r="C9571" s="1" t="n">
        <v>45587</v>
      </c>
      <c r="D9571" t="inlineStr">
        <is>
          <t>GÄVLEBORGS LÄN</t>
        </is>
      </c>
      <c r="E9571" t="inlineStr">
        <is>
          <t>OCKELBO</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21-2024</t>
        </is>
      </c>
      <c r="B9572" s="1" t="n">
        <v>45293</v>
      </c>
      <c r="C9572" s="1" t="n">
        <v>45587</v>
      </c>
      <c r="D9572" t="inlineStr">
        <is>
          <t>GÄVLEBORGS LÄN</t>
        </is>
      </c>
      <c r="E9572" t="inlineStr">
        <is>
          <t>GÄVLE</t>
        </is>
      </c>
      <c r="G9572" t="n">
        <v>6.2</v>
      </c>
      <c r="H9572" t="n">
        <v>0</v>
      </c>
      <c r="I9572" t="n">
        <v>0</v>
      </c>
      <c r="J9572" t="n">
        <v>0</v>
      </c>
      <c r="K9572" t="n">
        <v>0</v>
      </c>
      <c r="L9572" t="n">
        <v>0</v>
      </c>
      <c r="M9572" t="n">
        <v>0</v>
      </c>
      <c r="N9572" t="n">
        <v>0</v>
      </c>
      <c r="O9572" t="n">
        <v>0</v>
      </c>
      <c r="P9572" t="n">
        <v>0</v>
      </c>
      <c r="Q9572" t="n">
        <v>0</v>
      </c>
      <c r="R9572" s="2" t="inlineStr"/>
    </row>
    <row r="9573" ht="15" customHeight="1">
      <c r="A9573" t="inlineStr">
        <is>
          <t>A 25-2024</t>
        </is>
      </c>
      <c r="B9573" s="1" t="n">
        <v>45293</v>
      </c>
      <c r="C9573" s="1" t="n">
        <v>45587</v>
      </c>
      <c r="D9573" t="inlineStr">
        <is>
          <t>GÄVLEBORGS LÄN</t>
        </is>
      </c>
      <c r="E9573" t="inlineStr">
        <is>
          <t>GÄVLE</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8-2024</t>
        </is>
      </c>
      <c r="B9574" s="1" t="n">
        <v>45293</v>
      </c>
      <c r="C9574" s="1" t="n">
        <v>45587</v>
      </c>
      <c r="D9574" t="inlineStr">
        <is>
          <t>GÄVLEBORGS LÄN</t>
        </is>
      </c>
      <c r="E9574" t="inlineStr">
        <is>
          <t>LJUSDAL</t>
        </is>
      </c>
      <c r="G9574" t="n">
        <v>4.7</v>
      </c>
      <c r="H9574" t="n">
        <v>0</v>
      </c>
      <c r="I9574" t="n">
        <v>0</v>
      </c>
      <c r="J9574" t="n">
        <v>0</v>
      </c>
      <c r="K9574" t="n">
        <v>0</v>
      </c>
      <c r="L9574" t="n">
        <v>0</v>
      </c>
      <c r="M9574" t="n">
        <v>0</v>
      </c>
      <c r="N9574" t="n">
        <v>0</v>
      </c>
      <c r="O9574" t="n">
        <v>0</v>
      </c>
      <c r="P9574" t="n">
        <v>0</v>
      </c>
      <c r="Q9574" t="n">
        <v>0</v>
      </c>
      <c r="R9574" s="2" t="inlineStr"/>
    </row>
    <row r="9575" ht="15" customHeight="1">
      <c r="A9575" t="inlineStr">
        <is>
          <t>A 16-2024</t>
        </is>
      </c>
      <c r="B9575" s="1" t="n">
        <v>45293</v>
      </c>
      <c r="C9575" s="1" t="n">
        <v>45587</v>
      </c>
      <c r="D9575" t="inlineStr">
        <is>
          <t>GÄVLEBORGS LÄN</t>
        </is>
      </c>
      <c r="E9575" t="inlineStr">
        <is>
          <t>GÄVLE</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24-2024</t>
        </is>
      </c>
      <c r="B9576" s="1" t="n">
        <v>45293</v>
      </c>
      <c r="C9576" s="1" t="n">
        <v>45587</v>
      </c>
      <c r="D9576" t="inlineStr">
        <is>
          <t>GÄVLEBORGS LÄN</t>
        </is>
      </c>
      <c r="E9576" t="inlineStr">
        <is>
          <t>GÄVLE</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37-2024</t>
        </is>
      </c>
      <c r="B9577" s="1" t="n">
        <v>45293</v>
      </c>
      <c r="C9577" s="1" t="n">
        <v>45587</v>
      </c>
      <c r="D9577" t="inlineStr">
        <is>
          <t>GÄVLEBORGS LÄN</t>
        </is>
      </c>
      <c r="E9577" t="inlineStr">
        <is>
          <t>SANDVIKEN</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57-2024</t>
        </is>
      </c>
      <c r="B9578" s="1" t="n">
        <v>45293</v>
      </c>
      <c r="C9578" s="1" t="n">
        <v>45587</v>
      </c>
      <c r="D9578" t="inlineStr">
        <is>
          <t>GÄVLEBORGS LÄN</t>
        </is>
      </c>
      <c r="E9578" t="inlineStr">
        <is>
          <t>LJUSDAL</t>
        </is>
      </c>
      <c r="F9578" t="inlineStr">
        <is>
          <t>Holmen skog AB</t>
        </is>
      </c>
      <c r="G9578" t="n">
        <v>5.8</v>
      </c>
      <c r="H9578" t="n">
        <v>0</v>
      </c>
      <c r="I9578" t="n">
        <v>0</v>
      </c>
      <c r="J9578" t="n">
        <v>0</v>
      </c>
      <c r="K9578" t="n">
        <v>0</v>
      </c>
      <c r="L9578" t="n">
        <v>0</v>
      </c>
      <c r="M9578" t="n">
        <v>0</v>
      </c>
      <c r="N9578" t="n">
        <v>0</v>
      </c>
      <c r="O9578" t="n">
        <v>0</v>
      </c>
      <c r="P9578" t="n">
        <v>0</v>
      </c>
      <c r="Q9578" t="n">
        <v>0</v>
      </c>
      <c r="R9578" s="2" t="inlineStr"/>
    </row>
    <row r="9579" ht="15" customHeight="1">
      <c r="A9579" t="inlineStr">
        <is>
          <t>A 10-2024</t>
        </is>
      </c>
      <c r="B9579" s="1" t="n">
        <v>45293</v>
      </c>
      <c r="C9579" s="1" t="n">
        <v>45587</v>
      </c>
      <c r="D9579" t="inlineStr">
        <is>
          <t>GÄVLEBORGS LÄN</t>
        </is>
      </c>
      <c r="E9579" t="inlineStr">
        <is>
          <t>LJUSDAL</t>
        </is>
      </c>
      <c r="G9579" t="n">
        <v>7.5</v>
      </c>
      <c r="H9579" t="n">
        <v>0</v>
      </c>
      <c r="I9579" t="n">
        <v>0</v>
      </c>
      <c r="J9579" t="n">
        <v>0</v>
      </c>
      <c r="K9579" t="n">
        <v>0</v>
      </c>
      <c r="L9579" t="n">
        <v>0</v>
      </c>
      <c r="M9579" t="n">
        <v>0</v>
      </c>
      <c r="N9579" t="n">
        <v>0</v>
      </c>
      <c r="O9579" t="n">
        <v>0</v>
      </c>
      <c r="P9579" t="n">
        <v>0</v>
      </c>
      <c r="Q9579" t="n">
        <v>0</v>
      </c>
      <c r="R9579" s="2" t="inlineStr"/>
    </row>
    <row r="9580" ht="15" customHeight="1">
      <c r="A9580" t="inlineStr">
        <is>
          <t>A 18-2024</t>
        </is>
      </c>
      <c r="B9580" s="1" t="n">
        <v>45293</v>
      </c>
      <c r="C9580" s="1" t="n">
        <v>45587</v>
      </c>
      <c r="D9580" t="inlineStr">
        <is>
          <t>GÄVLEBORGS LÄN</t>
        </is>
      </c>
      <c r="E9580" t="inlineStr">
        <is>
          <t>GÄVLE</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39-2024</t>
        </is>
      </c>
      <c r="B9581" s="1" t="n">
        <v>45293</v>
      </c>
      <c r="C9581" s="1" t="n">
        <v>45587</v>
      </c>
      <c r="D9581" t="inlineStr">
        <is>
          <t>GÄVLEBORGS LÄN</t>
        </is>
      </c>
      <c r="E9581" t="inlineStr">
        <is>
          <t>SANDVIKEN</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129-2024</t>
        </is>
      </c>
      <c r="B9582" s="1" t="n">
        <v>45294</v>
      </c>
      <c r="C9582" s="1" t="n">
        <v>45587</v>
      </c>
      <c r="D9582" t="inlineStr">
        <is>
          <t>GÄVLEBORGS LÄN</t>
        </is>
      </c>
      <c r="E9582" t="inlineStr">
        <is>
          <t>SANDVIKEN</t>
        </is>
      </c>
      <c r="G9582" t="n">
        <v>4.4</v>
      </c>
      <c r="H9582" t="n">
        <v>0</v>
      </c>
      <c r="I9582" t="n">
        <v>0</v>
      </c>
      <c r="J9582" t="n">
        <v>0</v>
      </c>
      <c r="K9582" t="n">
        <v>0</v>
      </c>
      <c r="L9582" t="n">
        <v>0</v>
      </c>
      <c r="M9582" t="n">
        <v>0</v>
      </c>
      <c r="N9582" t="n">
        <v>0</v>
      </c>
      <c r="O9582" t="n">
        <v>0</v>
      </c>
      <c r="P9582" t="n">
        <v>0</v>
      </c>
      <c r="Q9582" t="n">
        <v>0</v>
      </c>
      <c r="R9582" s="2" t="inlineStr"/>
    </row>
    <row r="9583" ht="15" customHeight="1">
      <c r="A9583" t="inlineStr">
        <is>
          <t>A 182-2024</t>
        </is>
      </c>
      <c r="B9583" s="1" t="n">
        <v>45294</v>
      </c>
      <c r="C9583" s="1" t="n">
        <v>45587</v>
      </c>
      <c r="D9583" t="inlineStr">
        <is>
          <t>GÄVLEBORGS LÄN</t>
        </is>
      </c>
      <c r="E9583" t="inlineStr">
        <is>
          <t>HUDIKSVALL</t>
        </is>
      </c>
      <c r="F9583" t="inlineStr">
        <is>
          <t>Holmen skog AB</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118-2024</t>
        </is>
      </c>
      <c r="B9584" s="1" t="n">
        <v>45294</v>
      </c>
      <c r="C9584" s="1" t="n">
        <v>45587</v>
      </c>
      <c r="D9584" t="inlineStr">
        <is>
          <t>GÄVLEBORGS LÄN</t>
        </is>
      </c>
      <c r="E9584" t="inlineStr">
        <is>
          <t>HOFORS</t>
        </is>
      </c>
      <c r="F9584" t="inlineStr">
        <is>
          <t>Sveaskog</t>
        </is>
      </c>
      <c r="G9584" t="n">
        <v>6.9</v>
      </c>
      <c r="H9584" t="n">
        <v>0</v>
      </c>
      <c r="I9584" t="n">
        <v>0</v>
      </c>
      <c r="J9584" t="n">
        <v>0</v>
      </c>
      <c r="K9584" t="n">
        <v>0</v>
      </c>
      <c r="L9584" t="n">
        <v>0</v>
      </c>
      <c r="M9584" t="n">
        <v>0</v>
      </c>
      <c r="N9584" t="n">
        <v>0</v>
      </c>
      <c r="O9584" t="n">
        <v>0</v>
      </c>
      <c r="P9584" t="n">
        <v>0</v>
      </c>
      <c r="Q9584" t="n">
        <v>0</v>
      </c>
      <c r="R9584" s="2" t="inlineStr"/>
    </row>
    <row r="9585" ht="15" customHeight="1">
      <c r="A9585" t="inlineStr">
        <is>
          <t>A 127-2024</t>
        </is>
      </c>
      <c r="B9585" s="1" t="n">
        <v>45294</v>
      </c>
      <c r="C9585" s="1" t="n">
        <v>45587</v>
      </c>
      <c r="D9585" t="inlineStr">
        <is>
          <t>GÄVLEBORGS LÄN</t>
        </is>
      </c>
      <c r="E9585" t="inlineStr">
        <is>
          <t>HOFORS</t>
        </is>
      </c>
      <c r="F9585" t="inlineStr">
        <is>
          <t>Sveaskog</t>
        </is>
      </c>
      <c r="G9585" t="n">
        <v>20.4</v>
      </c>
      <c r="H9585" t="n">
        <v>0</v>
      </c>
      <c r="I9585" t="n">
        <v>0</v>
      </c>
      <c r="J9585" t="n">
        <v>0</v>
      </c>
      <c r="K9585" t="n">
        <v>0</v>
      </c>
      <c r="L9585" t="n">
        <v>0</v>
      </c>
      <c r="M9585" t="n">
        <v>0</v>
      </c>
      <c r="N9585" t="n">
        <v>0</v>
      </c>
      <c r="O9585" t="n">
        <v>0</v>
      </c>
      <c r="P9585" t="n">
        <v>0</v>
      </c>
      <c r="Q9585" t="n">
        <v>0</v>
      </c>
      <c r="R9585" s="2" t="inlineStr"/>
    </row>
    <row r="9586" ht="15" customHeight="1">
      <c r="A9586" t="inlineStr">
        <is>
          <t>A 147-2024</t>
        </is>
      </c>
      <c r="B9586" s="1" t="n">
        <v>45294</v>
      </c>
      <c r="C9586" s="1" t="n">
        <v>45587</v>
      </c>
      <c r="D9586" t="inlineStr">
        <is>
          <t>GÄVLEBORGS LÄN</t>
        </is>
      </c>
      <c r="E9586" t="inlineStr">
        <is>
          <t>LJUSDAL</t>
        </is>
      </c>
      <c r="G9586" t="n">
        <v>9.9</v>
      </c>
      <c r="H9586" t="n">
        <v>0</v>
      </c>
      <c r="I9586" t="n">
        <v>0</v>
      </c>
      <c r="J9586" t="n">
        <v>0</v>
      </c>
      <c r="K9586" t="n">
        <v>0</v>
      </c>
      <c r="L9586" t="n">
        <v>0</v>
      </c>
      <c r="M9586" t="n">
        <v>0</v>
      </c>
      <c r="N9586" t="n">
        <v>0</v>
      </c>
      <c r="O9586" t="n">
        <v>0</v>
      </c>
      <c r="P9586" t="n">
        <v>0</v>
      </c>
      <c r="Q9586" t="n">
        <v>0</v>
      </c>
      <c r="R9586" s="2" t="inlineStr"/>
    </row>
    <row r="9587" ht="15" customHeight="1">
      <c r="A9587" t="inlineStr">
        <is>
          <t>A 188-2024</t>
        </is>
      </c>
      <c r="B9587" s="1" t="n">
        <v>45294</v>
      </c>
      <c r="C9587" s="1" t="n">
        <v>45587</v>
      </c>
      <c r="D9587" t="inlineStr">
        <is>
          <t>GÄVLEBORGS LÄN</t>
        </is>
      </c>
      <c r="E9587" t="inlineStr">
        <is>
          <t>LJUSDAL</t>
        </is>
      </c>
      <c r="G9587" t="n">
        <v>14.3</v>
      </c>
      <c r="H9587" t="n">
        <v>0</v>
      </c>
      <c r="I9587" t="n">
        <v>0</v>
      </c>
      <c r="J9587" t="n">
        <v>0</v>
      </c>
      <c r="K9587" t="n">
        <v>0</v>
      </c>
      <c r="L9587" t="n">
        <v>0</v>
      </c>
      <c r="M9587" t="n">
        <v>0</v>
      </c>
      <c r="N9587" t="n">
        <v>0</v>
      </c>
      <c r="O9587" t="n">
        <v>0</v>
      </c>
      <c r="P9587" t="n">
        <v>0</v>
      </c>
      <c r="Q9587" t="n">
        <v>0</v>
      </c>
      <c r="R9587" s="2" t="inlineStr"/>
    </row>
    <row r="9588" ht="15" customHeight="1">
      <c r="A9588" t="inlineStr">
        <is>
          <t>A 264-2024</t>
        </is>
      </c>
      <c r="B9588" s="1" t="n">
        <v>45295</v>
      </c>
      <c r="C9588" s="1" t="n">
        <v>45587</v>
      </c>
      <c r="D9588" t="inlineStr">
        <is>
          <t>GÄVLEBORGS LÄN</t>
        </is>
      </c>
      <c r="E9588" t="inlineStr">
        <is>
          <t>LJUSDAL</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274-2024</t>
        </is>
      </c>
      <c r="B9589" s="1" t="n">
        <v>45295</v>
      </c>
      <c r="C9589" s="1" t="n">
        <v>45587</v>
      </c>
      <c r="D9589" t="inlineStr">
        <is>
          <t>GÄVLEBORGS LÄN</t>
        </is>
      </c>
      <c r="E9589" t="inlineStr">
        <is>
          <t>LJUSDAL</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308-2024</t>
        </is>
      </c>
      <c r="B9590" s="1" t="n">
        <v>45295</v>
      </c>
      <c r="C9590" s="1" t="n">
        <v>45587</v>
      </c>
      <c r="D9590" t="inlineStr">
        <is>
          <t>GÄVLEBORGS LÄN</t>
        </is>
      </c>
      <c r="E9590" t="inlineStr">
        <is>
          <t>GÄVLE</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321-2024</t>
        </is>
      </c>
      <c r="B9591" s="1" t="n">
        <v>45295</v>
      </c>
      <c r="C9591" s="1" t="n">
        <v>45587</v>
      </c>
      <c r="D9591" t="inlineStr">
        <is>
          <t>GÄVLEBORGS LÄN</t>
        </is>
      </c>
      <c r="E9591" t="inlineStr">
        <is>
          <t>NORDANSTIG</t>
        </is>
      </c>
      <c r="F9591" t="inlineStr">
        <is>
          <t>Holmen skog AB</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270-2024</t>
        </is>
      </c>
      <c r="B9592" s="1" t="n">
        <v>45295</v>
      </c>
      <c r="C9592" s="1" t="n">
        <v>45587</v>
      </c>
      <c r="D9592" t="inlineStr">
        <is>
          <t>GÄVLEBORGS LÄN</t>
        </is>
      </c>
      <c r="E9592" t="inlineStr">
        <is>
          <t>LJUSDAL</t>
        </is>
      </c>
      <c r="G9592" t="n">
        <v>4.2</v>
      </c>
      <c r="H9592" t="n">
        <v>0</v>
      </c>
      <c r="I9592" t="n">
        <v>0</v>
      </c>
      <c r="J9592" t="n">
        <v>0</v>
      </c>
      <c r="K9592" t="n">
        <v>0</v>
      </c>
      <c r="L9592" t="n">
        <v>0</v>
      </c>
      <c r="M9592" t="n">
        <v>0</v>
      </c>
      <c r="N9592" t="n">
        <v>0</v>
      </c>
      <c r="O9592" t="n">
        <v>0</v>
      </c>
      <c r="P9592" t="n">
        <v>0</v>
      </c>
      <c r="Q9592" t="n">
        <v>0</v>
      </c>
      <c r="R9592" s="2" t="inlineStr"/>
    </row>
    <row r="9593" ht="15" customHeight="1">
      <c r="A9593" t="inlineStr">
        <is>
          <t>A 289-2024</t>
        </is>
      </c>
      <c r="B9593" s="1" t="n">
        <v>45295</v>
      </c>
      <c r="C9593" s="1" t="n">
        <v>45587</v>
      </c>
      <c r="D9593" t="inlineStr">
        <is>
          <t>GÄVLEBORGS LÄN</t>
        </is>
      </c>
      <c r="E9593" t="inlineStr">
        <is>
          <t>BOLLNÄS</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300-2024</t>
        </is>
      </c>
      <c r="B9594" s="1" t="n">
        <v>45295</v>
      </c>
      <c r="C9594" s="1" t="n">
        <v>45587</v>
      </c>
      <c r="D9594" t="inlineStr">
        <is>
          <t>GÄVLEBORGS LÄN</t>
        </is>
      </c>
      <c r="E9594" t="inlineStr">
        <is>
          <t>SÖDERHAMN</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355-2024</t>
        </is>
      </c>
      <c r="B9595" s="1" t="n">
        <v>45295</v>
      </c>
      <c r="C9595" s="1" t="n">
        <v>45587</v>
      </c>
      <c r="D9595" t="inlineStr">
        <is>
          <t>GÄVLEBORGS LÄN</t>
        </is>
      </c>
      <c r="E9595" t="inlineStr">
        <is>
          <t>HUDIKSVALL</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333-2024</t>
        </is>
      </c>
      <c r="B9596" s="1" t="n">
        <v>45295</v>
      </c>
      <c r="C9596" s="1" t="n">
        <v>45587</v>
      </c>
      <c r="D9596" t="inlineStr">
        <is>
          <t>GÄVLEBORGS LÄN</t>
        </is>
      </c>
      <c r="E9596" t="inlineStr">
        <is>
          <t>HUDIKSVALL</t>
        </is>
      </c>
      <c r="F9596" t="inlineStr">
        <is>
          <t>Holmen skog AB</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364-2024</t>
        </is>
      </c>
      <c r="B9597" s="1" t="n">
        <v>45295</v>
      </c>
      <c r="C9597" s="1" t="n">
        <v>45587</v>
      </c>
      <c r="D9597" t="inlineStr">
        <is>
          <t>GÄVLEBORGS LÄN</t>
        </is>
      </c>
      <c r="E9597" t="inlineStr">
        <is>
          <t>HUDIKSVALL</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273-2024</t>
        </is>
      </c>
      <c r="B9598" s="1" t="n">
        <v>45295</v>
      </c>
      <c r="C9598" s="1" t="n">
        <v>45587</v>
      </c>
      <c r="D9598" t="inlineStr">
        <is>
          <t>GÄVLEBORGS LÄN</t>
        </is>
      </c>
      <c r="E9598" t="inlineStr">
        <is>
          <t>LJUSDAL</t>
        </is>
      </c>
      <c r="F9598" t="inlineStr">
        <is>
          <t>Holmen skog AB</t>
        </is>
      </c>
      <c r="G9598" t="n">
        <v>12.2</v>
      </c>
      <c r="H9598" t="n">
        <v>0</v>
      </c>
      <c r="I9598" t="n">
        <v>0</v>
      </c>
      <c r="J9598" t="n">
        <v>0</v>
      </c>
      <c r="K9598" t="n">
        <v>0</v>
      </c>
      <c r="L9598" t="n">
        <v>0</v>
      </c>
      <c r="M9598" t="n">
        <v>0</v>
      </c>
      <c r="N9598" t="n">
        <v>0</v>
      </c>
      <c r="O9598" t="n">
        <v>0</v>
      </c>
      <c r="P9598" t="n">
        <v>0</v>
      </c>
      <c r="Q9598" t="n">
        <v>0</v>
      </c>
      <c r="R9598" s="2" t="inlineStr"/>
    </row>
    <row r="9599" ht="15" customHeight="1">
      <c r="A9599" t="inlineStr">
        <is>
          <t>A 328-2024</t>
        </is>
      </c>
      <c r="B9599" s="1" t="n">
        <v>45295</v>
      </c>
      <c r="C9599" s="1" t="n">
        <v>45587</v>
      </c>
      <c r="D9599" t="inlineStr">
        <is>
          <t>GÄVLEBORGS LÄN</t>
        </is>
      </c>
      <c r="E9599" t="inlineStr">
        <is>
          <t>LJUSDAL</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363-2024</t>
        </is>
      </c>
      <c r="B9600" s="1" t="n">
        <v>45295</v>
      </c>
      <c r="C9600" s="1" t="n">
        <v>45587</v>
      </c>
      <c r="D9600" t="inlineStr">
        <is>
          <t>GÄVLEBORGS LÄN</t>
        </is>
      </c>
      <c r="E9600" t="inlineStr">
        <is>
          <t>HUDIKSVALL</t>
        </is>
      </c>
      <c r="G9600" t="n">
        <v>13.3</v>
      </c>
      <c r="H9600" t="n">
        <v>0</v>
      </c>
      <c r="I9600" t="n">
        <v>0</v>
      </c>
      <c r="J9600" t="n">
        <v>0</v>
      </c>
      <c r="K9600" t="n">
        <v>0</v>
      </c>
      <c r="L9600" t="n">
        <v>0</v>
      </c>
      <c r="M9600" t="n">
        <v>0</v>
      </c>
      <c r="N9600" t="n">
        <v>0</v>
      </c>
      <c r="O9600" t="n">
        <v>0</v>
      </c>
      <c r="P9600" t="n">
        <v>0</v>
      </c>
      <c r="Q9600" t="n">
        <v>0</v>
      </c>
      <c r="R9600" s="2" t="inlineStr"/>
    </row>
    <row r="9601" ht="15" customHeight="1">
      <c r="A9601" t="inlineStr">
        <is>
          <t>A 365-2024</t>
        </is>
      </c>
      <c r="B9601" s="1" t="n">
        <v>45295</v>
      </c>
      <c r="C9601" s="1" t="n">
        <v>45587</v>
      </c>
      <c r="D9601" t="inlineStr">
        <is>
          <t>GÄVLEBORGS LÄN</t>
        </is>
      </c>
      <c r="E9601" t="inlineStr">
        <is>
          <t>HUDIKSVALL</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379-2024</t>
        </is>
      </c>
      <c r="B9602" s="1" t="n">
        <v>45296</v>
      </c>
      <c r="C9602" s="1" t="n">
        <v>45587</v>
      </c>
      <c r="D9602" t="inlineStr">
        <is>
          <t>GÄVLEBORGS LÄN</t>
        </is>
      </c>
      <c r="E9602" t="inlineStr">
        <is>
          <t>NORDANSTIG</t>
        </is>
      </c>
      <c r="F9602" t="inlineStr">
        <is>
          <t>Holmen skog AB</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383-2024</t>
        </is>
      </c>
      <c r="B9603" s="1" t="n">
        <v>45296</v>
      </c>
      <c r="C9603" s="1" t="n">
        <v>45587</v>
      </c>
      <c r="D9603" t="inlineStr">
        <is>
          <t>GÄVLEBORGS LÄN</t>
        </is>
      </c>
      <c r="E9603" t="inlineStr">
        <is>
          <t>BOLLNÄS</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382-2024</t>
        </is>
      </c>
      <c r="B9604" s="1" t="n">
        <v>45296</v>
      </c>
      <c r="C9604" s="1" t="n">
        <v>45587</v>
      </c>
      <c r="D9604" t="inlineStr">
        <is>
          <t>GÄVLEBORGS LÄN</t>
        </is>
      </c>
      <c r="E9604" t="inlineStr">
        <is>
          <t>NORDANSTIG</t>
        </is>
      </c>
      <c r="F9604" t="inlineStr">
        <is>
          <t>Holmen skog AB</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377-2024</t>
        </is>
      </c>
      <c r="B9605" s="1" t="n">
        <v>45296</v>
      </c>
      <c r="C9605" s="1" t="n">
        <v>45587</v>
      </c>
      <c r="D9605" t="inlineStr">
        <is>
          <t>GÄVLEBORGS LÄN</t>
        </is>
      </c>
      <c r="E9605" t="inlineStr">
        <is>
          <t>NORDANSTIG</t>
        </is>
      </c>
      <c r="F9605" t="inlineStr">
        <is>
          <t>Holmen skog AB</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427-2024</t>
        </is>
      </c>
      <c r="B9606" s="1" t="n">
        <v>45296</v>
      </c>
      <c r="C9606" s="1" t="n">
        <v>45587</v>
      </c>
      <c r="D9606" t="inlineStr">
        <is>
          <t>GÄVLEBORGS LÄN</t>
        </is>
      </c>
      <c r="E9606" t="inlineStr">
        <is>
          <t>OCKELBO</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435-2024</t>
        </is>
      </c>
      <c r="B9607" s="1" t="n">
        <v>45296</v>
      </c>
      <c r="C9607" s="1" t="n">
        <v>45587</v>
      </c>
      <c r="D9607" t="inlineStr">
        <is>
          <t>GÄVLEBORGS LÄN</t>
        </is>
      </c>
      <c r="E9607" t="inlineStr">
        <is>
          <t>SÖDERHAMN</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430-2024</t>
        </is>
      </c>
      <c r="B9608" s="1" t="n">
        <v>45296</v>
      </c>
      <c r="C9608" s="1" t="n">
        <v>45587</v>
      </c>
      <c r="D9608" t="inlineStr">
        <is>
          <t>GÄVLEBORGS LÄN</t>
        </is>
      </c>
      <c r="E9608" t="inlineStr">
        <is>
          <t>BOLLNÄS</t>
        </is>
      </c>
      <c r="G9608" t="n">
        <v>2.8</v>
      </c>
      <c r="H9608" t="n">
        <v>0</v>
      </c>
      <c r="I9608" t="n">
        <v>0</v>
      </c>
      <c r="J9608" t="n">
        <v>0</v>
      </c>
      <c r="K9608" t="n">
        <v>0</v>
      </c>
      <c r="L9608" t="n">
        <v>0</v>
      </c>
      <c r="M9608" t="n">
        <v>0</v>
      </c>
      <c r="N9608" t="n">
        <v>0</v>
      </c>
      <c r="O9608" t="n">
        <v>0</v>
      </c>
      <c r="P9608" t="n">
        <v>0</v>
      </c>
      <c r="Q9608" t="n">
        <v>0</v>
      </c>
      <c r="R9608" s="2" t="inlineStr"/>
    </row>
    <row r="9609" ht="15" customHeight="1">
      <c r="A9609" t="inlineStr">
        <is>
          <t>A 438-2024</t>
        </is>
      </c>
      <c r="B9609" s="1" t="n">
        <v>45296</v>
      </c>
      <c r="C9609" s="1" t="n">
        <v>45587</v>
      </c>
      <c r="D9609" t="inlineStr">
        <is>
          <t>GÄVLEBORGS LÄN</t>
        </is>
      </c>
      <c r="E9609" t="inlineStr">
        <is>
          <t>SÖDERHAMN</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416-2024</t>
        </is>
      </c>
      <c r="B9610" s="1" t="n">
        <v>45296</v>
      </c>
      <c r="C9610" s="1" t="n">
        <v>45587</v>
      </c>
      <c r="D9610" t="inlineStr">
        <is>
          <t>GÄVLEBORGS LÄN</t>
        </is>
      </c>
      <c r="E9610" t="inlineStr">
        <is>
          <t>OCKELBO</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433-2024</t>
        </is>
      </c>
      <c r="B9611" s="1" t="n">
        <v>45296</v>
      </c>
      <c r="C9611" s="1" t="n">
        <v>45587</v>
      </c>
      <c r="D9611" t="inlineStr">
        <is>
          <t>GÄVLEBORGS LÄN</t>
        </is>
      </c>
      <c r="E9611" t="inlineStr">
        <is>
          <t>BOLLNÄS</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461-2024</t>
        </is>
      </c>
      <c r="B9612" s="1" t="n">
        <v>45297</v>
      </c>
      <c r="C9612" s="1" t="n">
        <v>45587</v>
      </c>
      <c r="D9612" t="inlineStr">
        <is>
          <t>GÄVLEBORGS LÄN</t>
        </is>
      </c>
      <c r="E9612" t="inlineStr">
        <is>
          <t>HUDIKSVALL</t>
        </is>
      </c>
      <c r="G9612" t="n">
        <v>43.2</v>
      </c>
      <c r="H9612" t="n">
        <v>0</v>
      </c>
      <c r="I9612" t="n">
        <v>0</v>
      </c>
      <c r="J9612" t="n">
        <v>0</v>
      </c>
      <c r="K9612" t="n">
        <v>0</v>
      </c>
      <c r="L9612" t="n">
        <v>0</v>
      </c>
      <c r="M9612" t="n">
        <v>0</v>
      </c>
      <c r="N9612" t="n">
        <v>0</v>
      </c>
      <c r="O9612" t="n">
        <v>0</v>
      </c>
      <c r="P9612" t="n">
        <v>0</v>
      </c>
      <c r="Q9612" t="n">
        <v>0</v>
      </c>
      <c r="R9612" s="2" t="inlineStr"/>
    </row>
    <row r="9613" ht="15" customHeight="1">
      <c r="A9613" t="inlineStr">
        <is>
          <t>A 469-2024</t>
        </is>
      </c>
      <c r="B9613" s="1" t="n">
        <v>45297</v>
      </c>
      <c r="C9613" s="1" t="n">
        <v>45587</v>
      </c>
      <c r="D9613" t="inlineStr">
        <is>
          <t>GÄVLEBORGS LÄN</t>
        </is>
      </c>
      <c r="E9613" t="inlineStr">
        <is>
          <t>NORDANSTIG</t>
        </is>
      </c>
      <c r="F9613" t="inlineStr">
        <is>
          <t>Holmen skog AB</t>
        </is>
      </c>
      <c r="G9613" t="n">
        <v>4.4</v>
      </c>
      <c r="H9613" t="n">
        <v>0</v>
      </c>
      <c r="I9613" t="n">
        <v>0</v>
      </c>
      <c r="J9613" t="n">
        <v>0</v>
      </c>
      <c r="K9613" t="n">
        <v>0</v>
      </c>
      <c r="L9613" t="n">
        <v>0</v>
      </c>
      <c r="M9613" t="n">
        <v>0</v>
      </c>
      <c r="N9613" t="n">
        <v>0</v>
      </c>
      <c r="O9613" t="n">
        <v>0</v>
      </c>
      <c r="P9613" t="n">
        <v>0</v>
      </c>
      <c r="Q9613" t="n">
        <v>0</v>
      </c>
      <c r="R9613" s="2" t="inlineStr"/>
    </row>
    <row r="9614" ht="15" customHeight="1">
      <c r="A9614" t="inlineStr">
        <is>
          <t>A 473-2024</t>
        </is>
      </c>
      <c r="B9614" s="1" t="n">
        <v>45297</v>
      </c>
      <c r="C9614" s="1" t="n">
        <v>45587</v>
      </c>
      <c r="D9614" t="inlineStr">
        <is>
          <t>GÄVLEBORGS LÄN</t>
        </is>
      </c>
      <c r="E9614" t="inlineStr">
        <is>
          <t>HUDIKSVALL</t>
        </is>
      </c>
      <c r="F9614" t="inlineStr">
        <is>
          <t>Holmen skog AB</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467-2024</t>
        </is>
      </c>
      <c r="B9615" s="1" t="n">
        <v>45297</v>
      </c>
      <c r="C9615" s="1" t="n">
        <v>45587</v>
      </c>
      <c r="D9615" t="inlineStr">
        <is>
          <t>GÄVLEBORGS LÄN</t>
        </is>
      </c>
      <c r="E9615" t="inlineStr">
        <is>
          <t>HUDIKSVALL</t>
        </is>
      </c>
      <c r="F9615" t="inlineStr">
        <is>
          <t>Holmen skog AB</t>
        </is>
      </c>
      <c r="G9615" t="n">
        <v>5</v>
      </c>
      <c r="H9615" t="n">
        <v>0</v>
      </c>
      <c r="I9615" t="n">
        <v>0</v>
      </c>
      <c r="J9615" t="n">
        <v>0</v>
      </c>
      <c r="K9615" t="n">
        <v>0</v>
      </c>
      <c r="L9615" t="n">
        <v>0</v>
      </c>
      <c r="M9615" t="n">
        <v>0</v>
      </c>
      <c r="N9615" t="n">
        <v>0</v>
      </c>
      <c r="O9615" t="n">
        <v>0</v>
      </c>
      <c r="P9615" t="n">
        <v>0</v>
      </c>
      <c r="Q9615" t="n">
        <v>0</v>
      </c>
      <c r="R9615" s="2" t="inlineStr"/>
      <c r="U9615">
        <f>HYPERLINK("https://klasma.github.io/Logging_2184/knärot/A 467-2024 karta knärot.png", "A 467-2024")</f>
        <v/>
      </c>
      <c r="V9615">
        <f>HYPERLINK("https://klasma.github.io/Logging_2184/klagomål/A 467-2024 FSC-klagomål.docx", "A 467-2024")</f>
        <v/>
      </c>
      <c r="W9615">
        <f>HYPERLINK("https://klasma.github.io/Logging_2184/klagomålsmail/A 467-2024 FSC-klagomål mail.docx", "A 467-2024")</f>
        <v/>
      </c>
      <c r="X9615">
        <f>HYPERLINK("https://klasma.github.io/Logging_2184/tillsyn/A 467-2024 tillsynsbegäran.docx", "A 467-2024")</f>
        <v/>
      </c>
      <c r="Y9615">
        <f>HYPERLINK("https://klasma.github.io/Logging_2184/tillsynsmail/A 467-2024 tillsynsbegäran mail.docx", "A 467-2024")</f>
        <v/>
      </c>
    </row>
    <row r="9616" ht="15" customHeight="1">
      <c r="A9616" t="inlineStr">
        <is>
          <t>A 464-2024</t>
        </is>
      </c>
      <c r="B9616" s="1" t="n">
        <v>45297</v>
      </c>
      <c r="C9616" s="1" t="n">
        <v>45587</v>
      </c>
      <c r="D9616" t="inlineStr">
        <is>
          <t>GÄVLEBORGS LÄN</t>
        </is>
      </c>
      <c r="E9616" t="inlineStr">
        <is>
          <t>HUDIKSVALL</t>
        </is>
      </c>
      <c r="F9616" t="inlineStr">
        <is>
          <t>Holmen skog AB</t>
        </is>
      </c>
      <c r="G9616" t="n">
        <v>6.5</v>
      </c>
      <c r="H9616" t="n">
        <v>0</v>
      </c>
      <c r="I9616" t="n">
        <v>0</v>
      </c>
      <c r="J9616" t="n">
        <v>0</v>
      </c>
      <c r="K9616" t="n">
        <v>0</v>
      </c>
      <c r="L9616" t="n">
        <v>0</v>
      </c>
      <c r="M9616" t="n">
        <v>0</v>
      </c>
      <c r="N9616" t="n">
        <v>0</v>
      </c>
      <c r="O9616" t="n">
        <v>0</v>
      </c>
      <c r="P9616" t="n">
        <v>0</v>
      </c>
      <c r="Q9616" t="n">
        <v>0</v>
      </c>
      <c r="R9616" s="2" t="inlineStr"/>
    </row>
    <row r="9617" ht="15" customHeight="1">
      <c r="A9617" t="inlineStr">
        <is>
          <t>A 472-2024</t>
        </is>
      </c>
      <c r="B9617" s="1" t="n">
        <v>45297</v>
      </c>
      <c r="C9617" s="1" t="n">
        <v>45587</v>
      </c>
      <c r="D9617" t="inlineStr">
        <is>
          <t>GÄVLEBORGS LÄN</t>
        </is>
      </c>
      <c r="E9617" t="inlineStr">
        <is>
          <t>NORDANSTIG</t>
        </is>
      </c>
      <c r="F9617" t="inlineStr">
        <is>
          <t>Holmen skog AB</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522-2024</t>
        </is>
      </c>
      <c r="B9618" s="1" t="n">
        <v>45299</v>
      </c>
      <c r="C9618" s="1" t="n">
        <v>45587</v>
      </c>
      <c r="D9618" t="inlineStr">
        <is>
          <t>GÄVLEBORGS LÄN</t>
        </is>
      </c>
      <c r="E9618" t="inlineStr">
        <is>
          <t>LJUSDAL</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547-2024</t>
        </is>
      </c>
      <c r="B9619" s="1" t="n">
        <v>45299</v>
      </c>
      <c r="C9619" s="1" t="n">
        <v>45587</v>
      </c>
      <c r="D9619" t="inlineStr">
        <is>
          <t>GÄVLEBORGS LÄN</t>
        </is>
      </c>
      <c r="E9619" t="inlineStr">
        <is>
          <t>NORDANSTIG</t>
        </is>
      </c>
      <c r="F9619" t="inlineStr">
        <is>
          <t>Holmen skog AB</t>
        </is>
      </c>
      <c r="G9619" t="n">
        <v>4.4</v>
      </c>
      <c r="H9619" t="n">
        <v>0</v>
      </c>
      <c r="I9619" t="n">
        <v>0</v>
      </c>
      <c r="J9619" t="n">
        <v>0</v>
      </c>
      <c r="K9619" t="n">
        <v>0</v>
      </c>
      <c r="L9619" t="n">
        <v>0</v>
      </c>
      <c r="M9619" t="n">
        <v>0</v>
      </c>
      <c r="N9619" t="n">
        <v>0</v>
      </c>
      <c r="O9619" t="n">
        <v>0</v>
      </c>
      <c r="P9619" t="n">
        <v>0</v>
      </c>
      <c r="Q9619" t="n">
        <v>0</v>
      </c>
      <c r="R9619" s="2" t="inlineStr"/>
    </row>
    <row r="9620" ht="15" customHeight="1">
      <c r="A9620" t="inlineStr">
        <is>
          <t>A 591-2024</t>
        </is>
      </c>
      <c r="B9620" s="1" t="n">
        <v>45299</v>
      </c>
      <c r="C9620" s="1" t="n">
        <v>45587</v>
      </c>
      <c r="D9620" t="inlineStr">
        <is>
          <t>GÄVLEBORGS LÄN</t>
        </is>
      </c>
      <c r="E9620" t="inlineStr">
        <is>
          <t>LJUSDAL</t>
        </is>
      </c>
      <c r="G9620" t="n">
        <v>14.1</v>
      </c>
      <c r="H9620" t="n">
        <v>0</v>
      </c>
      <c r="I9620" t="n">
        <v>0</v>
      </c>
      <c r="J9620" t="n">
        <v>0</v>
      </c>
      <c r="K9620" t="n">
        <v>0</v>
      </c>
      <c r="L9620" t="n">
        <v>0</v>
      </c>
      <c r="M9620" t="n">
        <v>0</v>
      </c>
      <c r="N9620" t="n">
        <v>0</v>
      </c>
      <c r="O9620" t="n">
        <v>0</v>
      </c>
      <c r="P9620" t="n">
        <v>0</v>
      </c>
      <c r="Q9620" t="n">
        <v>0</v>
      </c>
      <c r="R9620" s="2" t="inlineStr"/>
    </row>
    <row r="9621" ht="15" customHeight="1">
      <c r="A9621" t="inlineStr">
        <is>
          <t>A 603-2024</t>
        </is>
      </c>
      <c r="B9621" s="1" t="n">
        <v>45299</v>
      </c>
      <c r="C9621" s="1" t="n">
        <v>45587</v>
      </c>
      <c r="D9621" t="inlineStr">
        <is>
          <t>GÄVLEBORGS LÄN</t>
        </is>
      </c>
      <c r="E9621" t="inlineStr">
        <is>
          <t>HUDIKSVALL</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521-2024</t>
        </is>
      </c>
      <c r="B9622" s="1" t="n">
        <v>45299</v>
      </c>
      <c r="C9622" s="1" t="n">
        <v>45587</v>
      </c>
      <c r="D9622" t="inlineStr">
        <is>
          <t>GÄVLEBORGS LÄN</t>
        </is>
      </c>
      <c r="E9622" t="inlineStr">
        <is>
          <t>BOLLNÄS</t>
        </is>
      </c>
      <c r="G9622" t="n">
        <v>4.8</v>
      </c>
      <c r="H9622" t="n">
        <v>0</v>
      </c>
      <c r="I9622" t="n">
        <v>0</v>
      </c>
      <c r="J9622" t="n">
        <v>0</v>
      </c>
      <c r="K9622" t="n">
        <v>0</v>
      </c>
      <c r="L9622" t="n">
        <v>0</v>
      </c>
      <c r="M9622" t="n">
        <v>0</v>
      </c>
      <c r="N9622" t="n">
        <v>0</v>
      </c>
      <c r="O9622" t="n">
        <v>0</v>
      </c>
      <c r="P9622" t="n">
        <v>0</v>
      </c>
      <c r="Q9622" t="n">
        <v>0</v>
      </c>
      <c r="R9622" s="2" t="inlineStr"/>
    </row>
    <row r="9623" ht="15" customHeight="1">
      <c r="A9623" t="inlineStr">
        <is>
          <t>A 548-2024</t>
        </is>
      </c>
      <c r="B9623" s="1" t="n">
        <v>45299</v>
      </c>
      <c r="C9623" s="1" t="n">
        <v>45587</v>
      </c>
      <c r="D9623" t="inlineStr">
        <is>
          <t>GÄVLEBORGS LÄN</t>
        </is>
      </c>
      <c r="E9623" t="inlineStr">
        <is>
          <t>NORDANSTIG</t>
        </is>
      </c>
      <c r="F9623" t="inlineStr">
        <is>
          <t>Holmen skog AB</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589-2024</t>
        </is>
      </c>
      <c r="B9624" s="1" t="n">
        <v>45299</v>
      </c>
      <c r="C9624" s="1" t="n">
        <v>45587</v>
      </c>
      <c r="D9624" t="inlineStr">
        <is>
          <t>GÄVLEBORGS LÄN</t>
        </is>
      </c>
      <c r="E9624" t="inlineStr">
        <is>
          <t>LJUSDAL</t>
        </is>
      </c>
      <c r="G9624" t="n">
        <v>13.4</v>
      </c>
      <c r="H9624" t="n">
        <v>0</v>
      </c>
      <c r="I9624" t="n">
        <v>0</v>
      </c>
      <c r="J9624" t="n">
        <v>0</v>
      </c>
      <c r="K9624" t="n">
        <v>0</v>
      </c>
      <c r="L9624" t="n">
        <v>0</v>
      </c>
      <c r="M9624" t="n">
        <v>0</v>
      </c>
      <c r="N9624" t="n">
        <v>0</v>
      </c>
      <c r="O9624" t="n">
        <v>0</v>
      </c>
      <c r="P9624" t="n">
        <v>0</v>
      </c>
      <c r="Q9624" t="n">
        <v>0</v>
      </c>
      <c r="R9624" s="2" t="inlineStr"/>
    </row>
    <row r="9625" ht="15" customHeight="1">
      <c r="A9625" t="inlineStr">
        <is>
          <t>A 592-2024</t>
        </is>
      </c>
      <c r="B9625" s="1" t="n">
        <v>45299</v>
      </c>
      <c r="C9625" s="1" t="n">
        <v>45587</v>
      </c>
      <c r="D9625" t="inlineStr">
        <is>
          <t>GÄVLEBORGS LÄN</t>
        </is>
      </c>
      <c r="E9625" t="inlineStr">
        <is>
          <t>LJUSDAL</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608-2024</t>
        </is>
      </c>
      <c r="B9626" s="1" t="n">
        <v>45299</v>
      </c>
      <c r="C9626" s="1" t="n">
        <v>45587</v>
      </c>
      <c r="D9626" t="inlineStr">
        <is>
          <t>GÄVLEBORGS LÄN</t>
        </is>
      </c>
      <c r="E9626" t="inlineStr">
        <is>
          <t>LJUSDAL</t>
        </is>
      </c>
      <c r="G9626" t="n">
        <v>4.4</v>
      </c>
      <c r="H9626" t="n">
        <v>0</v>
      </c>
      <c r="I9626" t="n">
        <v>0</v>
      </c>
      <c r="J9626" t="n">
        <v>0</v>
      </c>
      <c r="K9626" t="n">
        <v>0</v>
      </c>
      <c r="L9626" t="n">
        <v>0</v>
      </c>
      <c r="M9626" t="n">
        <v>0</v>
      </c>
      <c r="N9626" t="n">
        <v>0</v>
      </c>
      <c r="O9626" t="n">
        <v>0</v>
      </c>
      <c r="P9626" t="n">
        <v>0</v>
      </c>
      <c r="Q9626" t="n">
        <v>0</v>
      </c>
      <c r="R9626" s="2" t="inlineStr"/>
    </row>
    <row r="9627" ht="15" customHeight="1">
      <c r="A9627" t="inlineStr">
        <is>
          <t>A 612-2024</t>
        </is>
      </c>
      <c r="B9627" s="1" t="n">
        <v>45299</v>
      </c>
      <c r="C9627" s="1" t="n">
        <v>45587</v>
      </c>
      <c r="D9627" t="inlineStr">
        <is>
          <t>GÄVLEBORGS LÄN</t>
        </is>
      </c>
      <c r="E9627" t="inlineStr">
        <is>
          <t>LJUSDAL</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549-2024</t>
        </is>
      </c>
      <c r="B9628" s="1" t="n">
        <v>45299</v>
      </c>
      <c r="C9628" s="1" t="n">
        <v>45587</v>
      </c>
      <c r="D9628" t="inlineStr">
        <is>
          <t>GÄVLEBORGS LÄN</t>
        </is>
      </c>
      <c r="E9628" t="inlineStr">
        <is>
          <t>BOLLNÄS</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839-2024</t>
        </is>
      </c>
      <c r="B9629" s="1" t="n">
        <v>45300</v>
      </c>
      <c r="C9629" s="1" t="n">
        <v>45587</v>
      </c>
      <c r="D9629" t="inlineStr">
        <is>
          <t>GÄVLEBORGS LÄN</t>
        </is>
      </c>
      <c r="E9629" t="inlineStr">
        <is>
          <t>OVANÅKER</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750-2024</t>
        </is>
      </c>
      <c r="B9630" s="1" t="n">
        <v>45300</v>
      </c>
      <c r="C9630" s="1" t="n">
        <v>45587</v>
      </c>
      <c r="D9630" t="inlineStr">
        <is>
          <t>GÄVLEBORGS LÄN</t>
        </is>
      </c>
      <c r="E9630" t="inlineStr">
        <is>
          <t>HUDIKSVALL</t>
        </is>
      </c>
      <c r="F9630" t="inlineStr">
        <is>
          <t>Holmen skog AB</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840-2024</t>
        </is>
      </c>
      <c r="B9631" s="1" t="n">
        <v>45300</v>
      </c>
      <c r="C9631" s="1" t="n">
        <v>45587</v>
      </c>
      <c r="D9631" t="inlineStr">
        <is>
          <t>GÄVLEBORGS LÄN</t>
        </is>
      </c>
      <c r="E9631" t="inlineStr">
        <is>
          <t>OVANÅKER</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812-2024</t>
        </is>
      </c>
      <c r="B9632" s="1" t="n">
        <v>45300</v>
      </c>
      <c r="C9632" s="1" t="n">
        <v>45587</v>
      </c>
      <c r="D9632" t="inlineStr">
        <is>
          <t>GÄVLEBORGS LÄN</t>
        </is>
      </c>
      <c r="E9632" t="inlineStr">
        <is>
          <t>OCKELBO</t>
        </is>
      </c>
      <c r="G9632" t="n">
        <v>4</v>
      </c>
      <c r="H9632" t="n">
        <v>0</v>
      </c>
      <c r="I9632" t="n">
        <v>0</v>
      </c>
      <c r="J9632" t="n">
        <v>0</v>
      </c>
      <c r="K9632" t="n">
        <v>0</v>
      </c>
      <c r="L9632" t="n">
        <v>0</v>
      </c>
      <c r="M9632" t="n">
        <v>0</v>
      </c>
      <c r="N9632" t="n">
        <v>0</v>
      </c>
      <c r="O9632" t="n">
        <v>0</v>
      </c>
      <c r="P9632" t="n">
        <v>0</v>
      </c>
      <c r="Q9632" t="n">
        <v>0</v>
      </c>
      <c r="R9632" s="2" t="inlineStr"/>
    </row>
    <row r="9633" ht="15" customHeight="1">
      <c r="A9633" t="inlineStr">
        <is>
          <t>A 718-2024</t>
        </is>
      </c>
      <c r="B9633" s="1" t="n">
        <v>45300</v>
      </c>
      <c r="C9633" s="1" t="n">
        <v>45587</v>
      </c>
      <c r="D9633" t="inlineStr">
        <is>
          <t>GÄVLEBORGS LÄN</t>
        </is>
      </c>
      <c r="E9633" t="inlineStr">
        <is>
          <t>LJUSDAL</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768-2024</t>
        </is>
      </c>
      <c r="B9634" s="1" t="n">
        <v>45300</v>
      </c>
      <c r="C9634" s="1" t="n">
        <v>45587</v>
      </c>
      <c r="D9634" t="inlineStr">
        <is>
          <t>GÄVLEBORGS LÄN</t>
        </is>
      </c>
      <c r="E9634" t="inlineStr">
        <is>
          <t>GÄVLE</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817-2024</t>
        </is>
      </c>
      <c r="B9635" s="1" t="n">
        <v>45300</v>
      </c>
      <c r="C9635" s="1" t="n">
        <v>45587</v>
      </c>
      <c r="D9635" t="inlineStr">
        <is>
          <t>GÄVLEBORGS LÄN</t>
        </is>
      </c>
      <c r="E9635" t="inlineStr">
        <is>
          <t>OCKELBO</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853-2024</t>
        </is>
      </c>
      <c r="B9636" s="1" t="n">
        <v>45300</v>
      </c>
      <c r="C9636" s="1" t="n">
        <v>45587</v>
      </c>
      <c r="D9636" t="inlineStr">
        <is>
          <t>GÄVLEBORGS LÄN</t>
        </is>
      </c>
      <c r="E9636" t="inlineStr">
        <is>
          <t>NORDANSTIG</t>
        </is>
      </c>
      <c r="G9636" t="n">
        <v>8.1</v>
      </c>
      <c r="H9636" t="n">
        <v>0</v>
      </c>
      <c r="I9636" t="n">
        <v>0</v>
      </c>
      <c r="J9636" t="n">
        <v>0</v>
      </c>
      <c r="K9636" t="n">
        <v>0</v>
      </c>
      <c r="L9636" t="n">
        <v>0</v>
      </c>
      <c r="M9636" t="n">
        <v>0</v>
      </c>
      <c r="N9636" t="n">
        <v>0</v>
      </c>
      <c r="O9636" t="n">
        <v>0</v>
      </c>
      <c r="P9636" t="n">
        <v>0</v>
      </c>
      <c r="Q9636" t="n">
        <v>0</v>
      </c>
      <c r="R9636" s="2" t="inlineStr"/>
    </row>
    <row r="9637" ht="15" customHeight="1">
      <c r="A9637" t="inlineStr">
        <is>
          <t>A 716-2024</t>
        </is>
      </c>
      <c r="B9637" s="1" t="n">
        <v>45300</v>
      </c>
      <c r="C9637" s="1" t="n">
        <v>45587</v>
      </c>
      <c r="D9637" t="inlineStr">
        <is>
          <t>GÄVLEBORGS LÄN</t>
        </is>
      </c>
      <c r="E9637" t="inlineStr">
        <is>
          <t>SANDVIKEN</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838-2024</t>
        </is>
      </c>
      <c r="B9638" s="1" t="n">
        <v>45300</v>
      </c>
      <c r="C9638" s="1" t="n">
        <v>45587</v>
      </c>
      <c r="D9638" t="inlineStr">
        <is>
          <t>GÄVLEBORGS LÄN</t>
        </is>
      </c>
      <c r="E9638" t="inlineStr">
        <is>
          <t>OVANÅKER</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904-2024</t>
        </is>
      </c>
      <c r="B9639" s="1" t="n">
        <v>45301</v>
      </c>
      <c r="C9639" s="1" t="n">
        <v>45587</v>
      </c>
      <c r="D9639" t="inlineStr">
        <is>
          <t>GÄVLEBORGS LÄN</t>
        </is>
      </c>
      <c r="E9639" t="inlineStr">
        <is>
          <t>OCKELBO</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943-2024</t>
        </is>
      </c>
      <c r="B9640" s="1" t="n">
        <v>45301</v>
      </c>
      <c r="C9640" s="1" t="n">
        <v>45587</v>
      </c>
      <c r="D9640" t="inlineStr">
        <is>
          <t>GÄVLEBORGS LÄN</t>
        </is>
      </c>
      <c r="E9640" t="inlineStr">
        <is>
          <t>OVANÅKER</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884-2024</t>
        </is>
      </c>
      <c r="B9641" s="1" t="n">
        <v>45301</v>
      </c>
      <c r="C9641" s="1" t="n">
        <v>45587</v>
      </c>
      <c r="D9641" t="inlineStr">
        <is>
          <t>GÄVLEBORGS LÄN</t>
        </is>
      </c>
      <c r="E9641" t="inlineStr">
        <is>
          <t>NORDANSTIG</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921-2024</t>
        </is>
      </c>
      <c r="B9642" s="1" t="n">
        <v>45301</v>
      </c>
      <c r="C9642" s="1" t="n">
        <v>45587</v>
      </c>
      <c r="D9642" t="inlineStr">
        <is>
          <t>GÄVLEBORGS LÄN</t>
        </is>
      </c>
      <c r="E9642" t="inlineStr">
        <is>
          <t>OCKELBO</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1033-2024</t>
        </is>
      </c>
      <c r="B9643" s="1" t="n">
        <v>45301</v>
      </c>
      <c r="C9643" s="1" t="n">
        <v>45587</v>
      </c>
      <c r="D9643" t="inlineStr">
        <is>
          <t>GÄVLEBORGS LÄN</t>
        </is>
      </c>
      <c r="E9643" t="inlineStr">
        <is>
          <t>LJUSDAL</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1059-2024</t>
        </is>
      </c>
      <c r="B9644" s="1" t="n">
        <v>45301</v>
      </c>
      <c r="C9644" s="1" t="n">
        <v>45587</v>
      </c>
      <c r="D9644" t="inlineStr">
        <is>
          <t>GÄVLEBORGS LÄN</t>
        </is>
      </c>
      <c r="E9644" t="inlineStr">
        <is>
          <t>GÄVLE</t>
        </is>
      </c>
      <c r="G9644" t="n">
        <v>11.1</v>
      </c>
      <c r="H9644" t="n">
        <v>0</v>
      </c>
      <c r="I9644" t="n">
        <v>0</v>
      </c>
      <c r="J9644" t="n">
        <v>0</v>
      </c>
      <c r="K9644" t="n">
        <v>0</v>
      </c>
      <c r="L9644" t="n">
        <v>0</v>
      </c>
      <c r="M9644" t="n">
        <v>0</v>
      </c>
      <c r="N9644" t="n">
        <v>0</v>
      </c>
      <c r="O9644" t="n">
        <v>0</v>
      </c>
      <c r="P9644" t="n">
        <v>0</v>
      </c>
      <c r="Q9644" t="n">
        <v>0</v>
      </c>
      <c r="R9644" s="2" t="inlineStr"/>
    </row>
    <row r="9645" ht="15" customHeight="1">
      <c r="A9645" t="inlineStr">
        <is>
          <t>A 1151-2024</t>
        </is>
      </c>
      <c r="B9645" s="1" t="n">
        <v>45302</v>
      </c>
      <c r="C9645" s="1" t="n">
        <v>45587</v>
      </c>
      <c r="D9645" t="inlineStr">
        <is>
          <t>GÄVLEBORGS LÄN</t>
        </is>
      </c>
      <c r="E9645" t="inlineStr">
        <is>
          <t>HOFORS</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1155-2024</t>
        </is>
      </c>
      <c r="B9646" s="1" t="n">
        <v>45302</v>
      </c>
      <c r="C9646" s="1" t="n">
        <v>45587</v>
      </c>
      <c r="D9646" t="inlineStr">
        <is>
          <t>GÄVLEBORGS LÄN</t>
        </is>
      </c>
      <c r="E9646" t="inlineStr">
        <is>
          <t>HOFORS</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1092-2024</t>
        </is>
      </c>
      <c r="B9647" s="1" t="n">
        <v>45302</v>
      </c>
      <c r="C9647" s="1" t="n">
        <v>45587</v>
      </c>
      <c r="D9647" t="inlineStr">
        <is>
          <t>GÄVLEBORGS LÄN</t>
        </is>
      </c>
      <c r="E9647" t="inlineStr">
        <is>
          <t>OCKELBO</t>
        </is>
      </c>
      <c r="F9647" t="inlineStr">
        <is>
          <t>Bergvik skog väst AB</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1105-2024</t>
        </is>
      </c>
      <c r="B9648" s="1" t="n">
        <v>45302</v>
      </c>
      <c r="C9648" s="1" t="n">
        <v>45587</v>
      </c>
      <c r="D9648" t="inlineStr">
        <is>
          <t>GÄVLEBORGS LÄN</t>
        </is>
      </c>
      <c r="E9648" t="inlineStr">
        <is>
          <t>OVANÅKER</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1121-2024</t>
        </is>
      </c>
      <c r="B9649" s="1" t="n">
        <v>45302</v>
      </c>
      <c r="C9649" s="1" t="n">
        <v>45587</v>
      </c>
      <c r="D9649" t="inlineStr">
        <is>
          <t>GÄVLEBORGS LÄN</t>
        </is>
      </c>
      <c r="E9649" t="inlineStr">
        <is>
          <t>GÄVLE</t>
        </is>
      </c>
      <c r="F9649" t="inlineStr">
        <is>
          <t>Bergvik skog öst AB</t>
        </is>
      </c>
      <c r="G9649" t="n">
        <v>14.6</v>
      </c>
      <c r="H9649" t="n">
        <v>0</v>
      </c>
      <c r="I9649" t="n">
        <v>0</v>
      </c>
      <c r="J9649" t="n">
        <v>0</v>
      </c>
      <c r="K9649" t="n">
        <v>0</v>
      </c>
      <c r="L9649" t="n">
        <v>0</v>
      </c>
      <c r="M9649" t="n">
        <v>0</v>
      </c>
      <c r="N9649" t="n">
        <v>0</v>
      </c>
      <c r="O9649" t="n">
        <v>0</v>
      </c>
      <c r="P9649" t="n">
        <v>0</v>
      </c>
      <c r="Q9649" t="n">
        <v>0</v>
      </c>
      <c r="R9649" s="2" t="inlineStr"/>
    </row>
    <row r="9650" ht="15" customHeight="1">
      <c r="A9650" t="inlineStr">
        <is>
          <t>A 1162-2024</t>
        </is>
      </c>
      <c r="B9650" s="1" t="n">
        <v>45302</v>
      </c>
      <c r="C9650" s="1" t="n">
        <v>45587</v>
      </c>
      <c r="D9650" t="inlineStr">
        <is>
          <t>GÄVLEBORGS LÄN</t>
        </is>
      </c>
      <c r="E9650" t="inlineStr">
        <is>
          <t>SANDVIKEN</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1183-2024</t>
        </is>
      </c>
      <c r="B9651" s="1" t="n">
        <v>45302</v>
      </c>
      <c r="C9651" s="1" t="n">
        <v>45587</v>
      </c>
      <c r="D9651" t="inlineStr">
        <is>
          <t>GÄVLEBORGS LÄN</t>
        </is>
      </c>
      <c r="E9651" t="inlineStr">
        <is>
          <t>BOLLNÄS</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1104-2024</t>
        </is>
      </c>
      <c r="B9652" s="1" t="n">
        <v>45302</v>
      </c>
      <c r="C9652" s="1" t="n">
        <v>45587</v>
      </c>
      <c r="D9652" t="inlineStr">
        <is>
          <t>GÄVLEBORGS LÄN</t>
        </is>
      </c>
      <c r="E9652" t="inlineStr">
        <is>
          <t>GÄVLE</t>
        </is>
      </c>
      <c r="F9652" t="inlineStr">
        <is>
          <t>Bergvik skog väst AB</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1213-2024</t>
        </is>
      </c>
      <c r="B9653" s="1" t="n">
        <v>45302</v>
      </c>
      <c r="C9653" s="1" t="n">
        <v>45587</v>
      </c>
      <c r="D9653" t="inlineStr">
        <is>
          <t>GÄVLEBORGS LÄN</t>
        </is>
      </c>
      <c r="E9653" t="inlineStr">
        <is>
          <t>BOLLNÄS</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1149-2024</t>
        </is>
      </c>
      <c r="B9654" s="1" t="n">
        <v>45302</v>
      </c>
      <c r="C9654" s="1" t="n">
        <v>45587</v>
      </c>
      <c r="D9654" t="inlineStr">
        <is>
          <t>GÄVLEBORGS LÄN</t>
        </is>
      </c>
      <c r="E9654" t="inlineStr">
        <is>
          <t>HOFORS</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1144-2024</t>
        </is>
      </c>
      <c r="B9655" s="1" t="n">
        <v>45302</v>
      </c>
      <c r="C9655" s="1" t="n">
        <v>45587</v>
      </c>
      <c r="D9655" t="inlineStr">
        <is>
          <t>GÄVLEBORGS LÄN</t>
        </is>
      </c>
      <c r="E9655" t="inlineStr">
        <is>
          <t>HOFORS</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1156-2024</t>
        </is>
      </c>
      <c r="B9656" s="1" t="n">
        <v>45302</v>
      </c>
      <c r="C9656" s="1" t="n">
        <v>45587</v>
      </c>
      <c r="D9656" t="inlineStr">
        <is>
          <t>GÄVLEBORGS LÄN</t>
        </is>
      </c>
      <c r="E9656" t="inlineStr">
        <is>
          <t>SANDVIKEN</t>
        </is>
      </c>
      <c r="G9656" t="n">
        <v>4.4</v>
      </c>
      <c r="H9656" t="n">
        <v>0</v>
      </c>
      <c r="I9656" t="n">
        <v>0</v>
      </c>
      <c r="J9656" t="n">
        <v>0</v>
      </c>
      <c r="K9656" t="n">
        <v>0</v>
      </c>
      <c r="L9656" t="n">
        <v>0</v>
      </c>
      <c r="M9656" t="n">
        <v>0</v>
      </c>
      <c r="N9656" t="n">
        <v>0</v>
      </c>
      <c r="O9656" t="n">
        <v>0</v>
      </c>
      <c r="P9656" t="n">
        <v>0</v>
      </c>
      <c r="Q9656" t="n">
        <v>0</v>
      </c>
      <c r="R9656" s="2" t="inlineStr"/>
    </row>
    <row r="9657" ht="15" customHeight="1">
      <c r="A9657" t="inlineStr">
        <is>
          <t>A 1198-2024</t>
        </is>
      </c>
      <c r="B9657" s="1" t="n">
        <v>45302</v>
      </c>
      <c r="C9657" s="1" t="n">
        <v>45587</v>
      </c>
      <c r="D9657" t="inlineStr">
        <is>
          <t>GÄVLEBORGS LÄN</t>
        </is>
      </c>
      <c r="E9657" t="inlineStr">
        <is>
          <t>OVANÅKER</t>
        </is>
      </c>
      <c r="F9657" t="inlineStr">
        <is>
          <t>Bergvik skog väst AB</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1297-2024</t>
        </is>
      </c>
      <c r="B9658" s="1" t="n">
        <v>45303</v>
      </c>
      <c r="C9658" s="1" t="n">
        <v>45587</v>
      </c>
      <c r="D9658" t="inlineStr">
        <is>
          <t>GÄVLEBORGS LÄN</t>
        </is>
      </c>
      <c r="E9658" t="inlineStr">
        <is>
          <t>HUDIKSVALL</t>
        </is>
      </c>
      <c r="F9658" t="inlineStr">
        <is>
          <t>Holmen skog AB</t>
        </is>
      </c>
      <c r="G9658" t="n">
        <v>0.3</v>
      </c>
      <c r="H9658" t="n">
        <v>0</v>
      </c>
      <c r="I9658" t="n">
        <v>0</v>
      </c>
      <c r="J9658" t="n">
        <v>0</v>
      </c>
      <c r="K9658" t="n">
        <v>0</v>
      </c>
      <c r="L9658" t="n">
        <v>0</v>
      </c>
      <c r="M9658" t="n">
        <v>0</v>
      </c>
      <c r="N9658" t="n">
        <v>0</v>
      </c>
      <c r="O9658" t="n">
        <v>0</v>
      </c>
      <c r="P9658" t="n">
        <v>0</v>
      </c>
      <c r="Q9658" t="n">
        <v>0</v>
      </c>
      <c r="R9658" s="2" t="inlineStr"/>
    </row>
    <row r="9659" ht="15" customHeight="1">
      <c r="A9659" t="inlineStr">
        <is>
          <t>A 1296-2024</t>
        </is>
      </c>
      <c r="B9659" s="1" t="n">
        <v>45303</v>
      </c>
      <c r="C9659" s="1" t="n">
        <v>45587</v>
      </c>
      <c r="D9659" t="inlineStr">
        <is>
          <t>GÄVLEBORGS LÄN</t>
        </is>
      </c>
      <c r="E9659" t="inlineStr">
        <is>
          <t>GÄVLE</t>
        </is>
      </c>
      <c r="F9659" t="inlineStr">
        <is>
          <t>Bergvik skog öst AB</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1308-2024</t>
        </is>
      </c>
      <c r="B9660" s="1" t="n">
        <v>45303</v>
      </c>
      <c r="C9660" s="1" t="n">
        <v>45587</v>
      </c>
      <c r="D9660" t="inlineStr">
        <is>
          <t>GÄVLEBORGS LÄN</t>
        </is>
      </c>
      <c r="E9660" t="inlineStr">
        <is>
          <t>NORDANSTIG</t>
        </is>
      </c>
      <c r="G9660" t="n">
        <v>20.6</v>
      </c>
      <c r="H9660" t="n">
        <v>0</v>
      </c>
      <c r="I9660" t="n">
        <v>0</v>
      </c>
      <c r="J9660" t="n">
        <v>0</v>
      </c>
      <c r="K9660" t="n">
        <v>0</v>
      </c>
      <c r="L9660" t="n">
        <v>0</v>
      </c>
      <c r="M9660" t="n">
        <v>0</v>
      </c>
      <c r="N9660" t="n">
        <v>0</v>
      </c>
      <c r="O9660" t="n">
        <v>0</v>
      </c>
      <c r="P9660" t="n">
        <v>0</v>
      </c>
      <c r="Q9660" t="n">
        <v>0</v>
      </c>
      <c r="R9660" s="2" t="inlineStr"/>
    </row>
    <row r="9661" ht="15" customHeight="1">
      <c r="A9661" t="inlineStr">
        <is>
          <t>A 1406-2024</t>
        </is>
      </c>
      <c r="B9661" s="1" t="n">
        <v>45303</v>
      </c>
      <c r="C9661" s="1" t="n">
        <v>45587</v>
      </c>
      <c r="D9661" t="inlineStr">
        <is>
          <t>GÄVLEBORGS LÄN</t>
        </is>
      </c>
      <c r="E9661" t="inlineStr">
        <is>
          <t>OVANÅKER</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1405-2024</t>
        </is>
      </c>
      <c r="B9662" s="1" t="n">
        <v>45303</v>
      </c>
      <c r="C9662" s="1" t="n">
        <v>45587</v>
      </c>
      <c r="D9662" t="inlineStr">
        <is>
          <t>GÄVLEBORGS LÄN</t>
        </is>
      </c>
      <c r="E9662" t="inlineStr">
        <is>
          <t>OVANÅKER</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1409-2024</t>
        </is>
      </c>
      <c r="B9663" s="1" t="n">
        <v>45303</v>
      </c>
      <c r="C9663" s="1" t="n">
        <v>45587</v>
      </c>
      <c r="D9663" t="inlineStr">
        <is>
          <t>GÄVLEBORGS LÄN</t>
        </is>
      </c>
      <c r="E9663" t="inlineStr">
        <is>
          <t>HUDIKSVALL</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1294-2024</t>
        </is>
      </c>
      <c r="B9664" s="1" t="n">
        <v>45303</v>
      </c>
      <c r="C9664" s="1" t="n">
        <v>45587</v>
      </c>
      <c r="D9664" t="inlineStr">
        <is>
          <t>GÄVLEBORGS LÄN</t>
        </is>
      </c>
      <c r="E9664" t="inlineStr">
        <is>
          <t>HUDIKSVALL</t>
        </is>
      </c>
      <c r="G9664" t="n">
        <v>0.2</v>
      </c>
      <c r="H9664" t="n">
        <v>0</v>
      </c>
      <c r="I9664" t="n">
        <v>0</v>
      </c>
      <c r="J9664" t="n">
        <v>0</v>
      </c>
      <c r="K9664" t="n">
        <v>0</v>
      </c>
      <c r="L9664" t="n">
        <v>0</v>
      </c>
      <c r="M9664" t="n">
        <v>0</v>
      </c>
      <c r="N9664" t="n">
        <v>0</v>
      </c>
      <c r="O9664" t="n">
        <v>0</v>
      </c>
      <c r="P9664" t="n">
        <v>0</v>
      </c>
      <c r="Q9664" t="n">
        <v>0</v>
      </c>
      <c r="R9664" s="2" t="inlineStr"/>
    </row>
    <row r="9665" ht="15" customHeight="1">
      <c r="A9665" t="inlineStr">
        <is>
          <t>A 1283-2024</t>
        </is>
      </c>
      <c r="B9665" s="1" t="n">
        <v>45303</v>
      </c>
      <c r="C9665" s="1" t="n">
        <v>45587</v>
      </c>
      <c r="D9665" t="inlineStr">
        <is>
          <t>GÄVLEBORGS LÄN</t>
        </is>
      </c>
      <c r="E9665" t="inlineStr">
        <is>
          <t>BOLLNÄS</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1327-2024</t>
        </is>
      </c>
      <c r="B9666" s="1" t="n">
        <v>45303</v>
      </c>
      <c r="C9666" s="1" t="n">
        <v>45587</v>
      </c>
      <c r="D9666" t="inlineStr">
        <is>
          <t>GÄVLEBORGS LÄN</t>
        </is>
      </c>
      <c r="E9666" t="inlineStr">
        <is>
          <t>NORDANSTIG</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1331-2024</t>
        </is>
      </c>
      <c r="B9667" s="1" t="n">
        <v>45303</v>
      </c>
      <c r="C9667" s="1" t="n">
        <v>45587</v>
      </c>
      <c r="D9667" t="inlineStr">
        <is>
          <t>GÄVLEBORGS LÄN</t>
        </is>
      </c>
      <c r="E9667" t="inlineStr">
        <is>
          <t>LJUSDAL</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1335-2024</t>
        </is>
      </c>
      <c r="B9668" s="1" t="n">
        <v>45303</v>
      </c>
      <c r="C9668" s="1" t="n">
        <v>45587</v>
      </c>
      <c r="D9668" t="inlineStr">
        <is>
          <t>GÄVLEBORGS LÄN</t>
        </is>
      </c>
      <c r="E9668" t="inlineStr">
        <is>
          <t>LJUSDAL</t>
        </is>
      </c>
      <c r="G9668" t="n">
        <v>13.8</v>
      </c>
      <c r="H9668" t="n">
        <v>0</v>
      </c>
      <c r="I9668" t="n">
        <v>0</v>
      </c>
      <c r="J9668" t="n">
        <v>0</v>
      </c>
      <c r="K9668" t="n">
        <v>0</v>
      </c>
      <c r="L9668" t="n">
        <v>0</v>
      </c>
      <c r="M9668" t="n">
        <v>0</v>
      </c>
      <c r="N9668" t="n">
        <v>0</v>
      </c>
      <c r="O9668" t="n">
        <v>0</v>
      </c>
      <c r="P9668" t="n">
        <v>0</v>
      </c>
      <c r="Q9668" t="n">
        <v>0</v>
      </c>
      <c r="R9668" s="2" t="inlineStr"/>
    </row>
    <row r="9669" ht="15" customHeight="1">
      <c r="A9669" t="inlineStr">
        <is>
          <t>A 1351-2024</t>
        </is>
      </c>
      <c r="B9669" s="1" t="n">
        <v>45303</v>
      </c>
      <c r="C9669" s="1" t="n">
        <v>45587</v>
      </c>
      <c r="D9669" t="inlineStr">
        <is>
          <t>GÄVLEBORGS LÄN</t>
        </is>
      </c>
      <c r="E9669" t="inlineStr">
        <is>
          <t>NORDANSTIG</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1392-2024</t>
        </is>
      </c>
      <c r="B9670" s="1" t="n">
        <v>45303</v>
      </c>
      <c r="C9670" s="1" t="n">
        <v>45587</v>
      </c>
      <c r="D9670" t="inlineStr">
        <is>
          <t>GÄVLEBORGS LÄN</t>
        </is>
      </c>
      <c r="E9670" t="inlineStr">
        <is>
          <t>SANDVIKEN</t>
        </is>
      </c>
      <c r="G9670" t="n">
        <v>3</v>
      </c>
      <c r="H9670" t="n">
        <v>0</v>
      </c>
      <c r="I9670" t="n">
        <v>0</v>
      </c>
      <c r="J9670" t="n">
        <v>0</v>
      </c>
      <c r="K9670" t="n">
        <v>0</v>
      </c>
      <c r="L9670" t="n">
        <v>0</v>
      </c>
      <c r="M9670" t="n">
        <v>0</v>
      </c>
      <c r="N9670" t="n">
        <v>0</v>
      </c>
      <c r="O9670" t="n">
        <v>0</v>
      </c>
      <c r="P9670" t="n">
        <v>0</v>
      </c>
      <c r="Q9670" t="n">
        <v>0</v>
      </c>
      <c r="R9670" s="2" t="inlineStr"/>
    </row>
    <row r="9671" ht="15" customHeight="1">
      <c r="A9671" t="inlineStr">
        <is>
          <t>A 1408-2024</t>
        </is>
      </c>
      <c r="B9671" s="1" t="n">
        <v>45303</v>
      </c>
      <c r="C9671" s="1" t="n">
        <v>45587</v>
      </c>
      <c r="D9671" t="inlineStr">
        <is>
          <t>GÄVLEBORGS LÄN</t>
        </is>
      </c>
      <c r="E9671" t="inlineStr">
        <is>
          <t>SANDVIKEN</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1526-2024</t>
        </is>
      </c>
      <c r="B9672" s="1" t="n">
        <v>45306</v>
      </c>
      <c r="C9672" s="1" t="n">
        <v>45587</v>
      </c>
      <c r="D9672" t="inlineStr">
        <is>
          <t>GÄVLEBORGS LÄN</t>
        </is>
      </c>
      <c r="E9672" t="inlineStr">
        <is>
          <t>NORDANSTIG</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1530-2024</t>
        </is>
      </c>
      <c r="B9673" s="1" t="n">
        <v>45306</v>
      </c>
      <c r="C9673" s="1" t="n">
        <v>45587</v>
      </c>
      <c r="D9673" t="inlineStr">
        <is>
          <t>GÄVLEBORGS LÄN</t>
        </is>
      </c>
      <c r="E9673" t="inlineStr">
        <is>
          <t>OVANÅKER</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1532-2024</t>
        </is>
      </c>
      <c r="B9674" s="1" t="n">
        <v>45306</v>
      </c>
      <c r="C9674" s="1" t="n">
        <v>45587</v>
      </c>
      <c r="D9674" t="inlineStr">
        <is>
          <t>GÄVLEBORGS LÄN</t>
        </is>
      </c>
      <c r="E9674" t="inlineStr">
        <is>
          <t>NORDANSTIG</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1570-2024</t>
        </is>
      </c>
      <c r="B9675" s="1" t="n">
        <v>45306</v>
      </c>
      <c r="C9675" s="1" t="n">
        <v>45587</v>
      </c>
      <c r="D9675" t="inlineStr">
        <is>
          <t>GÄVLEBORGS LÄN</t>
        </is>
      </c>
      <c r="E9675" t="inlineStr">
        <is>
          <t>OVANÅKER</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1505-2024</t>
        </is>
      </c>
      <c r="B9676" s="1" t="n">
        <v>45306</v>
      </c>
      <c r="C9676" s="1" t="n">
        <v>45587</v>
      </c>
      <c r="D9676" t="inlineStr">
        <is>
          <t>GÄVLEBORGS LÄN</t>
        </is>
      </c>
      <c r="E9676" t="inlineStr">
        <is>
          <t>OVANÅKER</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1525-2024</t>
        </is>
      </c>
      <c r="B9677" s="1" t="n">
        <v>45306</v>
      </c>
      <c r="C9677" s="1" t="n">
        <v>45587</v>
      </c>
      <c r="D9677" t="inlineStr">
        <is>
          <t>GÄVLEBORGS LÄN</t>
        </is>
      </c>
      <c r="E9677" t="inlineStr">
        <is>
          <t>NORDANSTIG</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1573-2024</t>
        </is>
      </c>
      <c r="B9678" s="1" t="n">
        <v>45306</v>
      </c>
      <c r="C9678" s="1" t="n">
        <v>45587</v>
      </c>
      <c r="D9678" t="inlineStr">
        <is>
          <t>GÄVLEBORGS LÄN</t>
        </is>
      </c>
      <c r="E9678" t="inlineStr">
        <is>
          <t>HUDIKSVALL</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1594-2024</t>
        </is>
      </c>
      <c r="B9679" s="1" t="n">
        <v>45306</v>
      </c>
      <c r="C9679" s="1" t="n">
        <v>45587</v>
      </c>
      <c r="D9679" t="inlineStr">
        <is>
          <t>GÄVLEBORGS LÄN</t>
        </is>
      </c>
      <c r="E9679" t="inlineStr">
        <is>
          <t>GÄVLE</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1606-2024</t>
        </is>
      </c>
      <c r="B9680" s="1" t="n">
        <v>45306</v>
      </c>
      <c r="C9680" s="1" t="n">
        <v>45587</v>
      </c>
      <c r="D9680" t="inlineStr">
        <is>
          <t>GÄVLEBORGS LÄN</t>
        </is>
      </c>
      <c r="E9680" t="inlineStr">
        <is>
          <t>HOFORS</t>
        </is>
      </c>
      <c r="G9680" t="n">
        <v>4.2</v>
      </c>
      <c r="H9680" t="n">
        <v>0</v>
      </c>
      <c r="I9680" t="n">
        <v>0</v>
      </c>
      <c r="J9680" t="n">
        <v>0</v>
      </c>
      <c r="K9680" t="n">
        <v>0</v>
      </c>
      <c r="L9680" t="n">
        <v>0</v>
      </c>
      <c r="M9680" t="n">
        <v>0</v>
      </c>
      <c r="N9680" t="n">
        <v>0</v>
      </c>
      <c r="O9680" t="n">
        <v>0</v>
      </c>
      <c r="P9680" t="n">
        <v>0</v>
      </c>
      <c r="Q9680" t="n">
        <v>0</v>
      </c>
      <c r="R9680" s="2" t="inlineStr"/>
    </row>
    <row r="9681" ht="15" customHeight="1">
      <c r="A9681" t="inlineStr">
        <is>
          <t>A 1618-2024</t>
        </is>
      </c>
      <c r="B9681" s="1" t="n">
        <v>45306</v>
      </c>
      <c r="C9681" s="1" t="n">
        <v>45587</v>
      </c>
      <c r="D9681" t="inlineStr">
        <is>
          <t>GÄVLEBORGS LÄN</t>
        </is>
      </c>
      <c r="E9681" t="inlineStr">
        <is>
          <t>LJUSDAL</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1642-2024</t>
        </is>
      </c>
      <c r="B9682" s="1" t="n">
        <v>45306</v>
      </c>
      <c r="C9682" s="1" t="n">
        <v>45587</v>
      </c>
      <c r="D9682" t="inlineStr">
        <is>
          <t>GÄVLEBORGS LÄN</t>
        </is>
      </c>
      <c r="E9682" t="inlineStr">
        <is>
          <t>BOLLNÄS</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1603-2024</t>
        </is>
      </c>
      <c r="B9683" s="1" t="n">
        <v>45306</v>
      </c>
      <c r="C9683" s="1" t="n">
        <v>45587</v>
      </c>
      <c r="D9683" t="inlineStr">
        <is>
          <t>GÄVLEBORGS LÄN</t>
        </is>
      </c>
      <c r="E9683" t="inlineStr">
        <is>
          <t>HUDIKSVALL</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1635-2024</t>
        </is>
      </c>
      <c r="B9684" s="1" t="n">
        <v>45306</v>
      </c>
      <c r="C9684" s="1" t="n">
        <v>45587</v>
      </c>
      <c r="D9684" t="inlineStr">
        <is>
          <t>GÄVLEBORGS LÄN</t>
        </is>
      </c>
      <c r="E9684" t="inlineStr">
        <is>
          <t>OVANÅKER</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1639-2024</t>
        </is>
      </c>
      <c r="B9685" s="1" t="n">
        <v>45306</v>
      </c>
      <c r="C9685" s="1" t="n">
        <v>45587</v>
      </c>
      <c r="D9685" t="inlineStr">
        <is>
          <t>GÄVLEBORGS LÄN</t>
        </is>
      </c>
      <c r="E9685" t="inlineStr">
        <is>
          <t>OVANÅKER</t>
        </is>
      </c>
      <c r="G9685" t="n">
        <v>7.7</v>
      </c>
      <c r="H9685" t="n">
        <v>0</v>
      </c>
      <c r="I9685" t="n">
        <v>0</v>
      </c>
      <c r="J9685" t="n">
        <v>0</v>
      </c>
      <c r="K9685" t="n">
        <v>0</v>
      </c>
      <c r="L9685" t="n">
        <v>0</v>
      </c>
      <c r="M9685" t="n">
        <v>0</v>
      </c>
      <c r="N9685" t="n">
        <v>0</v>
      </c>
      <c r="O9685" t="n">
        <v>0</v>
      </c>
      <c r="P9685" t="n">
        <v>0</v>
      </c>
      <c r="Q9685" t="n">
        <v>0</v>
      </c>
      <c r="R9685" s="2" t="inlineStr"/>
    </row>
    <row r="9686" ht="15" customHeight="1">
      <c r="A9686" t="inlineStr">
        <is>
          <t>A 1655-2024</t>
        </is>
      </c>
      <c r="B9686" s="1" t="n">
        <v>45306</v>
      </c>
      <c r="C9686" s="1" t="n">
        <v>45587</v>
      </c>
      <c r="D9686" t="inlineStr">
        <is>
          <t>GÄVLEBORGS LÄN</t>
        </is>
      </c>
      <c r="E9686" t="inlineStr">
        <is>
          <t>BOLLNÄS</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1632-2024</t>
        </is>
      </c>
      <c r="B9687" s="1" t="n">
        <v>45306</v>
      </c>
      <c r="C9687" s="1" t="n">
        <v>45587</v>
      </c>
      <c r="D9687" t="inlineStr">
        <is>
          <t>GÄVLEBORGS LÄN</t>
        </is>
      </c>
      <c r="E9687" t="inlineStr">
        <is>
          <t>OVANÅKER</t>
        </is>
      </c>
      <c r="G9687" t="n">
        <v>4.2</v>
      </c>
      <c r="H9687" t="n">
        <v>0</v>
      </c>
      <c r="I9687" t="n">
        <v>0</v>
      </c>
      <c r="J9687" t="n">
        <v>0</v>
      </c>
      <c r="K9687" t="n">
        <v>0</v>
      </c>
      <c r="L9687" t="n">
        <v>0</v>
      </c>
      <c r="M9687" t="n">
        <v>0</v>
      </c>
      <c r="N9687" t="n">
        <v>0</v>
      </c>
      <c r="O9687" t="n">
        <v>0</v>
      </c>
      <c r="P9687" t="n">
        <v>0</v>
      </c>
      <c r="Q9687" t="n">
        <v>0</v>
      </c>
      <c r="R9687" s="2" t="inlineStr"/>
    </row>
    <row r="9688" ht="15" customHeight="1">
      <c r="A9688" t="inlineStr">
        <is>
          <t>A 1728-2024</t>
        </is>
      </c>
      <c r="B9688" s="1" t="n">
        <v>45307</v>
      </c>
      <c r="C9688" s="1" t="n">
        <v>45587</v>
      </c>
      <c r="D9688" t="inlineStr">
        <is>
          <t>GÄVLEBORGS LÄN</t>
        </is>
      </c>
      <c r="E9688" t="inlineStr">
        <is>
          <t>BOLLNÄS</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1731-2024</t>
        </is>
      </c>
      <c r="B9689" s="1" t="n">
        <v>45307</v>
      </c>
      <c r="C9689" s="1" t="n">
        <v>45587</v>
      </c>
      <c r="D9689" t="inlineStr">
        <is>
          <t>GÄVLEBORGS LÄN</t>
        </is>
      </c>
      <c r="E9689" t="inlineStr">
        <is>
          <t>OVANÅKER</t>
        </is>
      </c>
      <c r="F9689" t="inlineStr">
        <is>
          <t>Bergvik skog öst AB</t>
        </is>
      </c>
      <c r="G9689" t="n">
        <v>3</v>
      </c>
      <c r="H9689" t="n">
        <v>0</v>
      </c>
      <c r="I9689" t="n">
        <v>0</v>
      </c>
      <c r="J9689" t="n">
        <v>0</v>
      </c>
      <c r="K9689" t="n">
        <v>0</v>
      </c>
      <c r="L9689" t="n">
        <v>0</v>
      </c>
      <c r="M9689" t="n">
        <v>0</v>
      </c>
      <c r="N9689" t="n">
        <v>0</v>
      </c>
      <c r="O9689" t="n">
        <v>0</v>
      </c>
      <c r="P9689" t="n">
        <v>0</v>
      </c>
      <c r="Q9689" t="n">
        <v>0</v>
      </c>
      <c r="R9689" s="2" t="inlineStr"/>
    </row>
    <row r="9690" ht="15" customHeight="1">
      <c r="A9690" t="inlineStr">
        <is>
          <t>A 1735-2024</t>
        </is>
      </c>
      <c r="B9690" s="1" t="n">
        <v>45307</v>
      </c>
      <c r="C9690" s="1" t="n">
        <v>45587</v>
      </c>
      <c r="D9690" t="inlineStr">
        <is>
          <t>GÄVLEBORGS LÄN</t>
        </is>
      </c>
      <c r="E9690" t="inlineStr">
        <is>
          <t>BOLLNÄS</t>
        </is>
      </c>
      <c r="G9690" t="n">
        <v>9.9</v>
      </c>
      <c r="H9690" t="n">
        <v>0</v>
      </c>
      <c r="I9690" t="n">
        <v>0</v>
      </c>
      <c r="J9690" t="n">
        <v>0</v>
      </c>
      <c r="K9690" t="n">
        <v>0</v>
      </c>
      <c r="L9690" t="n">
        <v>0</v>
      </c>
      <c r="M9690" t="n">
        <v>0</v>
      </c>
      <c r="N9690" t="n">
        <v>0</v>
      </c>
      <c r="O9690" t="n">
        <v>0</v>
      </c>
      <c r="P9690" t="n">
        <v>0</v>
      </c>
      <c r="Q9690" t="n">
        <v>0</v>
      </c>
      <c r="R9690" s="2" t="inlineStr"/>
    </row>
    <row r="9691" ht="15" customHeight="1">
      <c r="A9691" t="inlineStr">
        <is>
          <t>A 1883-2024</t>
        </is>
      </c>
      <c r="B9691" s="1" t="n">
        <v>45308</v>
      </c>
      <c r="C9691" s="1" t="n">
        <v>45587</v>
      </c>
      <c r="D9691" t="inlineStr">
        <is>
          <t>GÄVLEBORGS LÄN</t>
        </is>
      </c>
      <c r="E9691" t="inlineStr">
        <is>
          <t>GÄVLE</t>
        </is>
      </c>
      <c r="G9691" t="n">
        <v>14.5</v>
      </c>
      <c r="H9691" t="n">
        <v>0</v>
      </c>
      <c r="I9691" t="n">
        <v>0</v>
      </c>
      <c r="J9691" t="n">
        <v>0</v>
      </c>
      <c r="K9691" t="n">
        <v>0</v>
      </c>
      <c r="L9691" t="n">
        <v>0</v>
      </c>
      <c r="M9691" t="n">
        <v>0</v>
      </c>
      <c r="N9691" t="n">
        <v>0</v>
      </c>
      <c r="O9691" t="n">
        <v>0</v>
      </c>
      <c r="P9691" t="n">
        <v>0</v>
      </c>
      <c r="Q9691" t="n">
        <v>0</v>
      </c>
      <c r="R9691" s="2" t="inlineStr"/>
    </row>
    <row r="9692" ht="15" customHeight="1">
      <c r="A9692" t="inlineStr">
        <is>
          <t>A 1759-2024</t>
        </is>
      </c>
      <c r="B9692" s="1" t="n">
        <v>45307</v>
      </c>
      <c r="C9692" s="1" t="n">
        <v>45587</v>
      </c>
      <c r="D9692" t="inlineStr">
        <is>
          <t>GÄVLEBORGS LÄN</t>
        </is>
      </c>
      <c r="E9692" t="inlineStr">
        <is>
          <t>BOLLNÄS</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1771-2024</t>
        </is>
      </c>
      <c r="B9693" s="1" t="n">
        <v>45307</v>
      </c>
      <c r="C9693" s="1" t="n">
        <v>45587</v>
      </c>
      <c r="D9693" t="inlineStr">
        <is>
          <t>GÄVLEBORGS LÄN</t>
        </is>
      </c>
      <c r="E9693" t="inlineStr">
        <is>
          <t>HUDIKSVALL</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1820-2024</t>
        </is>
      </c>
      <c r="B9694" s="1" t="n">
        <v>45307</v>
      </c>
      <c r="C9694" s="1" t="n">
        <v>45587</v>
      </c>
      <c r="D9694" t="inlineStr">
        <is>
          <t>GÄVLEBORGS LÄN</t>
        </is>
      </c>
      <c r="E9694" t="inlineStr">
        <is>
          <t>LJUSDAL</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1805-2024</t>
        </is>
      </c>
      <c r="B9695" s="1" t="n">
        <v>45307</v>
      </c>
      <c r="C9695" s="1" t="n">
        <v>45587</v>
      </c>
      <c r="D9695" t="inlineStr">
        <is>
          <t>GÄVLEBORGS LÄN</t>
        </is>
      </c>
      <c r="E9695" t="inlineStr">
        <is>
          <t>HOFORS</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1882-2024</t>
        </is>
      </c>
      <c r="B9696" s="1" t="n">
        <v>45308</v>
      </c>
      <c r="C9696" s="1" t="n">
        <v>45587</v>
      </c>
      <c r="D9696" t="inlineStr">
        <is>
          <t>GÄVLEBORGS LÄN</t>
        </is>
      </c>
      <c r="E9696" t="inlineStr">
        <is>
          <t>GÄVLE</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1893-2024</t>
        </is>
      </c>
      <c r="B9697" s="1" t="n">
        <v>45308</v>
      </c>
      <c r="C9697" s="1" t="n">
        <v>45587</v>
      </c>
      <c r="D9697" t="inlineStr">
        <is>
          <t>GÄVLEBORGS LÄN</t>
        </is>
      </c>
      <c r="E9697" t="inlineStr">
        <is>
          <t>HOFORS</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1892-2024</t>
        </is>
      </c>
      <c r="B9698" s="1" t="n">
        <v>45308</v>
      </c>
      <c r="C9698" s="1" t="n">
        <v>45587</v>
      </c>
      <c r="D9698" t="inlineStr">
        <is>
          <t>GÄVLEBORGS LÄN</t>
        </is>
      </c>
      <c r="E9698" t="inlineStr">
        <is>
          <t>OVANÅKER</t>
        </is>
      </c>
      <c r="G9698" t="n">
        <v>0.3</v>
      </c>
      <c r="H9698" t="n">
        <v>0</v>
      </c>
      <c r="I9698" t="n">
        <v>0</v>
      </c>
      <c r="J9698" t="n">
        <v>0</v>
      </c>
      <c r="K9698" t="n">
        <v>0</v>
      </c>
      <c r="L9698" t="n">
        <v>0</v>
      </c>
      <c r="M9698" t="n">
        <v>0</v>
      </c>
      <c r="N9698" t="n">
        <v>0</v>
      </c>
      <c r="O9698" t="n">
        <v>0</v>
      </c>
      <c r="P9698" t="n">
        <v>0</v>
      </c>
      <c r="Q9698" t="n">
        <v>0</v>
      </c>
      <c r="R9698" s="2" t="inlineStr"/>
    </row>
    <row r="9699" ht="15" customHeight="1">
      <c r="A9699" t="inlineStr">
        <is>
          <t>A 1907-2024</t>
        </is>
      </c>
      <c r="B9699" s="1" t="n">
        <v>45308</v>
      </c>
      <c r="C9699" s="1" t="n">
        <v>45587</v>
      </c>
      <c r="D9699" t="inlineStr">
        <is>
          <t>GÄVLEBORGS LÄN</t>
        </is>
      </c>
      <c r="E9699" t="inlineStr">
        <is>
          <t>OVANÅKER</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2141-2024</t>
        </is>
      </c>
      <c r="B9700" s="1" t="n">
        <v>45309</v>
      </c>
      <c r="C9700" s="1" t="n">
        <v>45587</v>
      </c>
      <c r="D9700" t="inlineStr">
        <is>
          <t>GÄVLEBORGS LÄN</t>
        </is>
      </c>
      <c r="E9700" t="inlineStr">
        <is>
          <t>NORDANSTIG</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2120-2024</t>
        </is>
      </c>
      <c r="B9701" s="1" t="n">
        <v>45309</v>
      </c>
      <c r="C9701" s="1" t="n">
        <v>45587</v>
      </c>
      <c r="D9701" t="inlineStr">
        <is>
          <t>GÄVLEBORGS LÄN</t>
        </is>
      </c>
      <c r="E9701" t="inlineStr">
        <is>
          <t>HUDIKSVALL</t>
        </is>
      </c>
      <c r="F9701" t="inlineStr">
        <is>
          <t>Holmen skog AB</t>
        </is>
      </c>
      <c r="G9701" t="n">
        <v>10.9</v>
      </c>
      <c r="H9701" t="n">
        <v>0</v>
      </c>
      <c r="I9701" t="n">
        <v>0</v>
      </c>
      <c r="J9701" t="n">
        <v>0</v>
      </c>
      <c r="K9701" t="n">
        <v>0</v>
      </c>
      <c r="L9701" t="n">
        <v>0</v>
      </c>
      <c r="M9701" t="n">
        <v>0</v>
      </c>
      <c r="N9701" t="n">
        <v>0</v>
      </c>
      <c r="O9701" t="n">
        <v>0</v>
      </c>
      <c r="P9701" t="n">
        <v>0</v>
      </c>
      <c r="Q9701" t="n">
        <v>0</v>
      </c>
      <c r="R9701" s="2" t="inlineStr"/>
    </row>
    <row r="9702" ht="15" customHeight="1">
      <c r="A9702" t="inlineStr">
        <is>
          <t>A 2149-2024</t>
        </is>
      </c>
      <c r="B9702" s="1" t="n">
        <v>45309</v>
      </c>
      <c r="C9702" s="1" t="n">
        <v>45587</v>
      </c>
      <c r="D9702" t="inlineStr">
        <is>
          <t>GÄVLEBORGS LÄN</t>
        </is>
      </c>
      <c r="E9702" t="inlineStr">
        <is>
          <t>NORDANSTIG</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2074-2024</t>
        </is>
      </c>
      <c r="B9703" s="1" t="n">
        <v>45309</v>
      </c>
      <c r="C9703" s="1" t="n">
        <v>45587</v>
      </c>
      <c r="D9703" t="inlineStr">
        <is>
          <t>GÄVLEBORGS LÄN</t>
        </is>
      </c>
      <c r="E9703" t="inlineStr">
        <is>
          <t>LJUSDAL</t>
        </is>
      </c>
      <c r="G9703" t="n">
        <v>2.8</v>
      </c>
      <c r="H9703" t="n">
        <v>0</v>
      </c>
      <c r="I9703" t="n">
        <v>0</v>
      </c>
      <c r="J9703" t="n">
        <v>0</v>
      </c>
      <c r="K9703" t="n">
        <v>0</v>
      </c>
      <c r="L9703" t="n">
        <v>0</v>
      </c>
      <c r="M9703" t="n">
        <v>0</v>
      </c>
      <c r="N9703" t="n">
        <v>0</v>
      </c>
      <c r="O9703" t="n">
        <v>0</v>
      </c>
      <c r="P9703" t="n">
        <v>0</v>
      </c>
      <c r="Q9703" t="n">
        <v>0</v>
      </c>
      <c r="R9703" s="2" t="inlineStr"/>
    </row>
    <row r="9704" ht="15" customHeight="1">
      <c r="A9704" t="inlineStr">
        <is>
          <t>A 2160-2024</t>
        </is>
      </c>
      <c r="B9704" s="1" t="n">
        <v>45309</v>
      </c>
      <c r="C9704" s="1" t="n">
        <v>45587</v>
      </c>
      <c r="D9704" t="inlineStr">
        <is>
          <t>GÄVLEBORGS LÄN</t>
        </is>
      </c>
      <c r="E9704" t="inlineStr">
        <is>
          <t>HUDIKSVALL</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2113-2024</t>
        </is>
      </c>
      <c r="B9705" s="1" t="n">
        <v>45309</v>
      </c>
      <c r="C9705" s="1" t="n">
        <v>45587</v>
      </c>
      <c r="D9705" t="inlineStr">
        <is>
          <t>GÄVLEBORGS LÄN</t>
        </is>
      </c>
      <c r="E9705" t="inlineStr">
        <is>
          <t>SANDVIKEN</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2117-2024</t>
        </is>
      </c>
      <c r="B9706" s="1" t="n">
        <v>45309</v>
      </c>
      <c r="C9706" s="1" t="n">
        <v>45587</v>
      </c>
      <c r="D9706" t="inlineStr">
        <is>
          <t>GÄVLEBORGS LÄN</t>
        </is>
      </c>
      <c r="E9706" t="inlineStr">
        <is>
          <t>SANDVIKEN</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2125-2024</t>
        </is>
      </c>
      <c r="B9707" s="1" t="n">
        <v>45309</v>
      </c>
      <c r="C9707" s="1" t="n">
        <v>45587</v>
      </c>
      <c r="D9707" t="inlineStr">
        <is>
          <t>GÄVLEBORGS LÄN</t>
        </is>
      </c>
      <c r="E9707" t="inlineStr">
        <is>
          <t>HUDIKSVALL</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2123-2024</t>
        </is>
      </c>
      <c r="B9708" s="1" t="n">
        <v>45309</v>
      </c>
      <c r="C9708" s="1" t="n">
        <v>45587</v>
      </c>
      <c r="D9708" t="inlineStr">
        <is>
          <t>GÄVLEBORGS LÄN</t>
        </is>
      </c>
      <c r="E9708" t="inlineStr">
        <is>
          <t>SANDVIKEN</t>
        </is>
      </c>
      <c r="G9708" t="n">
        <v>4.7</v>
      </c>
      <c r="H9708" t="n">
        <v>0</v>
      </c>
      <c r="I9708" t="n">
        <v>0</v>
      </c>
      <c r="J9708" t="n">
        <v>0</v>
      </c>
      <c r="K9708" t="n">
        <v>0</v>
      </c>
      <c r="L9708" t="n">
        <v>0</v>
      </c>
      <c r="M9708" t="n">
        <v>0</v>
      </c>
      <c r="N9708" t="n">
        <v>0</v>
      </c>
      <c r="O9708" t="n">
        <v>0</v>
      </c>
      <c r="P9708" t="n">
        <v>0</v>
      </c>
      <c r="Q9708" t="n">
        <v>0</v>
      </c>
      <c r="R9708" s="2" t="inlineStr"/>
    </row>
    <row r="9709" ht="15" customHeight="1">
      <c r="A9709" t="inlineStr">
        <is>
          <t>A 2127-2024</t>
        </is>
      </c>
      <c r="B9709" s="1" t="n">
        <v>45309</v>
      </c>
      <c r="C9709" s="1" t="n">
        <v>45587</v>
      </c>
      <c r="D9709" t="inlineStr">
        <is>
          <t>GÄVLEBORGS LÄN</t>
        </is>
      </c>
      <c r="E9709" t="inlineStr">
        <is>
          <t>HUDIKSVALL</t>
        </is>
      </c>
      <c r="F9709" t="inlineStr">
        <is>
          <t>Holmen skog AB</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2254-2024</t>
        </is>
      </c>
      <c r="B9710" s="1" t="n">
        <v>45310</v>
      </c>
      <c r="C9710" s="1" t="n">
        <v>45587</v>
      </c>
      <c r="D9710" t="inlineStr">
        <is>
          <t>GÄVLEBORGS LÄN</t>
        </is>
      </c>
      <c r="E9710" t="inlineStr">
        <is>
          <t>BOLLNÄS</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2303-2024</t>
        </is>
      </c>
      <c r="B9711" s="1" t="n">
        <v>45310</v>
      </c>
      <c r="C9711" s="1" t="n">
        <v>45587</v>
      </c>
      <c r="D9711" t="inlineStr">
        <is>
          <t>GÄVLEBORGS LÄN</t>
        </is>
      </c>
      <c r="E9711" t="inlineStr">
        <is>
          <t>OVANÅKER</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2311-2024</t>
        </is>
      </c>
      <c r="B9712" s="1" t="n">
        <v>45310</v>
      </c>
      <c r="C9712" s="1" t="n">
        <v>45587</v>
      </c>
      <c r="D9712" t="inlineStr">
        <is>
          <t>GÄVLEBORGS LÄN</t>
        </is>
      </c>
      <c r="E9712" t="inlineStr">
        <is>
          <t>BOLLNÄS</t>
        </is>
      </c>
      <c r="F9712" t="inlineStr">
        <is>
          <t>Övriga statliga verk och myndigheter</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2297-2024</t>
        </is>
      </c>
      <c r="B9713" s="1" t="n">
        <v>45310</v>
      </c>
      <c r="C9713" s="1" t="n">
        <v>45587</v>
      </c>
      <c r="D9713" t="inlineStr">
        <is>
          <t>GÄVLEBORGS LÄN</t>
        </is>
      </c>
      <c r="E9713" t="inlineStr">
        <is>
          <t>BOLLNÄS</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2348-2024</t>
        </is>
      </c>
      <c r="B9714" s="1" t="n">
        <v>45310</v>
      </c>
      <c r="C9714" s="1" t="n">
        <v>45587</v>
      </c>
      <c r="D9714" t="inlineStr">
        <is>
          <t>GÄVLEBORGS LÄN</t>
        </is>
      </c>
      <c r="E9714" t="inlineStr">
        <is>
          <t>BOLLNÄS</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2367-2024</t>
        </is>
      </c>
      <c r="B9715" s="1" t="n">
        <v>45310</v>
      </c>
      <c r="C9715" s="1" t="n">
        <v>45587</v>
      </c>
      <c r="D9715" t="inlineStr">
        <is>
          <t>GÄVLEBORGS LÄN</t>
        </is>
      </c>
      <c r="E9715" t="inlineStr">
        <is>
          <t>LJUSDAL</t>
        </is>
      </c>
      <c r="G9715" t="n">
        <v>4.2</v>
      </c>
      <c r="H9715" t="n">
        <v>0</v>
      </c>
      <c r="I9715" t="n">
        <v>0</v>
      </c>
      <c r="J9715" t="n">
        <v>0</v>
      </c>
      <c r="K9715" t="n">
        <v>0</v>
      </c>
      <c r="L9715" t="n">
        <v>0</v>
      </c>
      <c r="M9715" t="n">
        <v>0</v>
      </c>
      <c r="N9715" t="n">
        <v>0</v>
      </c>
      <c r="O9715" t="n">
        <v>0</v>
      </c>
      <c r="P9715" t="n">
        <v>0</v>
      </c>
      <c r="Q9715" t="n">
        <v>0</v>
      </c>
      <c r="R9715" s="2" t="inlineStr"/>
    </row>
    <row r="9716" ht="15" customHeight="1">
      <c r="A9716" t="inlineStr">
        <is>
          <t>A 2345-2024</t>
        </is>
      </c>
      <c r="B9716" s="1" t="n">
        <v>45310</v>
      </c>
      <c r="C9716" s="1" t="n">
        <v>45587</v>
      </c>
      <c r="D9716" t="inlineStr">
        <is>
          <t>GÄVLEBORGS LÄN</t>
        </is>
      </c>
      <c r="E9716" t="inlineStr">
        <is>
          <t>BOLLNÄS</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2416-2024</t>
        </is>
      </c>
      <c r="B9717" s="1" t="n">
        <v>45310</v>
      </c>
      <c r="C9717" s="1" t="n">
        <v>45587</v>
      </c>
      <c r="D9717" t="inlineStr">
        <is>
          <t>GÄVLEBORGS LÄN</t>
        </is>
      </c>
      <c r="E9717" t="inlineStr">
        <is>
          <t>HUDIKSVALL</t>
        </is>
      </c>
      <c r="G9717" t="n">
        <v>7.1</v>
      </c>
      <c r="H9717" t="n">
        <v>0</v>
      </c>
      <c r="I9717" t="n">
        <v>0</v>
      </c>
      <c r="J9717" t="n">
        <v>0</v>
      </c>
      <c r="K9717" t="n">
        <v>0</v>
      </c>
      <c r="L9717" t="n">
        <v>0</v>
      </c>
      <c r="M9717" t="n">
        <v>0</v>
      </c>
      <c r="N9717" t="n">
        <v>0</v>
      </c>
      <c r="O9717" t="n">
        <v>0</v>
      </c>
      <c r="P9717" t="n">
        <v>0</v>
      </c>
      <c r="Q9717" t="n">
        <v>0</v>
      </c>
      <c r="R9717" s="2" t="inlineStr"/>
    </row>
    <row r="9718" ht="15" customHeight="1">
      <c r="A9718" t="inlineStr">
        <is>
          <t>A 2396-2024</t>
        </is>
      </c>
      <c r="B9718" s="1" t="n">
        <v>45310</v>
      </c>
      <c r="C9718" s="1" t="n">
        <v>45587</v>
      </c>
      <c r="D9718" t="inlineStr">
        <is>
          <t>GÄVLEBORGS LÄN</t>
        </is>
      </c>
      <c r="E9718" t="inlineStr">
        <is>
          <t>LJUSDAL</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2418-2024</t>
        </is>
      </c>
      <c r="B9719" s="1" t="n">
        <v>45310</v>
      </c>
      <c r="C9719" s="1" t="n">
        <v>45587</v>
      </c>
      <c r="D9719" t="inlineStr">
        <is>
          <t>GÄVLEBORGS LÄN</t>
        </is>
      </c>
      <c r="E9719" t="inlineStr">
        <is>
          <t>HUDIKSVALL</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2458-2024</t>
        </is>
      </c>
      <c r="B9720" s="1" t="n">
        <v>45312</v>
      </c>
      <c r="C9720" s="1" t="n">
        <v>45587</v>
      </c>
      <c r="D9720" t="inlineStr">
        <is>
          <t>GÄVLEBORGS LÄN</t>
        </is>
      </c>
      <c r="E9720" t="inlineStr">
        <is>
          <t>GÄVLE</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2457-2024</t>
        </is>
      </c>
      <c r="B9721" s="1" t="n">
        <v>45312</v>
      </c>
      <c r="C9721" s="1" t="n">
        <v>45587</v>
      </c>
      <c r="D9721" t="inlineStr">
        <is>
          <t>GÄVLEBORGS LÄN</t>
        </is>
      </c>
      <c r="E9721" t="inlineStr">
        <is>
          <t>GÄVLE</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2461-2024</t>
        </is>
      </c>
      <c r="B9722" s="1" t="n">
        <v>45312</v>
      </c>
      <c r="C9722" s="1" t="n">
        <v>45587</v>
      </c>
      <c r="D9722" t="inlineStr">
        <is>
          <t>GÄVLEBORGS LÄN</t>
        </is>
      </c>
      <c r="E9722" t="inlineStr">
        <is>
          <t>GÄVLE</t>
        </is>
      </c>
      <c r="G9722" t="n">
        <v>4.3</v>
      </c>
      <c r="H9722" t="n">
        <v>0</v>
      </c>
      <c r="I9722" t="n">
        <v>0</v>
      </c>
      <c r="J9722" t="n">
        <v>0</v>
      </c>
      <c r="K9722" t="n">
        <v>0</v>
      </c>
      <c r="L9722" t="n">
        <v>0</v>
      </c>
      <c r="M9722" t="n">
        <v>0</v>
      </c>
      <c r="N9722" t="n">
        <v>0</v>
      </c>
      <c r="O9722" t="n">
        <v>0</v>
      </c>
      <c r="P9722" t="n">
        <v>0</v>
      </c>
      <c r="Q9722" t="n">
        <v>0</v>
      </c>
      <c r="R9722" s="2" t="inlineStr"/>
    </row>
    <row r="9723" ht="15" customHeight="1">
      <c r="A9723" t="inlineStr">
        <is>
          <t>A 2518-2024</t>
        </is>
      </c>
      <c r="B9723" s="1" t="n">
        <v>45313</v>
      </c>
      <c r="C9723" s="1" t="n">
        <v>45587</v>
      </c>
      <c r="D9723" t="inlineStr">
        <is>
          <t>GÄVLEBORGS LÄN</t>
        </is>
      </c>
      <c r="E9723" t="inlineStr">
        <is>
          <t>OCKELBO</t>
        </is>
      </c>
      <c r="G9723" t="n">
        <v>6.9</v>
      </c>
      <c r="H9723" t="n">
        <v>0</v>
      </c>
      <c r="I9723" t="n">
        <v>0</v>
      </c>
      <c r="J9723" t="n">
        <v>0</v>
      </c>
      <c r="K9723" t="n">
        <v>0</v>
      </c>
      <c r="L9723" t="n">
        <v>0</v>
      </c>
      <c r="M9723" t="n">
        <v>0</v>
      </c>
      <c r="N9723" t="n">
        <v>0</v>
      </c>
      <c r="O9723" t="n">
        <v>0</v>
      </c>
      <c r="P9723" t="n">
        <v>0</v>
      </c>
      <c r="Q9723" t="n">
        <v>0</v>
      </c>
      <c r="R9723" s="2" t="inlineStr"/>
    </row>
    <row r="9724" ht="15" customHeight="1">
      <c r="A9724" t="inlineStr">
        <is>
          <t>A 2566-2024</t>
        </is>
      </c>
      <c r="B9724" s="1" t="n">
        <v>45313</v>
      </c>
      <c r="C9724" s="1" t="n">
        <v>45587</v>
      </c>
      <c r="D9724" t="inlineStr">
        <is>
          <t>GÄVLEBORGS LÄN</t>
        </is>
      </c>
      <c r="E9724" t="inlineStr">
        <is>
          <t>NORDANSTIG</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2618-2024</t>
        </is>
      </c>
      <c r="B9725" s="1" t="n">
        <v>45313</v>
      </c>
      <c r="C9725" s="1" t="n">
        <v>45587</v>
      </c>
      <c r="D9725" t="inlineStr">
        <is>
          <t>GÄVLEBORGS LÄN</t>
        </is>
      </c>
      <c r="E9725" t="inlineStr">
        <is>
          <t>HUDIKSVALL</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2573-2024</t>
        </is>
      </c>
      <c r="B9726" s="1" t="n">
        <v>45313</v>
      </c>
      <c r="C9726" s="1" t="n">
        <v>45587</v>
      </c>
      <c r="D9726" t="inlineStr">
        <is>
          <t>GÄVLEBORGS LÄN</t>
        </is>
      </c>
      <c r="E9726" t="inlineStr">
        <is>
          <t>NORDANSTIG</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2569-2024</t>
        </is>
      </c>
      <c r="B9727" s="1" t="n">
        <v>45313</v>
      </c>
      <c r="C9727" s="1" t="n">
        <v>45587</v>
      </c>
      <c r="D9727" t="inlineStr">
        <is>
          <t>GÄVLEBORGS LÄN</t>
        </is>
      </c>
      <c r="E9727" t="inlineStr">
        <is>
          <t>NORDANSTIG</t>
        </is>
      </c>
      <c r="G9727" t="n">
        <v>7.7</v>
      </c>
      <c r="H9727" t="n">
        <v>0</v>
      </c>
      <c r="I9727" t="n">
        <v>0</v>
      </c>
      <c r="J9727" t="n">
        <v>0</v>
      </c>
      <c r="K9727" t="n">
        <v>0</v>
      </c>
      <c r="L9727" t="n">
        <v>0</v>
      </c>
      <c r="M9727" t="n">
        <v>0</v>
      </c>
      <c r="N9727" t="n">
        <v>0</v>
      </c>
      <c r="O9727" t="n">
        <v>0</v>
      </c>
      <c r="P9727" t="n">
        <v>0</v>
      </c>
      <c r="Q9727" t="n">
        <v>0</v>
      </c>
      <c r="R9727" s="2" t="inlineStr"/>
    </row>
    <row r="9728" ht="15" customHeight="1">
      <c r="A9728" t="inlineStr">
        <is>
          <t>A 2644-2024</t>
        </is>
      </c>
      <c r="B9728" s="1" t="n">
        <v>45314</v>
      </c>
      <c r="C9728" s="1" t="n">
        <v>45587</v>
      </c>
      <c r="D9728" t="inlineStr">
        <is>
          <t>GÄVLEBORGS LÄN</t>
        </is>
      </c>
      <c r="E9728" t="inlineStr">
        <is>
          <t>SÖDERHAMN</t>
        </is>
      </c>
      <c r="G9728" t="n">
        <v>13.9</v>
      </c>
      <c r="H9728" t="n">
        <v>0</v>
      </c>
      <c r="I9728" t="n">
        <v>0</v>
      </c>
      <c r="J9728" t="n">
        <v>0</v>
      </c>
      <c r="K9728" t="n">
        <v>0</v>
      </c>
      <c r="L9728" t="n">
        <v>0</v>
      </c>
      <c r="M9728" t="n">
        <v>0</v>
      </c>
      <c r="N9728" t="n">
        <v>0</v>
      </c>
      <c r="O9728" t="n">
        <v>0</v>
      </c>
      <c r="P9728" t="n">
        <v>0</v>
      </c>
      <c r="Q9728" t="n">
        <v>0</v>
      </c>
      <c r="R9728" s="2" t="inlineStr"/>
    </row>
    <row r="9729" ht="15" customHeight="1">
      <c r="A9729" t="inlineStr">
        <is>
          <t>A 2648-2024</t>
        </is>
      </c>
      <c r="B9729" s="1" t="n">
        <v>45314</v>
      </c>
      <c r="C9729" s="1" t="n">
        <v>45587</v>
      </c>
      <c r="D9729" t="inlineStr">
        <is>
          <t>GÄVLEBORGS LÄN</t>
        </is>
      </c>
      <c r="E9729" t="inlineStr">
        <is>
          <t>HUDIKSVALL</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2652-2024</t>
        </is>
      </c>
      <c r="B9730" s="1" t="n">
        <v>45314</v>
      </c>
      <c r="C9730" s="1" t="n">
        <v>45587</v>
      </c>
      <c r="D9730" t="inlineStr">
        <is>
          <t>GÄVLEBORGS LÄN</t>
        </is>
      </c>
      <c r="E9730" t="inlineStr">
        <is>
          <t>HUDIKSVALL</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2656-2024</t>
        </is>
      </c>
      <c r="B9731" s="1" t="n">
        <v>45314</v>
      </c>
      <c r="C9731" s="1" t="n">
        <v>45587</v>
      </c>
      <c r="D9731" t="inlineStr">
        <is>
          <t>GÄVLEBORGS LÄN</t>
        </is>
      </c>
      <c r="E9731" t="inlineStr">
        <is>
          <t>HUDIKSVALL</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2661-2024</t>
        </is>
      </c>
      <c r="B9732" s="1" t="n">
        <v>45314</v>
      </c>
      <c r="C9732" s="1" t="n">
        <v>45587</v>
      </c>
      <c r="D9732" t="inlineStr">
        <is>
          <t>GÄVLEBORGS LÄN</t>
        </is>
      </c>
      <c r="E9732" t="inlineStr">
        <is>
          <t>HUDIKSVALL</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2654-2024</t>
        </is>
      </c>
      <c r="B9733" s="1" t="n">
        <v>45314</v>
      </c>
      <c r="C9733" s="1" t="n">
        <v>45587</v>
      </c>
      <c r="D9733" t="inlineStr">
        <is>
          <t>GÄVLEBORGS LÄN</t>
        </is>
      </c>
      <c r="E9733" t="inlineStr">
        <is>
          <t>HUDIKSVALL</t>
        </is>
      </c>
      <c r="F9733" t="inlineStr">
        <is>
          <t>Holmen skog AB</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2658-2024</t>
        </is>
      </c>
      <c r="B9734" s="1" t="n">
        <v>45314</v>
      </c>
      <c r="C9734" s="1" t="n">
        <v>45587</v>
      </c>
      <c r="D9734" t="inlineStr">
        <is>
          <t>GÄVLEBORGS LÄN</t>
        </is>
      </c>
      <c r="E9734" t="inlineStr">
        <is>
          <t>HUDIKSVALL</t>
        </is>
      </c>
      <c r="F9734" t="inlineStr">
        <is>
          <t>Holmen skog AB</t>
        </is>
      </c>
      <c r="G9734" t="n">
        <v>0.4</v>
      </c>
      <c r="H9734" t="n">
        <v>0</v>
      </c>
      <c r="I9734" t="n">
        <v>0</v>
      </c>
      <c r="J9734" t="n">
        <v>0</v>
      </c>
      <c r="K9734" t="n">
        <v>0</v>
      </c>
      <c r="L9734" t="n">
        <v>0</v>
      </c>
      <c r="M9734" t="n">
        <v>0</v>
      </c>
      <c r="N9734" t="n">
        <v>0</v>
      </c>
      <c r="O9734" t="n">
        <v>0</v>
      </c>
      <c r="P9734" t="n">
        <v>0</v>
      </c>
      <c r="Q9734" t="n">
        <v>0</v>
      </c>
      <c r="R9734" s="2" t="inlineStr"/>
    </row>
    <row r="9735" ht="15" customHeight="1">
      <c r="A9735" t="inlineStr">
        <is>
          <t>A 2677-2024</t>
        </is>
      </c>
      <c r="B9735" s="1" t="n">
        <v>45314</v>
      </c>
      <c r="C9735" s="1" t="n">
        <v>45587</v>
      </c>
      <c r="D9735" t="inlineStr">
        <is>
          <t>GÄVLEBORGS LÄN</t>
        </is>
      </c>
      <c r="E9735" t="inlineStr">
        <is>
          <t>HUDIKSVALL</t>
        </is>
      </c>
      <c r="G9735" t="n">
        <v>4</v>
      </c>
      <c r="H9735" t="n">
        <v>0</v>
      </c>
      <c r="I9735" t="n">
        <v>0</v>
      </c>
      <c r="J9735" t="n">
        <v>0</v>
      </c>
      <c r="K9735" t="n">
        <v>0</v>
      </c>
      <c r="L9735" t="n">
        <v>0</v>
      </c>
      <c r="M9735" t="n">
        <v>0</v>
      </c>
      <c r="N9735" t="n">
        <v>0</v>
      </c>
      <c r="O9735" t="n">
        <v>0</v>
      </c>
      <c r="P9735" t="n">
        <v>0</v>
      </c>
      <c r="Q9735" t="n">
        <v>0</v>
      </c>
      <c r="R9735" s="2" t="inlineStr"/>
    </row>
    <row r="9736" ht="15" customHeight="1">
      <c r="A9736" t="inlineStr">
        <is>
          <t>A 2695-2024</t>
        </is>
      </c>
      <c r="B9736" s="1" t="n">
        <v>45314</v>
      </c>
      <c r="C9736" s="1" t="n">
        <v>45587</v>
      </c>
      <c r="D9736" t="inlineStr">
        <is>
          <t>GÄVLEBORGS LÄN</t>
        </is>
      </c>
      <c r="E9736" t="inlineStr">
        <is>
          <t>HUDIKSVALL</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2707-2024</t>
        </is>
      </c>
      <c r="B9737" s="1" t="n">
        <v>45314</v>
      </c>
      <c r="C9737" s="1" t="n">
        <v>45587</v>
      </c>
      <c r="D9737" t="inlineStr">
        <is>
          <t>GÄVLEBORGS LÄN</t>
        </is>
      </c>
      <c r="E9737" t="inlineStr">
        <is>
          <t>HUDIKSVALL</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2651-2024</t>
        </is>
      </c>
      <c r="B9738" s="1" t="n">
        <v>45314</v>
      </c>
      <c r="C9738" s="1" t="n">
        <v>45587</v>
      </c>
      <c r="D9738" t="inlineStr">
        <is>
          <t>GÄVLEBORGS LÄN</t>
        </is>
      </c>
      <c r="E9738" t="inlineStr">
        <is>
          <t>HUDIKSVALL</t>
        </is>
      </c>
      <c r="F9738" t="inlineStr">
        <is>
          <t>Holmen skog AB</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2760-2024</t>
        </is>
      </c>
      <c r="B9739" s="1" t="n">
        <v>45314</v>
      </c>
      <c r="C9739" s="1" t="n">
        <v>45587</v>
      </c>
      <c r="D9739" t="inlineStr">
        <is>
          <t>GÄVLEBORGS LÄN</t>
        </is>
      </c>
      <c r="E9739" t="inlineStr">
        <is>
          <t>HUDIKSVALL</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2685-2024</t>
        </is>
      </c>
      <c r="B9740" s="1" t="n">
        <v>45314</v>
      </c>
      <c r="C9740" s="1" t="n">
        <v>45587</v>
      </c>
      <c r="D9740" t="inlineStr">
        <is>
          <t>GÄVLEBORGS LÄN</t>
        </is>
      </c>
      <c r="E9740" t="inlineStr">
        <is>
          <t>HUDIKSVALL</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2645-2024</t>
        </is>
      </c>
      <c r="B9741" s="1" t="n">
        <v>45314</v>
      </c>
      <c r="C9741" s="1" t="n">
        <v>45587</v>
      </c>
      <c r="D9741" t="inlineStr">
        <is>
          <t>GÄVLEBORGS LÄN</t>
        </is>
      </c>
      <c r="E9741" t="inlineStr">
        <is>
          <t>HUDIKSVALL</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2805-2024</t>
        </is>
      </c>
      <c r="B9742" s="1" t="n">
        <v>45314</v>
      </c>
      <c r="C9742" s="1" t="n">
        <v>45587</v>
      </c>
      <c r="D9742" t="inlineStr">
        <is>
          <t>GÄVLEBORGS LÄN</t>
        </is>
      </c>
      <c r="E9742" t="inlineStr">
        <is>
          <t>SANDVIKEN</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2911-2024</t>
        </is>
      </c>
      <c r="B9743" s="1" t="n">
        <v>45315</v>
      </c>
      <c r="C9743" s="1" t="n">
        <v>45587</v>
      </c>
      <c r="D9743" t="inlineStr">
        <is>
          <t>GÄVLEBORGS LÄN</t>
        </is>
      </c>
      <c r="E9743" t="inlineStr">
        <is>
          <t>OVANÅKER</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2894-2024</t>
        </is>
      </c>
      <c r="B9744" s="1" t="n">
        <v>45315</v>
      </c>
      <c r="C9744" s="1" t="n">
        <v>45587</v>
      </c>
      <c r="D9744" t="inlineStr">
        <is>
          <t>GÄVLEBORGS LÄN</t>
        </is>
      </c>
      <c r="E9744" t="inlineStr">
        <is>
          <t>LJUSDAL</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2912-2024</t>
        </is>
      </c>
      <c r="B9745" s="1" t="n">
        <v>45315</v>
      </c>
      <c r="C9745" s="1" t="n">
        <v>45587</v>
      </c>
      <c r="D9745" t="inlineStr">
        <is>
          <t>GÄVLEBORGS LÄN</t>
        </is>
      </c>
      <c r="E9745" t="inlineStr">
        <is>
          <t>OVANÅKER</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2924-2024</t>
        </is>
      </c>
      <c r="B9746" s="1" t="n">
        <v>45315</v>
      </c>
      <c r="C9746" s="1" t="n">
        <v>45587</v>
      </c>
      <c r="D9746" t="inlineStr">
        <is>
          <t>GÄVLEBORGS LÄN</t>
        </is>
      </c>
      <c r="E9746" t="inlineStr">
        <is>
          <t>OCKELBO</t>
        </is>
      </c>
      <c r="F9746" t="inlineStr">
        <is>
          <t>Bergvik skog väst AB</t>
        </is>
      </c>
      <c r="G9746" t="n">
        <v>11.1</v>
      </c>
      <c r="H9746" t="n">
        <v>0</v>
      </c>
      <c r="I9746" t="n">
        <v>0</v>
      </c>
      <c r="J9746" t="n">
        <v>0</v>
      </c>
      <c r="K9746" t="n">
        <v>0</v>
      </c>
      <c r="L9746" t="n">
        <v>0</v>
      </c>
      <c r="M9746" t="n">
        <v>0</v>
      </c>
      <c r="N9746" t="n">
        <v>0</v>
      </c>
      <c r="O9746" t="n">
        <v>0</v>
      </c>
      <c r="P9746" t="n">
        <v>0</v>
      </c>
      <c r="Q9746" t="n">
        <v>0</v>
      </c>
      <c r="R9746" s="2" t="inlineStr"/>
    </row>
    <row r="9747" ht="15" customHeight="1">
      <c r="A9747" t="inlineStr">
        <is>
          <t>A 2932-2024</t>
        </is>
      </c>
      <c r="B9747" s="1" t="n">
        <v>45315</v>
      </c>
      <c r="C9747" s="1" t="n">
        <v>45587</v>
      </c>
      <c r="D9747" t="inlineStr">
        <is>
          <t>GÄVLEBORGS LÄN</t>
        </is>
      </c>
      <c r="E9747" t="inlineStr">
        <is>
          <t>BOLLNÄS</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2985-2024</t>
        </is>
      </c>
      <c r="B9748" s="1" t="n">
        <v>45315</v>
      </c>
      <c r="C9748" s="1" t="n">
        <v>45587</v>
      </c>
      <c r="D9748" t="inlineStr">
        <is>
          <t>GÄVLEBORGS LÄN</t>
        </is>
      </c>
      <c r="E9748" t="inlineStr">
        <is>
          <t>LJUSDAL</t>
        </is>
      </c>
      <c r="G9748" t="n">
        <v>4.1</v>
      </c>
      <c r="H9748" t="n">
        <v>0</v>
      </c>
      <c r="I9748" t="n">
        <v>0</v>
      </c>
      <c r="J9748" t="n">
        <v>0</v>
      </c>
      <c r="K9748" t="n">
        <v>0</v>
      </c>
      <c r="L9748" t="n">
        <v>0</v>
      </c>
      <c r="M9748" t="n">
        <v>0</v>
      </c>
      <c r="N9748" t="n">
        <v>0</v>
      </c>
      <c r="O9748" t="n">
        <v>0</v>
      </c>
      <c r="P9748" t="n">
        <v>0</v>
      </c>
      <c r="Q9748" t="n">
        <v>0</v>
      </c>
      <c r="R9748" s="2" t="inlineStr"/>
    </row>
    <row r="9749" ht="15" customHeight="1">
      <c r="A9749" t="inlineStr">
        <is>
          <t>A 2986-2024</t>
        </is>
      </c>
      <c r="B9749" s="1" t="n">
        <v>45315</v>
      </c>
      <c r="C9749" s="1" t="n">
        <v>45587</v>
      </c>
      <c r="D9749" t="inlineStr">
        <is>
          <t>GÄVLEBORGS LÄN</t>
        </is>
      </c>
      <c r="E9749" t="inlineStr">
        <is>
          <t>LJUSDAL</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2909-2024</t>
        </is>
      </c>
      <c r="B9750" s="1" t="n">
        <v>45315</v>
      </c>
      <c r="C9750" s="1" t="n">
        <v>45587</v>
      </c>
      <c r="D9750" t="inlineStr">
        <is>
          <t>GÄVLEBORGS LÄN</t>
        </is>
      </c>
      <c r="E9750" t="inlineStr">
        <is>
          <t>LJUSDAL</t>
        </is>
      </c>
      <c r="G9750" t="n">
        <v>4.2</v>
      </c>
      <c r="H9750" t="n">
        <v>0</v>
      </c>
      <c r="I9750" t="n">
        <v>0</v>
      </c>
      <c r="J9750" t="n">
        <v>0</v>
      </c>
      <c r="K9750" t="n">
        <v>0</v>
      </c>
      <c r="L9750" t="n">
        <v>0</v>
      </c>
      <c r="M9750" t="n">
        <v>0</v>
      </c>
      <c r="N9750" t="n">
        <v>0</v>
      </c>
      <c r="O9750" t="n">
        <v>0</v>
      </c>
      <c r="P9750" t="n">
        <v>0</v>
      </c>
      <c r="Q9750" t="n">
        <v>0</v>
      </c>
      <c r="R9750" s="2" t="inlineStr"/>
    </row>
    <row r="9751" ht="15" customHeight="1">
      <c r="A9751" t="inlineStr">
        <is>
          <t>A 3171-2024</t>
        </is>
      </c>
      <c r="B9751" s="1" t="n">
        <v>45316</v>
      </c>
      <c r="C9751" s="1" t="n">
        <v>45587</v>
      </c>
      <c r="D9751" t="inlineStr">
        <is>
          <t>GÄVLEBORGS LÄN</t>
        </is>
      </c>
      <c r="E9751" t="inlineStr">
        <is>
          <t>OCKELBO</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3193-2024</t>
        </is>
      </c>
      <c r="B9752" s="1" t="n">
        <v>45316</v>
      </c>
      <c r="C9752" s="1" t="n">
        <v>45587</v>
      </c>
      <c r="D9752" t="inlineStr">
        <is>
          <t>GÄVLEBORGS LÄN</t>
        </is>
      </c>
      <c r="E9752" t="inlineStr">
        <is>
          <t>LJUSDAL</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3316-2024</t>
        </is>
      </c>
      <c r="B9753" s="1" t="n">
        <v>45317</v>
      </c>
      <c r="C9753" s="1" t="n">
        <v>45587</v>
      </c>
      <c r="D9753" t="inlineStr">
        <is>
          <t>GÄVLEBORGS LÄN</t>
        </is>
      </c>
      <c r="E9753" t="inlineStr">
        <is>
          <t>SÖDERHAMN</t>
        </is>
      </c>
      <c r="G9753" t="n">
        <v>9.6</v>
      </c>
      <c r="H9753" t="n">
        <v>0</v>
      </c>
      <c r="I9753" t="n">
        <v>0</v>
      </c>
      <c r="J9753" t="n">
        <v>0</v>
      </c>
      <c r="K9753" t="n">
        <v>0</v>
      </c>
      <c r="L9753" t="n">
        <v>0</v>
      </c>
      <c r="M9753" t="n">
        <v>0</v>
      </c>
      <c r="N9753" t="n">
        <v>0</v>
      </c>
      <c r="O9753" t="n">
        <v>0</v>
      </c>
      <c r="P9753" t="n">
        <v>0</v>
      </c>
      <c r="Q9753" t="n">
        <v>0</v>
      </c>
      <c r="R9753" s="2" t="inlineStr"/>
    </row>
    <row r="9754" ht="15" customHeight="1">
      <c r="A9754" t="inlineStr">
        <is>
          <t>A 3334-2024</t>
        </is>
      </c>
      <c r="B9754" s="1" t="n">
        <v>45317</v>
      </c>
      <c r="C9754" s="1" t="n">
        <v>45587</v>
      </c>
      <c r="D9754" t="inlineStr">
        <is>
          <t>GÄVLEBORGS LÄN</t>
        </is>
      </c>
      <c r="E9754" t="inlineStr">
        <is>
          <t>GÄVLE</t>
        </is>
      </c>
      <c r="G9754" t="n">
        <v>7</v>
      </c>
      <c r="H9754" t="n">
        <v>0</v>
      </c>
      <c r="I9754" t="n">
        <v>0</v>
      </c>
      <c r="J9754" t="n">
        <v>0</v>
      </c>
      <c r="K9754" t="n">
        <v>0</v>
      </c>
      <c r="L9754" t="n">
        <v>0</v>
      </c>
      <c r="M9754" t="n">
        <v>0</v>
      </c>
      <c r="N9754" t="n">
        <v>0</v>
      </c>
      <c r="O9754" t="n">
        <v>0</v>
      </c>
      <c r="P9754" t="n">
        <v>0</v>
      </c>
      <c r="Q9754" t="n">
        <v>0</v>
      </c>
      <c r="R9754" s="2" t="inlineStr"/>
    </row>
    <row r="9755" ht="15" customHeight="1">
      <c r="A9755" t="inlineStr">
        <is>
          <t>A 3297-2024</t>
        </is>
      </c>
      <c r="B9755" s="1" t="n">
        <v>45317</v>
      </c>
      <c r="C9755" s="1" t="n">
        <v>45587</v>
      </c>
      <c r="D9755" t="inlineStr">
        <is>
          <t>GÄVLEBORGS LÄN</t>
        </is>
      </c>
      <c r="E9755" t="inlineStr">
        <is>
          <t>HUDIKSVALL</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3267-2024</t>
        </is>
      </c>
      <c r="B9756" s="1" t="n">
        <v>45317</v>
      </c>
      <c r="C9756" s="1" t="n">
        <v>45587</v>
      </c>
      <c r="D9756" t="inlineStr">
        <is>
          <t>GÄVLEBORGS LÄN</t>
        </is>
      </c>
      <c r="E9756" t="inlineStr">
        <is>
          <t>LJUSDAL</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3287-2024</t>
        </is>
      </c>
      <c r="B9757" s="1" t="n">
        <v>45317</v>
      </c>
      <c r="C9757" s="1" t="n">
        <v>45587</v>
      </c>
      <c r="D9757" t="inlineStr">
        <is>
          <t>GÄVLEBORGS LÄN</t>
        </is>
      </c>
      <c r="E9757" t="inlineStr">
        <is>
          <t>LJUSDAL</t>
        </is>
      </c>
      <c r="F9757" t="inlineStr">
        <is>
          <t>Övriga Aktiebolag</t>
        </is>
      </c>
      <c r="G9757" t="n">
        <v>4.8</v>
      </c>
      <c r="H9757" t="n">
        <v>0</v>
      </c>
      <c r="I9757" t="n">
        <v>0</v>
      </c>
      <c r="J9757" t="n">
        <v>0</v>
      </c>
      <c r="K9757" t="n">
        <v>0</v>
      </c>
      <c r="L9757" t="n">
        <v>0</v>
      </c>
      <c r="M9757" t="n">
        <v>0</v>
      </c>
      <c r="N9757" t="n">
        <v>0</v>
      </c>
      <c r="O9757" t="n">
        <v>0</v>
      </c>
      <c r="P9757" t="n">
        <v>0</v>
      </c>
      <c r="Q9757" t="n">
        <v>0</v>
      </c>
      <c r="R9757" s="2" t="inlineStr"/>
    </row>
    <row r="9758" ht="15" customHeight="1">
      <c r="A9758" t="inlineStr">
        <is>
          <t>A 3324-2024</t>
        </is>
      </c>
      <c r="B9758" s="1" t="n">
        <v>45317</v>
      </c>
      <c r="C9758" s="1" t="n">
        <v>45587</v>
      </c>
      <c r="D9758" t="inlineStr">
        <is>
          <t>GÄVLEBORGS LÄN</t>
        </is>
      </c>
      <c r="E9758" t="inlineStr">
        <is>
          <t>OVANÅKER</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3333-2024</t>
        </is>
      </c>
      <c r="B9759" s="1" t="n">
        <v>45317</v>
      </c>
      <c r="C9759" s="1" t="n">
        <v>45587</v>
      </c>
      <c r="D9759" t="inlineStr">
        <is>
          <t>GÄVLEBORGS LÄN</t>
        </is>
      </c>
      <c r="E9759" t="inlineStr">
        <is>
          <t>OVANÅKER</t>
        </is>
      </c>
      <c r="G9759" t="n">
        <v>4.6</v>
      </c>
      <c r="H9759" t="n">
        <v>0</v>
      </c>
      <c r="I9759" t="n">
        <v>0</v>
      </c>
      <c r="J9759" t="n">
        <v>0</v>
      </c>
      <c r="K9759" t="n">
        <v>0</v>
      </c>
      <c r="L9759" t="n">
        <v>0</v>
      </c>
      <c r="M9759" t="n">
        <v>0</v>
      </c>
      <c r="N9759" t="n">
        <v>0</v>
      </c>
      <c r="O9759" t="n">
        <v>0</v>
      </c>
      <c r="P9759" t="n">
        <v>0</v>
      </c>
      <c r="Q9759" t="n">
        <v>0</v>
      </c>
      <c r="R9759" s="2" t="inlineStr"/>
    </row>
    <row r="9760" ht="15" customHeight="1">
      <c r="A9760" t="inlineStr">
        <is>
          <t>A 3337-2024</t>
        </is>
      </c>
      <c r="B9760" s="1" t="n">
        <v>45317</v>
      </c>
      <c r="C9760" s="1" t="n">
        <v>45587</v>
      </c>
      <c r="D9760" t="inlineStr">
        <is>
          <t>GÄVLEBORGS LÄN</t>
        </is>
      </c>
      <c r="E9760" t="inlineStr">
        <is>
          <t>GÄVLE</t>
        </is>
      </c>
      <c r="G9760" t="n">
        <v>5.3</v>
      </c>
      <c r="H9760" t="n">
        <v>0</v>
      </c>
      <c r="I9760" t="n">
        <v>0</v>
      </c>
      <c r="J9760" t="n">
        <v>0</v>
      </c>
      <c r="K9760" t="n">
        <v>0</v>
      </c>
      <c r="L9760" t="n">
        <v>0</v>
      </c>
      <c r="M9760" t="n">
        <v>0</v>
      </c>
      <c r="N9760" t="n">
        <v>0</v>
      </c>
      <c r="O9760" t="n">
        <v>0</v>
      </c>
      <c r="P9760" t="n">
        <v>0</v>
      </c>
      <c r="Q9760" t="n">
        <v>0</v>
      </c>
      <c r="R9760" s="2" t="inlineStr"/>
    </row>
    <row r="9761" ht="15" customHeight="1">
      <c r="A9761" t="inlineStr">
        <is>
          <t>A 3341-2024</t>
        </is>
      </c>
      <c r="B9761" s="1" t="n">
        <v>45317</v>
      </c>
      <c r="C9761" s="1" t="n">
        <v>45587</v>
      </c>
      <c r="D9761" t="inlineStr">
        <is>
          <t>GÄVLEBORGS LÄN</t>
        </is>
      </c>
      <c r="E9761" t="inlineStr">
        <is>
          <t>HUDIKSVALL</t>
        </is>
      </c>
      <c r="G9761" t="n">
        <v>10.1</v>
      </c>
      <c r="H9761" t="n">
        <v>0</v>
      </c>
      <c r="I9761" t="n">
        <v>0</v>
      </c>
      <c r="J9761" t="n">
        <v>0</v>
      </c>
      <c r="K9761" t="n">
        <v>0</v>
      </c>
      <c r="L9761" t="n">
        <v>0</v>
      </c>
      <c r="M9761" t="n">
        <v>0</v>
      </c>
      <c r="N9761" t="n">
        <v>0</v>
      </c>
      <c r="O9761" t="n">
        <v>0</v>
      </c>
      <c r="P9761" t="n">
        <v>0</v>
      </c>
      <c r="Q9761" t="n">
        <v>0</v>
      </c>
      <c r="R9761" s="2" t="inlineStr"/>
    </row>
    <row r="9762" ht="15" customHeight="1">
      <c r="A9762" t="inlineStr">
        <is>
          <t>A 3375-2024</t>
        </is>
      </c>
      <c r="B9762" s="1" t="n">
        <v>45317</v>
      </c>
      <c r="C9762" s="1" t="n">
        <v>45587</v>
      </c>
      <c r="D9762" t="inlineStr">
        <is>
          <t>GÄVLEBORGS LÄN</t>
        </is>
      </c>
      <c r="E9762" t="inlineStr">
        <is>
          <t>LJUSDAL</t>
        </is>
      </c>
      <c r="G9762" t="n">
        <v>7.3</v>
      </c>
      <c r="H9762" t="n">
        <v>0</v>
      </c>
      <c r="I9762" t="n">
        <v>0</v>
      </c>
      <c r="J9762" t="n">
        <v>0</v>
      </c>
      <c r="K9762" t="n">
        <v>0</v>
      </c>
      <c r="L9762" t="n">
        <v>0</v>
      </c>
      <c r="M9762" t="n">
        <v>0</v>
      </c>
      <c r="N9762" t="n">
        <v>0</v>
      </c>
      <c r="O9762" t="n">
        <v>0</v>
      </c>
      <c r="P9762" t="n">
        <v>0</v>
      </c>
      <c r="Q9762" t="n">
        <v>0</v>
      </c>
      <c r="R9762" s="2" t="inlineStr"/>
    </row>
    <row r="9763" ht="15" customHeight="1">
      <c r="A9763" t="inlineStr">
        <is>
          <t>A 3424-2024</t>
        </is>
      </c>
      <c r="B9763" s="1" t="n">
        <v>45319</v>
      </c>
      <c r="C9763" s="1" t="n">
        <v>45587</v>
      </c>
      <c r="D9763" t="inlineStr">
        <is>
          <t>GÄVLEBORGS LÄN</t>
        </is>
      </c>
      <c r="E9763" t="inlineStr">
        <is>
          <t>BOLLNÄS</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3426-2024</t>
        </is>
      </c>
      <c r="B9764" s="1" t="n">
        <v>45319</v>
      </c>
      <c r="C9764" s="1" t="n">
        <v>45587</v>
      </c>
      <c r="D9764" t="inlineStr">
        <is>
          <t>GÄVLEBORGS LÄN</t>
        </is>
      </c>
      <c r="E9764" t="inlineStr">
        <is>
          <t>GÄVLE</t>
        </is>
      </c>
      <c r="G9764" t="n">
        <v>2.5</v>
      </c>
      <c r="H9764" t="n">
        <v>0</v>
      </c>
      <c r="I9764" t="n">
        <v>0</v>
      </c>
      <c r="J9764" t="n">
        <v>0</v>
      </c>
      <c r="K9764" t="n">
        <v>0</v>
      </c>
      <c r="L9764" t="n">
        <v>0</v>
      </c>
      <c r="M9764" t="n">
        <v>0</v>
      </c>
      <c r="N9764" t="n">
        <v>0</v>
      </c>
      <c r="O9764" t="n">
        <v>0</v>
      </c>
      <c r="P9764" t="n">
        <v>0</v>
      </c>
      <c r="Q9764" t="n">
        <v>0</v>
      </c>
      <c r="R9764" s="2" t="inlineStr"/>
    </row>
    <row r="9765" ht="15" customHeight="1">
      <c r="A9765" t="inlineStr">
        <is>
          <t>A 3442-2024</t>
        </is>
      </c>
      <c r="B9765" s="1" t="n">
        <v>45320</v>
      </c>
      <c r="C9765" s="1" t="n">
        <v>45587</v>
      </c>
      <c r="D9765" t="inlineStr">
        <is>
          <t>GÄVLEBORGS LÄN</t>
        </is>
      </c>
      <c r="E9765" t="inlineStr">
        <is>
          <t>LJUSDAL</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3434-2024</t>
        </is>
      </c>
      <c r="B9766" s="1" t="n">
        <v>45320</v>
      </c>
      <c r="C9766" s="1" t="n">
        <v>45587</v>
      </c>
      <c r="D9766" t="inlineStr">
        <is>
          <t>GÄVLEBORGS LÄN</t>
        </is>
      </c>
      <c r="E9766" t="inlineStr">
        <is>
          <t>LJUSDAL</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3449-2024</t>
        </is>
      </c>
      <c r="B9767" s="1" t="n">
        <v>45320</v>
      </c>
      <c r="C9767" s="1" t="n">
        <v>45587</v>
      </c>
      <c r="D9767" t="inlineStr">
        <is>
          <t>GÄVLEBORGS LÄN</t>
        </is>
      </c>
      <c r="E9767" t="inlineStr">
        <is>
          <t>LJUSDAL</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3470-2024</t>
        </is>
      </c>
      <c r="B9768" s="1" t="n">
        <v>45320</v>
      </c>
      <c r="C9768" s="1" t="n">
        <v>45587</v>
      </c>
      <c r="D9768" t="inlineStr">
        <is>
          <t>GÄVLEBORGS LÄN</t>
        </is>
      </c>
      <c r="E9768" t="inlineStr">
        <is>
          <t>LJUSDAL</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3474-2024</t>
        </is>
      </c>
      <c r="B9769" s="1" t="n">
        <v>45320</v>
      </c>
      <c r="C9769" s="1" t="n">
        <v>45587</v>
      </c>
      <c r="D9769" t="inlineStr">
        <is>
          <t>GÄVLEBORGS LÄN</t>
        </is>
      </c>
      <c r="E9769" t="inlineStr">
        <is>
          <t>NORDANSTIG</t>
        </is>
      </c>
      <c r="F9769" t="inlineStr">
        <is>
          <t>Holmen skog AB</t>
        </is>
      </c>
      <c r="G9769" t="n">
        <v>5.7</v>
      </c>
      <c r="H9769" t="n">
        <v>0</v>
      </c>
      <c r="I9769" t="n">
        <v>0</v>
      </c>
      <c r="J9769" t="n">
        <v>0</v>
      </c>
      <c r="K9769" t="n">
        <v>0</v>
      </c>
      <c r="L9769" t="n">
        <v>0</v>
      </c>
      <c r="M9769" t="n">
        <v>0</v>
      </c>
      <c r="N9769" t="n">
        <v>0</v>
      </c>
      <c r="O9769" t="n">
        <v>0</v>
      </c>
      <c r="P9769" t="n">
        <v>0</v>
      </c>
      <c r="Q9769" t="n">
        <v>0</v>
      </c>
      <c r="R9769" s="2" t="inlineStr"/>
    </row>
    <row r="9770" ht="15" customHeight="1">
      <c r="A9770" t="inlineStr">
        <is>
          <t>A 3437-2024</t>
        </is>
      </c>
      <c r="B9770" s="1" t="n">
        <v>45320</v>
      </c>
      <c r="C9770" s="1" t="n">
        <v>45587</v>
      </c>
      <c r="D9770" t="inlineStr">
        <is>
          <t>GÄVLEBORGS LÄN</t>
        </is>
      </c>
      <c r="E9770" t="inlineStr">
        <is>
          <t>LJUSDAL</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3456-2024</t>
        </is>
      </c>
      <c r="B9771" s="1" t="n">
        <v>45320</v>
      </c>
      <c r="C9771" s="1" t="n">
        <v>45587</v>
      </c>
      <c r="D9771" t="inlineStr">
        <is>
          <t>GÄVLEBORGS LÄN</t>
        </is>
      </c>
      <c r="E9771" t="inlineStr">
        <is>
          <t>SANDVIKEN</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3508-2024</t>
        </is>
      </c>
      <c r="B9772" s="1" t="n">
        <v>45320</v>
      </c>
      <c r="C9772" s="1" t="n">
        <v>45587</v>
      </c>
      <c r="D9772" t="inlineStr">
        <is>
          <t>GÄVLEBORGS LÄN</t>
        </is>
      </c>
      <c r="E9772" t="inlineStr">
        <is>
          <t>LJUSDAL</t>
        </is>
      </c>
      <c r="G9772" t="n">
        <v>4.8</v>
      </c>
      <c r="H9772" t="n">
        <v>0</v>
      </c>
      <c r="I9772" t="n">
        <v>0</v>
      </c>
      <c r="J9772" t="n">
        <v>0</v>
      </c>
      <c r="K9772" t="n">
        <v>0</v>
      </c>
      <c r="L9772" t="n">
        <v>0</v>
      </c>
      <c r="M9772" t="n">
        <v>0</v>
      </c>
      <c r="N9772" t="n">
        <v>0</v>
      </c>
      <c r="O9772" t="n">
        <v>0</v>
      </c>
      <c r="P9772" t="n">
        <v>0</v>
      </c>
      <c r="Q9772" t="n">
        <v>0</v>
      </c>
      <c r="R9772" s="2" t="inlineStr"/>
    </row>
    <row r="9773" ht="15" customHeight="1">
      <c r="A9773" t="inlineStr">
        <is>
          <t>A 3443-2024</t>
        </is>
      </c>
      <c r="B9773" s="1" t="n">
        <v>45320</v>
      </c>
      <c r="C9773" s="1" t="n">
        <v>45587</v>
      </c>
      <c r="D9773" t="inlineStr">
        <is>
          <t>GÄVLEBORGS LÄN</t>
        </is>
      </c>
      <c r="E9773" t="inlineStr">
        <is>
          <t>OVANÅKER</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3486-2024</t>
        </is>
      </c>
      <c r="B9774" s="1" t="n">
        <v>45320</v>
      </c>
      <c r="C9774" s="1" t="n">
        <v>45587</v>
      </c>
      <c r="D9774" t="inlineStr">
        <is>
          <t>GÄVLEBORGS LÄN</t>
        </is>
      </c>
      <c r="E9774" t="inlineStr">
        <is>
          <t>BOLLNÄS</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3615-2024</t>
        </is>
      </c>
      <c r="B9775" s="1" t="n">
        <v>45320</v>
      </c>
      <c r="C9775" s="1" t="n">
        <v>45587</v>
      </c>
      <c r="D9775" t="inlineStr">
        <is>
          <t>GÄVLEBORGS LÄN</t>
        </is>
      </c>
      <c r="E9775" t="inlineStr">
        <is>
          <t>GÄVLE</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3731-2024</t>
        </is>
      </c>
      <c r="B9776" s="1" t="n">
        <v>45321</v>
      </c>
      <c r="C9776" s="1" t="n">
        <v>45587</v>
      </c>
      <c r="D9776" t="inlineStr">
        <is>
          <t>GÄVLEBORGS LÄN</t>
        </is>
      </c>
      <c r="E9776" t="inlineStr">
        <is>
          <t>SANDVIKEN</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3810-2024</t>
        </is>
      </c>
      <c r="B9777" s="1" t="n">
        <v>45321</v>
      </c>
      <c r="C9777" s="1" t="n">
        <v>45587</v>
      </c>
      <c r="D9777" t="inlineStr">
        <is>
          <t>GÄVLEBORGS LÄN</t>
        </is>
      </c>
      <c r="E9777" t="inlineStr">
        <is>
          <t>HUDIKSVALL</t>
        </is>
      </c>
      <c r="G9777" t="n">
        <v>14.4</v>
      </c>
      <c r="H9777" t="n">
        <v>0</v>
      </c>
      <c r="I9777" t="n">
        <v>0</v>
      </c>
      <c r="J9777" t="n">
        <v>0</v>
      </c>
      <c r="K9777" t="n">
        <v>0</v>
      </c>
      <c r="L9777" t="n">
        <v>0</v>
      </c>
      <c r="M9777" t="n">
        <v>0</v>
      </c>
      <c r="N9777" t="n">
        <v>0</v>
      </c>
      <c r="O9777" t="n">
        <v>0</v>
      </c>
      <c r="P9777" t="n">
        <v>0</v>
      </c>
      <c r="Q9777" t="n">
        <v>0</v>
      </c>
      <c r="R9777" s="2" t="inlineStr"/>
    </row>
    <row r="9778" ht="15" customHeight="1">
      <c r="A9778" t="inlineStr">
        <is>
          <t>A 3788-2024</t>
        </is>
      </c>
      <c r="B9778" s="1" t="n">
        <v>45321</v>
      </c>
      <c r="C9778" s="1" t="n">
        <v>45587</v>
      </c>
      <c r="D9778" t="inlineStr">
        <is>
          <t>GÄVLEBORGS LÄN</t>
        </is>
      </c>
      <c r="E9778" t="inlineStr">
        <is>
          <t>OCKELBO</t>
        </is>
      </c>
      <c r="G9778" t="n">
        <v>14.5</v>
      </c>
      <c r="H9778" t="n">
        <v>0</v>
      </c>
      <c r="I9778" t="n">
        <v>0</v>
      </c>
      <c r="J9778" t="n">
        <v>0</v>
      </c>
      <c r="K9778" t="n">
        <v>0</v>
      </c>
      <c r="L9778" t="n">
        <v>0</v>
      </c>
      <c r="M9778" t="n">
        <v>0</v>
      </c>
      <c r="N9778" t="n">
        <v>0</v>
      </c>
      <c r="O9778" t="n">
        <v>0</v>
      </c>
      <c r="P9778" t="n">
        <v>0</v>
      </c>
      <c r="Q9778" t="n">
        <v>0</v>
      </c>
      <c r="R9778" s="2" t="inlineStr"/>
    </row>
    <row r="9779" ht="15" customHeight="1">
      <c r="A9779" t="inlineStr">
        <is>
          <t>A 3833-2024</t>
        </is>
      </c>
      <c r="B9779" s="1" t="n">
        <v>45321</v>
      </c>
      <c r="C9779" s="1" t="n">
        <v>45587</v>
      </c>
      <c r="D9779" t="inlineStr">
        <is>
          <t>GÄVLEBORGS LÄN</t>
        </is>
      </c>
      <c r="E9779" t="inlineStr">
        <is>
          <t>SANDVIKEN</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3859-2024</t>
        </is>
      </c>
      <c r="B9780" s="1" t="n">
        <v>45322</v>
      </c>
      <c r="C9780" s="1" t="n">
        <v>45587</v>
      </c>
      <c r="D9780" t="inlineStr">
        <is>
          <t>GÄVLEBORGS LÄN</t>
        </is>
      </c>
      <c r="E9780" t="inlineStr">
        <is>
          <t>OVANÅKER</t>
        </is>
      </c>
      <c r="G9780" t="n">
        <v>7</v>
      </c>
      <c r="H9780" t="n">
        <v>0</v>
      </c>
      <c r="I9780" t="n">
        <v>0</v>
      </c>
      <c r="J9780" t="n">
        <v>0</v>
      </c>
      <c r="K9780" t="n">
        <v>0</v>
      </c>
      <c r="L9780" t="n">
        <v>0</v>
      </c>
      <c r="M9780" t="n">
        <v>0</v>
      </c>
      <c r="N9780" t="n">
        <v>0</v>
      </c>
      <c r="O9780" t="n">
        <v>0</v>
      </c>
      <c r="P9780" t="n">
        <v>0</v>
      </c>
      <c r="Q9780" t="n">
        <v>0</v>
      </c>
      <c r="R9780" s="2" t="inlineStr"/>
    </row>
    <row r="9781" ht="15" customHeight="1">
      <c r="A9781" t="inlineStr">
        <is>
          <t>A 3862-2024</t>
        </is>
      </c>
      <c r="B9781" s="1" t="n">
        <v>45322</v>
      </c>
      <c r="C9781" s="1" t="n">
        <v>45587</v>
      </c>
      <c r="D9781" t="inlineStr">
        <is>
          <t>GÄVLEBORGS LÄN</t>
        </is>
      </c>
      <c r="E9781" t="inlineStr">
        <is>
          <t>GÄVLE</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3871-2024</t>
        </is>
      </c>
      <c r="B9782" s="1" t="n">
        <v>45322</v>
      </c>
      <c r="C9782" s="1" t="n">
        <v>45587</v>
      </c>
      <c r="D9782" t="inlineStr">
        <is>
          <t>GÄVLEBORGS LÄN</t>
        </is>
      </c>
      <c r="E9782" t="inlineStr">
        <is>
          <t>OVANÅKER</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3907-2024</t>
        </is>
      </c>
      <c r="B9783" s="1" t="n">
        <v>45322</v>
      </c>
      <c r="C9783" s="1" t="n">
        <v>45587</v>
      </c>
      <c r="D9783" t="inlineStr">
        <is>
          <t>GÄVLEBORGS LÄN</t>
        </is>
      </c>
      <c r="E9783" t="inlineStr">
        <is>
          <t>OCKELBO</t>
        </is>
      </c>
      <c r="G9783" t="n">
        <v>4.8</v>
      </c>
      <c r="H9783" t="n">
        <v>0</v>
      </c>
      <c r="I9783" t="n">
        <v>0</v>
      </c>
      <c r="J9783" t="n">
        <v>0</v>
      </c>
      <c r="K9783" t="n">
        <v>0</v>
      </c>
      <c r="L9783" t="n">
        <v>0</v>
      </c>
      <c r="M9783" t="n">
        <v>0</v>
      </c>
      <c r="N9783" t="n">
        <v>0</v>
      </c>
      <c r="O9783" t="n">
        <v>0</v>
      </c>
      <c r="P9783" t="n">
        <v>0</v>
      </c>
      <c r="Q9783" t="n">
        <v>0</v>
      </c>
      <c r="R9783" s="2" t="inlineStr"/>
    </row>
    <row r="9784" ht="15" customHeight="1">
      <c r="A9784" t="inlineStr">
        <is>
          <t>A 3873-2024</t>
        </is>
      </c>
      <c r="B9784" s="1" t="n">
        <v>45322</v>
      </c>
      <c r="C9784" s="1" t="n">
        <v>45587</v>
      </c>
      <c r="D9784" t="inlineStr">
        <is>
          <t>GÄVLEBORGS LÄN</t>
        </is>
      </c>
      <c r="E9784" t="inlineStr">
        <is>
          <t>BOLLNÄS</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3877-2024</t>
        </is>
      </c>
      <c r="B9785" s="1" t="n">
        <v>45322</v>
      </c>
      <c r="C9785" s="1" t="n">
        <v>45587</v>
      </c>
      <c r="D9785" t="inlineStr">
        <is>
          <t>GÄVLEBORGS LÄN</t>
        </is>
      </c>
      <c r="E9785" t="inlineStr">
        <is>
          <t>OVANÅKER</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4087-2024</t>
        </is>
      </c>
      <c r="B9786" s="1" t="n">
        <v>45323</v>
      </c>
      <c r="C9786" s="1" t="n">
        <v>45587</v>
      </c>
      <c r="D9786" t="inlineStr">
        <is>
          <t>GÄVLEBORGS LÄN</t>
        </is>
      </c>
      <c r="E9786" t="inlineStr">
        <is>
          <t>OVANÅKER</t>
        </is>
      </c>
      <c r="G9786" t="n">
        <v>6.6</v>
      </c>
      <c r="H9786" t="n">
        <v>0</v>
      </c>
      <c r="I9786" t="n">
        <v>0</v>
      </c>
      <c r="J9786" t="n">
        <v>0</v>
      </c>
      <c r="K9786" t="n">
        <v>0</v>
      </c>
      <c r="L9786" t="n">
        <v>0</v>
      </c>
      <c r="M9786" t="n">
        <v>0</v>
      </c>
      <c r="N9786" t="n">
        <v>0</v>
      </c>
      <c r="O9786" t="n">
        <v>0</v>
      </c>
      <c r="P9786" t="n">
        <v>0</v>
      </c>
      <c r="Q9786" t="n">
        <v>0</v>
      </c>
      <c r="R9786" s="2" t="inlineStr"/>
    </row>
    <row r="9787" ht="15" customHeight="1">
      <c r="A9787" t="inlineStr">
        <is>
          <t>A 4095-2024</t>
        </is>
      </c>
      <c r="B9787" s="1" t="n">
        <v>45323</v>
      </c>
      <c r="C9787" s="1" t="n">
        <v>45587</v>
      </c>
      <c r="D9787" t="inlineStr">
        <is>
          <t>GÄVLEBORGS LÄN</t>
        </is>
      </c>
      <c r="E9787" t="inlineStr">
        <is>
          <t>LJUSDAL</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4021-2024</t>
        </is>
      </c>
      <c r="B9788" s="1" t="n">
        <v>45323</v>
      </c>
      <c r="C9788" s="1" t="n">
        <v>45587</v>
      </c>
      <c r="D9788" t="inlineStr">
        <is>
          <t>GÄVLEBORGS LÄN</t>
        </is>
      </c>
      <c r="E9788" t="inlineStr">
        <is>
          <t>LJUSDAL</t>
        </is>
      </c>
      <c r="G9788" t="n">
        <v>7</v>
      </c>
      <c r="H9788" t="n">
        <v>0</v>
      </c>
      <c r="I9788" t="n">
        <v>0</v>
      </c>
      <c r="J9788" t="n">
        <v>0</v>
      </c>
      <c r="K9788" t="n">
        <v>0</v>
      </c>
      <c r="L9788" t="n">
        <v>0</v>
      </c>
      <c r="M9788" t="n">
        <v>0</v>
      </c>
      <c r="N9788" t="n">
        <v>0</v>
      </c>
      <c r="O9788" t="n">
        <v>0</v>
      </c>
      <c r="P9788" t="n">
        <v>0</v>
      </c>
      <c r="Q9788" t="n">
        <v>0</v>
      </c>
      <c r="R9788" s="2" t="inlineStr"/>
    </row>
    <row r="9789" ht="15" customHeight="1">
      <c r="A9789" t="inlineStr">
        <is>
          <t>A 4069-2024</t>
        </is>
      </c>
      <c r="B9789" s="1" t="n">
        <v>45323</v>
      </c>
      <c r="C9789" s="1" t="n">
        <v>45587</v>
      </c>
      <c r="D9789" t="inlineStr">
        <is>
          <t>GÄVLEBORGS LÄN</t>
        </is>
      </c>
      <c r="E9789" t="inlineStr">
        <is>
          <t>OCKELBO</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4043-2024</t>
        </is>
      </c>
      <c r="B9790" s="1" t="n">
        <v>45323</v>
      </c>
      <c r="C9790" s="1" t="n">
        <v>45587</v>
      </c>
      <c r="D9790" t="inlineStr">
        <is>
          <t>GÄVLEBORGS LÄN</t>
        </is>
      </c>
      <c r="E9790" t="inlineStr">
        <is>
          <t>LJUSDAL</t>
        </is>
      </c>
      <c r="G9790" t="n">
        <v>9.9</v>
      </c>
      <c r="H9790" t="n">
        <v>0</v>
      </c>
      <c r="I9790" t="n">
        <v>0</v>
      </c>
      <c r="J9790" t="n">
        <v>0</v>
      </c>
      <c r="K9790" t="n">
        <v>0</v>
      </c>
      <c r="L9790" t="n">
        <v>0</v>
      </c>
      <c r="M9790" t="n">
        <v>0</v>
      </c>
      <c r="N9790" t="n">
        <v>0</v>
      </c>
      <c r="O9790" t="n">
        <v>0</v>
      </c>
      <c r="P9790" t="n">
        <v>0</v>
      </c>
      <c r="Q9790" t="n">
        <v>0</v>
      </c>
      <c r="R9790" s="2" t="inlineStr"/>
    </row>
    <row r="9791" ht="15" customHeight="1">
      <c r="A9791" t="inlineStr">
        <is>
          <t>A 4164-2024</t>
        </is>
      </c>
      <c r="B9791" s="1" t="n">
        <v>45323</v>
      </c>
      <c r="C9791" s="1" t="n">
        <v>45587</v>
      </c>
      <c r="D9791" t="inlineStr">
        <is>
          <t>GÄVLEBORGS LÄN</t>
        </is>
      </c>
      <c r="E9791" t="inlineStr">
        <is>
          <t>HUDIKSVALL</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4221-2024</t>
        </is>
      </c>
      <c r="B9792" s="1" t="n">
        <v>45324</v>
      </c>
      <c r="C9792" s="1" t="n">
        <v>45587</v>
      </c>
      <c r="D9792" t="inlineStr">
        <is>
          <t>GÄVLEBORGS LÄN</t>
        </is>
      </c>
      <c r="E9792" t="inlineStr">
        <is>
          <t>LJUSDAL</t>
        </is>
      </c>
      <c r="G9792" t="n">
        <v>14.5</v>
      </c>
      <c r="H9792" t="n">
        <v>0</v>
      </c>
      <c r="I9792" t="n">
        <v>0</v>
      </c>
      <c r="J9792" t="n">
        <v>0</v>
      </c>
      <c r="K9792" t="n">
        <v>0</v>
      </c>
      <c r="L9792" t="n">
        <v>0</v>
      </c>
      <c r="M9792" t="n">
        <v>0</v>
      </c>
      <c r="N9792" t="n">
        <v>0</v>
      </c>
      <c r="O9792" t="n">
        <v>0</v>
      </c>
      <c r="P9792" t="n">
        <v>0</v>
      </c>
      <c r="Q9792" t="n">
        <v>0</v>
      </c>
      <c r="R9792" s="2" t="inlineStr"/>
    </row>
    <row r="9793" ht="15" customHeight="1">
      <c r="A9793" t="inlineStr">
        <is>
          <t>A 4230-2024</t>
        </is>
      </c>
      <c r="B9793" s="1" t="n">
        <v>45324</v>
      </c>
      <c r="C9793" s="1" t="n">
        <v>45587</v>
      </c>
      <c r="D9793" t="inlineStr">
        <is>
          <t>GÄVLEBORGS LÄN</t>
        </is>
      </c>
      <c r="E9793" t="inlineStr">
        <is>
          <t>LJUSDAL</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4234-2024</t>
        </is>
      </c>
      <c r="B9794" s="1" t="n">
        <v>45324</v>
      </c>
      <c r="C9794" s="1" t="n">
        <v>45587</v>
      </c>
      <c r="D9794" t="inlineStr">
        <is>
          <t>GÄVLEBORGS LÄN</t>
        </is>
      </c>
      <c r="E9794" t="inlineStr">
        <is>
          <t>OVANÅKER</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4238-2024</t>
        </is>
      </c>
      <c r="B9795" s="1" t="n">
        <v>45324</v>
      </c>
      <c r="C9795" s="1" t="n">
        <v>45587</v>
      </c>
      <c r="D9795" t="inlineStr">
        <is>
          <t>GÄVLEBORGS LÄN</t>
        </is>
      </c>
      <c r="E9795" t="inlineStr">
        <is>
          <t>LJUSDAL</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4290-2024</t>
        </is>
      </c>
      <c r="B9796" s="1" t="n">
        <v>45324</v>
      </c>
      <c r="C9796" s="1" t="n">
        <v>45587</v>
      </c>
      <c r="D9796" t="inlineStr">
        <is>
          <t>GÄVLEBORGS LÄN</t>
        </is>
      </c>
      <c r="E9796" t="inlineStr">
        <is>
          <t>GÄVLE</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4294-2024</t>
        </is>
      </c>
      <c r="B9797" s="1" t="n">
        <v>45324</v>
      </c>
      <c r="C9797" s="1" t="n">
        <v>45587</v>
      </c>
      <c r="D9797" t="inlineStr">
        <is>
          <t>GÄVLEBORGS LÄN</t>
        </is>
      </c>
      <c r="E9797" t="inlineStr">
        <is>
          <t>GÄVLE</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4298-2024</t>
        </is>
      </c>
      <c r="B9798" s="1" t="n">
        <v>45324</v>
      </c>
      <c r="C9798" s="1" t="n">
        <v>45587</v>
      </c>
      <c r="D9798" t="inlineStr">
        <is>
          <t>GÄVLEBORGS LÄN</t>
        </is>
      </c>
      <c r="E9798" t="inlineStr">
        <is>
          <t>SÖDERHAMN</t>
        </is>
      </c>
      <c r="G9798" t="n">
        <v>5.1</v>
      </c>
      <c r="H9798" t="n">
        <v>0</v>
      </c>
      <c r="I9798" t="n">
        <v>0</v>
      </c>
      <c r="J9798" t="n">
        <v>0</v>
      </c>
      <c r="K9798" t="n">
        <v>0</v>
      </c>
      <c r="L9798" t="n">
        <v>0</v>
      </c>
      <c r="M9798" t="n">
        <v>0</v>
      </c>
      <c r="N9798" t="n">
        <v>0</v>
      </c>
      <c r="O9798" t="n">
        <v>0</v>
      </c>
      <c r="P9798" t="n">
        <v>0</v>
      </c>
      <c r="Q9798" t="n">
        <v>0</v>
      </c>
      <c r="R9798" s="2" t="inlineStr"/>
    </row>
    <row r="9799" ht="15" customHeight="1">
      <c r="A9799" t="inlineStr">
        <is>
          <t>A 4255-2024</t>
        </is>
      </c>
      <c r="B9799" s="1" t="n">
        <v>45324</v>
      </c>
      <c r="C9799" s="1" t="n">
        <v>45587</v>
      </c>
      <c r="D9799" t="inlineStr">
        <is>
          <t>GÄVLEBORGS LÄN</t>
        </is>
      </c>
      <c r="E9799" t="inlineStr">
        <is>
          <t>NORDANSTIG</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4283-2024</t>
        </is>
      </c>
      <c r="B9800" s="1" t="n">
        <v>45324</v>
      </c>
      <c r="C9800" s="1" t="n">
        <v>45587</v>
      </c>
      <c r="D9800" t="inlineStr">
        <is>
          <t>GÄVLEBORGS LÄN</t>
        </is>
      </c>
      <c r="E9800" t="inlineStr">
        <is>
          <t>SÖDERHAMN</t>
        </is>
      </c>
      <c r="G9800" t="n">
        <v>9.1</v>
      </c>
      <c r="H9800" t="n">
        <v>0</v>
      </c>
      <c r="I9800" t="n">
        <v>0</v>
      </c>
      <c r="J9800" t="n">
        <v>0</v>
      </c>
      <c r="K9800" t="n">
        <v>0</v>
      </c>
      <c r="L9800" t="n">
        <v>0</v>
      </c>
      <c r="M9800" t="n">
        <v>0</v>
      </c>
      <c r="N9800" t="n">
        <v>0</v>
      </c>
      <c r="O9800" t="n">
        <v>0</v>
      </c>
      <c r="P9800" t="n">
        <v>0</v>
      </c>
      <c r="Q9800" t="n">
        <v>0</v>
      </c>
      <c r="R9800" s="2" t="inlineStr"/>
    </row>
    <row r="9801" ht="15" customHeight="1">
      <c r="A9801" t="inlineStr">
        <is>
          <t>A 4287-2024</t>
        </is>
      </c>
      <c r="B9801" s="1" t="n">
        <v>45324</v>
      </c>
      <c r="C9801" s="1" t="n">
        <v>45587</v>
      </c>
      <c r="D9801" t="inlineStr">
        <is>
          <t>GÄVLEBORGS LÄN</t>
        </is>
      </c>
      <c r="E9801" t="inlineStr">
        <is>
          <t>GÄVLE</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4300-2024</t>
        </is>
      </c>
      <c r="B9802" s="1" t="n">
        <v>45324</v>
      </c>
      <c r="C9802" s="1" t="n">
        <v>45587</v>
      </c>
      <c r="D9802" t="inlineStr">
        <is>
          <t>GÄVLEBORGS LÄN</t>
        </is>
      </c>
      <c r="E9802" t="inlineStr">
        <is>
          <t>HUDIKSVALL</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4260-2024</t>
        </is>
      </c>
      <c r="B9803" s="1" t="n">
        <v>45324</v>
      </c>
      <c r="C9803" s="1" t="n">
        <v>45587</v>
      </c>
      <c r="D9803" t="inlineStr">
        <is>
          <t>GÄVLEBORGS LÄN</t>
        </is>
      </c>
      <c r="E9803" t="inlineStr">
        <is>
          <t>LJUSDAL</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4360-2024</t>
        </is>
      </c>
      <c r="B9804" s="1" t="n">
        <v>45325</v>
      </c>
      <c r="C9804" s="1" t="n">
        <v>45587</v>
      </c>
      <c r="D9804" t="inlineStr">
        <is>
          <t>GÄVLEBORGS LÄN</t>
        </is>
      </c>
      <c r="E9804" t="inlineStr">
        <is>
          <t>LJUSDAL</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4385-2024</t>
        </is>
      </c>
      <c r="B9805" s="1" t="n">
        <v>45327</v>
      </c>
      <c r="C9805" s="1" t="n">
        <v>45587</v>
      </c>
      <c r="D9805" t="inlineStr">
        <is>
          <t>GÄVLEBORGS LÄN</t>
        </is>
      </c>
      <c r="E9805" t="inlineStr">
        <is>
          <t>SANDVIKEN</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4407-2024</t>
        </is>
      </c>
      <c r="B9806" s="1" t="n">
        <v>45327</v>
      </c>
      <c r="C9806" s="1" t="n">
        <v>45587</v>
      </c>
      <c r="D9806" t="inlineStr">
        <is>
          <t>GÄVLEBORGS LÄN</t>
        </is>
      </c>
      <c r="E9806" t="inlineStr">
        <is>
          <t>HUDIKSVALL</t>
        </is>
      </c>
      <c r="G9806" t="n">
        <v>16.8</v>
      </c>
      <c r="H9806" t="n">
        <v>0</v>
      </c>
      <c r="I9806" t="n">
        <v>0</v>
      </c>
      <c r="J9806" t="n">
        <v>0</v>
      </c>
      <c r="K9806" t="n">
        <v>0</v>
      </c>
      <c r="L9806" t="n">
        <v>0</v>
      </c>
      <c r="M9806" t="n">
        <v>0</v>
      </c>
      <c r="N9806" t="n">
        <v>0</v>
      </c>
      <c r="O9806" t="n">
        <v>0</v>
      </c>
      <c r="P9806" t="n">
        <v>0</v>
      </c>
      <c r="Q9806" t="n">
        <v>0</v>
      </c>
      <c r="R9806" s="2" t="inlineStr"/>
    </row>
    <row r="9807" ht="15" customHeight="1">
      <c r="A9807" t="inlineStr">
        <is>
          <t>A 4420-2024</t>
        </is>
      </c>
      <c r="B9807" s="1" t="n">
        <v>45327</v>
      </c>
      <c r="C9807" s="1" t="n">
        <v>45587</v>
      </c>
      <c r="D9807" t="inlineStr">
        <is>
          <t>GÄVLEBORGS LÄN</t>
        </is>
      </c>
      <c r="E9807" t="inlineStr">
        <is>
          <t>LJUSDAL</t>
        </is>
      </c>
      <c r="F9807" t="inlineStr">
        <is>
          <t>Holmen skog AB</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4495-2024</t>
        </is>
      </c>
      <c r="B9808" s="1" t="n">
        <v>45327</v>
      </c>
      <c r="C9808" s="1" t="n">
        <v>45587</v>
      </c>
      <c r="D9808" t="inlineStr">
        <is>
          <t>GÄVLEBORGS LÄN</t>
        </is>
      </c>
      <c r="E9808" t="inlineStr">
        <is>
          <t>SANDVIKEN</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4511-2024</t>
        </is>
      </c>
      <c r="B9809" s="1" t="n">
        <v>45327</v>
      </c>
      <c r="C9809" s="1" t="n">
        <v>45587</v>
      </c>
      <c r="D9809" t="inlineStr">
        <is>
          <t>GÄVLEBORGS LÄN</t>
        </is>
      </c>
      <c r="E9809" t="inlineStr">
        <is>
          <t>SANDVIKEN</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4497-2024</t>
        </is>
      </c>
      <c r="B9810" s="1" t="n">
        <v>45327</v>
      </c>
      <c r="C9810" s="1" t="n">
        <v>45587</v>
      </c>
      <c r="D9810" t="inlineStr">
        <is>
          <t>GÄVLEBORGS LÄN</t>
        </is>
      </c>
      <c r="E9810" t="inlineStr">
        <is>
          <t>SÖDERHAMN</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4505-2024</t>
        </is>
      </c>
      <c r="B9811" s="1" t="n">
        <v>45327</v>
      </c>
      <c r="C9811" s="1" t="n">
        <v>45587</v>
      </c>
      <c r="D9811" t="inlineStr">
        <is>
          <t>GÄVLEBORGS LÄN</t>
        </is>
      </c>
      <c r="E9811" t="inlineStr">
        <is>
          <t>HUDIKSVALL</t>
        </is>
      </c>
      <c r="G9811" t="n">
        <v>0.2</v>
      </c>
      <c r="H9811" t="n">
        <v>0</v>
      </c>
      <c r="I9811" t="n">
        <v>0</v>
      </c>
      <c r="J9811" t="n">
        <v>0</v>
      </c>
      <c r="K9811" t="n">
        <v>0</v>
      </c>
      <c r="L9811" t="n">
        <v>0</v>
      </c>
      <c r="M9811" t="n">
        <v>0</v>
      </c>
      <c r="N9811" t="n">
        <v>0</v>
      </c>
      <c r="O9811" t="n">
        <v>0</v>
      </c>
      <c r="P9811" t="n">
        <v>0</v>
      </c>
      <c r="Q9811" t="n">
        <v>0</v>
      </c>
      <c r="R9811" s="2" t="inlineStr"/>
    </row>
    <row r="9812" ht="15" customHeight="1">
      <c r="A9812" t="inlineStr">
        <is>
          <t>A 4517-2024</t>
        </is>
      </c>
      <c r="B9812" s="1" t="n">
        <v>45327</v>
      </c>
      <c r="C9812" s="1" t="n">
        <v>45587</v>
      </c>
      <c r="D9812" t="inlineStr">
        <is>
          <t>GÄVLEBORGS LÄN</t>
        </is>
      </c>
      <c r="E9812" t="inlineStr">
        <is>
          <t>BOLLNÄS</t>
        </is>
      </c>
      <c r="G9812" t="n">
        <v>3.5</v>
      </c>
      <c r="H9812" t="n">
        <v>0</v>
      </c>
      <c r="I9812" t="n">
        <v>0</v>
      </c>
      <c r="J9812" t="n">
        <v>0</v>
      </c>
      <c r="K9812" t="n">
        <v>0</v>
      </c>
      <c r="L9812" t="n">
        <v>0</v>
      </c>
      <c r="M9812" t="n">
        <v>0</v>
      </c>
      <c r="N9812" t="n">
        <v>0</v>
      </c>
      <c r="O9812" t="n">
        <v>0</v>
      </c>
      <c r="P9812" t="n">
        <v>0</v>
      </c>
      <c r="Q9812" t="n">
        <v>0</v>
      </c>
      <c r="R9812" s="2" t="inlineStr"/>
    </row>
    <row r="9813" ht="15" customHeight="1">
      <c r="A9813" t="inlineStr">
        <is>
          <t>A 4500-2024</t>
        </is>
      </c>
      <c r="B9813" s="1" t="n">
        <v>45327</v>
      </c>
      <c r="C9813" s="1" t="n">
        <v>45587</v>
      </c>
      <c r="D9813" t="inlineStr">
        <is>
          <t>GÄVLEBORGS LÄN</t>
        </is>
      </c>
      <c r="E9813" t="inlineStr">
        <is>
          <t>SANDVIKEN</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4504-2024</t>
        </is>
      </c>
      <c r="B9814" s="1" t="n">
        <v>45327</v>
      </c>
      <c r="C9814" s="1" t="n">
        <v>45587</v>
      </c>
      <c r="D9814" t="inlineStr">
        <is>
          <t>GÄVLEBORGS LÄN</t>
        </is>
      </c>
      <c r="E9814" t="inlineStr">
        <is>
          <t>HUDIKSVALL</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4531-2024</t>
        </is>
      </c>
      <c r="B9815" s="1" t="n">
        <v>45327</v>
      </c>
      <c r="C9815" s="1" t="n">
        <v>45587</v>
      </c>
      <c r="D9815" t="inlineStr">
        <is>
          <t>GÄVLEBORGS LÄN</t>
        </is>
      </c>
      <c r="E9815" t="inlineStr">
        <is>
          <t>NORDANSTIG</t>
        </is>
      </c>
      <c r="F9815" t="inlineStr">
        <is>
          <t>Holmen skog AB</t>
        </is>
      </c>
      <c r="G9815" t="n">
        <v>7.2</v>
      </c>
      <c r="H9815" t="n">
        <v>0</v>
      </c>
      <c r="I9815" t="n">
        <v>0</v>
      </c>
      <c r="J9815" t="n">
        <v>0</v>
      </c>
      <c r="K9815" t="n">
        <v>0</v>
      </c>
      <c r="L9815" t="n">
        <v>0</v>
      </c>
      <c r="M9815" t="n">
        <v>0</v>
      </c>
      <c r="N9815" t="n">
        <v>0</v>
      </c>
      <c r="O9815" t="n">
        <v>0</v>
      </c>
      <c r="P9815" t="n">
        <v>0</v>
      </c>
      <c r="Q9815" t="n">
        <v>0</v>
      </c>
      <c r="R9815" s="2" t="inlineStr"/>
    </row>
    <row r="9816" ht="15" customHeight="1">
      <c r="A9816" t="inlineStr">
        <is>
          <t>A 4498-2024</t>
        </is>
      </c>
      <c r="B9816" s="1" t="n">
        <v>45327</v>
      </c>
      <c r="C9816" s="1" t="n">
        <v>45587</v>
      </c>
      <c r="D9816" t="inlineStr">
        <is>
          <t>GÄVLEBORGS LÄN</t>
        </is>
      </c>
      <c r="E9816" t="inlineStr">
        <is>
          <t>SANDVIKEN</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4502-2024</t>
        </is>
      </c>
      <c r="B9817" s="1" t="n">
        <v>45327</v>
      </c>
      <c r="C9817" s="1" t="n">
        <v>45587</v>
      </c>
      <c r="D9817" t="inlineStr">
        <is>
          <t>GÄVLEBORGS LÄN</t>
        </is>
      </c>
      <c r="E9817" t="inlineStr">
        <is>
          <t>SANDVIKEN</t>
        </is>
      </c>
      <c r="G9817" t="n">
        <v>0.2</v>
      </c>
      <c r="H9817" t="n">
        <v>0</v>
      </c>
      <c r="I9817" t="n">
        <v>0</v>
      </c>
      <c r="J9817" t="n">
        <v>0</v>
      </c>
      <c r="K9817" t="n">
        <v>0</v>
      </c>
      <c r="L9817" t="n">
        <v>0</v>
      </c>
      <c r="M9817" t="n">
        <v>0</v>
      </c>
      <c r="N9817" t="n">
        <v>0</v>
      </c>
      <c r="O9817" t="n">
        <v>0</v>
      </c>
      <c r="P9817" t="n">
        <v>0</v>
      </c>
      <c r="Q9817" t="n">
        <v>0</v>
      </c>
      <c r="R9817" s="2" t="inlineStr"/>
    </row>
    <row r="9818" ht="15" customHeight="1">
      <c r="A9818" t="inlineStr">
        <is>
          <t>A 4557-2024</t>
        </is>
      </c>
      <c r="B9818" s="1" t="n">
        <v>45327</v>
      </c>
      <c r="C9818" s="1" t="n">
        <v>45587</v>
      </c>
      <c r="D9818" t="inlineStr">
        <is>
          <t>GÄVLEBORGS LÄN</t>
        </is>
      </c>
      <c r="E9818" t="inlineStr">
        <is>
          <t>SÖDERHAMN</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4565-2024</t>
        </is>
      </c>
      <c r="B9819" s="1" t="n">
        <v>45327</v>
      </c>
      <c r="C9819" s="1" t="n">
        <v>45587</v>
      </c>
      <c r="D9819" t="inlineStr">
        <is>
          <t>GÄVLEBORGS LÄN</t>
        </is>
      </c>
      <c r="E9819" t="inlineStr">
        <is>
          <t>HUDIKSVALL</t>
        </is>
      </c>
      <c r="F9819" t="inlineStr">
        <is>
          <t>Holmen skog AB</t>
        </is>
      </c>
      <c r="G9819" t="n">
        <v>34.7</v>
      </c>
      <c r="H9819" t="n">
        <v>0</v>
      </c>
      <c r="I9819" t="n">
        <v>0</v>
      </c>
      <c r="J9819" t="n">
        <v>0</v>
      </c>
      <c r="K9819" t="n">
        <v>0</v>
      </c>
      <c r="L9819" t="n">
        <v>0</v>
      </c>
      <c r="M9819" t="n">
        <v>0</v>
      </c>
      <c r="N9819" t="n">
        <v>0</v>
      </c>
      <c r="O9819" t="n">
        <v>0</v>
      </c>
      <c r="P9819" t="n">
        <v>0</v>
      </c>
      <c r="Q9819" t="n">
        <v>0</v>
      </c>
      <c r="R9819" s="2" t="inlineStr"/>
    </row>
    <row r="9820" ht="15" customHeight="1">
      <c r="A9820" t="inlineStr">
        <is>
          <t>A 4582-2024</t>
        </is>
      </c>
      <c r="B9820" s="1" t="n">
        <v>45327</v>
      </c>
      <c r="C9820" s="1" t="n">
        <v>45587</v>
      </c>
      <c r="D9820" t="inlineStr">
        <is>
          <t>GÄVLEBORGS LÄN</t>
        </is>
      </c>
      <c r="E9820" t="inlineStr">
        <is>
          <t>LJUSDAL</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4573-2024</t>
        </is>
      </c>
      <c r="B9821" s="1" t="n">
        <v>45327</v>
      </c>
      <c r="C9821" s="1" t="n">
        <v>45587</v>
      </c>
      <c r="D9821" t="inlineStr">
        <is>
          <t>GÄVLEBORGS LÄN</t>
        </is>
      </c>
      <c r="E9821" t="inlineStr">
        <is>
          <t>HUDIKSVALL</t>
        </is>
      </c>
      <c r="F9821" t="inlineStr">
        <is>
          <t>Holmen skog AB</t>
        </is>
      </c>
      <c r="G9821" t="n">
        <v>7.5</v>
      </c>
      <c r="H9821" t="n">
        <v>0</v>
      </c>
      <c r="I9821" t="n">
        <v>0</v>
      </c>
      <c r="J9821" t="n">
        <v>0</v>
      </c>
      <c r="K9821" t="n">
        <v>0</v>
      </c>
      <c r="L9821" t="n">
        <v>0</v>
      </c>
      <c r="M9821" t="n">
        <v>0</v>
      </c>
      <c r="N9821" t="n">
        <v>0</v>
      </c>
      <c r="O9821" t="n">
        <v>0</v>
      </c>
      <c r="P9821" t="n">
        <v>0</v>
      </c>
      <c r="Q9821" t="n">
        <v>0</v>
      </c>
      <c r="R9821" s="2" t="inlineStr"/>
    </row>
    <row r="9822" ht="15" customHeight="1">
      <c r="A9822" t="inlineStr">
        <is>
          <t>A 4581-2024</t>
        </is>
      </c>
      <c r="B9822" s="1" t="n">
        <v>45327</v>
      </c>
      <c r="C9822" s="1" t="n">
        <v>45587</v>
      </c>
      <c r="D9822" t="inlineStr">
        <is>
          <t>GÄVLEBORGS LÄN</t>
        </is>
      </c>
      <c r="E9822" t="inlineStr">
        <is>
          <t>LJUSDAL</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4580-2024</t>
        </is>
      </c>
      <c r="B9823" s="1" t="n">
        <v>45327</v>
      </c>
      <c r="C9823" s="1" t="n">
        <v>45587</v>
      </c>
      <c r="D9823" t="inlineStr">
        <is>
          <t>GÄVLEBORGS LÄN</t>
        </is>
      </c>
      <c r="E9823" t="inlineStr">
        <is>
          <t>LJUSDAL</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4607-2024</t>
        </is>
      </c>
      <c r="B9824" s="1" t="n">
        <v>45328</v>
      </c>
      <c r="C9824" s="1" t="n">
        <v>45587</v>
      </c>
      <c r="D9824" t="inlineStr">
        <is>
          <t>GÄVLEBORGS LÄN</t>
        </is>
      </c>
      <c r="E9824" t="inlineStr">
        <is>
          <t>OVANÅKER</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4685-2024</t>
        </is>
      </c>
      <c r="B9825" s="1" t="n">
        <v>45328</v>
      </c>
      <c r="C9825" s="1" t="n">
        <v>45587</v>
      </c>
      <c r="D9825" t="inlineStr">
        <is>
          <t>GÄVLEBORGS LÄN</t>
        </is>
      </c>
      <c r="E9825" t="inlineStr">
        <is>
          <t>HUDIKSVALL</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4683-2024</t>
        </is>
      </c>
      <c r="B9826" s="1" t="n">
        <v>45328</v>
      </c>
      <c r="C9826" s="1" t="n">
        <v>45587</v>
      </c>
      <c r="D9826" t="inlineStr">
        <is>
          <t>GÄVLEBORGS LÄN</t>
        </is>
      </c>
      <c r="E9826" t="inlineStr">
        <is>
          <t>HUDIKSVALL</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4619-2024</t>
        </is>
      </c>
      <c r="B9827" s="1" t="n">
        <v>45328</v>
      </c>
      <c r="C9827" s="1" t="n">
        <v>45587</v>
      </c>
      <c r="D9827" t="inlineStr">
        <is>
          <t>GÄVLEBORGS LÄN</t>
        </is>
      </c>
      <c r="E9827" t="inlineStr">
        <is>
          <t>HUDIKSVALL</t>
        </is>
      </c>
      <c r="F9827" t="inlineStr">
        <is>
          <t>Holmen skog AB</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4763-2024</t>
        </is>
      </c>
      <c r="B9828" s="1" t="n">
        <v>45328</v>
      </c>
      <c r="C9828" s="1" t="n">
        <v>45587</v>
      </c>
      <c r="D9828" t="inlineStr">
        <is>
          <t>GÄVLEBORGS LÄN</t>
        </is>
      </c>
      <c r="E9828" t="inlineStr">
        <is>
          <t>LJUSDAL</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4741-2024</t>
        </is>
      </c>
      <c r="B9829" s="1" t="n">
        <v>45328</v>
      </c>
      <c r="C9829" s="1" t="n">
        <v>45587</v>
      </c>
      <c r="D9829" t="inlineStr">
        <is>
          <t>GÄVLEBORGS LÄN</t>
        </is>
      </c>
      <c r="E9829" t="inlineStr">
        <is>
          <t>OCKELBO</t>
        </is>
      </c>
      <c r="F9829" t="inlineStr">
        <is>
          <t>Bergvik skog väst AB</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4814-2024</t>
        </is>
      </c>
      <c r="B9830" s="1" t="n">
        <v>45328</v>
      </c>
      <c r="C9830" s="1" t="n">
        <v>45587</v>
      </c>
      <c r="D9830" t="inlineStr">
        <is>
          <t>GÄVLEBORGS LÄN</t>
        </is>
      </c>
      <c r="E9830" t="inlineStr">
        <is>
          <t>GÄVLE</t>
        </is>
      </c>
      <c r="G9830" t="n">
        <v>7.9</v>
      </c>
      <c r="H9830" t="n">
        <v>0</v>
      </c>
      <c r="I9830" t="n">
        <v>0</v>
      </c>
      <c r="J9830" t="n">
        <v>0</v>
      </c>
      <c r="K9830" t="n">
        <v>0</v>
      </c>
      <c r="L9830" t="n">
        <v>0</v>
      </c>
      <c r="M9830" t="n">
        <v>0</v>
      </c>
      <c r="N9830" t="n">
        <v>0</v>
      </c>
      <c r="O9830" t="n">
        <v>0</v>
      </c>
      <c r="P9830" t="n">
        <v>0</v>
      </c>
      <c r="Q9830" t="n">
        <v>0</v>
      </c>
      <c r="R9830" s="2" t="inlineStr"/>
    </row>
    <row r="9831" ht="15" customHeight="1">
      <c r="A9831" t="inlineStr">
        <is>
          <t>A 4826-2024</t>
        </is>
      </c>
      <c r="B9831" s="1" t="n">
        <v>45328</v>
      </c>
      <c r="C9831" s="1" t="n">
        <v>45587</v>
      </c>
      <c r="D9831" t="inlineStr">
        <is>
          <t>GÄVLEBORGS LÄN</t>
        </is>
      </c>
      <c r="E9831" t="inlineStr">
        <is>
          <t>LJUSDAL</t>
        </is>
      </c>
      <c r="G9831" t="n">
        <v>7.4</v>
      </c>
      <c r="H9831" t="n">
        <v>0</v>
      </c>
      <c r="I9831" t="n">
        <v>0</v>
      </c>
      <c r="J9831" t="n">
        <v>0</v>
      </c>
      <c r="K9831" t="n">
        <v>0</v>
      </c>
      <c r="L9831" t="n">
        <v>0</v>
      </c>
      <c r="M9831" t="n">
        <v>0</v>
      </c>
      <c r="N9831" t="n">
        <v>0</v>
      </c>
      <c r="O9831" t="n">
        <v>0</v>
      </c>
      <c r="P9831" t="n">
        <v>0</v>
      </c>
      <c r="Q9831" t="n">
        <v>0</v>
      </c>
      <c r="R9831" s="2" t="inlineStr"/>
    </row>
    <row r="9832" ht="15" customHeight="1">
      <c r="A9832" t="inlineStr">
        <is>
          <t>A 4830-2024</t>
        </is>
      </c>
      <c r="B9832" s="1" t="n">
        <v>45329</v>
      </c>
      <c r="C9832" s="1" t="n">
        <v>45587</v>
      </c>
      <c r="D9832" t="inlineStr">
        <is>
          <t>GÄVLEBORGS LÄN</t>
        </is>
      </c>
      <c r="E9832" t="inlineStr">
        <is>
          <t>OVANÅKER</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4874-2024</t>
        </is>
      </c>
      <c r="B9833" s="1" t="n">
        <v>45329</v>
      </c>
      <c r="C9833" s="1" t="n">
        <v>45587</v>
      </c>
      <c r="D9833" t="inlineStr">
        <is>
          <t>GÄVLEBORGS LÄN</t>
        </is>
      </c>
      <c r="E9833" t="inlineStr">
        <is>
          <t>HUDIKSVALL</t>
        </is>
      </c>
      <c r="F9833" t="inlineStr">
        <is>
          <t>Holmen skog AB</t>
        </is>
      </c>
      <c r="G9833" t="n">
        <v>40.8</v>
      </c>
      <c r="H9833" t="n">
        <v>0</v>
      </c>
      <c r="I9833" t="n">
        <v>0</v>
      </c>
      <c r="J9833" t="n">
        <v>0</v>
      </c>
      <c r="K9833" t="n">
        <v>0</v>
      </c>
      <c r="L9833" t="n">
        <v>0</v>
      </c>
      <c r="M9833" t="n">
        <v>0</v>
      </c>
      <c r="N9833" t="n">
        <v>0</v>
      </c>
      <c r="O9833" t="n">
        <v>0</v>
      </c>
      <c r="P9833" t="n">
        <v>0</v>
      </c>
      <c r="Q9833" t="n">
        <v>0</v>
      </c>
      <c r="R9833" s="2" t="inlineStr"/>
    </row>
    <row r="9834" ht="15" customHeight="1">
      <c r="A9834" t="inlineStr">
        <is>
          <t>A 4912-2024</t>
        </is>
      </c>
      <c r="B9834" s="1" t="n">
        <v>45329</v>
      </c>
      <c r="C9834" s="1" t="n">
        <v>45587</v>
      </c>
      <c r="D9834" t="inlineStr">
        <is>
          <t>GÄVLEBORGS LÄN</t>
        </is>
      </c>
      <c r="E9834" t="inlineStr">
        <is>
          <t>BOLLNÄS</t>
        </is>
      </c>
      <c r="G9834" t="n">
        <v>5.2</v>
      </c>
      <c r="H9834" t="n">
        <v>0</v>
      </c>
      <c r="I9834" t="n">
        <v>0</v>
      </c>
      <c r="J9834" t="n">
        <v>0</v>
      </c>
      <c r="K9834" t="n">
        <v>0</v>
      </c>
      <c r="L9834" t="n">
        <v>0</v>
      </c>
      <c r="M9834" t="n">
        <v>0</v>
      </c>
      <c r="N9834" t="n">
        <v>0</v>
      </c>
      <c r="O9834" t="n">
        <v>0</v>
      </c>
      <c r="P9834" t="n">
        <v>0</v>
      </c>
      <c r="Q9834" t="n">
        <v>0</v>
      </c>
      <c r="R9834" s="2" t="inlineStr"/>
    </row>
    <row r="9835" ht="15" customHeight="1">
      <c r="A9835" t="inlineStr">
        <is>
          <t>A 5010-2024</t>
        </is>
      </c>
      <c r="B9835" s="1" t="n">
        <v>45329</v>
      </c>
      <c r="C9835" s="1" t="n">
        <v>45587</v>
      </c>
      <c r="D9835" t="inlineStr">
        <is>
          <t>GÄVLEBORGS LÄN</t>
        </is>
      </c>
      <c r="E9835" t="inlineStr">
        <is>
          <t>SANDVIKEN</t>
        </is>
      </c>
      <c r="G9835" t="n">
        <v>9</v>
      </c>
      <c r="H9835" t="n">
        <v>0</v>
      </c>
      <c r="I9835" t="n">
        <v>0</v>
      </c>
      <c r="J9835" t="n">
        <v>0</v>
      </c>
      <c r="K9835" t="n">
        <v>0</v>
      </c>
      <c r="L9835" t="n">
        <v>0</v>
      </c>
      <c r="M9835" t="n">
        <v>0</v>
      </c>
      <c r="N9835" t="n">
        <v>0</v>
      </c>
      <c r="O9835" t="n">
        <v>0</v>
      </c>
      <c r="P9835" t="n">
        <v>0</v>
      </c>
      <c r="Q9835" t="n">
        <v>0</v>
      </c>
      <c r="R9835" s="2" t="inlineStr"/>
    </row>
    <row r="9836" ht="15" customHeight="1">
      <c r="A9836" t="inlineStr">
        <is>
          <t>A 5000-2024</t>
        </is>
      </c>
      <c r="B9836" s="1" t="n">
        <v>45329</v>
      </c>
      <c r="C9836" s="1" t="n">
        <v>45587</v>
      </c>
      <c r="D9836" t="inlineStr">
        <is>
          <t>GÄVLEBORGS LÄN</t>
        </is>
      </c>
      <c r="E9836" t="inlineStr">
        <is>
          <t>GÄVLE</t>
        </is>
      </c>
      <c r="G9836" t="n">
        <v>4.1</v>
      </c>
      <c r="H9836" t="n">
        <v>0</v>
      </c>
      <c r="I9836" t="n">
        <v>0</v>
      </c>
      <c r="J9836" t="n">
        <v>0</v>
      </c>
      <c r="K9836" t="n">
        <v>0</v>
      </c>
      <c r="L9836" t="n">
        <v>0</v>
      </c>
      <c r="M9836" t="n">
        <v>0</v>
      </c>
      <c r="N9836" t="n">
        <v>0</v>
      </c>
      <c r="O9836" t="n">
        <v>0</v>
      </c>
      <c r="P9836" t="n">
        <v>0</v>
      </c>
      <c r="Q9836" t="n">
        <v>0</v>
      </c>
      <c r="R9836" s="2" t="inlineStr"/>
    </row>
    <row r="9837" ht="15" customHeight="1">
      <c r="A9837" t="inlineStr">
        <is>
          <t>A 5081-2024</t>
        </is>
      </c>
      <c r="B9837" s="1" t="n">
        <v>45330</v>
      </c>
      <c r="C9837" s="1" t="n">
        <v>45587</v>
      </c>
      <c r="D9837" t="inlineStr">
        <is>
          <t>GÄVLEBORGS LÄN</t>
        </is>
      </c>
      <c r="E9837" t="inlineStr">
        <is>
          <t>BOLLNÄS</t>
        </is>
      </c>
      <c r="G9837" t="n">
        <v>6.8</v>
      </c>
      <c r="H9837" t="n">
        <v>0</v>
      </c>
      <c r="I9837" t="n">
        <v>0</v>
      </c>
      <c r="J9837" t="n">
        <v>0</v>
      </c>
      <c r="K9837" t="n">
        <v>0</v>
      </c>
      <c r="L9837" t="n">
        <v>0</v>
      </c>
      <c r="M9837" t="n">
        <v>0</v>
      </c>
      <c r="N9837" t="n">
        <v>0</v>
      </c>
      <c r="O9837" t="n">
        <v>0</v>
      </c>
      <c r="P9837" t="n">
        <v>0</v>
      </c>
      <c r="Q9837" t="n">
        <v>0</v>
      </c>
      <c r="R9837" s="2" t="inlineStr"/>
    </row>
    <row r="9838" ht="15" customHeight="1">
      <c r="A9838" t="inlineStr">
        <is>
          <t>A 5131-2024</t>
        </is>
      </c>
      <c r="B9838" s="1" t="n">
        <v>45330</v>
      </c>
      <c r="C9838" s="1" t="n">
        <v>45587</v>
      </c>
      <c r="D9838" t="inlineStr">
        <is>
          <t>GÄVLEBORGS LÄN</t>
        </is>
      </c>
      <c r="E9838" t="inlineStr">
        <is>
          <t>OCKELBO</t>
        </is>
      </c>
      <c r="F9838" t="inlineStr">
        <is>
          <t>Bergvik skog väst AB</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5151-2024</t>
        </is>
      </c>
      <c r="B9839" s="1" t="n">
        <v>45330</v>
      </c>
      <c r="C9839" s="1" t="n">
        <v>45587</v>
      </c>
      <c r="D9839" t="inlineStr">
        <is>
          <t>GÄVLEBORGS LÄN</t>
        </is>
      </c>
      <c r="E9839" t="inlineStr">
        <is>
          <t>OVANÅKER</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5092-2024</t>
        </is>
      </c>
      <c r="B9840" s="1" t="n">
        <v>45330</v>
      </c>
      <c r="C9840" s="1" t="n">
        <v>45587</v>
      </c>
      <c r="D9840" t="inlineStr">
        <is>
          <t>GÄVLEBORGS LÄN</t>
        </is>
      </c>
      <c r="E9840" t="inlineStr">
        <is>
          <t>LJUSDAL</t>
        </is>
      </c>
      <c r="G9840" t="n">
        <v>4.8</v>
      </c>
      <c r="H9840" t="n">
        <v>0</v>
      </c>
      <c r="I9840" t="n">
        <v>0</v>
      </c>
      <c r="J9840" t="n">
        <v>0</v>
      </c>
      <c r="K9840" t="n">
        <v>0</v>
      </c>
      <c r="L9840" t="n">
        <v>0</v>
      </c>
      <c r="M9840" t="n">
        <v>0</v>
      </c>
      <c r="N9840" t="n">
        <v>0</v>
      </c>
      <c r="O9840" t="n">
        <v>0</v>
      </c>
      <c r="P9840" t="n">
        <v>0</v>
      </c>
      <c r="Q9840" t="n">
        <v>0</v>
      </c>
      <c r="R9840" s="2" t="inlineStr"/>
    </row>
    <row r="9841" ht="15" customHeight="1">
      <c r="A9841" t="inlineStr">
        <is>
          <t>A 5090-2024</t>
        </is>
      </c>
      <c r="B9841" s="1" t="n">
        <v>45330</v>
      </c>
      <c r="C9841" s="1" t="n">
        <v>45587</v>
      </c>
      <c r="D9841" t="inlineStr">
        <is>
          <t>GÄVLEBORGS LÄN</t>
        </is>
      </c>
      <c r="E9841" t="inlineStr">
        <is>
          <t>LJUSDAL</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5098-2024</t>
        </is>
      </c>
      <c r="B9842" s="1" t="n">
        <v>45330</v>
      </c>
      <c r="C9842" s="1" t="n">
        <v>45587</v>
      </c>
      <c r="D9842" t="inlineStr">
        <is>
          <t>GÄVLEBORGS LÄN</t>
        </is>
      </c>
      <c r="E9842" t="inlineStr">
        <is>
          <t>LJUSDAL</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5244-2024</t>
        </is>
      </c>
      <c r="B9843" s="1" t="n">
        <v>45330</v>
      </c>
      <c r="C9843" s="1" t="n">
        <v>45587</v>
      </c>
      <c r="D9843" t="inlineStr">
        <is>
          <t>GÄVLEBORGS LÄN</t>
        </is>
      </c>
      <c r="E9843" t="inlineStr">
        <is>
          <t>SANDVIKEN</t>
        </is>
      </c>
      <c r="G9843" t="n">
        <v>8.5</v>
      </c>
      <c r="H9843" t="n">
        <v>0</v>
      </c>
      <c r="I9843" t="n">
        <v>0</v>
      </c>
      <c r="J9843" t="n">
        <v>0</v>
      </c>
      <c r="K9843" t="n">
        <v>0</v>
      </c>
      <c r="L9843" t="n">
        <v>0</v>
      </c>
      <c r="M9843" t="n">
        <v>0</v>
      </c>
      <c r="N9843" t="n">
        <v>0</v>
      </c>
      <c r="O9843" t="n">
        <v>0</v>
      </c>
      <c r="P9843" t="n">
        <v>0</v>
      </c>
      <c r="Q9843" t="n">
        <v>0</v>
      </c>
      <c r="R9843" s="2" t="inlineStr"/>
    </row>
    <row r="9844" ht="15" customHeight="1">
      <c r="A9844" t="inlineStr">
        <is>
          <t>A 5230-2024</t>
        </is>
      </c>
      <c r="B9844" s="1" t="n">
        <v>45330</v>
      </c>
      <c r="C9844" s="1" t="n">
        <v>45587</v>
      </c>
      <c r="D9844" t="inlineStr">
        <is>
          <t>GÄVLEBORGS LÄN</t>
        </is>
      </c>
      <c r="E9844" t="inlineStr">
        <is>
          <t>HUDIKSVALL</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5243-2024</t>
        </is>
      </c>
      <c r="B9845" s="1" t="n">
        <v>45330</v>
      </c>
      <c r="C9845" s="1" t="n">
        <v>45587</v>
      </c>
      <c r="D9845" t="inlineStr">
        <is>
          <t>GÄVLEBORGS LÄN</t>
        </is>
      </c>
      <c r="E9845" t="inlineStr">
        <is>
          <t>GÄVLE</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5225-2024</t>
        </is>
      </c>
      <c r="B9846" s="1" t="n">
        <v>45330</v>
      </c>
      <c r="C9846" s="1" t="n">
        <v>45587</v>
      </c>
      <c r="D9846" t="inlineStr">
        <is>
          <t>GÄVLEBORGS LÄN</t>
        </is>
      </c>
      <c r="E9846" t="inlineStr">
        <is>
          <t>LJUSDAL</t>
        </is>
      </c>
      <c r="G9846" t="n">
        <v>5.1</v>
      </c>
      <c r="H9846" t="n">
        <v>0</v>
      </c>
      <c r="I9846" t="n">
        <v>0</v>
      </c>
      <c r="J9846" t="n">
        <v>0</v>
      </c>
      <c r="K9846" t="n">
        <v>0</v>
      </c>
      <c r="L9846" t="n">
        <v>0</v>
      </c>
      <c r="M9846" t="n">
        <v>0</v>
      </c>
      <c r="N9846" t="n">
        <v>0</v>
      </c>
      <c r="O9846" t="n">
        <v>0</v>
      </c>
      <c r="P9846" t="n">
        <v>0</v>
      </c>
      <c r="Q9846" t="n">
        <v>0</v>
      </c>
      <c r="R9846" s="2" t="inlineStr"/>
    </row>
    <row r="9847" ht="15" customHeight="1">
      <c r="A9847" t="inlineStr">
        <is>
          <t>A 5241-2024</t>
        </is>
      </c>
      <c r="B9847" s="1" t="n">
        <v>45330</v>
      </c>
      <c r="C9847" s="1" t="n">
        <v>45587</v>
      </c>
      <c r="D9847" t="inlineStr">
        <is>
          <t>GÄVLEBORGS LÄN</t>
        </is>
      </c>
      <c r="E9847" t="inlineStr">
        <is>
          <t>GÄVLE</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5309-2024</t>
        </is>
      </c>
      <c r="B9848" s="1" t="n">
        <v>45331</v>
      </c>
      <c r="C9848" s="1" t="n">
        <v>45587</v>
      </c>
      <c r="D9848" t="inlineStr">
        <is>
          <t>GÄVLEBORGS LÄN</t>
        </is>
      </c>
      <c r="E9848" t="inlineStr">
        <is>
          <t>OVANÅKER</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5366-2024</t>
        </is>
      </c>
      <c r="B9849" s="1" t="n">
        <v>45331</v>
      </c>
      <c r="C9849" s="1" t="n">
        <v>45587</v>
      </c>
      <c r="D9849" t="inlineStr">
        <is>
          <t>GÄVLEBORGS LÄN</t>
        </is>
      </c>
      <c r="E9849" t="inlineStr">
        <is>
          <t>SÖDERHAMN</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5388-2024</t>
        </is>
      </c>
      <c r="B9850" s="1" t="n">
        <v>45331</v>
      </c>
      <c r="C9850" s="1" t="n">
        <v>45587</v>
      </c>
      <c r="D9850" t="inlineStr">
        <is>
          <t>GÄVLEBORGS LÄN</t>
        </is>
      </c>
      <c r="E9850" t="inlineStr">
        <is>
          <t>BOLLNÄS</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5385-2024</t>
        </is>
      </c>
      <c r="B9851" s="1" t="n">
        <v>45331</v>
      </c>
      <c r="C9851" s="1" t="n">
        <v>45587</v>
      </c>
      <c r="D9851" t="inlineStr">
        <is>
          <t>GÄVLEBORGS LÄN</t>
        </is>
      </c>
      <c r="E9851" t="inlineStr">
        <is>
          <t>NORDANSTIG</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5416-2024</t>
        </is>
      </c>
      <c r="B9852" s="1" t="n">
        <v>45331</v>
      </c>
      <c r="C9852" s="1" t="n">
        <v>45587</v>
      </c>
      <c r="D9852" t="inlineStr">
        <is>
          <t>GÄVLEBORGS LÄN</t>
        </is>
      </c>
      <c r="E9852" t="inlineStr">
        <is>
          <t>OVANÅKER</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5481-2024</t>
        </is>
      </c>
      <c r="B9853" s="1" t="n">
        <v>45333</v>
      </c>
      <c r="C9853" s="1" t="n">
        <v>45587</v>
      </c>
      <c r="D9853" t="inlineStr">
        <is>
          <t>GÄVLEBORGS LÄN</t>
        </is>
      </c>
      <c r="E9853" t="inlineStr">
        <is>
          <t>BOLLNÄS</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5500-2024</t>
        </is>
      </c>
      <c r="B9854" s="1" t="n">
        <v>45334</v>
      </c>
      <c r="C9854" s="1" t="n">
        <v>45587</v>
      </c>
      <c r="D9854" t="inlineStr">
        <is>
          <t>GÄVLEBORGS LÄN</t>
        </is>
      </c>
      <c r="E9854" t="inlineStr">
        <is>
          <t>HUDIKSVALL</t>
        </is>
      </c>
      <c r="F9854" t="inlineStr">
        <is>
          <t>Holmen skog AB</t>
        </is>
      </c>
      <c r="G9854" t="n">
        <v>5</v>
      </c>
      <c r="H9854" t="n">
        <v>0</v>
      </c>
      <c r="I9854" t="n">
        <v>0</v>
      </c>
      <c r="J9854" t="n">
        <v>0</v>
      </c>
      <c r="K9854" t="n">
        <v>0</v>
      </c>
      <c r="L9854" t="n">
        <v>0</v>
      </c>
      <c r="M9854" t="n">
        <v>0</v>
      </c>
      <c r="N9854" t="n">
        <v>0</v>
      </c>
      <c r="O9854" t="n">
        <v>0</v>
      </c>
      <c r="P9854" t="n">
        <v>0</v>
      </c>
      <c r="Q9854" t="n">
        <v>0</v>
      </c>
      <c r="R9854" s="2" t="inlineStr"/>
    </row>
    <row r="9855" ht="15" customHeight="1">
      <c r="A9855" t="inlineStr">
        <is>
          <t>A 5534-2024</t>
        </is>
      </c>
      <c r="B9855" s="1" t="n">
        <v>45334</v>
      </c>
      <c r="C9855" s="1" t="n">
        <v>45587</v>
      </c>
      <c r="D9855" t="inlineStr">
        <is>
          <t>GÄVLEBORGS LÄN</t>
        </is>
      </c>
      <c r="E9855" t="inlineStr">
        <is>
          <t>LJUSDAL</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5535-2024</t>
        </is>
      </c>
      <c r="B9856" s="1" t="n">
        <v>45334</v>
      </c>
      <c r="C9856" s="1" t="n">
        <v>45587</v>
      </c>
      <c r="D9856" t="inlineStr">
        <is>
          <t>GÄVLEBORGS LÄN</t>
        </is>
      </c>
      <c r="E9856" t="inlineStr">
        <is>
          <t>LJUSDAL</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5554-2024</t>
        </is>
      </c>
      <c r="B9857" s="1" t="n">
        <v>45334</v>
      </c>
      <c r="C9857" s="1" t="n">
        <v>45587</v>
      </c>
      <c r="D9857" t="inlineStr">
        <is>
          <t>GÄVLEBORGS LÄN</t>
        </is>
      </c>
      <c r="E9857" t="inlineStr">
        <is>
          <t>HOFORS</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5558-2024</t>
        </is>
      </c>
      <c r="B9858" s="1" t="n">
        <v>45334</v>
      </c>
      <c r="C9858" s="1" t="n">
        <v>45587</v>
      </c>
      <c r="D9858" t="inlineStr">
        <is>
          <t>GÄVLEBORGS LÄN</t>
        </is>
      </c>
      <c r="E9858" t="inlineStr">
        <is>
          <t>OCKELBO</t>
        </is>
      </c>
      <c r="G9858" t="n">
        <v>4.7</v>
      </c>
      <c r="H9858" t="n">
        <v>0</v>
      </c>
      <c r="I9858" t="n">
        <v>0</v>
      </c>
      <c r="J9858" t="n">
        <v>0</v>
      </c>
      <c r="K9858" t="n">
        <v>0</v>
      </c>
      <c r="L9858" t="n">
        <v>0</v>
      </c>
      <c r="M9858" t="n">
        <v>0</v>
      </c>
      <c r="N9858" t="n">
        <v>0</v>
      </c>
      <c r="O9858" t="n">
        <v>0</v>
      </c>
      <c r="P9858" t="n">
        <v>0</v>
      </c>
      <c r="Q9858" t="n">
        <v>0</v>
      </c>
      <c r="R9858" s="2" t="inlineStr"/>
    </row>
    <row r="9859" ht="15" customHeight="1">
      <c r="A9859" t="inlineStr">
        <is>
          <t>A 5605-2024</t>
        </is>
      </c>
      <c r="B9859" s="1" t="n">
        <v>45334</v>
      </c>
      <c r="C9859" s="1" t="n">
        <v>45587</v>
      </c>
      <c r="D9859" t="inlineStr">
        <is>
          <t>GÄVLEBORGS LÄN</t>
        </is>
      </c>
      <c r="E9859" t="inlineStr">
        <is>
          <t>GÄVLE</t>
        </is>
      </c>
      <c r="G9859" t="n">
        <v>5.5</v>
      </c>
      <c r="H9859" t="n">
        <v>0</v>
      </c>
      <c r="I9859" t="n">
        <v>0</v>
      </c>
      <c r="J9859" t="n">
        <v>0</v>
      </c>
      <c r="K9859" t="n">
        <v>0</v>
      </c>
      <c r="L9859" t="n">
        <v>0</v>
      </c>
      <c r="M9859" t="n">
        <v>0</v>
      </c>
      <c r="N9859" t="n">
        <v>0</v>
      </c>
      <c r="O9859" t="n">
        <v>0</v>
      </c>
      <c r="P9859" t="n">
        <v>0</v>
      </c>
      <c r="Q9859" t="n">
        <v>0</v>
      </c>
      <c r="R9859" s="2" t="inlineStr"/>
    </row>
    <row r="9860" ht="15" customHeight="1">
      <c r="A9860" t="inlineStr">
        <is>
          <t>A 5711-2024</t>
        </is>
      </c>
      <c r="B9860" s="1" t="n">
        <v>45334</v>
      </c>
      <c r="C9860" s="1" t="n">
        <v>45587</v>
      </c>
      <c r="D9860" t="inlineStr">
        <is>
          <t>GÄVLEBORGS LÄN</t>
        </is>
      </c>
      <c r="E9860" t="inlineStr">
        <is>
          <t>HUDIKSVALL</t>
        </is>
      </c>
      <c r="F9860" t="inlineStr">
        <is>
          <t>Holmen skog AB</t>
        </is>
      </c>
      <c r="G9860" t="n">
        <v>14.5</v>
      </c>
      <c r="H9860" t="n">
        <v>0</v>
      </c>
      <c r="I9860" t="n">
        <v>0</v>
      </c>
      <c r="J9860" t="n">
        <v>0</v>
      </c>
      <c r="K9860" t="n">
        <v>0</v>
      </c>
      <c r="L9860" t="n">
        <v>0</v>
      </c>
      <c r="M9860" t="n">
        <v>0</v>
      </c>
      <c r="N9860" t="n">
        <v>0</v>
      </c>
      <c r="O9860" t="n">
        <v>0</v>
      </c>
      <c r="P9860" t="n">
        <v>0</v>
      </c>
      <c r="Q9860" t="n">
        <v>0</v>
      </c>
      <c r="R9860" s="2" t="inlineStr"/>
    </row>
    <row r="9861" ht="15" customHeight="1">
      <c r="A9861" t="inlineStr">
        <is>
          <t>A 5571-2024</t>
        </is>
      </c>
      <c r="B9861" s="1" t="n">
        <v>45334</v>
      </c>
      <c r="C9861" s="1" t="n">
        <v>45587</v>
      </c>
      <c r="D9861" t="inlineStr">
        <is>
          <t>GÄVLEBORGS LÄN</t>
        </is>
      </c>
      <c r="E9861" t="inlineStr">
        <is>
          <t>OCKELBO</t>
        </is>
      </c>
      <c r="G9861" t="n">
        <v>0.3</v>
      </c>
      <c r="H9861" t="n">
        <v>0</v>
      </c>
      <c r="I9861" t="n">
        <v>0</v>
      </c>
      <c r="J9861" t="n">
        <v>0</v>
      </c>
      <c r="K9861" t="n">
        <v>0</v>
      </c>
      <c r="L9861" t="n">
        <v>0</v>
      </c>
      <c r="M9861" t="n">
        <v>0</v>
      </c>
      <c r="N9861" t="n">
        <v>0</v>
      </c>
      <c r="O9861" t="n">
        <v>0</v>
      </c>
      <c r="P9861" t="n">
        <v>0</v>
      </c>
      <c r="Q9861" t="n">
        <v>0</v>
      </c>
      <c r="R9861" s="2" t="inlineStr"/>
    </row>
    <row r="9862" ht="15" customHeight="1">
      <c r="A9862" t="inlineStr">
        <is>
          <t>A 5579-2024</t>
        </is>
      </c>
      <c r="B9862" s="1" t="n">
        <v>45334</v>
      </c>
      <c r="C9862" s="1" t="n">
        <v>45587</v>
      </c>
      <c r="D9862" t="inlineStr">
        <is>
          <t>GÄVLEBORGS LÄN</t>
        </is>
      </c>
      <c r="E9862" t="inlineStr">
        <is>
          <t>LJUSDAL</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5620-2024</t>
        </is>
      </c>
      <c r="B9863" s="1" t="n">
        <v>45334</v>
      </c>
      <c r="C9863" s="1" t="n">
        <v>45587</v>
      </c>
      <c r="D9863" t="inlineStr">
        <is>
          <t>GÄVLEBORGS LÄN</t>
        </is>
      </c>
      <c r="E9863" t="inlineStr">
        <is>
          <t>SANDVIKEN</t>
        </is>
      </c>
      <c r="G9863" t="n">
        <v>7.9</v>
      </c>
      <c r="H9863" t="n">
        <v>0</v>
      </c>
      <c r="I9863" t="n">
        <v>0</v>
      </c>
      <c r="J9863" t="n">
        <v>0</v>
      </c>
      <c r="K9863" t="n">
        <v>0</v>
      </c>
      <c r="L9863" t="n">
        <v>0</v>
      </c>
      <c r="M9863" t="n">
        <v>0</v>
      </c>
      <c r="N9863" t="n">
        <v>0</v>
      </c>
      <c r="O9863" t="n">
        <v>0</v>
      </c>
      <c r="P9863" t="n">
        <v>0</v>
      </c>
      <c r="Q9863" t="n">
        <v>0</v>
      </c>
      <c r="R9863" s="2" t="inlineStr"/>
    </row>
    <row r="9864" ht="15" customHeight="1">
      <c r="A9864" t="inlineStr">
        <is>
          <t>A 5635-2024</t>
        </is>
      </c>
      <c r="B9864" s="1" t="n">
        <v>45334</v>
      </c>
      <c r="C9864" s="1" t="n">
        <v>45587</v>
      </c>
      <c r="D9864" t="inlineStr">
        <is>
          <t>GÄVLEBORGS LÄN</t>
        </is>
      </c>
      <c r="E9864" t="inlineStr">
        <is>
          <t>HUDIKSVALL</t>
        </is>
      </c>
      <c r="F9864" t="inlineStr">
        <is>
          <t>Kommuner</t>
        </is>
      </c>
      <c r="G9864" t="n">
        <v>5.8</v>
      </c>
      <c r="H9864" t="n">
        <v>0</v>
      </c>
      <c r="I9864" t="n">
        <v>0</v>
      </c>
      <c r="J9864" t="n">
        <v>0</v>
      </c>
      <c r="K9864" t="n">
        <v>0</v>
      </c>
      <c r="L9864" t="n">
        <v>0</v>
      </c>
      <c r="M9864" t="n">
        <v>0</v>
      </c>
      <c r="N9864" t="n">
        <v>0</v>
      </c>
      <c r="O9864" t="n">
        <v>0</v>
      </c>
      <c r="P9864" t="n">
        <v>0</v>
      </c>
      <c r="Q9864" t="n">
        <v>0</v>
      </c>
      <c r="R9864" s="2" t="inlineStr"/>
    </row>
    <row r="9865" ht="15" customHeight="1">
      <c r="A9865" t="inlineStr">
        <is>
          <t>A 5604-2024</t>
        </is>
      </c>
      <c r="B9865" s="1" t="n">
        <v>45334</v>
      </c>
      <c r="C9865" s="1" t="n">
        <v>45587</v>
      </c>
      <c r="D9865" t="inlineStr">
        <is>
          <t>GÄVLEBORGS LÄN</t>
        </is>
      </c>
      <c r="E9865" t="inlineStr">
        <is>
          <t>HUDIKSVALL</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5633-2024</t>
        </is>
      </c>
      <c r="B9866" s="1" t="n">
        <v>45334</v>
      </c>
      <c r="C9866" s="1" t="n">
        <v>45587</v>
      </c>
      <c r="D9866" t="inlineStr">
        <is>
          <t>GÄVLEBORGS LÄN</t>
        </is>
      </c>
      <c r="E9866" t="inlineStr">
        <is>
          <t>GÄVLE</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5725-2024</t>
        </is>
      </c>
      <c r="B9867" s="1" t="n">
        <v>45334</v>
      </c>
      <c r="C9867" s="1" t="n">
        <v>45587</v>
      </c>
      <c r="D9867" t="inlineStr">
        <is>
          <t>GÄVLEBORGS LÄN</t>
        </is>
      </c>
      <c r="E9867" t="inlineStr">
        <is>
          <t>HUDIKSVALL</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5756-2024</t>
        </is>
      </c>
      <c r="B9868" s="1" t="n">
        <v>45335</v>
      </c>
      <c r="C9868" s="1" t="n">
        <v>45587</v>
      </c>
      <c r="D9868" t="inlineStr">
        <is>
          <t>GÄVLEBORGS LÄN</t>
        </is>
      </c>
      <c r="E9868" t="inlineStr">
        <is>
          <t>BOLLNÄS</t>
        </is>
      </c>
      <c r="G9868" t="n">
        <v>4.1</v>
      </c>
      <c r="H9868" t="n">
        <v>0</v>
      </c>
      <c r="I9868" t="n">
        <v>0</v>
      </c>
      <c r="J9868" t="n">
        <v>0</v>
      </c>
      <c r="K9868" t="n">
        <v>0</v>
      </c>
      <c r="L9868" t="n">
        <v>0</v>
      </c>
      <c r="M9868" t="n">
        <v>0</v>
      </c>
      <c r="N9868" t="n">
        <v>0</v>
      </c>
      <c r="O9868" t="n">
        <v>0</v>
      </c>
      <c r="P9868" t="n">
        <v>0</v>
      </c>
      <c r="Q9868" t="n">
        <v>0</v>
      </c>
      <c r="R9868" s="2" t="inlineStr"/>
    </row>
    <row r="9869" ht="15" customHeight="1">
      <c r="A9869" t="inlineStr">
        <is>
          <t>A 5838-2024</t>
        </is>
      </c>
      <c r="B9869" s="1" t="n">
        <v>45335</v>
      </c>
      <c r="C9869" s="1" t="n">
        <v>45587</v>
      </c>
      <c r="D9869" t="inlineStr">
        <is>
          <t>GÄVLEBORGS LÄN</t>
        </is>
      </c>
      <c r="E9869" t="inlineStr">
        <is>
          <t>BOLLNÄS</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5836-2024</t>
        </is>
      </c>
      <c r="B9870" s="1" t="n">
        <v>45335</v>
      </c>
      <c r="C9870" s="1" t="n">
        <v>45587</v>
      </c>
      <c r="D9870" t="inlineStr">
        <is>
          <t>GÄVLEBORGS LÄN</t>
        </is>
      </c>
      <c r="E9870" t="inlineStr">
        <is>
          <t>BOLLNÄS</t>
        </is>
      </c>
      <c r="G9870" t="n">
        <v>0.3</v>
      </c>
      <c r="H9870" t="n">
        <v>0</v>
      </c>
      <c r="I9870" t="n">
        <v>0</v>
      </c>
      <c r="J9870" t="n">
        <v>0</v>
      </c>
      <c r="K9870" t="n">
        <v>0</v>
      </c>
      <c r="L9870" t="n">
        <v>0</v>
      </c>
      <c r="M9870" t="n">
        <v>0</v>
      </c>
      <c r="N9870" t="n">
        <v>0</v>
      </c>
      <c r="O9870" t="n">
        <v>0</v>
      </c>
      <c r="P9870" t="n">
        <v>0</v>
      </c>
      <c r="Q9870" t="n">
        <v>0</v>
      </c>
      <c r="R9870" s="2" t="inlineStr"/>
    </row>
    <row r="9871" ht="15" customHeight="1">
      <c r="A9871" t="inlineStr">
        <is>
          <t>A 5893-2024</t>
        </is>
      </c>
      <c r="B9871" s="1" t="n">
        <v>45335</v>
      </c>
      <c r="C9871" s="1" t="n">
        <v>45587</v>
      </c>
      <c r="D9871" t="inlineStr">
        <is>
          <t>GÄVLEBORGS LÄN</t>
        </is>
      </c>
      <c r="E9871" t="inlineStr">
        <is>
          <t>GÄVLE</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5897-2024</t>
        </is>
      </c>
      <c r="B9872" s="1" t="n">
        <v>45335</v>
      </c>
      <c r="C9872" s="1" t="n">
        <v>45587</v>
      </c>
      <c r="D9872" t="inlineStr">
        <is>
          <t>GÄVLEBORGS LÄN</t>
        </is>
      </c>
      <c r="E9872" t="inlineStr">
        <is>
          <t>HUDIKSVALL</t>
        </is>
      </c>
      <c r="F9872" t="inlineStr">
        <is>
          <t>Holmen skog AB</t>
        </is>
      </c>
      <c r="G9872" t="n">
        <v>11.2</v>
      </c>
      <c r="H9872" t="n">
        <v>0</v>
      </c>
      <c r="I9872" t="n">
        <v>0</v>
      </c>
      <c r="J9872" t="n">
        <v>0</v>
      </c>
      <c r="K9872" t="n">
        <v>0</v>
      </c>
      <c r="L9872" t="n">
        <v>0</v>
      </c>
      <c r="M9872" t="n">
        <v>0</v>
      </c>
      <c r="N9872" t="n">
        <v>0</v>
      </c>
      <c r="O9872" t="n">
        <v>0</v>
      </c>
      <c r="P9872" t="n">
        <v>0</v>
      </c>
      <c r="Q9872" t="n">
        <v>0</v>
      </c>
      <c r="R9872" s="2" t="inlineStr"/>
    </row>
    <row r="9873" ht="15" customHeight="1">
      <c r="A9873" t="inlineStr">
        <is>
          <t>A 5983-2024</t>
        </is>
      </c>
      <c r="B9873" s="1" t="n">
        <v>45336</v>
      </c>
      <c r="C9873" s="1" t="n">
        <v>45587</v>
      </c>
      <c r="D9873" t="inlineStr">
        <is>
          <t>GÄVLEBORGS LÄN</t>
        </is>
      </c>
      <c r="E9873" t="inlineStr">
        <is>
          <t>NORDANSTIG</t>
        </is>
      </c>
      <c r="G9873" t="n">
        <v>5.5</v>
      </c>
      <c r="H9873" t="n">
        <v>0</v>
      </c>
      <c r="I9873" t="n">
        <v>0</v>
      </c>
      <c r="J9873" t="n">
        <v>0</v>
      </c>
      <c r="K9873" t="n">
        <v>0</v>
      </c>
      <c r="L9873" t="n">
        <v>0</v>
      </c>
      <c r="M9873" t="n">
        <v>0</v>
      </c>
      <c r="N9873" t="n">
        <v>0</v>
      </c>
      <c r="O9873" t="n">
        <v>0</v>
      </c>
      <c r="P9873" t="n">
        <v>0</v>
      </c>
      <c r="Q9873" t="n">
        <v>0</v>
      </c>
      <c r="R9873" s="2" t="inlineStr"/>
    </row>
    <row r="9874" ht="15" customHeight="1">
      <c r="A9874" t="inlineStr">
        <is>
          <t>A 5999-2024</t>
        </is>
      </c>
      <c r="B9874" s="1" t="n">
        <v>45336</v>
      </c>
      <c r="C9874" s="1" t="n">
        <v>45587</v>
      </c>
      <c r="D9874" t="inlineStr">
        <is>
          <t>GÄVLEBORGS LÄN</t>
        </is>
      </c>
      <c r="E9874" t="inlineStr">
        <is>
          <t>NORDANSTIG</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6015-2024</t>
        </is>
      </c>
      <c r="B9875" s="1" t="n">
        <v>45336</v>
      </c>
      <c r="C9875" s="1" t="n">
        <v>45587</v>
      </c>
      <c r="D9875" t="inlineStr">
        <is>
          <t>GÄVLEBORGS LÄN</t>
        </is>
      </c>
      <c r="E9875" t="inlineStr">
        <is>
          <t>HUDIKSVALL</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6031-2024</t>
        </is>
      </c>
      <c r="B9876" s="1" t="n">
        <v>45336</v>
      </c>
      <c r="C9876" s="1" t="n">
        <v>45587</v>
      </c>
      <c r="D9876" t="inlineStr">
        <is>
          <t>GÄVLEBORGS LÄN</t>
        </is>
      </c>
      <c r="E9876" t="inlineStr">
        <is>
          <t>HUDIKSVALL</t>
        </is>
      </c>
      <c r="G9876" t="n">
        <v>24.4</v>
      </c>
      <c r="H9876" t="n">
        <v>0</v>
      </c>
      <c r="I9876" t="n">
        <v>0</v>
      </c>
      <c r="J9876" t="n">
        <v>0</v>
      </c>
      <c r="K9876" t="n">
        <v>0</v>
      </c>
      <c r="L9876" t="n">
        <v>0</v>
      </c>
      <c r="M9876" t="n">
        <v>0</v>
      </c>
      <c r="N9876" t="n">
        <v>0</v>
      </c>
      <c r="O9876" t="n">
        <v>0</v>
      </c>
      <c r="P9876" t="n">
        <v>0</v>
      </c>
      <c r="Q9876" t="n">
        <v>0</v>
      </c>
      <c r="R9876" s="2" t="inlineStr"/>
    </row>
    <row r="9877" ht="15" customHeight="1">
      <c r="A9877" t="inlineStr">
        <is>
          <t>A 6062-2024</t>
        </is>
      </c>
      <c r="B9877" s="1" t="n">
        <v>45336</v>
      </c>
      <c r="C9877" s="1" t="n">
        <v>45587</v>
      </c>
      <c r="D9877" t="inlineStr">
        <is>
          <t>GÄVLEBORGS LÄN</t>
        </is>
      </c>
      <c r="E9877" t="inlineStr">
        <is>
          <t>HUDIKSVALL</t>
        </is>
      </c>
      <c r="F9877" t="inlineStr">
        <is>
          <t>Holmen skog AB</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6016-2024</t>
        </is>
      </c>
      <c r="B9878" s="1" t="n">
        <v>45336</v>
      </c>
      <c r="C9878" s="1" t="n">
        <v>45587</v>
      </c>
      <c r="D9878" t="inlineStr">
        <is>
          <t>GÄVLEBORGS LÄN</t>
        </is>
      </c>
      <c r="E9878" t="inlineStr">
        <is>
          <t>HUDIKSVALL</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6074-2024</t>
        </is>
      </c>
      <c r="B9879" s="1" t="n">
        <v>45336</v>
      </c>
      <c r="C9879" s="1" t="n">
        <v>45587</v>
      </c>
      <c r="D9879" t="inlineStr">
        <is>
          <t>GÄVLEBORGS LÄN</t>
        </is>
      </c>
      <c r="E9879" t="inlineStr">
        <is>
          <t>LJUSDAL</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6072-2024</t>
        </is>
      </c>
      <c r="B9880" s="1" t="n">
        <v>45336</v>
      </c>
      <c r="C9880" s="1" t="n">
        <v>45587</v>
      </c>
      <c r="D9880" t="inlineStr">
        <is>
          <t>GÄVLEBORGS LÄN</t>
        </is>
      </c>
      <c r="E9880" t="inlineStr">
        <is>
          <t>LJUSDAL</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6073-2024</t>
        </is>
      </c>
      <c r="B9881" s="1" t="n">
        <v>45336</v>
      </c>
      <c r="C9881" s="1" t="n">
        <v>45587</v>
      </c>
      <c r="D9881" t="inlineStr">
        <is>
          <t>GÄVLEBORGS LÄN</t>
        </is>
      </c>
      <c r="E9881" t="inlineStr">
        <is>
          <t>LJUSDAL</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6191-2024</t>
        </is>
      </c>
      <c r="B9882" s="1" t="n">
        <v>45337</v>
      </c>
      <c r="C9882" s="1" t="n">
        <v>45587</v>
      </c>
      <c r="D9882" t="inlineStr">
        <is>
          <t>GÄVLEBORGS LÄN</t>
        </is>
      </c>
      <c r="E9882" t="inlineStr">
        <is>
          <t>BOLLNÄS</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6235-2024</t>
        </is>
      </c>
      <c r="B9883" s="1" t="n">
        <v>45337</v>
      </c>
      <c r="C9883" s="1" t="n">
        <v>45587</v>
      </c>
      <c r="D9883" t="inlineStr">
        <is>
          <t>GÄVLEBORGS LÄN</t>
        </is>
      </c>
      <c r="E9883" t="inlineStr">
        <is>
          <t>SANDVIKEN</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6095-2024</t>
        </is>
      </c>
      <c r="B9884" s="1" t="n">
        <v>45337</v>
      </c>
      <c r="C9884" s="1" t="n">
        <v>45587</v>
      </c>
      <c r="D9884" t="inlineStr">
        <is>
          <t>GÄVLEBORGS LÄN</t>
        </is>
      </c>
      <c r="E9884" t="inlineStr">
        <is>
          <t>HUDIKSVALL</t>
        </is>
      </c>
      <c r="F9884" t="inlineStr">
        <is>
          <t>Holmen skog AB</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6128-2024</t>
        </is>
      </c>
      <c r="B9885" s="1" t="n">
        <v>45337</v>
      </c>
      <c r="C9885" s="1" t="n">
        <v>45587</v>
      </c>
      <c r="D9885" t="inlineStr">
        <is>
          <t>GÄVLEBORGS LÄN</t>
        </is>
      </c>
      <c r="E9885" t="inlineStr">
        <is>
          <t>OCKELBO</t>
        </is>
      </c>
      <c r="G9885" t="n">
        <v>2.9</v>
      </c>
      <c r="H9885" t="n">
        <v>0</v>
      </c>
      <c r="I9885" t="n">
        <v>0</v>
      </c>
      <c r="J9885" t="n">
        <v>0</v>
      </c>
      <c r="K9885" t="n">
        <v>0</v>
      </c>
      <c r="L9885" t="n">
        <v>0</v>
      </c>
      <c r="M9885" t="n">
        <v>0</v>
      </c>
      <c r="N9885" t="n">
        <v>0</v>
      </c>
      <c r="O9885" t="n">
        <v>0</v>
      </c>
      <c r="P9885" t="n">
        <v>0</v>
      </c>
      <c r="Q9885" t="n">
        <v>0</v>
      </c>
      <c r="R9885" s="2" t="inlineStr"/>
    </row>
    <row r="9886" ht="15" customHeight="1">
      <c r="A9886" t="inlineStr">
        <is>
          <t>A 6110-2024</t>
        </is>
      </c>
      <c r="B9886" s="1" t="n">
        <v>45337</v>
      </c>
      <c r="C9886" s="1" t="n">
        <v>45587</v>
      </c>
      <c r="D9886" t="inlineStr">
        <is>
          <t>GÄVLEBORGS LÄN</t>
        </is>
      </c>
      <c r="E9886" t="inlineStr">
        <is>
          <t>HUDIKSVALL</t>
        </is>
      </c>
      <c r="F9886" t="inlineStr">
        <is>
          <t>Kommuner</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6188-2024</t>
        </is>
      </c>
      <c r="B9887" s="1" t="n">
        <v>45337</v>
      </c>
      <c r="C9887" s="1" t="n">
        <v>45587</v>
      </c>
      <c r="D9887" t="inlineStr">
        <is>
          <t>GÄVLEBORGS LÄN</t>
        </is>
      </c>
      <c r="E9887" t="inlineStr">
        <is>
          <t>OVANÅKER</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6260-2024</t>
        </is>
      </c>
      <c r="B9888" s="1" t="n">
        <v>45337</v>
      </c>
      <c r="C9888" s="1" t="n">
        <v>45587</v>
      </c>
      <c r="D9888" t="inlineStr">
        <is>
          <t>GÄVLEBORGS LÄN</t>
        </is>
      </c>
      <c r="E9888" t="inlineStr">
        <is>
          <t>HUDIKSVALL</t>
        </is>
      </c>
      <c r="F9888" t="inlineStr">
        <is>
          <t>Holmen skog AB</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6331-2024</t>
        </is>
      </c>
      <c r="B9889" s="1" t="n">
        <v>45338</v>
      </c>
      <c r="C9889" s="1" t="n">
        <v>45587</v>
      </c>
      <c r="D9889" t="inlineStr">
        <is>
          <t>GÄVLEBORGS LÄN</t>
        </is>
      </c>
      <c r="E9889" t="inlineStr">
        <is>
          <t>OVANÅKER</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6389-2024</t>
        </is>
      </c>
      <c r="B9890" s="1" t="n">
        <v>45338</v>
      </c>
      <c r="C9890" s="1" t="n">
        <v>45587</v>
      </c>
      <c r="D9890" t="inlineStr">
        <is>
          <t>GÄVLEBORGS LÄN</t>
        </is>
      </c>
      <c r="E9890" t="inlineStr">
        <is>
          <t>SÖDERHAMN</t>
        </is>
      </c>
      <c r="G9890" t="n">
        <v>8.800000000000001</v>
      </c>
      <c r="H9890" t="n">
        <v>0</v>
      </c>
      <c r="I9890" t="n">
        <v>0</v>
      </c>
      <c r="J9890" t="n">
        <v>0</v>
      </c>
      <c r="K9890" t="n">
        <v>0</v>
      </c>
      <c r="L9890" t="n">
        <v>0</v>
      </c>
      <c r="M9890" t="n">
        <v>0</v>
      </c>
      <c r="N9890" t="n">
        <v>0</v>
      </c>
      <c r="O9890" t="n">
        <v>0</v>
      </c>
      <c r="P9890" t="n">
        <v>0</v>
      </c>
      <c r="Q9890" t="n">
        <v>0</v>
      </c>
      <c r="R9890" s="2" t="inlineStr"/>
    </row>
    <row r="9891" ht="15" customHeight="1">
      <c r="A9891" t="inlineStr">
        <is>
          <t>A 6388-2024</t>
        </is>
      </c>
      <c r="B9891" s="1" t="n">
        <v>45338</v>
      </c>
      <c r="C9891" s="1" t="n">
        <v>45587</v>
      </c>
      <c r="D9891" t="inlineStr">
        <is>
          <t>GÄVLEBORGS LÄN</t>
        </is>
      </c>
      <c r="E9891" t="inlineStr">
        <is>
          <t>SÖDERHAMN</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6378-2024</t>
        </is>
      </c>
      <c r="B9892" s="1" t="n">
        <v>45338</v>
      </c>
      <c r="C9892" s="1" t="n">
        <v>45587</v>
      </c>
      <c r="D9892" t="inlineStr">
        <is>
          <t>GÄVLEBORGS LÄN</t>
        </is>
      </c>
      <c r="E9892" t="inlineStr">
        <is>
          <t>SÖDERHAMN</t>
        </is>
      </c>
      <c r="G9892" t="n">
        <v>4</v>
      </c>
      <c r="H9892" t="n">
        <v>0</v>
      </c>
      <c r="I9892" t="n">
        <v>0</v>
      </c>
      <c r="J9892" t="n">
        <v>0</v>
      </c>
      <c r="K9892" t="n">
        <v>0</v>
      </c>
      <c r="L9892" t="n">
        <v>0</v>
      </c>
      <c r="M9892" t="n">
        <v>0</v>
      </c>
      <c r="N9892" t="n">
        <v>0</v>
      </c>
      <c r="O9892" t="n">
        <v>0</v>
      </c>
      <c r="P9892" t="n">
        <v>0</v>
      </c>
      <c r="Q9892" t="n">
        <v>0</v>
      </c>
      <c r="R9892" s="2" t="inlineStr"/>
    </row>
    <row r="9893" ht="15" customHeight="1">
      <c r="A9893" t="inlineStr">
        <is>
          <t>A 6425-2024</t>
        </is>
      </c>
      <c r="B9893" s="1" t="n">
        <v>45338</v>
      </c>
      <c r="C9893" s="1" t="n">
        <v>45587</v>
      </c>
      <c r="D9893" t="inlineStr">
        <is>
          <t>GÄVLEBORGS LÄN</t>
        </is>
      </c>
      <c r="E9893" t="inlineStr">
        <is>
          <t>HUDIKSVALL</t>
        </is>
      </c>
      <c r="F9893" t="inlineStr">
        <is>
          <t>Holmen skog AB</t>
        </is>
      </c>
      <c r="G9893" t="n">
        <v>2.8</v>
      </c>
      <c r="H9893" t="n">
        <v>0</v>
      </c>
      <c r="I9893" t="n">
        <v>0</v>
      </c>
      <c r="J9893" t="n">
        <v>0</v>
      </c>
      <c r="K9893" t="n">
        <v>0</v>
      </c>
      <c r="L9893" t="n">
        <v>0</v>
      </c>
      <c r="M9893" t="n">
        <v>0</v>
      </c>
      <c r="N9893" t="n">
        <v>0</v>
      </c>
      <c r="O9893" t="n">
        <v>0</v>
      </c>
      <c r="P9893" t="n">
        <v>0</v>
      </c>
      <c r="Q9893" t="n">
        <v>0</v>
      </c>
      <c r="R9893" s="2" t="inlineStr"/>
    </row>
    <row r="9894" ht="15" customHeight="1">
      <c r="A9894" t="inlineStr">
        <is>
          <t>A 6474-2024</t>
        </is>
      </c>
      <c r="B9894" s="1" t="n">
        <v>45338</v>
      </c>
      <c r="C9894" s="1" t="n">
        <v>45587</v>
      </c>
      <c r="D9894" t="inlineStr">
        <is>
          <t>GÄVLEBORGS LÄN</t>
        </is>
      </c>
      <c r="E9894" t="inlineStr">
        <is>
          <t>GÄVLE</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6469-2024</t>
        </is>
      </c>
      <c r="B9895" s="1" t="n">
        <v>45338</v>
      </c>
      <c r="C9895" s="1" t="n">
        <v>45587</v>
      </c>
      <c r="D9895" t="inlineStr">
        <is>
          <t>GÄVLEBORGS LÄN</t>
        </is>
      </c>
      <c r="E9895" t="inlineStr">
        <is>
          <t>LJUSDAL</t>
        </is>
      </c>
      <c r="G9895" t="n">
        <v>10.3</v>
      </c>
      <c r="H9895" t="n">
        <v>0</v>
      </c>
      <c r="I9895" t="n">
        <v>0</v>
      </c>
      <c r="J9895" t="n">
        <v>0</v>
      </c>
      <c r="K9895" t="n">
        <v>0</v>
      </c>
      <c r="L9895" t="n">
        <v>0</v>
      </c>
      <c r="M9895" t="n">
        <v>0</v>
      </c>
      <c r="N9895" t="n">
        <v>0</v>
      </c>
      <c r="O9895" t="n">
        <v>0</v>
      </c>
      <c r="P9895" t="n">
        <v>0</v>
      </c>
      <c r="Q9895" t="n">
        <v>0</v>
      </c>
      <c r="R9895" s="2" t="inlineStr"/>
    </row>
    <row r="9896" ht="15" customHeight="1">
      <c r="A9896" t="inlineStr">
        <is>
          <t>A 6467-2024</t>
        </is>
      </c>
      <c r="B9896" s="1" t="n">
        <v>45338</v>
      </c>
      <c r="C9896" s="1" t="n">
        <v>45587</v>
      </c>
      <c r="D9896" t="inlineStr">
        <is>
          <t>GÄVLEBORGS LÄN</t>
        </is>
      </c>
      <c r="E9896" t="inlineStr">
        <is>
          <t>NORDANSTIG</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6568-2024</t>
        </is>
      </c>
      <c r="B9897" s="1" t="n">
        <v>45341</v>
      </c>
      <c r="C9897" s="1" t="n">
        <v>45587</v>
      </c>
      <c r="D9897" t="inlineStr">
        <is>
          <t>GÄVLEBORGS LÄN</t>
        </is>
      </c>
      <c r="E9897" t="inlineStr">
        <is>
          <t>OCKELBO</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6581-2024</t>
        </is>
      </c>
      <c r="B9898" s="1" t="n">
        <v>45341</v>
      </c>
      <c r="C9898" s="1" t="n">
        <v>45587</v>
      </c>
      <c r="D9898" t="inlineStr">
        <is>
          <t>GÄVLEBORGS LÄN</t>
        </is>
      </c>
      <c r="E9898" t="inlineStr">
        <is>
          <t>HUDIKSVALL</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6626-2024</t>
        </is>
      </c>
      <c r="B9899" s="1" t="n">
        <v>45341</v>
      </c>
      <c r="C9899" s="1" t="n">
        <v>45587</v>
      </c>
      <c r="D9899" t="inlineStr">
        <is>
          <t>GÄVLEBORGS LÄN</t>
        </is>
      </c>
      <c r="E9899" t="inlineStr">
        <is>
          <t>OCKELBO</t>
        </is>
      </c>
      <c r="G9899" t="n">
        <v>6.5</v>
      </c>
      <c r="H9899" t="n">
        <v>0</v>
      </c>
      <c r="I9899" t="n">
        <v>0</v>
      </c>
      <c r="J9899" t="n">
        <v>0</v>
      </c>
      <c r="K9899" t="n">
        <v>0</v>
      </c>
      <c r="L9899" t="n">
        <v>0</v>
      </c>
      <c r="M9899" t="n">
        <v>0</v>
      </c>
      <c r="N9899" t="n">
        <v>0</v>
      </c>
      <c r="O9899" t="n">
        <v>0</v>
      </c>
      <c r="P9899" t="n">
        <v>0</v>
      </c>
      <c r="Q9899" t="n">
        <v>0</v>
      </c>
      <c r="R9899" s="2" t="inlineStr"/>
    </row>
    <row r="9900" ht="15" customHeight="1">
      <c r="A9900" t="inlineStr">
        <is>
          <t>A 6729-2024</t>
        </is>
      </c>
      <c r="B9900" s="1" t="n">
        <v>45342</v>
      </c>
      <c r="C9900" s="1" t="n">
        <v>45587</v>
      </c>
      <c r="D9900" t="inlineStr">
        <is>
          <t>GÄVLEBORGS LÄN</t>
        </is>
      </c>
      <c r="E9900" t="inlineStr">
        <is>
          <t>LJUSDAL</t>
        </is>
      </c>
      <c r="F9900" t="inlineStr">
        <is>
          <t>Bergvik skog väst AB</t>
        </is>
      </c>
      <c r="G9900" t="n">
        <v>22.5</v>
      </c>
      <c r="H9900" t="n">
        <v>0</v>
      </c>
      <c r="I9900" t="n">
        <v>0</v>
      </c>
      <c r="J9900" t="n">
        <v>0</v>
      </c>
      <c r="K9900" t="n">
        <v>0</v>
      </c>
      <c r="L9900" t="n">
        <v>0</v>
      </c>
      <c r="M9900" t="n">
        <v>0</v>
      </c>
      <c r="N9900" t="n">
        <v>0</v>
      </c>
      <c r="O9900" t="n">
        <v>0</v>
      </c>
      <c r="P9900" t="n">
        <v>0</v>
      </c>
      <c r="Q9900" t="n">
        <v>0</v>
      </c>
      <c r="R9900" s="2" t="inlineStr"/>
    </row>
    <row r="9901" ht="15" customHeight="1">
      <c r="A9901" t="inlineStr">
        <is>
          <t>A 6724-2024</t>
        </is>
      </c>
      <c r="B9901" s="1" t="n">
        <v>45342</v>
      </c>
      <c r="C9901" s="1" t="n">
        <v>45587</v>
      </c>
      <c r="D9901" t="inlineStr">
        <is>
          <t>GÄVLEBORGS LÄN</t>
        </is>
      </c>
      <c r="E9901" t="inlineStr">
        <is>
          <t>LJUSDAL</t>
        </is>
      </c>
      <c r="F9901" t="inlineStr">
        <is>
          <t>Bergvik skog väst AB</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6730-2024</t>
        </is>
      </c>
      <c r="B9902" s="1" t="n">
        <v>45342</v>
      </c>
      <c r="C9902" s="1" t="n">
        <v>45587</v>
      </c>
      <c r="D9902" t="inlineStr">
        <is>
          <t>GÄVLEBORGS LÄN</t>
        </is>
      </c>
      <c r="E9902" t="inlineStr">
        <is>
          <t>HUDIKSVALL</t>
        </is>
      </c>
      <c r="G9902" t="n">
        <v>6.4</v>
      </c>
      <c r="H9902" t="n">
        <v>0</v>
      </c>
      <c r="I9902" t="n">
        <v>0</v>
      </c>
      <c r="J9902" t="n">
        <v>0</v>
      </c>
      <c r="K9902" t="n">
        <v>0</v>
      </c>
      <c r="L9902" t="n">
        <v>0</v>
      </c>
      <c r="M9902" t="n">
        <v>0</v>
      </c>
      <c r="N9902" t="n">
        <v>0</v>
      </c>
      <c r="O9902" t="n">
        <v>0</v>
      </c>
      <c r="P9902" t="n">
        <v>0</v>
      </c>
      <c r="Q9902" t="n">
        <v>0</v>
      </c>
      <c r="R9902" s="2" t="inlineStr"/>
    </row>
    <row r="9903" ht="15" customHeight="1">
      <c r="A9903" t="inlineStr">
        <is>
          <t>A 6742-2024</t>
        </is>
      </c>
      <c r="B9903" s="1" t="n">
        <v>45342</v>
      </c>
      <c r="C9903" s="1" t="n">
        <v>45587</v>
      </c>
      <c r="D9903" t="inlineStr">
        <is>
          <t>GÄVLEBORGS LÄN</t>
        </is>
      </c>
      <c r="E9903" t="inlineStr">
        <is>
          <t>OCKELBO</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6752-2024</t>
        </is>
      </c>
      <c r="B9904" s="1" t="n">
        <v>45342</v>
      </c>
      <c r="C9904" s="1" t="n">
        <v>45587</v>
      </c>
      <c r="D9904" t="inlineStr">
        <is>
          <t>GÄVLEBORGS LÄN</t>
        </is>
      </c>
      <c r="E9904" t="inlineStr">
        <is>
          <t>BOLLNÄS</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6755-2024</t>
        </is>
      </c>
      <c r="B9905" s="1" t="n">
        <v>45342</v>
      </c>
      <c r="C9905" s="1" t="n">
        <v>45587</v>
      </c>
      <c r="D9905" t="inlineStr">
        <is>
          <t>GÄVLEBORGS LÄN</t>
        </is>
      </c>
      <c r="E9905" t="inlineStr">
        <is>
          <t>BOLLNÄS</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6792-2024</t>
        </is>
      </c>
      <c r="B9906" s="1" t="n">
        <v>45342</v>
      </c>
      <c r="C9906" s="1" t="n">
        <v>45587</v>
      </c>
      <c r="D9906" t="inlineStr">
        <is>
          <t>GÄVLEBORGS LÄN</t>
        </is>
      </c>
      <c r="E9906" t="inlineStr">
        <is>
          <t>SÖDERHAMN</t>
        </is>
      </c>
      <c r="G9906" t="n">
        <v>3.8</v>
      </c>
      <c r="H9906" t="n">
        <v>0</v>
      </c>
      <c r="I9906" t="n">
        <v>0</v>
      </c>
      <c r="J9906" t="n">
        <v>0</v>
      </c>
      <c r="K9906" t="n">
        <v>0</v>
      </c>
      <c r="L9906" t="n">
        <v>0</v>
      </c>
      <c r="M9906" t="n">
        <v>0</v>
      </c>
      <c r="N9906" t="n">
        <v>0</v>
      </c>
      <c r="O9906" t="n">
        <v>0</v>
      </c>
      <c r="P9906" t="n">
        <v>0</v>
      </c>
      <c r="Q9906" t="n">
        <v>0</v>
      </c>
      <c r="R9906" s="2" t="inlineStr"/>
    </row>
    <row r="9907" ht="15" customHeight="1">
      <c r="A9907" t="inlineStr">
        <is>
          <t>A 6844-2024</t>
        </is>
      </c>
      <c r="B9907" s="1" t="n">
        <v>45342</v>
      </c>
      <c r="C9907" s="1" t="n">
        <v>45587</v>
      </c>
      <c r="D9907" t="inlineStr">
        <is>
          <t>GÄVLEBORGS LÄN</t>
        </is>
      </c>
      <c r="E9907" t="inlineStr">
        <is>
          <t>LJUSDAL</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6761-2024</t>
        </is>
      </c>
      <c r="B9908" s="1" t="n">
        <v>45342</v>
      </c>
      <c r="C9908" s="1" t="n">
        <v>45587</v>
      </c>
      <c r="D9908" t="inlineStr">
        <is>
          <t>GÄVLEBORGS LÄN</t>
        </is>
      </c>
      <c r="E9908" t="inlineStr">
        <is>
          <t>OVANÅKER</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6802-2024</t>
        </is>
      </c>
      <c r="B9909" s="1" t="n">
        <v>45342</v>
      </c>
      <c r="C9909" s="1" t="n">
        <v>45587</v>
      </c>
      <c r="D9909" t="inlineStr">
        <is>
          <t>GÄVLEBORGS LÄN</t>
        </is>
      </c>
      <c r="E9909" t="inlineStr">
        <is>
          <t>LJUSDAL</t>
        </is>
      </c>
      <c r="F9909" t="inlineStr">
        <is>
          <t>Holmen skog AB</t>
        </is>
      </c>
      <c r="G9909" t="n">
        <v>23.2</v>
      </c>
      <c r="H9909" t="n">
        <v>0</v>
      </c>
      <c r="I9909" t="n">
        <v>0</v>
      </c>
      <c r="J9909" t="n">
        <v>0</v>
      </c>
      <c r="K9909" t="n">
        <v>0</v>
      </c>
      <c r="L9909" t="n">
        <v>0</v>
      </c>
      <c r="M9909" t="n">
        <v>0</v>
      </c>
      <c r="N9909" t="n">
        <v>0</v>
      </c>
      <c r="O9909" t="n">
        <v>0</v>
      </c>
      <c r="P9909" t="n">
        <v>0</v>
      </c>
      <c r="Q9909" t="n">
        <v>0</v>
      </c>
      <c r="R9909" s="2" t="inlineStr"/>
    </row>
    <row r="9910" ht="15" customHeight="1">
      <c r="A9910" t="inlineStr">
        <is>
          <t>A 6853-2024</t>
        </is>
      </c>
      <c r="B9910" s="1" t="n">
        <v>45342</v>
      </c>
      <c r="C9910" s="1" t="n">
        <v>45587</v>
      </c>
      <c r="D9910" t="inlineStr">
        <is>
          <t>GÄVLEBORGS LÄN</t>
        </is>
      </c>
      <c r="E9910" t="inlineStr">
        <is>
          <t>SÖDERHAMN</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6851-2024</t>
        </is>
      </c>
      <c r="B9911" s="1" t="n">
        <v>45342</v>
      </c>
      <c r="C9911" s="1" t="n">
        <v>45587</v>
      </c>
      <c r="D9911" t="inlineStr">
        <is>
          <t>GÄVLEBORGS LÄN</t>
        </is>
      </c>
      <c r="E9911" t="inlineStr">
        <is>
          <t>SÖDERHAMN</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6872-2024</t>
        </is>
      </c>
      <c r="B9912" s="1" t="n">
        <v>45342</v>
      </c>
      <c r="C9912" s="1" t="n">
        <v>45587</v>
      </c>
      <c r="D9912" t="inlineStr">
        <is>
          <t>GÄVLEBORGS LÄN</t>
        </is>
      </c>
      <c r="E9912" t="inlineStr">
        <is>
          <t>HUDIKSVALL</t>
        </is>
      </c>
      <c r="F9912" t="inlineStr">
        <is>
          <t>Holmen skog AB</t>
        </is>
      </c>
      <c r="G9912" t="n">
        <v>8.300000000000001</v>
      </c>
      <c r="H9912" t="n">
        <v>0</v>
      </c>
      <c r="I9912" t="n">
        <v>0</v>
      </c>
      <c r="J9912" t="n">
        <v>0</v>
      </c>
      <c r="K9912" t="n">
        <v>0</v>
      </c>
      <c r="L9912" t="n">
        <v>0</v>
      </c>
      <c r="M9912" t="n">
        <v>0</v>
      </c>
      <c r="N9912" t="n">
        <v>0</v>
      </c>
      <c r="O9912" t="n">
        <v>0</v>
      </c>
      <c r="P9912" t="n">
        <v>0</v>
      </c>
      <c r="Q9912" t="n">
        <v>0</v>
      </c>
      <c r="R9912" s="2" t="inlineStr"/>
    </row>
    <row r="9913" ht="15" customHeight="1">
      <c r="A9913" t="inlineStr">
        <is>
          <t>A 6923-2024</t>
        </is>
      </c>
      <c r="B9913" s="1" t="n">
        <v>45343</v>
      </c>
      <c r="C9913" s="1" t="n">
        <v>45587</v>
      </c>
      <c r="D9913" t="inlineStr">
        <is>
          <t>GÄVLEBORGS LÄN</t>
        </is>
      </c>
      <c r="E9913" t="inlineStr">
        <is>
          <t>NORDANSTIG</t>
        </is>
      </c>
      <c r="F9913" t="inlineStr">
        <is>
          <t>Holmen skog AB</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6958-2024</t>
        </is>
      </c>
      <c r="B9914" s="1" t="n">
        <v>45343</v>
      </c>
      <c r="C9914" s="1" t="n">
        <v>45587</v>
      </c>
      <c r="D9914" t="inlineStr">
        <is>
          <t>GÄVLEBORGS LÄN</t>
        </is>
      </c>
      <c r="E9914" t="inlineStr">
        <is>
          <t>HOFORS</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7031-2024</t>
        </is>
      </c>
      <c r="B9915" s="1" t="n">
        <v>45343</v>
      </c>
      <c r="C9915" s="1" t="n">
        <v>45587</v>
      </c>
      <c r="D9915" t="inlineStr">
        <is>
          <t>GÄVLEBORGS LÄN</t>
        </is>
      </c>
      <c r="E9915" t="inlineStr">
        <is>
          <t>LJUSDAL</t>
        </is>
      </c>
      <c r="G9915" t="n">
        <v>3.6</v>
      </c>
      <c r="H9915" t="n">
        <v>0</v>
      </c>
      <c r="I9915" t="n">
        <v>0</v>
      </c>
      <c r="J9915" t="n">
        <v>0</v>
      </c>
      <c r="K9915" t="n">
        <v>0</v>
      </c>
      <c r="L9915" t="n">
        <v>0</v>
      </c>
      <c r="M9915" t="n">
        <v>0</v>
      </c>
      <c r="N9915" t="n">
        <v>0</v>
      </c>
      <c r="O9915" t="n">
        <v>0</v>
      </c>
      <c r="P9915" t="n">
        <v>0</v>
      </c>
      <c r="Q9915" t="n">
        <v>0</v>
      </c>
      <c r="R9915" s="2" t="inlineStr"/>
    </row>
    <row r="9916" ht="15" customHeight="1">
      <c r="A9916" t="inlineStr">
        <is>
          <t>A 6951-2024</t>
        </is>
      </c>
      <c r="B9916" s="1" t="n">
        <v>45343</v>
      </c>
      <c r="C9916" s="1" t="n">
        <v>45587</v>
      </c>
      <c r="D9916" t="inlineStr">
        <is>
          <t>GÄVLEBORGS LÄN</t>
        </is>
      </c>
      <c r="E9916" t="inlineStr">
        <is>
          <t>SANDVIKEN</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6963-2024</t>
        </is>
      </c>
      <c r="B9917" s="1" t="n">
        <v>45343</v>
      </c>
      <c r="C9917" s="1" t="n">
        <v>45587</v>
      </c>
      <c r="D9917" t="inlineStr">
        <is>
          <t>GÄVLEBORGS LÄN</t>
        </is>
      </c>
      <c r="E9917" t="inlineStr">
        <is>
          <t>HOFORS</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7080-2024</t>
        </is>
      </c>
      <c r="B9918" s="1" t="n">
        <v>45343</v>
      </c>
      <c r="C9918" s="1" t="n">
        <v>45587</v>
      </c>
      <c r="D9918" t="inlineStr">
        <is>
          <t>GÄVLEBORGS LÄN</t>
        </is>
      </c>
      <c r="E9918" t="inlineStr">
        <is>
          <t>NORDANSTIG</t>
        </is>
      </c>
      <c r="G9918" t="n">
        <v>20.9</v>
      </c>
      <c r="H9918" t="n">
        <v>0</v>
      </c>
      <c r="I9918" t="n">
        <v>0</v>
      </c>
      <c r="J9918" t="n">
        <v>0</v>
      </c>
      <c r="K9918" t="n">
        <v>0</v>
      </c>
      <c r="L9918" t="n">
        <v>0</v>
      </c>
      <c r="M9918" t="n">
        <v>0</v>
      </c>
      <c r="N9918" t="n">
        <v>0</v>
      </c>
      <c r="O9918" t="n">
        <v>0</v>
      </c>
      <c r="P9918" t="n">
        <v>0</v>
      </c>
      <c r="Q9918" t="n">
        <v>0</v>
      </c>
      <c r="R9918" s="2" t="inlineStr"/>
    </row>
    <row r="9919" ht="15" customHeight="1">
      <c r="A9919" t="inlineStr">
        <is>
          <t>A 7103-2024</t>
        </is>
      </c>
      <c r="B9919" s="1" t="n">
        <v>45343</v>
      </c>
      <c r="C9919" s="1" t="n">
        <v>45587</v>
      </c>
      <c r="D9919" t="inlineStr">
        <is>
          <t>GÄVLEBORGS LÄN</t>
        </is>
      </c>
      <c r="E9919" t="inlineStr">
        <is>
          <t>HUDIKSVALL</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7105-2024</t>
        </is>
      </c>
      <c r="B9920" s="1" t="n">
        <v>45343</v>
      </c>
      <c r="C9920" s="1" t="n">
        <v>45587</v>
      </c>
      <c r="D9920" t="inlineStr">
        <is>
          <t>GÄVLEBORGS LÄN</t>
        </is>
      </c>
      <c r="E9920" t="inlineStr">
        <is>
          <t>HUDIKSVALL</t>
        </is>
      </c>
      <c r="G9920" t="n">
        <v>4.3</v>
      </c>
      <c r="H9920" t="n">
        <v>0</v>
      </c>
      <c r="I9920" t="n">
        <v>0</v>
      </c>
      <c r="J9920" t="n">
        <v>0</v>
      </c>
      <c r="K9920" t="n">
        <v>0</v>
      </c>
      <c r="L9920" t="n">
        <v>0</v>
      </c>
      <c r="M9920" t="n">
        <v>0</v>
      </c>
      <c r="N9920" t="n">
        <v>0</v>
      </c>
      <c r="O9920" t="n">
        <v>0</v>
      </c>
      <c r="P9920" t="n">
        <v>0</v>
      </c>
      <c r="Q9920" t="n">
        <v>0</v>
      </c>
      <c r="R9920" s="2" t="inlineStr"/>
    </row>
    <row r="9921" ht="15" customHeight="1">
      <c r="A9921" t="inlineStr">
        <is>
          <t>A 7104-2024</t>
        </is>
      </c>
      <c r="B9921" s="1" t="n">
        <v>45343</v>
      </c>
      <c r="C9921" s="1" t="n">
        <v>45587</v>
      </c>
      <c r="D9921" t="inlineStr">
        <is>
          <t>GÄVLEBORGS LÄN</t>
        </is>
      </c>
      <c r="E9921" t="inlineStr">
        <is>
          <t>HUDIKSVALL</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7131-2024</t>
        </is>
      </c>
      <c r="B9922" s="1" t="n">
        <v>45344</v>
      </c>
      <c r="C9922" s="1" t="n">
        <v>45587</v>
      </c>
      <c r="D9922" t="inlineStr">
        <is>
          <t>GÄVLEBORGS LÄN</t>
        </is>
      </c>
      <c r="E9922" t="inlineStr">
        <is>
          <t>SÖDERHAMN</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7135-2024</t>
        </is>
      </c>
      <c r="B9923" s="1" t="n">
        <v>45344</v>
      </c>
      <c r="C9923" s="1" t="n">
        <v>45587</v>
      </c>
      <c r="D9923" t="inlineStr">
        <is>
          <t>GÄVLEBORGS LÄN</t>
        </is>
      </c>
      <c r="E9923" t="inlineStr">
        <is>
          <t>OVANÅKER</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7298-2024</t>
        </is>
      </c>
      <c r="B9924" s="1" t="n">
        <v>45344</v>
      </c>
      <c r="C9924" s="1" t="n">
        <v>45587</v>
      </c>
      <c r="D9924" t="inlineStr">
        <is>
          <t>GÄVLEBORGS LÄN</t>
        </is>
      </c>
      <c r="E9924" t="inlineStr">
        <is>
          <t>GÄVLE</t>
        </is>
      </c>
      <c r="G9924" t="n">
        <v>4.4</v>
      </c>
      <c r="H9924" t="n">
        <v>0</v>
      </c>
      <c r="I9924" t="n">
        <v>0</v>
      </c>
      <c r="J9924" t="n">
        <v>0</v>
      </c>
      <c r="K9924" t="n">
        <v>0</v>
      </c>
      <c r="L9924" t="n">
        <v>0</v>
      </c>
      <c r="M9924" t="n">
        <v>0</v>
      </c>
      <c r="N9924" t="n">
        <v>0</v>
      </c>
      <c r="O9924" t="n">
        <v>0</v>
      </c>
      <c r="P9924" t="n">
        <v>0</v>
      </c>
      <c r="Q9924" t="n">
        <v>0</v>
      </c>
      <c r="R9924" s="2" t="inlineStr"/>
    </row>
    <row r="9925" ht="15" customHeight="1">
      <c r="A9925" t="inlineStr">
        <is>
          <t>A 7297-2024</t>
        </is>
      </c>
      <c r="B9925" s="1" t="n">
        <v>45344</v>
      </c>
      <c r="C9925" s="1" t="n">
        <v>45587</v>
      </c>
      <c r="D9925" t="inlineStr">
        <is>
          <t>GÄVLEBORGS LÄN</t>
        </is>
      </c>
      <c r="E9925" t="inlineStr">
        <is>
          <t>GÄVLE</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7460-2024</t>
        </is>
      </c>
      <c r="B9926" s="1" t="n">
        <v>45345</v>
      </c>
      <c r="C9926" s="1" t="n">
        <v>45587</v>
      </c>
      <c r="D9926" t="inlineStr">
        <is>
          <t>GÄVLEBORGS LÄN</t>
        </is>
      </c>
      <c r="E9926" t="inlineStr">
        <is>
          <t>NORDANSTIG</t>
        </is>
      </c>
      <c r="G9926" t="n">
        <v>10.8</v>
      </c>
      <c r="H9926" t="n">
        <v>0</v>
      </c>
      <c r="I9926" t="n">
        <v>0</v>
      </c>
      <c r="J9926" t="n">
        <v>0</v>
      </c>
      <c r="K9926" t="n">
        <v>0</v>
      </c>
      <c r="L9926" t="n">
        <v>0</v>
      </c>
      <c r="M9926" t="n">
        <v>0</v>
      </c>
      <c r="N9926" t="n">
        <v>0</v>
      </c>
      <c r="O9926" t="n">
        <v>0</v>
      </c>
      <c r="P9926" t="n">
        <v>0</v>
      </c>
      <c r="Q9926" t="n">
        <v>0</v>
      </c>
      <c r="R9926" s="2" t="inlineStr"/>
    </row>
    <row r="9927" ht="15" customHeight="1">
      <c r="A9927" t="inlineStr">
        <is>
          <t>A 7360-2024</t>
        </is>
      </c>
      <c r="B9927" s="1" t="n">
        <v>45345</v>
      </c>
      <c r="C9927" s="1" t="n">
        <v>45587</v>
      </c>
      <c r="D9927" t="inlineStr">
        <is>
          <t>GÄVLEBORGS LÄN</t>
        </is>
      </c>
      <c r="E9927" t="inlineStr">
        <is>
          <t>SÖDERHAMN</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7348-2024</t>
        </is>
      </c>
      <c r="B9928" s="1" t="n">
        <v>45345</v>
      </c>
      <c r="C9928" s="1" t="n">
        <v>45587</v>
      </c>
      <c r="D9928" t="inlineStr">
        <is>
          <t>GÄVLEBORGS LÄN</t>
        </is>
      </c>
      <c r="E9928" t="inlineStr">
        <is>
          <t>LJUSDAL</t>
        </is>
      </c>
      <c r="F9928" t="inlineStr">
        <is>
          <t>Bergvik skog väst AB</t>
        </is>
      </c>
      <c r="G9928" t="n">
        <v>13.4</v>
      </c>
      <c r="H9928" t="n">
        <v>0</v>
      </c>
      <c r="I9928" t="n">
        <v>0</v>
      </c>
      <c r="J9928" t="n">
        <v>0</v>
      </c>
      <c r="K9928" t="n">
        <v>0</v>
      </c>
      <c r="L9928" t="n">
        <v>0</v>
      </c>
      <c r="M9928" t="n">
        <v>0</v>
      </c>
      <c r="N9928" t="n">
        <v>0</v>
      </c>
      <c r="O9928" t="n">
        <v>0</v>
      </c>
      <c r="P9928" t="n">
        <v>0</v>
      </c>
      <c r="Q9928" t="n">
        <v>0</v>
      </c>
      <c r="R9928" s="2" t="inlineStr"/>
    </row>
    <row r="9929" ht="15" customHeight="1">
      <c r="A9929" t="inlineStr">
        <is>
          <t>A 7386-2024</t>
        </is>
      </c>
      <c r="B9929" s="1" t="n">
        <v>45345</v>
      </c>
      <c r="C9929" s="1" t="n">
        <v>45587</v>
      </c>
      <c r="D9929" t="inlineStr">
        <is>
          <t>GÄVLEBORGS LÄN</t>
        </is>
      </c>
      <c r="E9929" t="inlineStr">
        <is>
          <t>LJUSDAL</t>
        </is>
      </c>
      <c r="F9929" t="inlineStr">
        <is>
          <t>Holmen skog AB</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7411-2024</t>
        </is>
      </c>
      <c r="B9930" s="1" t="n">
        <v>45345</v>
      </c>
      <c r="C9930" s="1" t="n">
        <v>45587</v>
      </c>
      <c r="D9930" t="inlineStr">
        <is>
          <t>GÄVLEBORGS LÄN</t>
        </is>
      </c>
      <c r="E9930" t="inlineStr">
        <is>
          <t>HUDIKSVALL</t>
        </is>
      </c>
      <c r="G9930" t="n">
        <v>24.2</v>
      </c>
      <c r="H9930" t="n">
        <v>0</v>
      </c>
      <c r="I9930" t="n">
        <v>0</v>
      </c>
      <c r="J9930" t="n">
        <v>0</v>
      </c>
      <c r="K9930" t="n">
        <v>0</v>
      </c>
      <c r="L9930" t="n">
        <v>0</v>
      </c>
      <c r="M9930" t="n">
        <v>0</v>
      </c>
      <c r="N9930" t="n">
        <v>0</v>
      </c>
      <c r="O9930" t="n">
        <v>0</v>
      </c>
      <c r="P9930" t="n">
        <v>0</v>
      </c>
      <c r="Q9930" t="n">
        <v>0</v>
      </c>
      <c r="R9930" s="2" t="inlineStr"/>
    </row>
    <row r="9931" ht="15" customHeight="1">
      <c r="A9931" t="inlineStr">
        <is>
          <t>A 7363-2024</t>
        </is>
      </c>
      <c r="B9931" s="1" t="n">
        <v>45345</v>
      </c>
      <c r="C9931" s="1" t="n">
        <v>45587</v>
      </c>
      <c r="D9931" t="inlineStr">
        <is>
          <t>GÄVLEBORGS LÄN</t>
        </is>
      </c>
      <c r="E9931" t="inlineStr">
        <is>
          <t>SÖDERHAMN</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7436-2024</t>
        </is>
      </c>
      <c r="B9932" s="1" t="n">
        <v>45345</v>
      </c>
      <c r="C9932" s="1" t="n">
        <v>45587</v>
      </c>
      <c r="D9932" t="inlineStr">
        <is>
          <t>GÄVLEBORGS LÄN</t>
        </is>
      </c>
      <c r="E9932" t="inlineStr">
        <is>
          <t>NORDANSTIG</t>
        </is>
      </c>
      <c r="F9932" t="inlineStr">
        <is>
          <t>Holmen skog AB</t>
        </is>
      </c>
      <c r="G9932" t="n">
        <v>62.5</v>
      </c>
      <c r="H9932" t="n">
        <v>0</v>
      </c>
      <c r="I9932" t="n">
        <v>0</v>
      </c>
      <c r="J9932" t="n">
        <v>0</v>
      </c>
      <c r="K9932" t="n">
        <v>0</v>
      </c>
      <c r="L9932" t="n">
        <v>0</v>
      </c>
      <c r="M9932" t="n">
        <v>0</v>
      </c>
      <c r="N9932" t="n">
        <v>0</v>
      </c>
      <c r="O9932" t="n">
        <v>0</v>
      </c>
      <c r="P9932" t="n">
        <v>0</v>
      </c>
      <c r="Q9932" t="n">
        <v>0</v>
      </c>
      <c r="R9932" s="2" t="inlineStr"/>
    </row>
    <row r="9933" ht="15" customHeight="1">
      <c r="A9933" t="inlineStr">
        <is>
          <t>A 7563-2024</t>
        </is>
      </c>
      <c r="B9933" s="1" t="n">
        <v>45348</v>
      </c>
      <c r="C9933" s="1" t="n">
        <v>45587</v>
      </c>
      <c r="D9933" t="inlineStr">
        <is>
          <t>GÄVLEBORGS LÄN</t>
        </is>
      </c>
      <c r="E9933" t="inlineStr">
        <is>
          <t>HOFORS</t>
        </is>
      </c>
      <c r="G9933" t="n">
        <v>10.8</v>
      </c>
      <c r="H9933" t="n">
        <v>0</v>
      </c>
      <c r="I9933" t="n">
        <v>0</v>
      </c>
      <c r="J9933" t="n">
        <v>0</v>
      </c>
      <c r="K9933" t="n">
        <v>0</v>
      </c>
      <c r="L9933" t="n">
        <v>0</v>
      </c>
      <c r="M9933" t="n">
        <v>0</v>
      </c>
      <c r="N9933" t="n">
        <v>0</v>
      </c>
      <c r="O9933" t="n">
        <v>0</v>
      </c>
      <c r="P9933" t="n">
        <v>0</v>
      </c>
      <c r="Q9933" t="n">
        <v>0</v>
      </c>
      <c r="R9933" s="2" t="inlineStr"/>
    </row>
    <row r="9934" ht="15" customHeight="1">
      <c r="A9934" t="inlineStr">
        <is>
          <t>A 7514-2024</t>
        </is>
      </c>
      <c r="B9934" s="1" t="n">
        <v>45348</v>
      </c>
      <c r="C9934" s="1" t="n">
        <v>45587</v>
      </c>
      <c r="D9934" t="inlineStr">
        <is>
          <t>GÄVLEBORGS LÄN</t>
        </is>
      </c>
      <c r="E9934" t="inlineStr">
        <is>
          <t>LJUSDAL</t>
        </is>
      </c>
      <c r="G9934" t="n">
        <v>8.6</v>
      </c>
      <c r="H9934" t="n">
        <v>0</v>
      </c>
      <c r="I9934" t="n">
        <v>0</v>
      </c>
      <c r="J9934" t="n">
        <v>0</v>
      </c>
      <c r="K9934" t="n">
        <v>0</v>
      </c>
      <c r="L9934" t="n">
        <v>0</v>
      </c>
      <c r="M9934" t="n">
        <v>0</v>
      </c>
      <c r="N9934" t="n">
        <v>0</v>
      </c>
      <c r="O9934" t="n">
        <v>0</v>
      </c>
      <c r="P9934" t="n">
        <v>0</v>
      </c>
      <c r="Q9934" t="n">
        <v>0</v>
      </c>
      <c r="R9934" s="2" t="inlineStr"/>
    </row>
    <row r="9935" ht="15" customHeight="1">
      <c r="A9935" t="inlineStr">
        <is>
          <t>A 7560-2024</t>
        </is>
      </c>
      <c r="B9935" s="1" t="n">
        <v>45348</v>
      </c>
      <c r="C9935" s="1" t="n">
        <v>45587</v>
      </c>
      <c r="D9935" t="inlineStr">
        <is>
          <t>GÄVLEBORGS LÄN</t>
        </is>
      </c>
      <c r="E9935" t="inlineStr">
        <is>
          <t>BOLLNÄS</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7513-2024</t>
        </is>
      </c>
      <c r="B9936" s="1" t="n">
        <v>45348</v>
      </c>
      <c r="C9936" s="1" t="n">
        <v>45587</v>
      </c>
      <c r="D9936" t="inlineStr">
        <is>
          <t>GÄVLEBORGS LÄN</t>
        </is>
      </c>
      <c r="E9936" t="inlineStr">
        <is>
          <t>LJUSDAL</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7547-2024</t>
        </is>
      </c>
      <c r="B9937" s="1" t="n">
        <v>45348</v>
      </c>
      <c r="C9937" s="1" t="n">
        <v>45587</v>
      </c>
      <c r="D9937" t="inlineStr">
        <is>
          <t>GÄVLEBORGS LÄN</t>
        </is>
      </c>
      <c r="E9937" t="inlineStr">
        <is>
          <t>HOFORS</t>
        </is>
      </c>
      <c r="G9937" t="n">
        <v>3.8</v>
      </c>
      <c r="H9937" t="n">
        <v>0</v>
      </c>
      <c r="I9937" t="n">
        <v>0</v>
      </c>
      <c r="J9937" t="n">
        <v>0</v>
      </c>
      <c r="K9937" t="n">
        <v>0</v>
      </c>
      <c r="L9937" t="n">
        <v>0</v>
      </c>
      <c r="M9937" t="n">
        <v>0</v>
      </c>
      <c r="N9937" t="n">
        <v>0</v>
      </c>
      <c r="O9937" t="n">
        <v>0</v>
      </c>
      <c r="P9937" t="n">
        <v>0</v>
      </c>
      <c r="Q9937" t="n">
        <v>0</v>
      </c>
      <c r="R9937" s="2" t="inlineStr"/>
    </row>
    <row r="9938" ht="15" customHeight="1">
      <c r="A9938" t="inlineStr">
        <is>
          <t>A 7603-2024</t>
        </is>
      </c>
      <c r="B9938" s="1" t="n">
        <v>45348</v>
      </c>
      <c r="C9938" s="1" t="n">
        <v>45587</v>
      </c>
      <c r="D9938" t="inlineStr">
        <is>
          <t>GÄVLEBORGS LÄN</t>
        </is>
      </c>
      <c r="E9938" t="inlineStr">
        <is>
          <t>LJUSDAL</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7606-2024</t>
        </is>
      </c>
      <c r="B9939" s="1" t="n">
        <v>45348</v>
      </c>
      <c r="C9939" s="1" t="n">
        <v>45587</v>
      </c>
      <c r="D9939" t="inlineStr">
        <is>
          <t>GÄVLEBORGS LÄN</t>
        </is>
      </c>
      <c r="E9939" t="inlineStr">
        <is>
          <t>LJUSDAL</t>
        </is>
      </c>
      <c r="G9939" t="n">
        <v>4.7</v>
      </c>
      <c r="H9939" t="n">
        <v>0</v>
      </c>
      <c r="I9939" t="n">
        <v>0</v>
      </c>
      <c r="J9939" t="n">
        <v>0</v>
      </c>
      <c r="K9939" t="n">
        <v>0</v>
      </c>
      <c r="L9939" t="n">
        <v>0</v>
      </c>
      <c r="M9939" t="n">
        <v>0</v>
      </c>
      <c r="N9939" t="n">
        <v>0</v>
      </c>
      <c r="O9939" t="n">
        <v>0</v>
      </c>
      <c r="P9939" t="n">
        <v>0</v>
      </c>
      <c r="Q9939" t="n">
        <v>0</v>
      </c>
      <c r="R9939" s="2" t="inlineStr"/>
    </row>
    <row r="9940" ht="15" customHeight="1">
      <c r="A9940" t="inlineStr">
        <is>
          <t>A 7580-2024</t>
        </is>
      </c>
      <c r="B9940" s="1" t="n">
        <v>45348</v>
      </c>
      <c r="C9940" s="1" t="n">
        <v>45587</v>
      </c>
      <c r="D9940" t="inlineStr">
        <is>
          <t>GÄVLEBORGS LÄN</t>
        </is>
      </c>
      <c r="E9940" t="inlineStr">
        <is>
          <t>BOLLNÄS</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7731-2024</t>
        </is>
      </c>
      <c r="B9941" s="1" t="n">
        <v>45349</v>
      </c>
      <c r="C9941" s="1" t="n">
        <v>45587</v>
      </c>
      <c r="D9941" t="inlineStr">
        <is>
          <t>GÄVLEBORGS LÄN</t>
        </is>
      </c>
      <c r="E9941" t="inlineStr">
        <is>
          <t>LJUSDAL</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7693-2024</t>
        </is>
      </c>
      <c r="B9942" s="1" t="n">
        <v>45349</v>
      </c>
      <c r="C9942" s="1" t="n">
        <v>45587</v>
      </c>
      <c r="D9942" t="inlineStr">
        <is>
          <t>GÄVLEBORGS LÄN</t>
        </is>
      </c>
      <c r="E9942" t="inlineStr">
        <is>
          <t>OVANÅKER</t>
        </is>
      </c>
      <c r="G9942" t="n">
        <v>4.5</v>
      </c>
      <c r="H9942" t="n">
        <v>0</v>
      </c>
      <c r="I9942" t="n">
        <v>0</v>
      </c>
      <c r="J9942" t="n">
        <v>0</v>
      </c>
      <c r="K9942" t="n">
        <v>0</v>
      </c>
      <c r="L9942" t="n">
        <v>0</v>
      </c>
      <c r="M9942" t="n">
        <v>0</v>
      </c>
      <c r="N9942" t="n">
        <v>0</v>
      </c>
      <c r="O9942" t="n">
        <v>0</v>
      </c>
      <c r="P9942" t="n">
        <v>0</v>
      </c>
      <c r="Q9942" t="n">
        <v>0</v>
      </c>
      <c r="R9942" s="2" t="inlineStr"/>
    </row>
    <row r="9943" ht="15" customHeight="1">
      <c r="A9943" t="inlineStr">
        <is>
          <t>A 7694-2024</t>
        </is>
      </c>
      <c r="B9943" s="1" t="n">
        <v>45349</v>
      </c>
      <c r="C9943" s="1" t="n">
        <v>45587</v>
      </c>
      <c r="D9943" t="inlineStr">
        <is>
          <t>GÄVLEBORGS LÄN</t>
        </is>
      </c>
      <c r="E9943" t="inlineStr">
        <is>
          <t>OVANÅKER</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7709-2024</t>
        </is>
      </c>
      <c r="B9944" s="1" t="n">
        <v>45349</v>
      </c>
      <c r="C9944" s="1" t="n">
        <v>45587</v>
      </c>
      <c r="D9944" t="inlineStr">
        <is>
          <t>GÄVLEBORGS LÄN</t>
        </is>
      </c>
      <c r="E9944" t="inlineStr">
        <is>
          <t>LJUSDAL</t>
        </is>
      </c>
      <c r="F9944" t="inlineStr">
        <is>
          <t>Holmen skog AB</t>
        </is>
      </c>
      <c r="G9944" t="n">
        <v>7.5</v>
      </c>
      <c r="H9944" t="n">
        <v>0</v>
      </c>
      <c r="I9944" t="n">
        <v>0</v>
      </c>
      <c r="J9944" t="n">
        <v>0</v>
      </c>
      <c r="K9944" t="n">
        <v>0</v>
      </c>
      <c r="L9944" t="n">
        <v>0</v>
      </c>
      <c r="M9944" t="n">
        <v>0</v>
      </c>
      <c r="N9944" t="n">
        <v>0</v>
      </c>
      <c r="O9944" t="n">
        <v>0</v>
      </c>
      <c r="P9944" t="n">
        <v>0</v>
      </c>
      <c r="Q9944" t="n">
        <v>0</v>
      </c>
      <c r="R9944" s="2" t="inlineStr"/>
    </row>
    <row r="9945" ht="15" customHeight="1">
      <c r="A9945" t="inlineStr">
        <is>
          <t>A 7724-2024</t>
        </is>
      </c>
      <c r="B9945" s="1" t="n">
        <v>45349</v>
      </c>
      <c r="C9945" s="1" t="n">
        <v>45587</v>
      </c>
      <c r="D9945" t="inlineStr">
        <is>
          <t>GÄVLEBORGS LÄN</t>
        </is>
      </c>
      <c r="E9945" t="inlineStr">
        <is>
          <t>LJUSDAL</t>
        </is>
      </c>
      <c r="F9945" t="inlineStr">
        <is>
          <t>Bergvik skog väst AB</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7729-2024</t>
        </is>
      </c>
      <c r="B9946" s="1" t="n">
        <v>45349</v>
      </c>
      <c r="C9946" s="1" t="n">
        <v>45587</v>
      </c>
      <c r="D9946" t="inlineStr">
        <is>
          <t>GÄVLEBORGS LÄN</t>
        </is>
      </c>
      <c r="E9946" t="inlineStr">
        <is>
          <t>LJUSDAL</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7734-2024</t>
        </is>
      </c>
      <c r="B9947" s="1" t="n">
        <v>45349</v>
      </c>
      <c r="C9947" s="1" t="n">
        <v>45587</v>
      </c>
      <c r="D9947" t="inlineStr">
        <is>
          <t>GÄVLEBORGS LÄN</t>
        </is>
      </c>
      <c r="E9947" t="inlineStr">
        <is>
          <t>BOLLNÄS</t>
        </is>
      </c>
      <c r="G9947" t="n">
        <v>10.2</v>
      </c>
      <c r="H9947" t="n">
        <v>0</v>
      </c>
      <c r="I9947" t="n">
        <v>0</v>
      </c>
      <c r="J9947" t="n">
        <v>0</v>
      </c>
      <c r="K9947" t="n">
        <v>0</v>
      </c>
      <c r="L9947" t="n">
        <v>0</v>
      </c>
      <c r="M9947" t="n">
        <v>0</v>
      </c>
      <c r="N9947" t="n">
        <v>0</v>
      </c>
      <c r="O9947" t="n">
        <v>0</v>
      </c>
      <c r="P9947" t="n">
        <v>0</v>
      </c>
      <c r="Q9947" t="n">
        <v>0</v>
      </c>
      <c r="R9947" s="2" t="inlineStr"/>
    </row>
    <row r="9948" ht="15" customHeight="1">
      <c r="A9948" t="inlineStr">
        <is>
          <t>A 7836-2024</t>
        </is>
      </c>
      <c r="B9948" s="1" t="n">
        <v>45349</v>
      </c>
      <c r="C9948" s="1" t="n">
        <v>45587</v>
      </c>
      <c r="D9948" t="inlineStr">
        <is>
          <t>GÄVLEBORGS LÄN</t>
        </is>
      </c>
      <c r="E9948" t="inlineStr">
        <is>
          <t>HUDIKSVALL</t>
        </is>
      </c>
      <c r="F9948" t="inlineStr">
        <is>
          <t>Holmen skog AB</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7846-2024</t>
        </is>
      </c>
      <c r="B9949" s="1" t="n">
        <v>45350</v>
      </c>
      <c r="C9949" s="1" t="n">
        <v>45587</v>
      </c>
      <c r="D9949" t="inlineStr">
        <is>
          <t>GÄVLEBORGS LÄN</t>
        </is>
      </c>
      <c r="E9949" t="inlineStr">
        <is>
          <t>NORDANSTIG</t>
        </is>
      </c>
      <c r="G9949" t="n">
        <v>7.7</v>
      </c>
      <c r="H9949" t="n">
        <v>0</v>
      </c>
      <c r="I9949" t="n">
        <v>0</v>
      </c>
      <c r="J9949" t="n">
        <v>0</v>
      </c>
      <c r="K9949" t="n">
        <v>0</v>
      </c>
      <c r="L9949" t="n">
        <v>0</v>
      </c>
      <c r="M9949" t="n">
        <v>0</v>
      </c>
      <c r="N9949" t="n">
        <v>0</v>
      </c>
      <c r="O9949" t="n">
        <v>0</v>
      </c>
      <c r="P9949" t="n">
        <v>0</v>
      </c>
      <c r="Q9949" t="n">
        <v>0</v>
      </c>
      <c r="R9949" s="2" t="inlineStr"/>
    </row>
    <row r="9950" ht="15" customHeight="1">
      <c r="A9950" t="inlineStr">
        <is>
          <t>A 7811-2024</t>
        </is>
      </c>
      <c r="B9950" s="1" t="n">
        <v>45349</v>
      </c>
      <c r="C9950" s="1" t="n">
        <v>45587</v>
      </c>
      <c r="D9950" t="inlineStr">
        <is>
          <t>GÄVLEBORGS LÄN</t>
        </is>
      </c>
      <c r="E9950" t="inlineStr">
        <is>
          <t>NORDANSTIG</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7915-2024</t>
        </is>
      </c>
      <c r="B9951" s="1" t="n">
        <v>45350</v>
      </c>
      <c r="C9951" s="1" t="n">
        <v>45587</v>
      </c>
      <c r="D9951" t="inlineStr">
        <is>
          <t>GÄVLEBORGS LÄN</t>
        </is>
      </c>
      <c r="E9951" t="inlineStr">
        <is>
          <t>GÄVLE</t>
        </is>
      </c>
      <c r="G9951" t="n">
        <v>5.2</v>
      </c>
      <c r="H9951" t="n">
        <v>0</v>
      </c>
      <c r="I9951" t="n">
        <v>0</v>
      </c>
      <c r="J9951" t="n">
        <v>0</v>
      </c>
      <c r="K9951" t="n">
        <v>0</v>
      </c>
      <c r="L9951" t="n">
        <v>0</v>
      </c>
      <c r="M9951" t="n">
        <v>0</v>
      </c>
      <c r="N9951" t="n">
        <v>0</v>
      </c>
      <c r="O9951" t="n">
        <v>0</v>
      </c>
      <c r="P9951" t="n">
        <v>0</v>
      </c>
      <c r="Q9951" t="n">
        <v>0</v>
      </c>
      <c r="R9951" s="2" t="inlineStr"/>
    </row>
    <row r="9952" ht="15" customHeight="1">
      <c r="A9952" t="inlineStr">
        <is>
          <t>A 7919-2024</t>
        </is>
      </c>
      <c r="B9952" s="1" t="n">
        <v>45350</v>
      </c>
      <c r="C9952" s="1" t="n">
        <v>45587</v>
      </c>
      <c r="D9952" t="inlineStr">
        <is>
          <t>GÄVLEBORGS LÄN</t>
        </is>
      </c>
      <c r="E9952" t="inlineStr">
        <is>
          <t>SANDVIKEN</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7923-2024</t>
        </is>
      </c>
      <c r="B9953" s="1" t="n">
        <v>45350</v>
      </c>
      <c r="C9953" s="1" t="n">
        <v>45587</v>
      </c>
      <c r="D9953" t="inlineStr">
        <is>
          <t>GÄVLEBORGS LÄN</t>
        </is>
      </c>
      <c r="E9953" t="inlineStr">
        <is>
          <t>GÄVLE</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7946-2024</t>
        </is>
      </c>
      <c r="B9954" s="1" t="n">
        <v>45350</v>
      </c>
      <c r="C9954" s="1" t="n">
        <v>45587</v>
      </c>
      <c r="D9954" t="inlineStr">
        <is>
          <t>GÄVLEBORGS LÄN</t>
        </is>
      </c>
      <c r="E9954" t="inlineStr">
        <is>
          <t>SANDVIKEN</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7994-2024</t>
        </is>
      </c>
      <c r="B9955" s="1" t="n">
        <v>45350</v>
      </c>
      <c r="C9955" s="1" t="n">
        <v>45587</v>
      </c>
      <c r="D9955" t="inlineStr">
        <is>
          <t>GÄVLEBORGS LÄN</t>
        </is>
      </c>
      <c r="E9955" t="inlineStr">
        <is>
          <t>LJUSDAL</t>
        </is>
      </c>
      <c r="G9955" t="n">
        <v>3.6</v>
      </c>
      <c r="H9955" t="n">
        <v>0</v>
      </c>
      <c r="I9955" t="n">
        <v>0</v>
      </c>
      <c r="J9955" t="n">
        <v>0</v>
      </c>
      <c r="K9955" t="n">
        <v>0</v>
      </c>
      <c r="L9955" t="n">
        <v>0</v>
      </c>
      <c r="M9955" t="n">
        <v>0</v>
      </c>
      <c r="N9955" t="n">
        <v>0</v>
      </c>
      <c r="O9955" t="n">
        <v>0</v>
      </c>
      <c r="P9955" t="n">
        <v>0</v>
      </c>
      <c r="Q9955" t="n">
        <v>0</v>
      </c>
      <c r="R9955" s="2" t="inlineStr"/>
    </row>
    <row r="9956" ht="15" customHeight="1">
      <c r="A9956" t="inlineStr">
        <is>
          <t>A 7949-2024</t>
        </is>
      </c>
      <c r="B9956" s="1" t="n">
        <v>45350</v>
      </c>
      <c r="C9956" s="1" t="n">
        <v>45587</v>
      </c>
      <c r="D9956" t="inlineStr">
        <is>
          <t>GÄVLEBORGS LÄN</t>
        </is>
      </c>
      <c r="E9956" t="inlineStr">
        <is>
          <t>SANDVIKEN</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7886-2024</t>
        </is>
      </c>
      <c r="B9957" s="1" t="n">
        <v>45350</v>
      </c>
      <c r="C9957" s="1" t="n">
        <v>45587</v>
      </c>
      <c r="D9957" t="inlineStr">
        <is>
          <t>GÄVLEBORGS LÄN</t>
        </is>
      </c>
      <c r="E9957" t="inlineStr">
        <is>
          <t>SANDVIKEN</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7899-2024</t>
        </is>
      </c>
      <c r="B9958" s="1" t="n">
        <v>45350</v>
      </c>
      <c r="C9958" s="1" t="n">
        <v>45587</v>
      </c>
      <c r="D9958" t="inlineStr">
        <is>
          <t>GÄVLEBORGS LÄN</t>
        </is>
      </c>
      <c r="E9958" t="inlineStr">
        <is>
          <t>GÄVLE</t>
        </is>
      </c>
      <c r="G9958" t="n">
        <v>4.7</v>
      </c>
      <c r="H9958" t="n">
        <v>0</v>
      </c>
      <c r="I9958" t="n">
        <v>0</v>
      </c>
      <c r="J9958" t="n">
        <v>0</v>
      </c>
      <c r="K9958" t="n">
        <v>0</v>
      </c>
      <c r="L9958" t="n">
        <v>0</v>
      </c>
      <c r="M9958" t="n">
        <v>0</v>
      </c>
      <c r="N9958" t="n">
        <v>0</v>
      </c>
      <c r="O9958" t="n">
        <v>0</v>
      </c>
      <c r="P9958" t="n">
        <v>0</v>
      </c>
      <c r="Q9958" t="n">
        <v>0</v>
      </c>
      <c r="R9958" s="2" t="inlineStr"/>
    </row>
    <row r="9959" ht="15" customHeight="1">
      <c r="A9959" t="inlineStr">
        <is>
          <t>A 7997-2024</t>
        </is>
      </c>
      <c r="B9959" s="1" t="n">
        <v>45350</v>
      </c>
      <c r="C9959" s="1" t="n">
        <v>45587</v>
      </c>
      <c r="D9959" t="inlineStr">
        <is>
          <t>GÄVLEBORGS LÄN</t>
        </is>
      </c>
      <c r="E9959" t="inlineStr">
        <is>
          <t>OVANÅKER</t>
        </is>
      </c>
      <c r="G9959" t="n">
        <v>3.4</v>
      </c>
      <c r="H9959" t="n">
        <v>0</v>
      </c>
      <c r="I9959" t="n">
        <v>0</v>
      </c>
      <c r="J9959" t="n">
        <v>0</v>
      </c>
      <c r="K9959" t="n">
        <v>0</v>
      </c>
      <c r="L9959" t="n">
        <v>0</v>
      </c>
      <c r="M9959" t="n">
        <v>0</v>
      </c>
      <c r="N9959" t="n">
        <v>0</v>
      </c>
      <c r="O9959" t="n">
        <v>0</v>
      </c>
      <c r="P9959" t="n">
        <v>0</v>
      </c>
      <c r="Q9959" t="n">
        <v>0</v>
      </c>
      <c r="R9959" s="2" t="inlineStr"/>
    </row>
    <row r="9960" ht="15" customHeight="1">
      <c r="A9960" t="inlineStr">
        <is>
          <t>A 7992-2024</t>
        </is>
      </c>
      <c r="B9960" s="1" t="n">
        <v>45350</v>
      </c>
      <c r="C9960" s="1" t="n">
        <v>45587</v>
      </c>
      <c r="D9960" t="inlineStr">
        <is>
          <t>GÄVLEBORGS LÄN</t>
        </is>
      </c>
      <c r="E9960" t="inlineStr">
        <is>
          <t>HUDIKSVALL</t>
        </is>
      </c>
      <c r="F9960" t="inlineStr">
        <is>
          <t>Holmen skog AB</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8032-2024</t>
        </is>
      </c>
      <c r="B9961" s="1" t="n">
        <v>45350</v>
      </c>
      <c r="C9961" s="1" t="n">
        <v>45587</v>
      </c>
      <c r="D9961" t="inlineStr">
        <is>
          <t>GÄVLEBORGS LÄN</t>
        </is>
      </c>
      <c r="E9961" t="inlineStr">
        <is>
          <t>OVANÅKER</t>
        </is>
      </c>
      <c r="G9961" t="n">
        <v>7.5</v>
      </c>
      <c r="H9961" t="n">
        <v>0</v>
      </c>
      <c r="I9961" t="n">
        <v>0</v>
      </c>
      <c r="J9961" t="n">
        <v>0</v>
      </c>
      <c r="K9961" t="n">
        <v>0</v>
      </c>
      <c r="L9961" t="n">
        <v>0</v>
      </c>
      <c r="M9961" t="n">
        <v>0</v>
      </c>
      <c r="N9961" t="n">
        <v>0</v>
      </c>
      <c r="O9961" t="n">
        <v>0</v>
      </c>
      <c r="P9961" t="n">
        <v>0</v>
      </c>
      <c r="Q9961" t="n">
        <v>0</v>
      </c>
      <c r="R9961" s="2" t="inlineStr"/>
    </row>
    <row r="9962" ht="15" customHeight="1">
      <c r="A9962" t="inlineStr">
        <is>
          <t>A 7907-2024</t>
        </is>
      </c>
      <c r="B9962" s="1" t="n">
        <v>45350</v>
      </c>
      <c r="C9962" s="1" t="n">
        <v>45587</v>
      </c>
      <c r="D9962" t="inlineStr">
        <is>
          <t>GÄVLEBORGS LÄN</t>
        </is>
      </c>
      <c r="E9962" t="inlineStr">
        <is>
          <t>HUDIKSVALL</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7920-2024</t>
        </is>
      </c>
      <c r="B9963" s="1" t="n">
        <v>45350</v>
      </c>
      <c r="C9963" s="1" t="n">
        <v>45587</v>
      </c>
      <c r="D9963" t="inlineStr">
        <is>
          <t>GÄVLEBORGS LÄN</t>
        </is>
      </c>
      <c r="E9963" t="inlineStr">
        <is>
          <t>GÄVLE</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7926-2024</t>
        </is>
      </c>
      <c r="B9964" s="1" t="n">
        <v>45350</v>
      </c>
      <c r="C9964" s="1" t="n">
        <v>45587</v>
      </c>
      <c r="D9964" t="inlineStr">
        <is>
          <t>GÄVLEBORGS LÄN</t>
        </is>
      </c>
      <c r="E9964" t="inlineStr">
        <is>
          <t>GÄVLE</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8027-2024</t>
        </is>
      </c>
      <c r="B9965" s="1" t="n">
        <v>45350</v>
      </c>
      <c r="C9965" s="1" t="n">
        <v>45587</v>
      </c>
      <c r="D9965" t="inlineStr">
        <is>
          <t>GÄVLEBORGS LÄN</t>
        </is>
      </c>
      <c r="E9965" t="inlineStr">
        <is>
          <t>HUDIKSVALL</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8031-2024</t>
        </is>
      </c>
      <c r="B9966" s="1" t="n">
        <v>45350</v>
      </c>
      <c r="C9966" s="1" t="n">
        <v>45587</v>
      </c>
      <c r="D9966" t="inlineStr">
        <is>
          <t>GÄVLEBORGS LÄN</t>
        </is>
      </c>
      <c r="E9966" t="inlineStr">
        <is>
          <t>GÄVLE</t>
        </is>
      </c>
      <c r="G9966" t="n">
        <v>0.4</v>
      </c>
      <c r="H9966" t="n">
        <v>0</v>
      </c>
      <c r="I9966" t="n">
        <v>0</v>
      </c>
      <c r="J9966" t="n">
        <v>0</v>
      </c>
      <c r="K9966" t="n">
        <v>0</v>
      </c>
      <c r="L9966" t="n">
        <v>0</v>
      </c>
      <c r="M9966" t="n">
        <v>0</v>
      </c>
      <c r="N9966" t="n">
        <v>0</v>
      </c>
      <c r="O9966" t="n">
        <v>0</v>
      </c>
      <c r="P9966" t="n">
        <v>0</v>
      </c>
      <c r="Q9966" t="n">
        <v>0</v>
      </c>
      <c r="R9966" s="2" t="inlineStr"/>
    </row>
    <row r="9967" ht="15" customHeight="1">
      <c r="A9967" t="inlineStr">
        <is>
          <t>A 8040-2024</t>
        </is>
      </c>
      <c r="B9967" s="1" t="n">
        <v>45350</v>
      </c>
      <c r="C9967" s="1" t="n">
        <v>45587</v>
      </c>
      <c r="D9967" t="inlineStr">
        <is>
          <t>GÄVLEBORGS LÄN</t>
        </is>
      </c>
      <c r="E9967" t="inlineStr">
        <is>
          <t>NORDANSTIG</t>
        </is>
      </c>
      <c r="F9967" t="inlineStr">
        <is>
          <t>SCA</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8080-2024</t>
        </is>
      </c>
      <c r="B9968" s="1" t="n">
        <v>45351</v>
      </c>
      <c r="C9968" s="1" t="n">
        <v>45587</v>
      </c>
      <c r="D9968" t="inlineStr">
        <is>
          <t>GÄVLEBORGS LÄN</t>
        </is>
      </c>
      <c r="E9968" t="inlineStr">
        <is>
          <t>SÖDERHAMN</t>
        </is>
      </c>
      <c r="G9968" t="n">
        <v>9.4</v>
      </c>
      <c r="H9968" t="n">
        <v>0</v>
      </c>
      <c r="I9968" t="n">
        <v>0</v>
      </c>
      <c r="J9968" t="n">
        <v>0</v>
      </c>
      <c r="K9968" t="n">
        <v>0</v>
      </c>
      <c r="L9968" t="n">
        <v>0</v>
      </c>
      <c r="M9968" t="n">
        <v>0</v>
      </c>
      <c r="N9968" t="n">
        <v>0</v>
      </c>
      <c r="O9968" t="n">
        <v>0</v>
      </c>
      <c r="P9968" t="n">
        <v>0</v>
      </c>
      <c r="Q9968" t="n">
        <v>0</v>
      </c>
      <c r="R9968" s="2" t="inlineStr"/>
    </row>
    <row r="9969" ht="15" customHeight="1">
      <c r="A9969" t="inlineStr">
        <is>
          <t>A 8096-2024</t>
        </is>
      </c>
      <c r="B9969" s="1" t="n">
        <v>45351</v>
      </c>
      <c r="C9969" s="1" t="n">
        <v>45587</v>
      </c>
      <c r="D9969" t="inlineStr">
        <is>
          <t>GÄVLEBORGS LÄN</t>
        </is>
      </c>
      <c r="E9969" t="inlineStr">
        <is>
          <t>HUDIKSVALL</t>
        </is>
      </c>
      <c r="F9969" t="inlineStr">
        <is>
          <t>Holmen skog AB</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8142-2024</t>
        </is>
      </c>
      <c r="B9970" s="1" t="n">
        <v>45351</v>
      </c>
      <c r="C9970" s="1" t="n">
        <v>45587</v>
      </c>
      <c r="D9970" t="inlineStr">
        <is>
          <t>GÄVLEBORGS LÄN</t>
        </is>
      </c>
      <c r="E9970" t="inlineStr">
        <is>
          <t>LJUSDAL</t>
        </is>
      </c>
      <c r="F9970" t="inlineStr">
        <is>
          <t>Holmen skog AB</t>
        </is>
      </c>
      <c r="G9970" t="n">
        <v>17.1</v>
      </c>
      <c r="H9970" t="n">
        <v>0</v>
      </c>
      <c r="I9970" t="n">
        <v>0</v>
      </c>
      <c r="J9970" t="n">
        <v>0</v>
      </c>
      <c r="K9970" t="n">
        <v>0</v>
      </c>
      <c r="L9970" t="n">
        <v>0</v>
      </c>
      <c r="M9970" t="n">
        <v>0</v>
      </c>
      <c r="N9970" t="n">
        <v>0</v>
      </c>
      <c r="O9970" t="n">
        <v>0</v>
      </c>
      <c r="P9970" t="n">
        <v>0</v>
      </c>
      <c r="Q9970" t="n">
        <v>0</v>
      </c>
      <c r="R9970" s="2" t="inlineStr"/>
    </row>
    <row r="9971" ht="15" customHeight="1">
      <c r="A9971" t="inlineStr">
        <is>
          <t>A 8051-2024</t>
        </is>
      </c>
      <c r="B9971" s="1" t="n">
        <v>45351</v>
      </c>
      <c r="C9971" s="1" t="n">
        <v>45587</v>
      </c>
      <c r="D9971" t="inlineStr">
        <is>
          <t>GÄVLEBORGS LÄN</t>
        </is>
      </c>
      <c r="E9971" t="inlineStr">
        <is>
          <t>HUDIKSVALL</t>
        </is>
      </c>
      <c r="F9971" t="inlineStr">
        <is>
          <t>Holmen skog AB</t>
        </is>
      </c>
      <c r="G9971" t="n">
        <v>12.9</v>
      </c>
      <c r="H9971" t="n">
        <v>0</v>
      </c>
      <c r="I9971" t="n">
        <v>0</v>
      </c>
      <c r="J9971" t="n">
        <v>0</v>
      </c>
      <c r="K9971" t="n">
        <v>0</v>
      </c>
      <c r="L9971" t="n">
        <v>0</v>
      </c>
      <c r="M9971" t="n">
        <v>0</v>
      </c>
      <c r="N9971" t="n">
        <v>0</v>
      </c>
      <c r="O9971" t="n">
        <v>0</v>
      </c>
      <c r="P9971" t="n">
        <v>0</v>
      </c>
      <c r="Q9971" t="n">
        <v>0</v>
      </c>
      <c r="R9971" s="2" t="inlineStr"/>
    </row>
    <row r="9972" ht="15" customHeight="1">
      <c r="A9972" t="inlineStr">
        <is>
          <t>A 8119-2024</t>
        </is>
      </c>
      <c r="B9972" s="1" t="n">
        <v>45351</v>
      </c>
      <c r="C9972" s="1" t="n">
        <v>45587</v>
      </c>
      <c r="D9972" t="inlineStr">
        <is>
          <t>GÄVLEBORGS LÄN</t>
        </is>
      </c>
      <c r="E9972" t="inlineStr">
        <is>
          <t>BOLLNÄS</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8061-2024</t>
        </is>
      </c>
      <c r="B9973" s="1" t="n">
        <v>45351</v>
      </c>
      <c r="C9973" s="1" t="n">
        <v>45587</v>
      </c>
      <c r="D9973" t="inlineStr">
        <is>
          <t>GÄVLEBORGS LÄN</t>
        </is>
      </c>
      <c r="E9973" t="inlineStr">
        <is>
          <t>LJUSDAL</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8081-2024</t>
        </is>
      </c>
      <c r="B9974" s="1" t="n">
        <v>45351</v>
      </c>
      <c r="C9974" s="1" t="n">
        <v>45587</v>
      </c>
      <c r="D9974" t="inlineStr">
        <is>
          <t>GÄVLEBORGS LÄN</t>
        </is>
      </c>
      <c r="E9974" t="inlineStr">
        <is>
          <t>LJUSDAL</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8199-2024</t>
        </is>
      </c>
      <c r="B9975" s="1" t="n">
        <v>45351</v>
      </c>
      <c r="C9975" s="1" t="n">
        <v>45587</v>
      </c>
      <c r="D9975" t="inlineStr">
        <is>
          <t>GÄVLEBORGS LÄN</t>
        </is>
      </c>
      <c r="E9975" t="inlineStr">
        <is>
          <t>NORDANSTIG</t>
        </is>
      </c>
      <c r="G9975" t="n">
        <v>6.8</v>
      </c>
      <c r="H9975" t="n">
        <v>0</v>
      </c>
      <c r="I9975" t="n">
        <v>0</v>
      </c>
      <c r="J9975" t="n">
        <v>0</v>
      </c>
      <c r="K9975" t="n">
        <v>0</v>
      </c>
      <c r="L9975" t="n">
        <v>0</v>
      </c>
      <c r="M9975" t="n">
        <v>0</v>
      </c>
      <c r="N9975" t="n">
        <v>0</v>
      </c>
      <c r="O9975" t="n">
        <v>0</v>
      </c>
      <c r="P9975" t="n">
        <v>0</v>
      </c>
      <c r="Q9975" t="n">
        <v>0</v>
      </c>
      <c r="R9975" s="2" t="inlineStr"/>
    </row>
    <row r="9976" ht="15" customHeight="1">
      <c r="A9976" t="inlineStr">
        <is>
          <t>A 8233-2024</t>
        </is>
      </c>
      <c r="B9976" s="1" t="n">
        <v>45351</v>
      </c>
      <c r="C9976" s="1" t="n">
        <v>45587</v>
      </c>
      <c r="D9976" t="inlineStr">
        <is>
          <t>GÄVLEBORGS LÄN</t>
        </is>
      </c>
      <c r="E9976" t="inlineStr">
        <is>
          <t>BOLLNÄS</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8289-2024</t>
        </is>
      </c>
      <c r="B9977" s="1" t="n">
        <v>45352</v>
      </c>
      <c r="C9977" s="1" t="n">
        <v>45587</v>
      </c>
      <c r="D9977" t="inlineStr">
        <is>
          <t>GÄVLEBORGS LÄN</t>
        </is>
      </c>
      <c r="E9977" t="inlineStr">
        <is>
          <t>LJUSDAL</t>
        </is>
      </c>
      <c r="F9977" t="inlineStr">
        <is>
          <t>Bergvik skog väst AB</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8335-2024</t>
        </is>
      </c>
      <c r="B9978" s="1" t="n">
        <v>45352</v>
      </c>
      <c r="C9978" s="1" t="n">
        <v>45587</v>
      </c>
      <c r="D9978" t="inlineStr">
        <is>
          <t>GÄVLEBORGS LÄN</t>
        </is>
      </c>
      <c r="E9978" t="inlineStr">
        <is>
          <t>LJUSDAL</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8323-2024</t>
        </is>
      </c>
      <c r="B9979" s="1" t="n">
        <v>45352</v>
      </c>
      <c r="C9979" s="1" t="n">
        <v>45587</v>
      </c>
      <c r="D9979" t="inlineStr">
        <is>
          <t>GÄVLEBORGS LÄN</t>
        </is>
      </c>
      <c r="E9979" t="inlineStr">
        <is>
          <t>BOLLNÄS</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8339-2024</t>
        </is>
      </c>
      <c r="B9980" s="1" t="n">
        <v>45352</v>
      </c>
      <c r="C9980" s="1" t="n">
        <v>45587</v>
      </c>
      <c r="D9980" t="inlineStr">
        <is>
          <t>GÄVLEBORGS LÄN</t>
        </is>
      </c>
      <c r="E9980" t="inlineStr">
        <is>
          <t>LJUSDAL</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8395-2024</t>
        </is>
      </c>
      <c r="B9981" s="1" t="n">
        <v>45352</v>
      </c>
      <c r="C9981" s="1" t="n">
        <v>45587</v>
      </c>
      <c r="D9981" t="inlineStr">
        <is>
          <t>GÄVLEBORGS LÄN</t>
        </is>
      </c>
      <c r="E9981" t="inlineStr">
        <is>
          <t>NORDANSTIG</t>
        </is>
      </c>
      <c r="F9981" t="inlineStr">
        <is>
          <t>Holmen skog AB</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8327-2024</t>
        </is>
      </c>
      <c r="B9982" s="1" t="n">
        <v>45352</v>
      </c>
      <c r="C9982" s="1" t="n">
        <v>45587</v>
      </c>
      <c r="D9982" t="inlineStr">
        <is>
          <t>GÄVLEBORGS LÄN</t>
        </is>
      </c>
      <c r="E9982" t="inlineStr">
        <is>
          <t>BOLLNÄS</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8302-2024</t>
        </is>
      </c>
      <c r="B9983" s="1" t="n">
        <v>45352</v>
      </c>
      <c r="C9983" s="1" t="n">
        <v>45587</v>
      </c>
      <c r="D9983" t="inlineStr">
        <is>
          <t>GÄVLEBORGS LÄN</t>
        </is>
      </c>
      <c r="E9983" t="inlineStr">
        <is>
          <t>BOLLNÄS</t>
        </is>
      </c>
      <c r="G9983" t="n">
        <v>8.1</v>
      </c>
      <c r="H9983" t="n">
        <v>0</v>
      </c>
      <c r="I9983" t="n">
        <v>0</v>
      </c>
      <c r="J9983" t="n">
        <v>0</v>
      </c>
      <c r="K9983" t="n">
        <v>0</v>
      </c>
      <c r="L9983" t="n">
        <v>0</v>
      </c>
      <c r="M9983" t="n">
        <v>0</v>
      </c>
      <c r="N9983" t="n">
        <v>0</v>
      </c>
      <c r="O9983" t="n">
        <v>0</v>
      </c>
      <c r="P9983" t="n">
        <v>0</v>
      </c>
      <c r="Q9983" t="n">
        <v>0</v>
      </c>
      <c r="R9983" s="2" t="inlineStr"/>
    </row>
    <row r="9984" ht="15" customHeight="1">
      <c r="A9984" t="inlineStr">
        <is>
          <t>A 8308-2024</t>
        </is>
      </c>
      <c r="B9984" s="1" t="n">
        <v>45352</v>
      </c>
      <c r="C9984" s="1" t="n">
        <v>45587</v>
      </c>
      <c r="D9984" t="inlineStr">
        <is>
          <t>GÄVLEBORGS LÄN</t>
        </is>
      </c>
      <c r="E9984" t="inlineStr">
        <is>
          <t>BOLLNÄS</t>
        </is>
      </c>
      <c r="G9984" t="n">
        <v>3.3</v>
      </c>
      <c r="H9984" t="n">
        <v>0</v>
      </c>
      <c r="I9984" t="n">
        <v>0</v>
      </c>
      <c r="J9984" t="n">
        <v>0</v>
      </c>
      <c r="K9984" t="n">
        <v>0</v>
      </c>
      <c r="L9984" t="n">
        <v>0</v>
      </c>
      <c r="M9984" t="n">
        <v>0</v>
      </c>
      <c r="N9984" t="n">
        <v>0</v>
      </c>
      <c r="O9984" t="n">
        <v>0</v>
      </c>
      <c r="P9984" t="n">
        <v>0</v>
      </c>
      <c r="Q9984" t="n">
        <v>0</v>
      </c>
      <c r="R9984" s="2" t="inlineStr"/>
    </row>
    <row r="9985" ht="15" customHeight="1">
      <c r="A9985" t="inlineStr">
        <is>
          <t>A 8384-2024</t>
        </is>
      </c>
      <c r="B9985" s="1" t="n">
        <v>45352</v>
      </c>
      <c r="C9985" s="1" t="n">
        <v>45587</v>
      </c>
      <c r="D9985" t="inlineStr">
        <is>
          <t>GÄVLEBORGS LÄN</t>
        </is>
      </c>
      <c r="E9985" t="inlineStr">
        <is>
          <t>LJUSDAL</t>
        </is>
      </c>
      <c r="G9985" t="n">
        <v>9.4</v>
      </c>
      <c r="H9985" t="n">
        <v>0</v>
      </c>
      <c r="I9985" t="n">
        <v>0</v>
      </c>
      <c r="J9985" t="n">
        <v>0</v>
      </c>
      <c r="K9985" t="n">
        <v>0</v>
      </c>
      <c r="L9985" t="n">
        <v>0</v>
      </c>
      <c r="M9985" t="n">
        <v>0</v>
      </c>
      <c r="N9985" t="n">
        <v>0</v>
      </c>
      <c r="O9985" t="n">
        <v>0</v>
      </c>
      <c r="P9985" t="n">
        <v>0</v>
      </c>
      <c r="Q9985" t="n">
        <v>0</v>
      </c>
      <c r="R9985" s="2" t="inlineStr"/>
    </row>
    <row r="9986" ht="15" customHeight="1">
      <c r="A9986" t="inlineStr">
        <is>
          <t>A 8397-2024</t>
        </is>
      </c>
      <c r="B9986" s="1" t="n">
        <v>45352</v>
      </c>
      <c r="C9986" s="1" t="n">
        <v>45587</v>
      </c>
      <c r="D9986" t="inlineStr">
        <is>
          <t>GÄVLEBORGS LÄN</t>
        </is>
      </c>
      <c r="E9986" t="inlineStr">
        <is>
          <t>NORDANSTIG</t>
        </is>
      </c>
      <c r="F9986" t="inlineStr">
        <is>
          <t>Holmen skog AB</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8434-2024</t>
        </is>
      </c>
      <c r="B9987" s="1" t="n">
        <v>45353</v>
      </c>
      <c r="C9987" s="1" t="n">
        <v>45587</v>
      </c>
      <c r="D9987" t="inlineStr">
        <is>
          <t>GÄVLEBORGS LÄN</t>
        </is>
      </c>
      <c r="E9987" t="inlineStr">
        <is>
          <t>HUDIKSVALL</t>
        </is>
      </c>
      <c r="F9987" t="inlineStr">
        <is>
          <t>Holmen skog AB</t>
        </is>
      </c>
      <c r="G9987" t="n">
        <v>10.1</v>
      </c>
      <c r="H9987" t="n">
        <v>0</v>
      </c>
      <c r="I9987" t="n">
        <v>0</v>
      </c>
      <c r="J9987" t="n">
        <v>0</v>
      </c>
      <c r="K9987" t="n">
        <v>0</v>
      </c>
      <c r="L9987" t="n">
        <v>0</v>
      </c>
      <c r="M9987" t="n">
        <v>0</v>
      </c>
      <c r="N9987" t="n">
        <v>0</v>
      </c>
      <c r="O9987" t="n">
        <v>0</v>
      </c>
      <c r="P9987" t="n">
        <v>0</v>
      </c>
      <c r="Q9987" t="n">
        <v>0</v>
      </c>
      <c r="R9987" s="2" t="inlineStr"/>
    </row>
    <row r="9988" ht="15" customHeight="1">
      <c r="A9988" t="inlineStr">
        <is>
          <t>A 8486-2024</t>
        </is>
      </c>
      <c r="B9988" s="1" t="n">
        <v>45355</v>
      </c>
      <c r="C9988" s="1" t="n">
        <v>45587</v>
      </c>
      <c r="D9988" t="inlineStr">
        <is>
          <t>GÄVLEBORGS LÄN</t>
        </is>
      </c>
      <c r="E9988" t="inlineStr">
        <is>
          <t>HUDIKSVALL</t>
        </is>
      </c>
      <c r="G9988" t="n">
        <v>4.7</v>
      </c>
      <c r="H9988" t="n">
        <v>0</v>
      </c>
      <c r="I9988" t="n">
        <v>0</v>
      </c>
      <c r="J9988" t="n">
        <v>0</v>
      </c>
      <c r="K9988" t="n">
        <v>0</v>
      </c>
      <c r="L9988" t="n">
        <v>0</v>
      </c>
      <c r="M9988" t="n">
        <v>0</v>
      </c>
      <c r="N9988" t="n">
        <v>0</v>
      </c>
      <c r="O9988" t="n">
        <v>0</v>
      </c>
      <c r="P9988" t="n">
        <v>0</v>
      </c>
      <c r="Q9988" t="n">
        <v>0</v>
      </c>
      <c r="R9988" s="2" t="inlineStr"/>
    </row>
    <row r="9989" ht="15" customHeight="1">
      <c r="A9989" t="inlineStr">
        <is>
          <t>A 8494-2024</t>
        </is>
      </c>
      <c r="B9989" s="1" t="n">
        <v>45355</v>
      </c>
      <c r="C9989" s="1" t="n">
        <v>45587</v>
      </c>
      <c r="D9989" t="inlineStr">
        <is>
          <t>GÄVLEBORGS LÄN</t>
        </is>
      </c>
      <c r="E9989" t="inlineStr">
        <is>
          <t>HUDIKSVALL</t>
        </is>
      </c>
      <c r="G9989" t="n">
        <v>4.4</v>
      </c>
      <c r="H9989" t="n">
        <v>0</v>
      </c>
      <c r="I9989" t="n">
        <v>0</v>
      </c>
      <c r="J9989" t="n">
        <v>0</v>
      </c>
      <c r="K9989" t="n">
        <v>0</v>
      </c>
      <c r="L9989" t="n">
        <v>0</v>
      </c>
      <c r="M9989" t="n">
        <v>0</v>
      </c>
      <c r="N9989" t="n">
        <v>0</v>
      </c>
      <c r="O9989" t="n">
        <v>0</v>
      </c>
      <c r="P9989" t="n">
        <v>0</v>
      </c>
      <c r="Q9989" t="n">
        <v>0</v>
      </c>
      <c r="R9989" s="2" t="inlineStr"/>
    </row>
    <row r="9990" ht="15" customHeight="1">
      <c r="A9990" t="inlineStr">
        <is>
          <t>A 8515-2024</t>
        </is>
      </c>
      <c r="B9990" s="1" t="n">
        <v>45355</v>
      </c>
      <c r="C9990" s="1" t="n">
        <v>45587</v>
      </c>
      <c r="D9990" t="inlineStr">
        <is>
          <t>GÄVLEBORGS LÄN</t>
        </is>
      </c>
      <c r="E9990" t="inlineStr">
        <is>
          <t>HUDIKSVALL</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8522-2024</t>
        </is>
      </c>
      <c r="B9991" s="1" t="n">
        <v>45355</v>
      </c>
      <c r="C9991" s="1" t="n">
        <v>45587</v>
      </c>
      <c r="D9991" t="inlineStr">
        <is>
          <t>GÄVLEBORGS LÄN</t>
        </is>
      </c>
      <c r="E9991" t="inlineStr">
        <is>
          <t>HUDIKSVALL</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8573-2024</t>
        </is>
      </c>
      <c r="B9992" s="1" t="n">
        <v>45355</v>
      </c>
      <c r="C9992" s="1" t="n">
        <v>45587</v>
      </c>
      <c r="D9992" t="inlineStr">
        <is>
          <t>GÄVLEBORGS LÄN</t>
        </is>
      </c>
      <c r="E9992" t="inlineStr">
        <is>
          <t>BOLLNÄS</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8496-2024</t>
        </is>
      </c>
      <c r="B9993" s="1" t="n">
        <v>45355</v>
      </c>
      <c r="C9993" s="1" t="n">
        <v>45587</v>
      </c>
      <c r="D9993" t="inlineStr">
        <is>
          <t>GÄVLEBORGS LÄN</t>
        </is>
      </c>
      <c r="E9993" t="inlineStr">
        <is>
          <t>HUDIKSVALL</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8487-2024</t>
        </is>
      </c>
      <c r="B9994" s="1" t="n">
        <v>45355</v>
      </c>
      <c r="C9994" s="1" t="n">
        <v>45587</v>
      </c>
      <c r="D9994" t="inlineStr">
        <is>
          <t>GÄVLEBORGS LÄN</t>
        </is>
      </c>
      <c r="E9994" t="inlineStr">
        <is>
          <t>HUDIKSVALL</t>
        </is>
      </c>
      <c r="G9994" t="n">
        <v>3.9</v>
      </c>
      <c r="H9994" t="n">
        <v>0</v>
      </c>
      <c r="I9994" t="n">
        <v>0</v>
      </c>
      <c r="J9994" t="n">
        <v>0</v>
      </c>
      <c r="K9994" t="n">
        <v>0</v>
      </c>
      <c r="L9994" t="n">
        <v>0</v>
      </c>
      <c r="M9994" t="n">
        <v>0</v>
      </c>
      <c r="N9994" t="n">
        <v>0</v>
      </c>
      <c r="O9994" t="n">
        <v>0</v>
      </c>
      <c r="P9994" t="n">
        <v>0</v>
      </c>
      <c r="Q9994" t="n">
        <v>0</v>
      </c>
      <c r="R9994" s="2" t="inlineStr"/>
    </row>
    <row r="9995" ht="15" customHeight="1">
      <c r="A9995" t="inlineStr">
        <is>
          <t>A 8691-2024</t>
        </is>
      </c>
      <c r="B9995" s="1" t="n">
        <v>45356</v>
      </c>
      <c r="C9995" s="1" t="n">
        <v>45587</v>
      </c>
      <c r="D9995" t="inlineStr">
        <is>
          <t>GÄVLEBORGS LÄN</t>
        </is>
      </c>
      <c r="E9995" t="inlineStr">
        <is>
          <t>GÄVLE</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8667-2024</t>
        </is>
      </c>
      <c r="B9996" s="1" t="n">
        <v>45356</v>
      </c>
      <c r="C9996" s="1" t="n">
        <v>45587</v>
      </c>
      <c r="D9996" t="inlineStr">
        <is>
          <t>GÄVLEBORGS LÄN</t>
        </is>
      </c>
      <c r="E9996" t="inlineStr">
        <is>
          <t>LJUSDAL</t>
        </is>
      </c>
      <c r="G9996" t="n">
        <v>3.6</v>
      </c>
      <c r="H9996" t="n">
        <v>0</v>
      </c>
      <c r="I9996" t="n">
        <v>0</v>
      </c>
      <c r="J9996" t="n">
        <v>0</v>
      </c>
      <c r="K9996" t="n">
        <v>0</v>
      </c>
      <c r="L9996" t="n">
        <v>0</v>
      </c>
      <c r="M9996" t="n">
        <v>0</v>
      </c>
      <c r="N9996" t="n">
        <v>0</v>
      </c>
      <c r="O9996" t="n">
        <v>0</v>
      </c>
      <c r="P9996" t="n">
        <v>0</v>
      </c>
      <c r="Q9996" t="n">
        <v>0</v>
      </c>
      <c r="R9996" s="2" t="inlineStr"/>
    </row>
    <row r="9997" ht="15" customHeight="1">
      <c r="A9997" t="inlineStr">
        <is>
          <t>A 8693-2024</t>
        </is>
      </c>
      <c r="B9997" s="1" t="n">
        <v>45356</v>
      </c>
      <c r="C9997" s="1" t="n">
        <v>45587</v>
      </c>
      <c r="D9997" t="inlineStr">
        <is>
          <t>GÄVLEBORGS LÄN</t>
        </is>
      </c>
      <c r="E9997" t="inlineStr">
        <is>
          <t>GÄVLE</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8698-2024</t>
        </is>
      </c>
      <c r="B9998" s="1" t="n">
        <v>45356</v>
      </c>
      <c r="C9998" s="1" t="n">
        <v>45587</v>
      </c>
      <c r="D9998" t="inlineStr">
        <is>
          <t>GÄVLEBORGS LÄN</t>
        </is>
      </c>
      <c r="E9998" t="inlineStr">
        <is>
          <t>SANDVIKEN</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8695-2024</t>
        </is>
      </c>
      <c r="B9999" s="1" t="n">
        <v>45356</v>
      </c>
      <c r="C9999" s="1" t="n">
        <v>45587</v>
      </c>
      <c r="D9999" t="inlineStr">
        <is>
          <t>GÄVLEBORGS LÄN</t>
        </is>
      </c>
      <c r="E9999" t="inlineStr">
        <is>
          <t>SANDVIKEN</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8768-2024</t>
        </is>
      </c>
      <c r="B10000" s="1" t="n">
        <v>45356</v>
      </c>
      <c r="C10000" s="1" t="n">
        <v>45587</v>
      </c>
      <c r="D10000" t="inlineStr">
        <is>
          <t>GÄVLEBORGS LÄN</t>
        </is>
      </c>
      <c r="E10000" t="inlineStr">
        <is>
          <t>SÖDERHAMN</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8776-2024</t>
        </is>
      </c>
      <c r="B10001" s="1" t="n">
        <v>45356</v>
      </c>
      <c r="C10001" s="1" t="n">
        <v>45587</v>
      </c>
      <c r="D10001" t="inlineStr">
        <is>
          <t>GÄVLEBORGS LÄN</t>
        </is>
      </c>
      <c r="E10001" t="inlineStr">
        <is>
          <t>BOLLNÄS</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8898-2024</t>
        </is>
      </c>
      <c r="B10002" s="1" t="n">
        <v>45357</v>
      </c>
      <c r="C10002" s="1" t="n">
        <v>45587</v>
      </c>
      <c r="D10002" t="inlineStr">
        <is>
          <t>GÄVLEBORGS LÄN</t>
        </is>
      </c>
      <c r="E10002" t="inlineStr">
        <is>
          <t>NORDANSTIG</t>
        </is>
      </c>
      <c r="G10002" t="n">
        <v>8.199999999999999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9053-2024</t>
        </is>
      </c>
      <c r="B10003" s="1" t="n">
        <v>45357</v>
      </c>
      <c r="C10003" s="1" t="n">
        <v>45587</v>
      </c>
      <c r="D10003" t="inlineStr">
        <is>
          <t>GÄVLEBORGS LÄN</t>
        </is>
      </c>
      <c r="E10003" t="inlineStr">
        <is>
          <t>SANDVIKEN</t>
        </is>
      </c>
      <c r="G10003" t="n">
        <v>6.8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9058-2024</t>
        </is>
      </c>
      <c r="B10004" s="1" t="n">
        <v>45357</v>
      </c>
      <c r="C10004" s="1" t="n">
        <v>45587</v>
      </c>
      <c r="D10004" t="inlineStr">
        <is>
          <t>GÄVLEBORGS LÄN</t>
        </is>
      </c>
      <c r="E10004" t="inlineStr">
        <is>
          <t>SANDVIKEN</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9062-2024</t>
        </is>
      </c>
      <c r="B10005" s="1" t="n">
        <v>45357</v>
      </c>
      <c r="C10005" s="1" t="n">
        <v>45587</v>
      </c>
      <c r="D10005" t="inlineStr">
        <is>
          <t>GÄVLEBORGS LÄN</t>
        </is>
      </c>
      <c r="E10005" t="inlineStr">
        <is>
          <t>SANDVIKEN</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8909-2024</t>
        </is>
      </c>
      <c r="B10006" s="1" t="n">
        <v>45357</v>
      </c>
      <c r="C10006" s="1" t="n">
        <v>45587</v>
      </c>
      <c r="D10006" t="inlineStr">
        <is>
          <t>GÄVLEBORGS LÄN</t>
        </is>
      </c>
      <c r="E10006" t="inlineStr">
        <is>
          <t>NORDANSTIG</t>
        </is>
      </c>
      <c r="G10006" t="n">
        <v>15.3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8979-2024</t>
        </is>
      </c>
      <c r="B10007" s="1" t="n">
        <v>45357</v>
      </c>
      <c r="C10007" s="1" t="n">
        <v>45587</v>
      </c>
      <c r="D10007" t="inlineStr">
        <is>
          <t>GÄVLEBORGS LÄN</t>
        </is>
      </c>
      <c r="E10007" t="inlineStr">
        <is>
          <t>LJUSDAL</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9025-2024</t>
        </is>
      </c>
      <c r="B10008" s="1" t="n">
        <v>45357</v>
      </c>
      <c r="C10008" s="1" t="n">
        <v>45587</v>
      </c>
      <c r="D10008" t="inlineStr">
        <is>
          <t>GÄVLEBORGS LÄN</t>
        </is>
      </c>
      <c r="E10008" t="inlineStr">
        <is>
          <t>BOLLNÄS</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9059-2024</t>
        </is>
      </c>
      <c r="B10009" s="1" t="n">
        <v>45357</v>
      </c>
      <c r="C10009" s="1" t="n">
        <v>45587</v>
      </c>
      <c r="D10009" t="inlineStr">
        <is>
          <t>GÄVLEBORGS LÄN</t>
        </is>
      </c>
      <c r="E10009" t="inlineStr">
        <is>
          <t>SANDVIKEN</t>
        </is>
      </c>
      <c r="G10009" t="n">
        <v>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9111-2024</t>
        </is>
      </c>
      <c r="B10010" s="1" t="n">
        <v>45358</v>
      </c>
      <c r="C10010" s="1" t="n">
        <v>45587</v>
      </c>
      <c r="D10010" t="inlineStr">
        <is>
          <t>GÄVLEBORGS LÄN</t>
        </is>
      </c>
      <c r="E10010" t="inlineStr">
        <is>
          <t>LJUSDAL</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9110-2024</t>
        </is>
      </c>
      <c r="B10011" s="1" t="n">
        <v>45358</v>
      </c>
      <c r="C10011" s="1" t="n">
        <v>45587</v>
      </c>
      <c r="D10011" t="inlineStr">
        <is>
          <t>GÄVLEBORGS LÄN</t>
        </is>
      </c>
      <c r="E10011" t="inlineStr">
        <is>
          <t>HUDIKSVALL</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9243-2024</t>
        </is>
      </c>
      <c r="B10012" s="1" t="n">
        <v>45358</v>
      </c>
      <c r="C10012" s="1" t="n">
        <v>45587</v>
      </c>
      <c r="D10012" t="inlineStr">
        <is>
          <t>GÄVLEBORGS LÄN</t>
        </is>
      </c>
      <c r="E10012" t="inlineStr">
        <is>
          <t>OVANÅKER</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9220-2024</t>
        </is>
      </c>
      <c r="B10013" s="1" t="n">
        <v>45358</v>
      </c>
      <c r="C10013" s="1" t="n">
        <v>45587</v>
      </c>
      <c r="D10013" t="inlineStr">
        <is>
          <t>GÄVLEBORGS LÄN</t>
        </is>
      </c>
      <c r="E10013" t="inlineStr">
        <is>
          <t>LJUSDAL</t>
        </is>
      </c>
      <c r="G10013" t="n">
        <v>4.2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9262-2024</t>
        </is>
      </c>
      <c r="B10014" s="1" t="n">
        <v>45358</v>
      </c>
      <c r="C10014" s="1" t="n">
        <v>45587</v>
      </c>
      <c r="D10014" t="inlineStr">
        <is>
          <t>GÄVLEBORGS LÄN</t>
        </is>
      </c>
      <c r="E10014" t="inlineStr">
        <is>
          <t>BOLLNÄS</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9224-2024</t>
        </is>
      </c>
      <c r="B10015" s="1" t="n">
        <v>45358</v>
      </c>
      <c r="C10015" s="1" t="n">
        <v>45587</v>
      </c>
      <c r="D10015" t="inlineStr">
        <is>
          <t>GÄVLEBORGS LÄN</t>
        </is>
      </c>
      <c r="E10015" t="inlineStr">
        <is>
          <t>LJUSDAL</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9315-2024</t>
        </is>
      </c>
      <c r="B10016" s="1" t="n">
        <v>45358</v>
      </c>
      <c r="C10016" s="1" t="n">
        <v>45587</v>
      </c>
      <c r="D10016" t="inlineStr">
        <is>
          <t>GÄVLEBORGS LÄN</t>
        </is>
      </c>
      <c r="E10016" t="inlineStr">
        <is>
          <t>HUDIKSVALL</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9131-2024</t>
        </is>
      </c>
      <c r="B10017" s="1" t="n">
        <v>45358</v>
      </c>
      <c r="C10017" s="1" t="n">
        <v>45587</v>
      </c>
      <c r="D10017" t="inlineStr">
        <is>
          <t>GÄVLEBORGS LÄN</t>
        </is>
      </c>
      <c r="E10017" t="inlineStr">
        <is>
          <t>NORDANSTIG</t>
        </is>
      </c>
      <c r="F10017" t="inlineStr">
        <is>
          <t>Holmen skog AB</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9343-2024</t>
        </is>
      </c>
      <c r="B10018" s="1" t="n">
        <v>45359</v>
      </c>
      <c r="C10018" s="1" t="n">
        <v>45587</v>
      </c>
      <c r="D10018" t="inlineStr">
        <is>
          <t>GÄVLEBORGS LÄN</t>
        </is>
      </c>
      <c r="E10018" t="inlineStr">
        <is>
          <t>LJUSDAL</t>
        </is>
      </c>
      <c r="F10018" t="inlineStr">
        <is>
          <t>SCA</t>
        </is>
      </c>
      <c r="G10018" t="n">
        <v>7.8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9367-2024</t>
        </is>
      </c>
      <c r="B10019" s="1" t="n">
        <v>45358</v>
      </c>
      <c r="C10019" s="1" t="n">
        <v>45587</v>
      </c>
      <c r="D10019" t="inlineStr">
        <is>
          <t>GÄVLEBORGS LÄN</t>
        </is>
      </c>
      <c r="E10019" t="inlineStr">
        <is>
          <t>HUDIKSVALL</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9361-2024</t>
        </is>
      </c>
      <c r="B10020" s="1" t="n">
        <v>45359</v>
      </c>
      <c r="C10020" s="1" t="n">
        <v>45587</v>
      </c>
      <c r="D10020" t="inlineStr">
        <is>
          <t>GÄVLEBORGS LÄN</t>
        </is>
      </c>
      <c r="E10020" t="inlineStr">
        <is>
          <t>LJUSDAL</t>
        </is>
      </c>
      <c r="G10020" t="n">
        <v>5.4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9359-2024</t>
        </is>
      </c>
      <c r="B10021" s="1" t="n">
        <v>45359</v>
      </c>
      <c r="C10021" s="1" t="n">
        <v>45587</v>
      </c>
      <c r="D10021" t="inlineStr">
        <is>
          <t>GÄVLEBORGS LÄN</t>
        </is>
      </c>
      <c r="E10021" t="inlineStr">
        <is>
          <t>LJUSDAL</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9363-2024</t>
        </is>
      </c>
      <c r="B10022" s="1" t="n">
        <v>45359</v>
      </c>
      <c r="C10022" s="1" t="n">
        <v>45587</v>
      </c>
      <c r="D10022" t="inlineStr">
        <is>
          <t>GÄVLEBORGS LÄN</t>
        </is>
      </c>
      <c r="E10022" t="inlineStr">
        <is>
          <t>LJUSDAL</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9366-2024</t>
        </is>
      </c>
      <c r="B10023" s="1" t="n">
        <v>45359</v>
      </c>
      <c r="C10023" s="1" t="n">
        <v>45587</v>
      </c>
      <c r="D10023" t="inlineStr">
        <is>
          <t>GÄVLEBORGS LÄN</t>
        </is>
      </c>
      <c r="E10023" t="inlineStr">
        <is>
          <t>HUDIKSVALL</t>
        </is>
      </c>
      <c r="F10023" t="inlineStr">
        <is>
          <t>Holmen skog AB</t>
        </is>
      </c>
      <c r="G10023" t="n">
        <v>13.6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9400-2024</t>
        </is>
      </c>
      <c r="B10024" s="1" t="n">
        <v>45359</v>
      </c>
      <c r="C10024" s="1" t="n">
        <v>45587</v>
      </c>
      <c r="D10024" t="inlineStr">
        <is>
          <t>GÄVLEBORGS LÄN</t>
        </is>
      </c>
      <c r="E10024" t="inlineStr">
        <is>
          <t>HUDIKSVALL</t>
        </is>
      </c>
      <c r="F10024" t="inlineStr">
        <is>
          <t>Holmen skog AB</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9427-2024</t>
        </is>
      </c>
      <c r="B10025" s="1" t="n">
        <v>45359</v>
      </c>
      <c r="C10025" s="1" t="n">
        <v>45587</v>
      </c>
      <c r="D10025" t="inlineStr">
        <is>
          <t>GÄVLEBORGS LÄN</t>
        </is>
      </c>
      <c r="E10025" t="inlineStr">
        <is>
          <t>HUDIKSVALL</t>
        </is>
      </c>
      <c r="F10025" t="inlineStr">
        <is>
          <t>Holmen skog AB</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9602-2024</t>
        </is>
      </c>
      <c r="B10026" s="1" t="n">
        <v>45361</v>
      </c>
      <c r="C10026" s="1" t="n">
        <v>45587</v>
      </c>
      <c r="D10026" t="inlineStr">
        <is>
          <t>GÄVLEBORGS LÄN</t>
        </is>
      </c>
      <c r="E10026" t="inlineStr">
        <is>
          <t>LJUSDAL</t>
        </is>
      </c>
      <c r="G10026" t="n">
        <v>2.9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9603-2024</t>
        </is>
      </c>
      <c r="B10027" s="1" t="n">
        <v>45361</v>
      </c>
      <c r="C10027" s="1" t="n">
        <v>45587</v>
      </c>
      <c r="D10027" t="inlineStr">
        <is>
          <t>GÄVLEBORGS LÄN</t>
        </is>
      </c>
      <c r="E10027" t="inlineStr">
        <is>
          <t>LJUSDAL</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9680-2024</t>
        </is>
      </c>
      <c r="B10028" s="1" t="n">
        <v>45362</v>
      </c>
      <c r="C10028" s="1" t="n">
        <v>45587</v>
      </c>
      <c r="D10028" t="inlineStr">
        <is>
          <t>GÄVLEBORGS LÄN</t>
        </is>
      </c>
      <c r="E10028" t="inlineStr">
        <is>
          <t>HUDIKSVALL</t>
        </is>
      </c>
      <c r="G10028" t="n">
        <v>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9762-2024</t>
        </is>
      </c>
      <c r="B10029" s="1" t="n">
        <v>45362</v>
      </c>
      <c r="C10029" s="1" t="n">
        <v>45587</v>
      </c>
      <c r="D10029" t="inlineStr">
        <is>
          <t>GÄVLEBORGS LÄN</t>
        </is>
      </c>
      <c r="E10029" t="inlineStr">
        <is>
          <t>BOLLNÄS</t>
        </is>
      </c>
      <c r="G10029" t="n">
        <v>5.5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9766-2024</t>
        </is>
      </c>
      <c r="B10030" s="1" t="n">
        <v>45362</v>
      </c>
      <c r="C10030" s="1" t="n">
        <v>45587</v>
      </c>
      <c r="D10030" t="inlineStr">
        <is>
          <t>GÄVLEBORGS LÄN</t>
        </is>
      </c>
      <c r="E10030" t="inlineStr">
        <is>
          <t>HUDIKSVALL</t>
        </is>
      </c>
      <c r="F10030" t="inlineStr">
        <is>
          <t>Holmen skog AB</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9648-2024</t>
        </is>
      </c>
      <c r="B10031" s="1" t="n">
        <v>45362</v>
      </c>
      <c r="C10031" s="1" t="n">
        <v>45587</v>
      </c>
      <c r="D10031" t="inlineStr">
        <is>
          <t>GÄVLEBORGS LÄN</t>
        </is>
      </c>
      <c r="E10031" t="inlineStr">
        <is>
          <t>BOLLNÄS</t>
        </is>
      </c>
      <c r="G10031" t="n">
        <v>4.2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9661-2024</t>
        </is>
      </c>
      <c r="B10032" s="1" t="n">
        <v>45362</v>
      </c>
      <c r="C10032" s="1" t="n">
        <v>45587</v>
      </c>
      <c r="D10032" t="inlineStr">
        <is>
          <t>GÄVLEBORGS LÄN</t>
        </is>
      </c>
      <c r="E10032" t="inlineStr">
        <is>
          <t>LJUSDAL</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9960-2024</t>
        </is>
      </c>
      <c r="B10033" s="1" t="n">
        <v>45363</v>
      </c>
      <c r="C10033" s="1" t="n">
        <v>45587</v>
      </c>
      <c r="D10033" t="inlineStr">
        <is>
          <t>GÄVLEBORGS LÄN</t>
        </is>
      </c>
      <c r="E10033" t="inlineStr">
        <is>
          <t>OVANÅKER</t>
        </is>
      </c>
      <c r="G10033" t="n">
        <v>6.5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9905-2024</t>
        </is>
      </c>
      <c r="B10034" s="1" t="n">
        <v>45363</v>
      </c>
      <c r="C10034" s="1" t="n">
        <v>45587</v>
      </c>
      <c r="D10034" t="inlineStr">
        <is>
          <t>GÄVLEBORGS LÄN</t>
        </is>
      </c>
      <c r="E10034" t="inlineStr">
        <is>
          <t>HUDIKSVALL</t>
        </is>
      </c>
      <c r="F10034" t="inlineStr">
        <is>
          <t>Holmen skog AB</t>
        </is>
      </c>
      <c r="G10034" t="n">
        <v>16.5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9955-2024</t>
        </is>
      </c>
      <c r="B10035" s="1" t="n">
        <v>45363</v>
      </c>
      <c r="C10035" s="1" t="n">
        <v>45587</v>
      </c>
      <c r="D10035" t="inlineStr">
        <is>
          <t>GÄVLEBORGS LÄN</t>
        </is>
      </c>
      <c r="E10035" t="inlineStr">
        <is>
          <t>HUDIKSVALL</t>
        </is>
      </c>
      <c r="F10035" t="inlineStr">
        <is>
          <t>Holmen skog AB</t>
        </is>
      </c>
      <c r="G10035" t="n">
        <v>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10105-2024</t>
        </is>
      </c>
      <c r="B10036" s="1" t="n">
        <v>45364</v>
      </c>
      <c r="C10036" s="1" t="n">
        <v>45587</v>
      </c>
      <c r="D10036" t="inlineStr">
        <is>
          <t>GÄVLEBORGS LÄN</t>
        </is>
      </c>
      <c r="E10036" t="inlineStr">
        <is>
          <t>LJUSDAL</t>
        </is>
      </c>
      <c r="G10036" t="n">
        <v>4.4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10109-2024</t>
        </is>
      </c>
      <c r="B10037" s="1" t="n">
        <v>45364</v>
      </c>
      <c r="C10037" s="1" t="n">
        <v>45587</v>
      </c>
      <c r="D10037" t="inlineStr">
        <is>
          <t>GÄVLEBORGS LÄN</t>
        </is>
      </c>
      <c r="E10037" t="inlineStr">
        <is>
          <t>SÖDERHAMN</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10113-2024</t>
        </is>
      </c>
      <c r="B10038" s="1" t="n">
        <v>45364</v>
      </c>
      <c r="C10038" s="1" t="n">
        <v>45587</v>
      </c>
      <c r="D10038" t="inlineStr">
        <is>
          <t>GÄVLEBORGS LÄN</t>
        </is>
      </c>
      <c r="E10038" t="inlineStr">
        <is>
          <t>SÖDERHAMN</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10117-2024</t>
        </is>
      </c>
      <c r="B10039" s="1" t="n">
        <v>45364</v>
      </c>
      <c r="C10039" s="1" t="n">
        <v>45587</v>
      </c>
      <c r="D10039" t="inlineStr">
        <is>
          <t>GÄVLEBORGS LÄN</t>
        </is>
      </c>
      <c r="E10039" t="inlineStr">
        <is>
          <t>SÖDERHAMN</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10177-2024</t>
        </is>
      </c>
      <c r="B10040" s="1" t="n">
        <v>45364</v>
      </c>
      <c r="C10040" s="1" t="n">
        <v>45587</v>
      </c>
      <c r="D10040" t="inlineStr">
        <is>
          <t>GÄVLEBORGS LÄN</t>
        </is>
      </c>
      <c r="E10040" t="inlineStr">
        <is>
          <t>LJUSDAL</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10054-2024</t>
        </is>
      </c>
      <c r="B10041" s="1" t="n">
        <v>45364</v>
      </c>
      <c r="C10041" s="1" t="n">
        <v>45587</v>
      </c>
      <c r="D10041" t="inlineStr">
        <is>
          <t>GÄVLEBORGS LÄN</t>
        </is>
      </c>
      <c r="E10041" t="inlineStr">
        <is>
          <t>HUDIKSVALL</t>
        </is>
      </c>
      <c r="G10041" t="n">
        <v>4.6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10118-2024</t>
        </is>
      </c>
      <c r="B10042" s="1" t="n">
        <v>45364</v>
      </c>
      <c r="C10042" s="1" t="n">
        <v>45587</v>
      </c>
      <c r="D10042" t="inlineStr">
        <is>
          <t>GÄVLEBORGS LÄN</t>
        </is>
      </c>
      <c r="E10042" t="inlineStr">
        <is>
          <t>BOLLNÄS</t>
        </is>
      </c>
      <c r="G10042" t="n">
        <v>0.3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10131-2024</t>
        </is>
      </c>
      <c r="B10043" s="1" t="n">
        <v>45364</v>
      </c>
      <c r="C10043" s="1" t="n">
        <v>45587</v>
      </c>
      <c r="D10043" t="inlineStr">
        <is>
          <t>GÄVLEBORGS LÄN</t>
        </is>
      </c>
      <c r="E10043" t="inlineStr">
        <is>
          <t>HUDIKSVALL</t>
        </is>
      </c>
      <c r="G10043" t="n">
        <v>11.6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10137-2024</t>
        </is>
      </c>
      <c r="B10044" s="1" t="n">
        <v>45364</v>
      </c>
      <c r="C10044" s="1" t="n">
        <v>45587</v>
      </c>
      <c r="D10044" t="inlineStr">
        <is>
          <t>GÄVLEBORGS LÄN</t>
        </is>
      </c>
      <c r="E10044" t="inlineStr">
        <is>
          <t>NORDANSTIG</t>
        </is>
      </c>
      <c r="F10044" t="inlineStr">
        <is>
          <t>Holmen skog AB</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10141-2024</t>
        </is>
      </c>
      <c r="B10045" s="1" t="n">
        <v>45364</v>
      </c>
      <c r="C10045" s="1" t="n">
        <v>45587</v>
      </c>
      <c r="D10045" t="inlineStr">
        <is>
          <t>GÄVLEBORGS LÄN</t>
        </is>
      </c>
      <c r="E10045" t="inlineStr">
        <is>
          <t>LJUSDAL</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10095-2024</t>
        </is>
      </c>
      <c r="B10046" s="1" t="n">
        <v>45364</v>
      </c>
      <c r="C10046" s="1" t="n">
        <v>45587</v>
      </c>
      <c r="D10046" t="inlineStr">
        <is>
          <t>GÄVLEBORGS LÄN</t>
        </is>
      </c>
      <c r="E10046" t="inlineStr">
        <is>
          <t>SÖDERHAMN</t>
        </is>
      </c>
      <c r="G10046" t="n">
        <v>5.5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10119-2024</t>
        </is>
      </c>
      <c r="B10047" s="1" t="n">
        <v>45364</v>
      </c>
      <c r="C10047" s="1" t="n">
        <v>45587</v>
      </c>
      <c r="D10047" t="inlineStr">
        <is>
          <t>GÄVLEBORGS LÄN</t>
        </is>
      </c>
      <c r="E10047" t="inlineStr">
        <is>
          <t>BOLLNÄS</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10123-2024</t>
        </is>
      </c>
      <c r="B10048" s="1" t="n">
        <v>45364</v>
      </c>
      <c r="C10048" s="1" t="n">
        <v>45587</v>
      </c>
      <c r="D10048" t="inlineStr">
        <is>
          <t>GÄVLEBORGS LÄN</t>
        </is>
      </c>
      <c r="E10048" t="inlineStr">
        <is>
          <t>BOLLNÄS</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10100-2024</t>
        </is>
      </c>
      <c r="B10049" s="1" t="n">
        <v>45364</v>
      </c>
      <c r="C10049" s="1" t="n">
        <v>45587</v>
      </c>
      <c r="D10049" t="inlineStr">
        <is>
          <t>GÄVLEBORGS LÄN</t>
        </is>
      </c>
      <c r="E10049" t="inlineStr">
        <is>
          <t>NORDANSTIG</t>
        </is>
      </c>
      <c r="F10049" t="inlineStr">
        <is>
          <t>Holmen skog AB</t>
        </is>
      </c>
      <c r="G10049" t="n">
        <v>6.9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10108-2024</t>
        </is>
      </c>
      <c r="B10050" s="1" t="n">
        <v>45364</v>
      </c>
      <c r="C10050" s="1" t="n">
        <v>45587</v>
      </c>
      <c r="D10050" t="inlineStr">
        <is>
          <t>GÄVLEBORGS LÄN</t>
        </is>
      </c>
      <c r="E10050" t="inlineStr">
        <is>
          <t>HUDIKSVALL</t>
        </is>
      </c>
      <c r="F10050" t="inlineStr">
        <is>
          <t>Holmen skog AB</t>
        </is>
      </c>
      <c r="G10050" t="n">
        <v>23.1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10207-2024</t>
        </is>
      </c>
      <c r="B10051" s="1" t="n">
        <v>45364</v>
      </c>
      <c r="C10051" s="1" t="n">
        <v>45587</v>
      </c>
      <c r="D10051" t="inlineStr">
        <is>
          <t>GÄVLEBORGS LÄN</t>
        </is>
      </c>
      <c r="E10051" t="inlineStr">
        <is>
          <t>LJUSDAL</t>
        </is>
      </c>
      <c r="G10051" t="n">
        <v>3.3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10238-2024</t>
        </is>
      </c>
      <c r="B10052" s="1" t="n">
        <v>45365</v>
      </c>
      <c r="C10052" s="1" t="n">
        <v>45587</v>
      </c>
      <c r="D10052" t="inlineStr">
        <is>
          <t>GÄVLEBORGS LÄN</t>
        </is>
      </c>
      <c r="E10052" t="inlineStr">
        <is>
          <t>OCKELBO</t>
        </is>
      </c>
      <c r="F10052" t="inlineStr">
        <is>
          <t>Kyrkan</t>
        </is>
      </c>
      <c r="G10052" t="n">
        <v>4.1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10324-2024</t>
        </is>
      </c>
      <c r="B10053" s="1" t="n">
        <v>45365</v>
      </c>
      <c r="C10053" s="1" t="n">
        <v>45587</v>
      </c>
      <c r="D10053" t="inlineStr">
        <is>
          <t>GÄVLEBORGS LÄN</t>
        </is>
      </c>
      <c r="E10053" t="inlineStr">
        <is>
          <t>SÖDERHAMN</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10236-2024</t>
        </is>
      </c>
      <c r="B10054" s="1" t="n">
        <v>45365</v>
      </c>
      <c r="C10054" s="1" t="n">
        <v>45587</v>
      </c>
      <c r="D10054" t="inlineStr">
        <is>
          <t>GÄVLEBORGS LÄN</t>
        </is>
      </c>
      <c r="E10054" t="inlineStr">
        <is>
          <t>HUDIKSVALL</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10327-2024</t>
        </is>
      </c>
      <c r="B10055" s="1" t="n">
        <v>45365</v>
      </c>
      <c r="C10055" s="1" t="n">
        <v>45587</v>
      </c>
      <c r="D10055" t="inlineStr">
        <is>
          <t>GÄVLEBORGS LÄN</t>
        </is>
      </c>
      <c r="E10055" t="inlineStr">
        <is>
          <t>SÖDERHAMN</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10373-2024</t>
        </is>
      </c>
      <c r="B10056" s="1" t="n">
        <v>45365</v>
      </c>
      <c r="C10056" s="1" t="n">
        <v>45587</v>
      </c>
      <c r="D10056" t="inlineStr">
        <is>
          <t>GÄVLEBORGS LÄN</t>
        </is>
      </c>
      <c r="E10056" t="inlineStr">
        <is>
          <t>HUDIKSVALL</t>
        </is>
      </c>
      <c r="F10056" t="inlineStr">
        <is>
          <t>Holmen skog AB</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10356-2024</t>
        </is>
      </c>
      <c r="B10057" s="1" t="n">
        <v>45365</v>
      </c>
      <c r="C10057" s="1" t="n">
        <v>45587</v>
      </c>
      <c r="D10057" t="inlineStr">
        <is>
          <t>GÄVLEBORGS LÄN</t>
        </is>
      </c>
      <c r="E10057" t="inlineStr">
        <is>
          <t>HUDIKSVALL</t>
        </is>
      </c>
      <c r="F10057" t="inlineStr">
        <is>
          <t>Holmen skog AB</t>
        </is>
      </c>
      <c r="G10057" t="n">
        <v>19.4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10239-2024</t>
        </is>
      </c>
      <c r="B10058" s="1" t="n">
        <v>45365</v>
      </c>
      <c r="C10058" s="1" t="n">
        <v>45587</v>
      </c>
      <c r="D10058" t="inlineStr">
        <is>
          <t>GÄVLEBORGS LÄN</t>
        </is>
      </c>
      <c r="E10058" t="inlineStr">
        <is>
          <t>LJUSDAL</t>
        </is>
      </c>
      <c r="F10058" t="inlineStr">
        <is>
          <t>Bergvik skog väst AB</t>
        </is>
      </c>
      <c r="G10058" t="n">
        <v>7.1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10260-2024</t>
        </is>
      </c>
      <c r="B10059" s="1" t="n">
        <v>45365</v>
      </c>
      <c r="C10059" s="1" t="n">
        <v>45587</v>
      </c>
      <c r="D10059" t="inlineStr">
        <is>
          <t>GÄVLEBORGS LÄN</t>
        </is>
      </c>
      <c r="E10059" t="inlineStr">
        <is>
          <t>SANDVIKEN</t>
        </is>
      </c>
      <c r="F10059" t="inlineStr">
        <is>
          <t>Kommuner</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10325-2024</t>
        </is>
      </c>
      <c r="B10060" s="1" t="n">
        <v>45365</v>
      </c>
      <c r="C10060" s="1" t="n">
        <v>45587</v>
      </c>
      <c r="D10060" t="inlineStr">
        <is>
          <t>GÄVLEBORGS LÄN</t>
        </is>
      </c>
      <c r="E10060" t="inlineStr">
        <is>
          <t>HUDIKSVALL</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10329-2024</t>
        </is>
      </c>
      <c r="B10061" s="1" t="n">
        <v>45365</v>
      </c>
      <c r="C10061" s="1" t="n">
        <v>45587</v>
      </c>
      <c r="D10061" t="inlineStr">
        <is>
          <t>GÄVLEBORGS LÄN</t>
        </is>
      </c>
      <c r="E10061" t="inlineStr">
        <is>
          <t>NORDANSTIG</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10483-2024</t>
        </is>
      </c>
      <c r="B10062" s="1" t="n">
        <v>45366</v>
      </c>
      <c r="C10062" s="1" t="n">
        <v>45587</v>
      </c>
      <c r="D10062" t="inlineStr">
        <is>
          <t>GÄVLEBORGS LÄN</t>
        </is>
      </c>
      <c r="E10062" t="inlineStr">
        <is>
          <t>BOLLNÄS</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10487-2024</t>
        </is>
      </c>
      <c r="B10063" s="1" t="n">
        <v>45366</v>
      </c>
      <c r="C10063" s="1" t="n">
        <v>45587</v>
      </c>
      <c r="D10063" t="inlineStr">
        <is>
          <t>GÄVLEBORGS LÄN</t>
        </is>
      </c>
      <c r="E10063" t="inlineStr">
        <is>
          <t>BOLLNÄS</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10495-2024</t>
        </is>
      </c>
      <c r="B10064" s="1" t="n">
        <v>45366</v>
      </c>
      <c r="C10064" s="1" t="n">
        <v>45587</v>
      </c>
      <c r="D10064" t="inlineStr">
        <is>
          <t>GÄVLEBORGS LÄN</t>
        </is>
      </c>
      <c r="E10064" t="inlineStr">
        <is>
          <t>BOLLNÄS</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10485-2024</t>
        </is>
      </c>
      <c r="B10065" s="1" t="n">
        <v>45366</v>
      </c>
      <c r="C10065" s="1" t="n">
        <v>45587</v>
      </c>
      <c r="D10065" t="inlineStr">
        <is>
          <t>GÄVLEBORGS LÄN</t>
        </is>
      </c>
      <c r="E10065" t="inlineStr">
        <is>
          <t>BOLLNÄS</t>
        </is>
      </c>
      <c r="G10065" t="n">
        <v>1.8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10514-2024</t>
        </is>
      </c>
      <c r="B10066" s="1" t="n">
        <v>45366</v>
      </c>
      <c r="C10066" s="1" t="n">
        <v>45587</v>
      </c>
      <c r="D10066" t="inlineStr">
        <is>
          <t>GÄVLEBORGS LÄN</t>
        </is>
      </c>
      <c r="E10066" t="inlineStr">
        <is>
          <t>LJUSDAL</t>
        </is>
      </c>
      <c r="G10066" t="n">
        <v>3.3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10560-2024</t>
        </is>
      </c>
      <c r="B10067" s="1" t="n">
        <v>45366</v>
      </c>
      <c r="C10067" s="1" t="n">
        <v>45587</v>
      </c>
      <c r="D10067" t="inlineStr">
        <is>
          <t>GÄVLEBORGS LÄN</t>
        </is>
      </c>
      <c r="E10067" t="inlineStr">
        <is>
          <t>HUDIKSVALL</t>
        </is>
      </c>
      <c r="G10067" t="n">
        <v>7.5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10445-2024</t>
        </is>
      </c>
      <c r="B10068" s="1" t="n">
        <v>45366</v>
      </c>
      <c r="C10068" s="1" t="n">
        <v>45587</v>
      </c>
      <c r="D10068" t="inlineStr">
        <is>
          <t>GÄVLEBORGS LÄN</t>
        </is>
      </c>
      <c r="E10068" t="inlineStr">
        <is>
          <t>OCKELBO</t>
        </is>
      </c>
      <c r="F10068" t="inlineStr">
        <is>
          <t>Bergvik skog väst AB</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10465-2024</t>
        </is>
      </c>
      <c r="B10069" s="1" t="n">
        <v>45366</v>
      </c>
      <c r="C10069" s="1" t="n">
        <v>45587</v>
      </c>
      <c r="D10069" t="inlineStr">
        <is>
          <t>GÄVLEBORGS LÄN</t>
        </is>
      </c>
      <c r="E10069" t="inlineStr">
        <is>
          <t>NORDANSTIG</t>
        </is>
      </c>
      <c r="F10069" t="inlineStr">
        <is>
          <t>Holmen skog AB</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10482-2024</t>
        </is>
      </c>
      <c r="B10070" s="1" t="n">
        <v>45366</v>
      </c>
      <c r="C10070" s="1" t="n">
        <v>45587</v>
      </c>
      <c r="D10070" t="inlineStr">
        <is>
          <t>GÄVLEBORGS LÄN</t>
        </is>
      </c>
      <c r="E10070" t="inlineStr">
        <is>
          <t>BOLLNÄS</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10486-2024</t>
        </is>
      </c>
      <c r="B10071" s="1" t="n">
        <v>45366</v>
      </c>
      <c r="C10071" s="1" t="n">
        <v>45587</v>
      </c>
      <c r="D10071" t="inlineStr">
        <is>
          <t>GÄVLEBORGS LÄN</t>
        </is>
      </c>
      <c r="E10071" t="inlineStr">
        <is>
          <t>BOLLNÄS</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10480-2024</t>
        </is>
      </c>
      <c r="B10072" s="1" t="n">
        <v>45366</v>
      </c>
      <c r="C10072" s="1" t="n">
        <v>45587</v>
      </c>
      <c r="D10072" t="inlineStr">
        <is>
          <t>GÄVLEBORGS LÄN</t>
        </is>
      </c>
      <c r="E10072" t="inlineStr">
        <is>
          <t>NORDANSTIG</t>
        </is>
      </c>
      <c r="F10072" t="inlineStr">
        <is>
          <t>Holmen skog AB</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10484-2024</t>
        </is>
      </c>
      <c r="B10073" s="1" t="n">
        <v>45366</v>
      </c>
      <c r="C10073" s="1" t="n">
        <v>45587</v>
      </c>
      <c r="D10073" t="inlineStr">
        <is>
          <t>GÄVLEBORGS LÄN</t>
        </is>
      </c>
      <c r="E10073" t="inlineStr">
        <is>
          <t>BOLLNÄS</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10488-2024</t>
        </is>
      </c>
      <c r="B10074" s="1" t="n">
        <v>45366</v>
      </c>
      <c r="C10074" s="1" t="n">
        <v>45587</v>
      </c>
      <c r="D10074" t="inlineStr">
        <is>
          <t>GÄVLEBORGS LÄN</t>
        </is>
      </c>
      <c r="E10074" t="inlineStr">
        <is>
          <t>BOLLNÄS</t>
        </is>
      </c>
      <c r="G10074" t="n">
        <v>3.3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10606-2024</t>
        </is>
      </c>
      <c r="B10075" s="1" t="n">
        <v>45367</v>
      </c>
      <c r="C10075" s="1" t="n">
        <v>45587</v>
      </c>
      <c r="D10075" t="inlineStr">
        <is>
          <t>GÄVLEBORGS LÄN</t>
        </is>
      </c>
      <c r="E10075" t="inlineStr">
        <is>
          <t>BOLLNÄS</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10591-2024</t>
        </is>
      </c>
      <c r="B10076" s="1" t="n">
        <v>45366</v>
      </c>
      <c r="C10076" s="1" t="n">
        <v>45587</v>
      </c>
      <c r="D10076" t="inlineStr">
        <is>
          <t>GÄVLEBORGS LÄN</t>
        </is>
      </c>
      <c r="E10076" t="inlineStr">
        <is>
          <t>HUDIKSVALL</t>
        </is>
      </c>
      <c r="F10076" t="inlineStr">
        <is>
          <t>Holmen skog AB</t>
        </is>
      </c>
      <c r="G10076" t="n">
        <v>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10595-2024</t>
        </is>
      </c>
      <c r="B10077" s="1" t="n">
        <v>45366</v>
      </c>
      <c r="C10077" s="1" t="n">
        <v>45587</v>
      </c>
      <c r="D10077" t="inlineStr">
        <is>
          <t>GÄVLEBORGS LÄN</t>
        </is>
      </c>
      <c r="E10077" t="inlineStr">
        <is>
          <t>OVANÅKER</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10615-2024</t>
        </is>
      </c>
      <c r="B10078" s="1" t="n">
        <v>45367</v>
      </c>
      <c r="C10078" s="1" t="n">
        <v>45587</v>
      </c>
      <c r="D10078" t="inlineStr">
        <is>
          <t>GÄVLEBORGS LÄN</t>
        </is>
      </c>
      <c r="E10078" t="inlineStr">
        <is>
          <t>OVANÅKER</t>
        </is>
      </c>
      <c r="G10078" t="n">
        <v>7.1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10715-2024</t>
        </is>
      </c>
      <c r="B10079" s="1" t="n">
        <v>45369</v>
      </c>
      <c r="C10079" s="1" t="n">
        <v>45587</v>
      </c>
      <c r="D10079" t="inlineStr">
        <is>
          <t>GÄVLEBORGS LÄN</t>
        </is>
      </c>
      <c r="E10079" t="inlineStr">
        <is>
          <t>BOLLNÄS</t>
        </is>
      </c>
      <c r="G10079" t="n">
        <v>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10750-2024</t>
        </is>
      </c>
      <c r="B10080" s="1" t="n">
        <v>45369</v>
      </c>
      <c r="C10080" s="1" t="n">
        <v>45587</v>
      </c>
      <c r="D10080" t="inlineStr">
        <is>
          <t>GÄVLEBORGS LÄN</t>
        </is>
      </c>
      <c r="E10080" t="inlineStr">
        <is>
          <t>HUDIKSVALL</t>
        </is>
      </c>
      <c r="G10080" t="n">
        <v>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10891-2024</t>
        </is>
      </c>
      <c r="B10081" s="1" t="n">
        <v>45370</v>
      </c>
      <c r="C10081" s="1" t="n">
        <v>45587</v>
      </c>
      <c r="D10081" t="inlineStr">
        <is>
          <t>GÄVLEBORGS LÄN</t>
        </is>
      </c>
      <c r="E10081" t="inlineStr">
        <is>
          <t>SANDVIKEN</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10896-2024</t>
        </is>
      </c>
      <c r="B10082" s="1" t="n">
        <v>45370</v>
      </c>
      <c r="C10082" s="1" t="n">
        <v>45587</v>
      </c>
      <c r="D10082" t="inlineStr">
        <is>
          <t>GÄVLEBORGS LÄN</t>
        </is>
      </c>
      <c r="E10082" t="inlineStr">
        <is>
          <t>SANDVIKEN</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10978-2024</t>
        </is>
      </c>
      <c r="B10083" s="1" t="n">
        <v>45370</v>
      </c>
      <c r="C10083" s="1" t="n">
        <v>45587</v>
      </c>
      <c r="D10083" t="inlineStr">
        <is>
          <t>GÄVLEBORGS LÄN</t>
        </is>
      </c>
      <c r="E10083" t="inlineStr">
        <is>
          <t>LJUSDAL</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11046-2024</t>
        </is>
      </c>
      <c r="B10084" s="1" t="n">
        <v>45370</v>
      </c>
      <c r="C10084" s="1" t="n">
        <v>45587</v>
      </c>
      <c r="D10084" t="inlineStr">
        <is>
          <t>GÄVLEBORGS LÄN</t>
        </is>
      </c>
      <c r="E10084" t="inlineStr">
        <is>
          <t>BOLLNÄS</t>
        </is>
      </c>
      <c r="G10084" t="n">
        <v>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11107-2024</t>
        </is>
      </c>
      <c r="B10085" s="1" t="n">
        <v>45371</v>
      </c>
      <c r="C10085" s="1" t="n">
        <v>45587</v>
      </c>
      <c r="D10085" t="inlineStr">
        <is>
          <t>GÄVLEBORGS LÄN</t>
        </is>
      </c>
      <c r="E10085" t="inlineStr">
        <is>
          <t>HUDIKSVALL</t>
        </is>
      </c>
      <c r="F10085" t="inlineStr">
        <is>
          <t>Holmen skog AB</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11115-2024</t>
        </is>
      </c>
      <c r="B10086" s="1" t="n">
        <v>45371</v>
      </c>
      <c r="C10086" s="1" t="n">
        <v>45587</v>
      </c>
      <c r="D10086" t="inlineStr">
        <is>
          <t>GÄVLEBORGS LÄN</t>
        </is>
      </c>
      <c r="E10086" t="inlineStr">
        <is>
          <t>SANDVIKEN</t>
        </is>
      </c>
      <c r="G10086" t="n">
        <v>3.7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11203-2024</t>
        </is>
      </c>
      <c r="B10087" s="1" t="n">
        <v>45371</v>
      </c>
      <c r="C10087" s="1" t="n">
        <v>45587</v>
      </c>
      <c r="D10087" t="inlineStr">
        <is>
          <t>GÄVLEBORGS LÄN</t>
        </is>
      </c>
      <c r="E10087" t="inlineStr">
        <is>
          <t>HUDIKSVALL</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11101-2024</t>
        </is>
      </c>
      <c r="B10088" s="1" t="n">
        <v>45371</v>
      </c>
      <c r="C10088" s="1" t="n">
        <v>45587</v>
      </c>
      <c r="D10088" t="inlineStr">
        <is>
          <t>GÄVLEBORGS LÄN</t>
        </is>
      </c>
      <c r="E10088" t="inlineStr">
        <is>
          <t>HUDIKSVALL</t>
        </is>
      </c>
      <c r="F10088" t="inlineStr">
        <is>
          <t>Holmen skog AB</t>
        </is>
      </c>
      <c r="G10088" t="n">
        <v>9.800000000000001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11326-2024</t>
        </is>
      </c>
      <c r="B10089" s="1" t="n">
        <v>45372</v>
      </c>
      <c r="C10089" s="1" t="n">
        <v>45587</v>
      </c>
      <c r="D10089" t="inlineStr">
        <is>
          <t>GÄVLEBORGS LÄN</t>
        </is>
      </c>
      <c r="E10089" t="inlineStr">
        <is>
          <t>BOLLNÄS</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11108-2024</t>
        </is>
      </c>
      <c r="B10090" s="1" t="n">
        <v>45371</v>
      </c>
      <c r="C10090" s="1" t="n">
        <v>45587</v>
      </c>
      <c r="D10090" t="inlineStr">
        <is>
          <t>GÄVLEBORGS LÄN</t>
        </is>
      </c>
      <c r="E10090" t="inlineStr">
        <is>
          <t>OVANÅKER</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11275-2024</t>
        </is>
      </c>
      <c r="B10091" s="1" t="n">
        <v>45371</v>
      </c>
      <c r="C10091" s="1" t="n">
        <v>45587</v>
      </c>
      <c r="D10091" t="inlineStr">
        <is>
          <t>GÄVLEBORGS LÄN</t>
        </is>
      </c>
      <c r="E10091" t="inlineStr">
        <is>
          <t>LJUSDAL</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11164-2024</t>
        </is>
      </c>
      <c r="B10092" s="1" t="n">
        <v>45371</v>
      </c>
      <c r="C10092" s="1" t="n">
        <v>45587</v>
      </c>
      <c r="D10092" t="inlineStr">
        <is>
          <t>GÄVLEBORGS LÄN</t>
        </is>
      </c>
      <c r="E10092" t="inlineStr">
        <is>
          <t>HUDIKSVALL</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11325-2024</t>
        </is>
      </c>
      <c r="B10093" s="1" t="n">
        <v>45372</v>
      </c>
      <c r="C10093" s="1" t="n">
        <v>45587</v>
      </c>
      <c r="D10093" t="inlineStr">
        <is>
          <t>GÄVLEBORGS LÄN</t>
        </is>
      </c>
      <c r="E10093" t="inlineStr">
        <is>
          <t>BOLLNÄS</t>
        </is>
      </c>
      <c r="G10093" t="n">
        <v>18.1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11228-2024</t>
        </is>
      </c>
      <c r="B10094" s="1" t="n">
        <v>45371</v>
      </c>
      <c r="C10094" s="1" t="n">
        <v>45587</v>
      </c>
      <c r="D10094" t="inlineStr">
        <is>
          <t>GÄVLEBORGS LÄN</t>
        </is>
      </c>
      <c r="E10094" t="inlineStr">
        <is>
          <t>HUDIKSVALL</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11316-2024</t>
        </is>
      </c>
      <c r="B10095" s="1" t="n">
        <v>45371</v>
      </c>
      <c r="C10095" s="1" t="n">
        <v>45587</v>
      </c>
      <c r="D10095" t="inlineStr">
        <is>
          <t>GÄVLEBORGS LÄN</t>
        </is>
      </c>
      <c r="E10095" t="inlineStr">
        <is>
          <t>LJUSDAL</t>
        </is>
      </c>
      <c r="G10095" t="n">
        <v>4.4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11324-2024</t>
        </is>
      </c>
      <c r="B10096" s="1" t="n">
        <v>45372</v>
      </c>
      <c r="C10096" s="1" t="n">
        <v>45587</v>
      </c>
      <c r="D10096" t="inlineStr">
        <is>
          <t>GÄVLEBORGS LÄN</t>
        </is>
      </c>
      <c r="E10096" t="inlineStr">
        <is>
          <t>BOLLNÄS</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11327-2024</t>
        </is>
      </c>
      <c r="B10097" s="1" t="n">
        <v>45371</v>
      </c>
      <c r="C10097" s="1" t="n">
        <v>45587</v>
      </c>
      <c r="D10097" t="inlineStr">
        <is>
          <t>GÄVLEBORGS LÄN</t>
        </is>
      </c>
      <c r="E10097" t="inlineStr">
        <is>
          <t>LJUSDAL</t>
        </is>
      </c>
      <c r="G10097" t="n">
        <v>6.3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11383-2024</t>
        </is>
      </c>
      <c r="B10098" s="1" t="n">
        <v>45372</v>
      </c>
      <c r="C10098" s="1" t="n">
        <v>45587</v>
      </c>
      <c r="D10098" t="inlineStr">
        <is>
          <t>GÄVLEBORGS LÄN</t>
        </is>
      </c>
      <c r="E10098" t="inlineStr">
        <is>
          <t>LJUSDAL</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11387-2024</t>
        </is>
      </c>
      <c r="B10099" s="1" t="n">
        <v>45372</v>
      </c>
      <c r="C10099" s="1" t="n">
        <v>45587</v>
      </c>
      <c r="D10099" t="inlineStr">
        <is>
          <t>GÄVLEBORGS LÄN</t>
        </is>
      </c>
      <c r="E10099" t="inlineStr">
        <is>
          <t>LJUSDAL</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11360-2024</t>
        </is>
      </c>
      <c r="B10100" s="1" t="n">
        <v>45372</v>
      </c>
      <c r="C10100" s="1" t="n">
        <v>45587</v>
      </c>
      <c r="D10100" t="inlineStr">
        <is>
          <t>GÄVLEBORGS LÄN</t>
        </is>
      </c>
      <c r="E10100" t="inlineStr">
        <is>
          <t>NORDANSTIG</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11373-2024</t>
        </is>
      </c>
      <c r="B10101" s="1" t="n">
        <v>45372</v>
      </c>
      <c r="C10101" s="1" t="n">
        <v>45587</v>
      </c>
      <c r="D10101" t="inlineStr">
        <is>
          <t>GÄVLEBORGS LÄN</t>
        </is>
      </c>
      <c r="E10101" t="inlineStr">
        <is>
          <t>HUDIKSVALL</t>
        </is>
      </c>
      <c r="F10101" t="inlineStr">
        <is>
          <t>Holmen skog AB</t>
        </is>
      </c>
      <c r="G10101" t="n">
        <v>5.3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11409-2024</t>
        </is>
      </c>
      <c r="B10102" s="1" t="n">
        <v>45372</v>
      </c>
      <c r="C10102" s="1" t="n">
        <v>45587</v>
      </c>
      <c r="D10102" t="inlineStr">
        <is>
          <t>GÄVLEBORGS LÄN</t>
        </is>
      </c>
      <c r="E10102" t="inlineStr">
        <is>
          <t>HUDIKSVALL</t>
        </is>
      </c>
      <c r="F10102" t="inlineStr">
        <is>
          <t>Holmen skog AB</t>
        </is>
      </c>
      <c r="G10102" t="n">
        <v>8.199999999999999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11413-2024</t>
        </is>
      </c>
      <c r="B10103" s="1" t="n">
        <v>45372</v>
      </c>
      <c r="C10103" s="1" t="n">
        <v>45587</v>
      </c>
      <c r="D10103" t="inlineStr">
        <is>
          <t>GÄVLEBORGS LÄN</t>
        </is>
      </c>
      <c r="E10103" t="inlineStr">
        <is>
          <t>GÄVLE</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11434-2024</t>
        </is>
      </c>
      <c r="B10104" s="1" t="n">
        <v>45372</v>
      </c>
      <c r="C10104" s="1" t="n">
        <v>45587</v>
      </c>
      <c r="D10104" t="inlineStr">
        <is>
          <t>GÄVLEBORGS LÄN</t>
        </is>
      </c>
      <c r="E10104" t="inlineStr">
        <is>
          <t>NORDANSTIG</t>
        </is>
      </c>
      <c r="F10104" t="inlineStr">
        <is>
          <t>Holmen skog AB</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11349-2024</t>
        </is>
      </c>
      <c r="B10105" s="1" t="n">
        <v>45372</v>
      </c>
      <c r="C10105" s="1" t="n">
        <v>45587</v>
      </c>
      <c r="D10105" t="inlineStr">
        <is>
          <t>GÄVLEBORGS LÄN</t>
        </is>
      </c>
      <c r="E10105" t="inlineStr">
        <is>
          <t>HUDIKSVALL</t>
        </is>
      </c>
      <c r="F10105" t="inlineStr">
        <is>
          <t>Holmen skog AB</t>
        </is>
      </c>
      <c r="G10105" t="n">
        <v>4.3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11407-2024</t>
        </is>
      </c>
      <c r="B10106" s="1" t="n">
        <v>45372</v>
      </c>
      <c r="C10106" s="1" t="n">
        <v>45587</v>
      </c>
      <c r="D10106" t="inlineStr">
        <is>
          <t>GÄVLEBORGS LÄN</t>
        </is>
      </c>
      <c r="E10106" t="inlineStr">
        <is>
          <t>GÄVLE</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11465-2024</t>
        </is>
      </c>
      <c r="B10107" s="1" t="n">
        <v>45372</v>
      </c>
      <c r="C10107" s="1" t="n">
        <v>45587</v>
      </c>
      <c r="D10107" t="inlineStr">
        <is>
          <t>GÄVLEBORGS LÄN</t>
        </is>
      </c>
      <c r="E10107" t="inlineStr">
        <is>
          <t>LJUSDAL</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11402-2024</t>
        </is>
      </c>
      <c r="B10108" s="1" t="n">
        <v>45372</v>
      </c>
      <c r="C10108" s="1" t="n">
        <v>45587</v>
      </c>
      <c r="D10108" t="inlineStr">
        <is>
          <t>GÄVLEBORGS LÄN</t>
        </is>
      </c>
      <c r="E10108" t="inlineStr">
        <is>
          <t>GÄVLE</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11440-2024</t>
        </is>
      </c>
      <c r="B10109" s="1" t="n">
        <v>45372</v>
      </c>
      <c r="C10109" s="1" t="n">
        <v>45587</v>
      </c>
      <c r="D10109" t="inlineStr">
        <is>
          <t>GÄVLEBORGS LÄN</t>
        </is>
      </c>
      <c r="E10109" t="inlineStr">
        <is>
          <t>NORDANSTIG</t>
        </is>
      </c>
      <c r="F10109" t="inlineStr">
        <is>
          <t>Holmen skog AB</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11464-2024</t>
        </is>
      </c>
      <c r="B10110" s="1" t="n">
        <v>45372</v>
      </c>
      <c r="C10110" s="1" t="n">
        <v>45587</v>
      </c>
      <c r="D10110" t="inlineStr">
        <is>
          <t>GÄVLEBORGS LÄN</t>
        </is>
      </c>
      <c r="E10110" t="inlineStr">
        <is>
          <t>HUDIKSVALL</t>
        </is>
      </c>
      <c r="F10110" t="inlineStr">
        <is>
          <t>Holmen skog AB</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11502-2024</t>
        </is>
      </c>
      <c r="B10111" s="1" t="n">
        <v>45372</v>
      </c>
      <c r="C10111" s="1" t="n">
        <v>45587</v>
      </c>
      <c r="D10111" t="inlineStr">
        <is>
          <t>GÄVLEBORGS LÄN</t>
        </is>
      </c>
      <c r="E10111" t="inlineStr">
        <is>
          <t>HUDIKSVALL</t>
        </is>
      </c>
      <c r="G10111" t="n">
        <v>3.7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11532-2024</t>
        </is>
      </c>
      <c r="B10112" s="1" t="n">
        <v>45372</v>
      </c>
      <c r="C10112" s="1" t="n">
        <v>45587</v>
      </c>
      <c r="D10112" t="inlineStr">
        <is>
          <t>GÄVLEBORGS LÄN</t>
        </is>
      </c>
      <c r="E10112" t="inlineStr">
        <is>
          <t>HUDIKSVALL</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11475-2024</t>
        </is>
      </c>
      <c r="B10113" s="1" t="n">
        <v>45372</v>
      </c>
      <c r="C10113" s="1" t="n">
        <v>45587</v>
      </c>
      <c r="D10113" t="inlineStr">
        <is>
          <t>GÄVLEBORGS LÄN</t>
        </is>
      </c>
      <c r="E10113" t="inlineStr">
        <is>
          <t>HUDIKSVALL</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11496-2024</t>
        </is>
      </c>
      <c r="B10114" s="1" t="n">
        <v>45372</v>
      </c>
      <c r="C10114" s="1" t="n">
        <v>45587</v>
      </c>
      <c r="D10114" t="inlineStr">
        <is>
          <t>GÄVLEBORGS LÄN</t>
        </is>
      </c>
      <c r="E10114" t="inlineStr">
        <is>
          <t>LJUSDAL</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11653-2024</t>
        </is>
      </c>
      <c r="B10115" s="1" t="n">
        <v>45373</v>
      </c>
      <c r="C10115" s="1" t="n">
        <v>45587</v>
      </c>
      <c r="D10115" t="inlineStr">
        <is>
          <t>GÄVLEBORGS LÄN</t>
        </is>
      </c>
      <c r="E10115" t="inlineStr">
        <is>
          <t>SÖDERHAMN</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11662-2024</t>
        </is>
      </c>
      <c r="B10116" s="1" t="n">
        <v>45373</v>
      </c>
      <c r="C10116" s="1" t="n">
        <v>45587</v>
      </c>
      <c r="D10116" t="inlineStr">
        <is>
          <t>GÄVLEBORGS LÄN</t>
        </is>
      </c>
      <c r="E10116" t="inlineStr">
        <is>
          <t>LJUSDAL</t>
        </is>
      </c>
      <c r="G10116" t="n">
        <v>9.1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11692-2024</t>
        </is>
      </c>
      <c r="B10117" s="1" t="n">
        <v>45373</v>
      </c>
      <c r="C10117" s="1" t="n">
        <v>45587</v>
      </c>
      <c r="D10117" t="inlineStr">
        <is>
          <t>GÄVLEBORGS LÄN</t>
        </is>
      </c>
      <c r="E10117" t="inlineStr">
        <is>
          <t>OVANÅKER</t>
        </is>
      </c>
      <c r="G10117" t="n">
        <v>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11667-2024</t>
        </is>
      </c>
      <c r="B10118" s="1" t="n">
        <v>45373</v>
      </c>
      <c r="C10118" s="1" t="n">
        <v>45587</v>
      </c>
      <c r="D10118" t="inlineStr">
        <is>
          <t>GÄVLEBORGS LÄN</t>
        </is>
      </c>
      <c r="E10118" t="inlineStr">
        <is>
          <t>BOLLNÄS</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11666-2024</t>
        </is>
      </c>
      <c r="B10119" s="1" t="n">
        <v>45373</v>
      </c>
      <c r="C10119" s="1" t="n">
        <v>45587</v>
      </c>
      <c r="D10119" t="inlineStr">
        <is>
          <t>GÄVLEBORGS LÄN</t>
        </is>
      </c>
      <c r="E10119" t="inlineStr">
        <is>
          <t>HUDIKSVALL</t>
        </is>
      </c>
      <c r="F10119" t="inlineStr">
        <is>
          <t>Holmen skog AB</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11691-2024</t>
        </is>
      </c>
      <c r="B10120" s="1" t="n">
        <v>45373</v>
      </c>
      <c r="C10120" s="1" t="n">
        <v>45587</v>
      </c>
      <c r="D10120" t="inlineStr">
        <is>
          <t>GÄVLEBORGS LÄN</t>
        </is>
      </c>
      <c r="E10120" t="inlineStr">
        <is>
          <t>GÄVLE</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11651-2024</t>
        </is>
      </c>
      <c r="B10121" s="1" t="n">
        <v>45373</v>
      </c>
      <c r="C10121" s="1" t="n">
        <v>45587</v>
      </c>
      <c r="D10121" t="inlineStr">
        <is>
          <t>GÄVLEBORGS LÄN</t>
        </is>
      </c>
      <c r="E10121" t="inlineStr">
        <is>
          <t>SÖDERHAMN</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11599-2024</t>
        </is>
      </c>
      <c r="B10122" s="1" t="n">
        <v>45373</v>
      </c>
      <c r="C10122" s="1" t="n">
        <v>45587</v>
      </c>
      <c r="D10122" t="inlineStr">
        <is>
          <t>GÄVLEBORGS LÄN</t>
        </is>
      </c>
      <c r="E10122" t="inlineStr">
        <is>
          <t>NORDANSTIG</t>
        </is>
      </c>
      <c r="F10122" t="inlineStr">
        <is>
          <t>Holmen skog AB</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11748-2024</t>
        </is>
      </c>
      <c r="B10123" s="1" t="n">
        <v>45373</v>
      </c>
      <c r="C10123" s="1" t="n">
        <v>45587</v>
      </c>
      <c r="D10123" t="inlineStr">
        <is>
          <t>GÄVLEBORGS LÄN</t>
        </is>
      </c>
      <c r="E10123" t="inlineStr">
        <is>
          <t>NORDANSTIG</t>
        </is>
      </c>
      <c r="G10123" t="n">
        <v>7.5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11629-2024</t>
        </is>
      </c>
      <c r="B10124" s="1" t="n">
        <v>45373</v>
      </c>
      <c r="C10124" s="1" t="n">
        <v>45587</v>
      </c>
      <c r="D10124" t="inlineStr">
        <is>
          <t>GÄVLEBORGS LÄN</t>
        </is>
      </c>
      <c r="E10124" t="inlineStr">
        <is>
          <t>HUDIKSVALL</t>
        </is>
      </c>
      <c r="F10124" t="inlineStr">
        <is>
          <t>Holmen skog AB</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11674-2024</t>
        </is>
      </c>
      <c r="B10125" s="1" t="n">
        <v>45373</v>
      </c>
      <c r="C10125" s="1" t="n">
        <v>45587</v>
      </c>
      <c r="D10125" t="inlineStr">
        <is>
          <t>GÄVLEBORGS LÄN</t>
        </is>
      </c>
      <c r="E10125" t="inlineStr">
        <is>
          <t>BOLLNÄS</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11607-2024</t>
        </is>
      </c>
      <c r="B10126" s="1" t="n">
        <v>45373</v>
      </c>
      <c r="C10126" s="1" t="n">
        <v>45587</v>
      </c>
      <c r="D10126" t="inlineStr">
        <is>
          <t>GÄVLEBORGS LÄN</t>
        </is>
      </c>
      <c r="E10126" t="inlineStr">
        <is>
          <t>SANDVIKEN</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11652-2024</t>
        </is>
      </c>
      <c r="B10127" s="1" t="n">
        <v>45373</v>
      </c>
      <c r="C10127" s="1" t="n">
        <v>45587</v>
      </c>
      <c r="D10127" t="inlineStr">
        <is>
          <t>GÄVLEBORGS LÄN</t>
        </is>
      </c>
      <c r="E10127" t="inlineStr">
        <is>
          <t>SÖDERHAMN</t>
        </is>
      </c>
      <c r="G10127" t="n">
        <v>4.6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11664-2024</t>
        </is>
      </c>
      <c r="B10128" s="1" t="n">
        <v>45373</v>
      </c>
      <c r="C10128" s="1" t="n">
        <v>45587</v>
      </c>
      <c r="D10128" t="inlineStr">
        <is>
          <t>GÄVLEBORGS LÄN</t>
        </is>
      </c>
      <c r="E10128" t="inlineStr">
        <is>
          <t>LJUSDAL</t>
        </is>
      </c>
      <c r="F10128" t="inlineStr">
        <is>
          <t>Bergvik skog väst AB</t>
        </is>
      </c>
      <c r="G10128" t="n">
        <v>14.9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11668-2024</t>
        </is>
      </c>
      <c r="B10129" s="1" t="n">
        <v>45373</v>
      </c>
      <c r="C10129" s="1" t="n">
        <v>45587</v>
      </c>
      <c r="D10129" t="inlineStr">
        <is>
          <t>GÄVLEBORGS LÄN</t>
        </is>
      </c>
      <c r="E10129" t="inlineStr">
        <is>
          <t>HUDIKSVALL</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11684-2024</t>
        </is>
      </c>
      <c r="B10130" s="1" t="n">
        <v>45373</v>
      </c>
      <c r="C10130" s="1" t="n">
        <v>45587</v>
      </c>
      <c r="D10130" t="inlineStr">
        <is>
          <t>GÄVLEBORGS LÄN</t>
        </is>
      </c>
      <c r="E10130" t="inlineStr">
        <is>
          <t>OVANÅKER</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11778-2024</t>
        </is>
      </c>
      <c r="B10131" s="1" t="n">
        <v>45374</v>
      </c>
      <c r="C10131" s="1" t="n">
        <v>45587</v>
      </c>
      <c r="D10131" t="inlineStr">
        <is>
          <t>GÄVLEBORGS LÄN</t>
        </is>
      </c>
      <c r="E10131" t="inlineStr">
        <is>
          <t>SANDVIKEN</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11803-2024</t>
        </is>
      </c>
      <c r="B10132" s="1" t="n">
        <v>45375</v>
      </c>
      <c r="C10132" s="1" t="n">
        <v>45587</v>
      </c>
      <c r="D10132" t="inlineStr">
        <is>
          <t>GÄVLEBORGS LÄN</t>
        </is>
      </c>
      <c r="E10132" t="inlineStr">
        <is>
          <t>BOLLNÄS</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11818-2024</t>
        </is>
      </c>
      <c r="B10133" s="1" t="n">
        <v>45376</v>
      </c>
      <c r="C10133" s="1" t="n">
        <v>45587</v>
      </c>
      <c r="D10133" t="inlineStr">
        <is>
          <t>GÄVLEBORGS LÄN</t>
        </is>
      </c>
      <c r="E10133" t="inlineStr">
        <is>
          <t>HOFORS</t>
        </is>
      </c>
      <c r="G10133" t="n">
        <v>3.8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11838-2024</t>
        </is>
      </c>
      <c r="B10134" s="1" t="n">
        <v>45376</v>
      </c>
      <c r="C10134" s="1" t="n">
        <v>45587</v>
      </c>
      <c r="D10134" t="inlineStr">
        <is>
          <t>GÄVLEBORGS LÄN</t>
        </is>
      </c>
      <c r="E10134" t="inlineStr">
        <is>
          <t>LJUSDAL</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11842-2024</t>
        </is>
      </c>
      <c r="B10135" s="1" t="n">
        <v>45376</v>
      </c>
      <c r="C10135" s="1" t="n">
        <v>45587</v>
      </c>
      <c r="D10135" t="inlineStr">
        <is>
          <t>GÄVLEBORGS LÄN</t>
        </is>
      </c>
      <c r="E10135" t="inlineStr">
        <is>
          <t>HUDIKSVALL</t>
        </is>
      </c>
      <c r="G10135" t="n">
        <v>5.1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11904-2024</t>
        </is>
      </c>
      <c r="B10136" s="1" t="n">
        <v>45376</v>
      </c>
      <c r="C10136" s="1" t="n">
        <v>45587</v>
      </c>
      <c r="D10136" t="inlineStr">
        <is>
          <t>GÄVLEBORGS LÄN</t>
        </is>
      </c>
      <c r="E10136" t="inlineStr">
        <is>
          <t>SANDVIKEN</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11813-2024</t>
        </is>
      </c>
      <c r="B10137" s="1" t="n">
        <v>45376</v>
      </c>
      <c r="C10137" s="1" t="n">
        <v>45587</v>
      </c>
      <c r="D10137" t="inlineStr">
        <is>
          <t>GÄVLEBORGS LÄN</t>
        </is>
      </c>
      <c r="E10137" t="inlineStr">
        <is>
          <t>HOFORS</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11817-2024</t>
        </is>
      </c>
      <c r="B10138" s="1" t="n">
        <v>45376</v>
      </c>
      <c r="C10138" s="1" t="n">
        <v>45587</v>
      </c>
      <c r="D10138" t="inlineStr">
        <is>
          <t>GÄVLEBORGS LÄN</t>
        </is>
      </c>
      <c r="E10138" t="inlineStr">
        <is>
          <t>HUDIKSVALL</t>
        </is>
      </c>
      <c r="F10138" t="inlineStr">
        <is>
          <t>Holmen skog AB</t>
        </is>
      </c>
      <c r="G10138" t="n">
        <v>6.2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11897-2024</t>
        </is>
      </c>
      <c r="B10139" s="1" t="n">
        <v>45376</v>
      </c>
      <c r="C10139" s="1" t="n">
        <v>45587</v>
      </c>
      <c r="D10139" t="inlineStr">
        <is>
          <t>GÄVLEBORGS LÄN</t>
        </is>
      </c>
      <c r="E10139" t="inlineStr">
        <is>
          <t>SANDVIKEN</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11845-2024</t>
        </is>
      </c>
      <c r="B10140" s="1" t="n">
        <v>45376</v>
      </c>
      <c r="C10140" s="1" t="n">
        <v>45587</v>
      </c>
      <c r="D10140" t="inlineStr">
        <is>
          <t>GÄVLEBORGS LÄN</t>
        </is>
      </c>
      <c r="E10140" t="inlineStr">
        <is>
          <t>SANDVIKEN</t>
        </is>
      </c>
      <c r="G10140" t="n">
        <v>7.1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12166-2024</t>
        </is>
      </c>
      <c r="B10141" s="1" t="n">
        <v>45377</v>
      </c>
      <c r="C10141" s="1" t="n">
        <v>45587</v>
      </c>
      <c r="D10141" t="inlineStr">
        <is>
          <t>GÄVLEBORGS LÄN</t>
        </is>
      </c>
      <c r="E10141" t="inlineStr">
        <is>
          <t>BOLLNÄS</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12023-2024</t>
        </is>
      </c>
      <c r="B10142" s="1" t="n">
        <v>45377</v>
      </c>
      <c r="C10142" s="1" t="n">
        <v>45587</v>
      </c>
      <c r="D10142" t="inlineStr">
        <is>
          <t>GÄVLEBORGS LÄN</t>
        </is>
      </c>
      <c r="E10142" t="inlineStr">
        <is>
          <t>BOLLNÄS</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12068-2024</t>
        </is>
      </c>
      <c r="B10143" s="1" t="n">
        <v>45377</v>
      </c>
      <c r="C10143" s="1" t="n">
        <v>45587</v>
      </c>
      <c r="D10143" t="inlineStr">
        <is>
          <t>GÄVLEBORGS LÄN</t>
        </is>
      </c>
      <c r="E10143" t="inlineStr">
        <is>
          <t>GÄVLE</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12168-2024</t>
        </is>
      </c>
      <c r="B10144" s="1" t="n">
        <v>45377</v>
      </c>
      <c r="C10144" s="1" t="n">
        <v>45587</v>
      </c>
      <c r="D10144" t="inlineStr">
        <is>
          <t>GÄVLEBORGS LÄN</t>
        </is>
      </c>
      <c r="E10144" t="inlineStr">
        <is>
          <t>BOLLNÄS</t>
        </is>
      </c>
      <c r="G10144" t="n">
        <v>4.6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12196-2024</t>
        </is>
      </c>
      <c r="B10145" s="1" t="n">
        <v>45377</v>
      </c>
      <c r="C10145" s="1" t="n">
        <v>45587</v>
      </c>
      <c r="D10145" t="inlineStr">
        <is>
          <t>GÄVLEBORGS LÄN</t>
        </is>
      </c>
      <c r="E10145" t="inlineStr">
        <is>
          <t>OVANÅKER</t>
        </is>
      </c>
      <c r="G10145" t="n">
        <v>10.7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12197-2024</t>
        </is>
      </c>
      <c r="B10146" s="1" t="n">
        <v>45377</v>
      </c>
      <c r="C10146" s="1" t="n">
        <v>45587</v>
      </c>
      <c r="D10146" t="inlineStr">
        <is>
          <t>GÄVLEBORGS LÄN</t>
        </is>
      </c>
      <c r="E10146" t="inlineStr">
        <is>
          <t>OVANÅKER</t>
        </is>
      </c>
      <c r="G10146" t="n">
        <v>7.5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12165-2024</t>
        </is>
      </c>
      <c r="B10147" s="1" t="n">
        <v>45377</v>
      </c>
      <c r="C10147" s="1" t="n">
        <v>45587</v>
      </c>
      <c r="D10147" t="inlineStr">
        <is>
          <t>GÄVLEBORGS LÄN</t>
        </is>
      </c>
      <c r="E10147" t="inlineStr">
        <is>
          <t>BOLLNÄS</t>
        </is>
      </c>
      <c r="G10147" t="n">
        <v>3.6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12012-2024</t>
        </is>
      </c>
      <c r="B10148" s="1" t="n">
        <v>45377</v>
      </c>
      <c r="C10148" s="1" t="n">
        <v>45587</v>
      </c>
      <c r="D10148" t="inlineStr">
        <is>
          <t>GÄVLEBORGS LÄN</t>
        </is>
      </c>
      <c r="E10148" t="inlineStr">
        <is>
          <t>OVANÅKER</t>
        </is>
      </c>
      <c r="G10148" t="n">
        <v>10.9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12008-2024</t>
        </is>
      </c>
      <c r="B10149" s="1" t="n">
        <v>45377</v>
      </c>
      <c r="C10149" s="1" t="n">
        <v>45587</v>
      </c>
      <c r="D10149" t="inlineStr">
        <is>
          <t>GÄVLEBORGS LÄN</t>
        </is>
      </c>
      <c r="E10149" t="inlineStr">
        <is>
          <t>BOLLNÄS</t>
        </is>
      </c>
      <c r="G10149" t="n">
        <v>4.4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12167-2024</t>
        </is>
      </c>
      <c r="B10150" s="1" t="n">
        <v>45377</v>
      </c>
      <c r="C10150" s="1" t="n">
        <v>45587</v>
      </c>
      <c r="D10150" t="inlineStr">
        <is>
          <t>GÄVLEBORGS LÄN</t>
        </is>
      </c>
      <c r="E10150" t="inlineStr">
        <is>
          <t>BOLLNÄS</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12018-2024</t>
        </is>
      </c>
      <c r="B10151" s="1" t="n">
        <v>45377</v>
      </c>
      <c r="C10151" s="1" t="n">
        <v>45587</v>
      </c>
      <c r="D10151" t="inlineStr">
        <is>
          <t>GÄVLEBORGS LÄN</t>
        </is>
      </c>
      <c r="E10151" t="inlineStr">
        <is>
          <t>BOLLNÄS</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12250-2024</t>
        </is>
      </c>
      <c r="B10152" s="1" t="n">
        <v>45378</v>
      </c>
      <c r="C10152" s="1" t="n">
        <v>45587</v>
      </c>
      <c r="D10152" t="inlineStr">
        <is>
          <t>GÄVLEBORGS LÄN</t>
        </is>
      </c>
      <c r="E10152" t="inlineStr">
        <is>
          <t>HUDIKSVALL</t>
        </is>
      </c>
      <c r="G10152" t="n">
        <v>17.8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12319-2024</t>
        </is>
      </c>
      <c r="B10153" s="1" t="n">
        <v>45378</v>
      </c>
      <c r="C10153" s="1" t="n">
        <v>45587</v>
      </c>
      <c r="D10153" t="inlineStr">
        <is>
          <t>GÄVLEBORGS LÄN</t>
        </is>
      </c>
      <c r="E10153" t="inlineStr">
        <is>
          <t>NORDANSTIG</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12353-2024</t>
        </is>
      </c>
      <c r="B10154" s="1" t="n">
        <v>45378</v>
      </c>
      <c r="C10154" s="1" t="n">
        <v>45587</v>
      </c>
      <c r="D10154" t="inlineStr">
        <is>
          <t>GÄVLEBORGS LÄN</t>
        </is>
      </c>
      <c r="E10154" t="inlineStr">
        <is>
          <t>NORDANSTIG</t>
        </is>
      </c>
      <c r="G10154" t="n">
        <v>5.7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12393-2024</t>
        </is>
      </c>
      <c r="B10155" s="1" t="n">
        <v>45379</v>
      </c>
      <c r="C10155" s="1" t="n">
        <v>45587</v>
      </c>
      <c r="D10155" t="inlineStr">
        <is>
          <t>GÄVLEBORGS LÄN</t>
        </is>
      </c>
      <c r="E10155" t="inlineStr">
        <is>
          <t>OVANÅKER</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12413-2024</t>
        </is>
      </c>
      <c r="B10156" s="1" t="n">
        <v>45379</v>
      </c>
      <c r="C10156" s="1" t="n">
        <v>45587</v>
      </c>
      <c r="D10156" t="inlineStr">
        <is>
          <t>GÄVLEBORGS LÄN</t>
        </is>
      </c>
      <c r="E10156" t="inlineStr">
        <is>
          <t>GÄVLE</t>
        </is>
      </c>
      <c r="F10156" t="inlineStr">
        <is>
          <t>Bergvik skog öst AB</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12550-2024</t>
        </is>
      </c>
      <c r="B10157" s="1" t="n">
        <v>45379</v>
      </c>
      <c r="C10157" s="1" t="n">
        <v>45587</v>
      </c>
      <c r="D10157" t="inlineStr">
        <is>
          <t>GÄVLEBORGS LÄN</t>
        </is>
      </c>
      <c r="E10157" t="inlineStr">
        <is>
          <t>HUDIKSVALL</t>
        </is>
      </c>
      <c r="G10157" t="n">
        <v>3.6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12545-2024</t>
        </is>
      </c>
      <c r="B10158" s="1" t="n">
        <v>45379</v>
      </c>
      <c r="C10158" s="1" t="n">
        <v>45587</v>
      </c>
      <c r="D10158" t="inlineStr">
        <is>
          <t>GÄVLEBORGS LÄN</t>
        </is>
      </c>
      <c r="E10158" t="inlineStr">
        <is>
          <t>HUDIKSVALL</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12513-2024</t>
        </is>
      </c>
      <c r="B10159" s="1" t="n">
        <v>45379</v>
      </c>
      <c r="C10159" s="1" t="n">
        <v>45587</v>
      </c>
      <c r="D10159" t="inlineStr">
        <is>
          <t>GÄVLEBORGS LÄN</t>
        </is>
      </c>
      <c r="E10159" t="inlineStr">
        <is>
          <t>HUDIKSVALL</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12526-2024</t>
        </is>
      </c>
      <c r="B10160" s="1" t="n">
        <v>45379</v>
      </c>
      <c r="C10160" s="1" t="n">
        <v>45587</v>
      </c>
      <c r="D10160" t="inlineStr">
        <is>
          <t>GÄVLEBORGS LÄN</t>
        </is>
      </c>
      <c r="E10160" t="inlineStr">
        <is>
          <t>HUDIKSVALL</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12437-2024</t>
        </is>
      </c>
      <c r="B10161" s="1" t="n">
        <v>45379</v>
      </c>
      <c r="C10161" s="1" t="n">
        <v>45587</v>
      </c>
      <c r="D10161" t="inlineStr">
        <is>
          <t>GÄVLEBORGS LÄN</t>
        </is>
      </c>
      <c r="E10161" t="inlineStr">
        <is>
          <t>GÄVLE</t>
        </is>
      </c>
      <c r="F10161" t="inlineStr">
        <is>
          <t>Bergvik skog öst AB</t>
        </is>
      </c>
      <c r="G10161" t="n">
        <v>7.4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12535-2024</t>
        </is>
      </c>
      <c r="B10162" s="1" t="n">
        <v>45379</v>
      </c>
      <c r="C10162" s="1" t="n">
        <v>45587</v>
      </c>
      <c r="D10162" t="inlineStr">
        <is>
          <t>GÄVLEBORGS LÄN</t>
        </is>
      </c>
      <c r="E10162" t="inlineStr">
        <is>
          <t>HUDIKSVALL</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12415-2024</t>
        </is>
      </c>
      <c r="B10163" s="1" t="n">
        <v>45379</v>
      </c>
      <c r="C10163" s="1" t="n">
        <v>45587</v>
      </c>
      <c r="D10163" t="inlineStr">
        <is>
          <t>GÄVLEBORGS LÄN</t>
        </is>
      </c>
      <c r="E10163" t="inlineStr">
        <is>
          <t>GÄVLE</t>
        </is>
      </c>
      <c r="F10163" t="inlineStr">
        <is>
          <t>Bergvik skog öst AB</t>
        </is>
      </c>
      <c r="G10163" t="n">
        <v>23.8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12411-2024</t>
        </is>
      </c>
      <c r="B10164" s="1" t="n">
        <v>45379</v>
      </c>
      <c r="C10164" s="1" t="n">
        <v>45587</v>
      </c>
      <c r="D10164" t="inlineStr">
        <is>
          <t>GÄVLEBORGS LÄN</t>
        </is>
      </c>
      <c r="E10164" t="inlineStr">
        <is>
          <t>OVANÅKER</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12430-2024</t>
        </is>
      </c>
      <c r="B10165" s="1" t="n">
        <v>45379</v>
      </c>
      <c r="C10165" s="1" t="n">
        <v>45587</v>
      </c>
      <c r="D10165" t="inlineStr">
        <is>
          <t>GÄVLEBORGS LÄN</t>
        </is>
      </c>
      <c r="E10165" t="inlineStr">
        <is>
          <t>GÄVLE</t>
        </is>
      </c>
      <c r="F10165" t="inlineStr">
        <is>
          <t>Bergvik skog öst AB</t>
        </is>
      </c>
      <c r="G10165" t="n">
        <v>9.300000000000001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12504-2024</t>
        </is>
      </c>
      <c r="B10166" s="1" t="n">
        <v>45379</v>
      </c>
      <c r="C10166" s="1" t="n">
        <v>45587</v>
      </c>
      <c r="D10166" t="inlineStr">
        <is>
          <t>GÄVLEBORGS LÄN</t>
        </is>
      </c>
      <c r="E10166" t="inlineStr">
        <is>
          <t>HUDIKSVALL</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12536-2024</t>
        </is>
      </c>
      <c r="B10167" s="1" t="n">
        <v>45379</v>
      </c>
      <c r="C10167" s="1" t="n">
        <v>45587</v>
      </c>
      <c r="D10167" t="inlineStr">
        <is>
          <t>GÄVLEBORGS LÄN</t>
        </is>
      </c>
      <c r="E10167" t="inlineStr">
        <is>
          <t>HUDIKSVALL</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12607-2024</t>
        </is>
      </c>
      <c r="B10168" s="1" t="n">
        <v>45382</v>
      </c>
      <c r="C10168" s="1" t="n">
        <v>45587</v>
      </c>
      <c r="D10168" t="inlineStr">
        <is>
          <t>GÄVLEBORGS LÄN</t>
        </is>
      </c>
      <c r="E10168" t="inlineStr">
        <is>
          <t>NORDANSTIG</t>
        </is>
      </c>
      <c r="G10168" t="n">
        <v>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12694-2024</t>
        </is>
      </c>
      <c r="B10169" s="1" t="n">
        <v>45384</v>
      </c>
      <c r="C10169" s="1" t="n">
        <v>45587</v>
      </c>
      <c r="D10169" t="inlineStr">
        <is>
          <t>GÄVLEBORGS LÄN</t>
        </is>
      </c>
      <c r="E10169" t="inlineStr">
        <is>
          <t>NORDANSTIG</t>
        </is>
      </c>
      <c r="F10169" t="inlineStr">
        <is>
          <t>Holmen skog AB</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12679-2024</t>
        </is>
      </c>
      <c r="B10170" s="1" t="n">
        <v>45384</v>
      </c>
      <c r="C10170" s="1" t="n">
        <v>45587</v>
      </c>
      <c r="D10170" t="inlineStr">
        <is>
          <t>GÄVLEBORGS LÄN</t>
        </is>
      </c>
      <c r="E10170" t="inlineStr">
        <is>
          <t>HUDIKSVALL</t>
        </is>
      </c>
      <c r="F10170" t="inlineStr">
        <is>
          <t>Holmen skog AB</t>
        </is>
      </c>
      <c r="G10170" t="n">
        <v>9.4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12778-2024</t>
        </is>
      </c>
      <c r="B10171" s="1" t="n">
        <v>45384</v>
      </c>
      <c r="C10171" s="1" t="n">
        <v>45587</v>
      </c>
      <c r="D10171" t="inlineStr">
        <is>
          <t>GÄVLEBORGS LÄN</t>
        </is>
      </c>
      <c r="E10171" t="inlineStr">
        <is>
          <t>OCKELBO</t>
        </is>
      </c>
      <c r="G10171" t="n">
        <v>4.3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12782-2024</t>
        </is>
      </c>
      <c r="B10172" s="1" t="n">
        <v>45384</v>
      </c>
      <c r="C10172" s="1" t="n">
        <v>45587</v>
      </c>
      <c r="D10172" t="inlineStr">
        <is>
          <t>GÄVLEBORGS LÄN</t>
        </is>
      </c>
      <c r="E10172" t="inlineStr">
        <is>
          <t>SANDVIKEN</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12799-2024</t>
        </is>
      </c>
      <c r="B10173" s="1" t="n">
        <v>45384</v>
      </c>
      <c r="C10173" s="1" t="n">
        <v>45587</v>
      </c>
      <c r="D10173" t="inlineStr">
        <is>
          <t>GÄVLEBORGS LÄN</t>
        </is>
      </c>
      <c r="E10173" t="inlineStr">
        <is>
          <t>LJUSDAL</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12855-2024</t>
        </is>
      </c>
      <c r="B10174" s="1" t="n">
        <v>45385</v>
      </c>
      <c r="C10174" s="1" t="n">
        <v>45587</v>
      </c>
      <c r="D10174" t="inlineStr">
        <is>
          <t>GÄVLEBORGS LÄN</t>
        </is>
      </c>
      <c r="E10174" t="inlineStr">
        <is>
          <t>LJUSDAL</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12846-2024</t>
        </is>
      </c>
      <c r="B10175" s="1" t="n">
        <v>45384</v>
      </c>
      <c r="C10175" s="1" t="n">
        <v>45587</v>
      </c>
      <c r="D10175" t="inlineStr">
        <is>
          <t>GÄVLEBORGS LÄN</t>
        </is>
      </c>
      <c r="E10175" t="inlineStr">
        <is>
          <t>HUDIKSVALL</t>
        </is>
      </c>
      <c r="F10175" t="inlineStr">
        <is>
          <t>Holmen skog AB</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12893-2024</t>
        </is>
      </c>
      <c r="B10176" s="1" t="n">
        <v>45385</v>
      </c>
      <c r="C10176" s="1" t="n">
        <v>45587</v>
      </c>
      <c r="D10176" t="inlineStr">
        <is>
          <t>GÄVLEBORGS LÄN</t>
        </is>
      </c>
      <c r="E10176" t="inlineStr">
        <is>
          <t>HUDIKSVALL</t>
        </is>
      </c>
      <c r="F10176" t="inlineStr">
        <is>
          <t>Holmen skog AB</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12915-2024</t>
        </is>
      </c>
      <c r="B10177" s="1" t="n">
        <v>45385</v>
      </c>
      <c r="C10177" s="1" t="n">
        <v>45587</v>
      </c>
      <c r="D10177" t="inlineStr">
        <is>
          <t>GÄVLEBORGS LÄN</t>
        </is>
      </c>
      <c r="E10177" t="inlineStr">
        <is>
          <t>HUDIKSVALL</t>
        </is>
      </c>
      <c r="F10177" t="inlineStr">
        <is>
          <t>Holmen skog AB</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13078-2024</t>
        </is>
      </c>
      <c r="B10178" s="1" t="n">
        <v>45385</v>
      </c>
      <c r="C10178" s="1" t="n">
        <v>45587</v>
      </c>
      <c r="D10178" t="inlineStr">
        <is>
          <t>GÄVLEBORGS LÄN</t>
        </is>
      </c>
      <c r="E10178" t="inlineStr">
        <is>
          <t>OVANÅKER</t>
        </is>
      </c>
      <c r="G10178" t="n">
        <v>2.9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13036-2024</t>
        </is>
      </c>
      <c r="B10179" s="1" t="n">
        <v>45385</v>
      </c>
      <c r="C10179" s="1" t="n">
        <v>45587</v>
      </c>
      <c r="D10179" t="inlineStr">
        <is>
          <t>GÄVLEBORGS LÄN</t>
        </is>
      </c>
      <c r="E10179" t="inlineStr">
        <is>
          <t>SÖDERHAMN</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13141-2024</t>
        </is>
      </c>
      <c r="B10180" s="1" t="n">
        <v>45386</v>
      </c>
      <c r="C10180" s="1" t="n">
        <v>45587</v>
      </c>
      <c r="D10180" t="inlineStr">
        <is>
          <t>GÄVLEBORGS LÄN</t>
        </is>
      </c>
      <c r="E10180" t="inlineStr">
        <is>
          <t>OVANÅKER</t>
        </is>
      </c>
      <c r="G10180" t="n">
        <v>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13153-2024</t>
        </is>
      </c>
      <c r="B10181" s="1" t="n">
        <v>45386</v>
      </c>
      <c r="C10181" s="1" t="n">
        <v>45587</v>
      </c>
      <c r="D10181" t="inlineStr">
        <is>
          <t>GÄVLEBORGS LÄN</t>
        </is>
      </c>
      <c r="E10181" t="inlineStr">
        <is>
          <t>HUDIKSVALL</t>
        </is>
      </c>
      <c r="G10181" t="n">
        <v>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13143-2024</t>
        </is>
      </c>
      <c r="B10182" s="1" t="n">
        <v>45386</v>
      </c>
      <c r="C10182" s="1" t="n">
        <v>45587</v>
      </c>
      <c r="D10182" t="inlineStr">
        <is>
          <t>GÄVLEBORGS LÄN</t>
        </is>
      </c>
      <c r="E10182" t="inlineStr">
        <is>
          <t>BOLLNÄS</t>
        </is>
      </c>
      <c r="G10182" t="n">
        <v>10.7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13179-2024</t>
        </is>
      </c>
      <c r="B10183" s="1" t="n">
        <v>45386</v>
      </c>
      <c r="C10183" s="1" t="n">
        <v>45587</v>
      </c>
      <c r="D10183" t="inlineStr">
        <is>
          <t>GÄVLEBORGS LÄN</t>
        </is>
      </c>
      <c r="E10183" t="inlineStr">
        <is>
          <t>NORDANSTIG</t>
        </is>
      </c>
      <c r="F10183" t="inlineStr">
        <is>
          <t>Holmen skog AB</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13201-2024</t>
        </is>
      </c>
      <c r="B10184" s="1" t="n">
        <v>45386</v>
      </c>
      <c r="C10184" s="1" t="n">
        <v>45587</v>
      </c>
      <c r="D10184" t="inlineStr">
        <is>
          <t>GÄVLEBORGS LÄN</t>
        </is>
      </c>
      <c r="E10184" t="inlineStr">
        <is>
          <t>HUDIKSVALL</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13199-2024</t>
        </is>
      </c>
      <c r="B10185" s="1" t="n">
        <v>45386</v>
      </c>
      <c r="C10185" s="1" t="n">
        <v>45587</v>
      </c>
      <c r="D10185" t="inlineStr">
        <is>
          <t>GÄVLEBORGS LÄN</t>
        </is>
      </c>
      <c r="E10185" t="inlineStr">
        <is>
          <t>HUDIKSVALL</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13217-2024</t>
        </is>
      </c>
      <c r="B10186" s="1" t="n">
        <v>45386</v>
      </c>
      <c r="C10186" s="1" t="n">
        <v>45587</v>
      </c>
      <c r="D10186" t="inlineStr">
        <is>
          <t>GÄVLEBORGS LÄN</t>
        </is>
      </c>
      <c r="E10186" t="inlineStr">
        <is>
          <t>NORDANSTIG</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13229-2024</t>
        </is>
      </c>
      <c r="B10187" s="1" t="n">
        <v>45386</v>
      </c>
      <c r="C10187" s="1" t="n">
        <v>45587</v>
      </c>
      <c r="D10187" t="inlineStr">
        <is>
          <t>GÄVLEBORGS LÄN</t>
        </is>
      </c>
      <c r="E10187" t="inlineStr">
        <is>
          <t>GÄVLE</t>
        </is>
      </c>
      <c r="F10187" t="inlineStr">
        <is>
          <t>Övriga statliga verk och myndigheter</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13238-2024</t>
        </is>
      </c>
      <c r="B10188" s="1" t="n">
        <v>45386</v>
      </c>
      <c r="C10188" s="1" t="n">
        <v>45587</v>
      </c>
      <c r="D10188" t="inlineStr">
        <is>
          <t>GÄVLEBORGS LÄN</t>
        </is>
      </c>
      <c r="E10188" t="inlineStr">
        <is>
          <t>LJUSDAL</t>
        </is>
      </c>
      <c r="G10188" t="n">
        <v>5.9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13227-2024</t>
        </is>
      </c>
      <c r="B10189" s="1" t="n">
        <v>45386</v>
      </c>
      <c r="C10189" s="1" t="n">
        <v>45587</v>
      </c>
      <c r="D10189" t="inlineStr">
        <is>
          <t>GÄVLEBORGS LÄN</t>
        </is>
      </c>
      <c r="E10189" t="inlineStr">
        <is>
          <t>GÄVLE</t>
        </is>
      </c>
      <c r="F10189" t="inlineStr">
        <is>
          <t>Övriga statliga verk och myndigheter</t>
        </is>
      </c>
      <c r="G10189" t="n">
        <v>5.9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13337-2024</t>
        </is>
      </c>
      <c r="B10190" s="1" t="n">
        <v>45386</v>
      </c>
      <c r="C10190" s="1" t="n">
        <v>45587</v>
      </c>
      <c r="D10190" t="inlineStr">
        <is>
          <t>GÄVLEBORGS LÄN</t>
        </is>
      </c>
      <c r="E10190" t="inlineStr">
        <is>
          <t>LJUSDAL</t>
        </is>
      </c>
      <c r="G10190" t="n">
        <v>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13174-2024</t>
        </is>
      </c>
      <c r="B10191" s="1" t="n">
        <v>45386</v>
      </c>
      <c r="C10191" s="1" t="n">
        <v>45587</v>
      </c>
      <c r="D10191" t="inlineStr">
        <is>
          <t>GÄVLEBORGS LÄN</t>
        </is>
      </c>
      <c r="E10191" t="inlineStr">
        <is>
          <t>NORDANSTIG</t>
        </is>
      </c>
      <c r="F10191" t="inlineStr">
        <is>
          <t>Holmen skog AB</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13214-2024</t>
        </is>
      </c>
      <c r="B10192" s="1" t="n">
        <v>45386</v>
      </c>
      <c r="C10192" s="1" t="n">
        <v>45587</v>
      </c>
      <c r="D10192" t="inlineStr">
        <is>
          <t>GÄVLEBORGS LÄN</t>
        </is>
      </c>
      <c r="E10192" t="inlineStr">
        <is>
          <t>HUDIKSVALL</t>
        </is>
      </c>
      <c r="G10192" t="n">
        <v>3.7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13212-2024</t>
        </is>
      </c>
      <c r="B10193" s="1" t="n">
        <v>45386</v>
      </c>
      <c r="C10193" s="1" t="n">
        <v>45587</v>
      </c>
      <c r="D10193" t="inlineStr">
        <is>
          <t>GÄVLEBORGS LÄN</t>
        </is>
      </c>
      <c r="E10193" t="inlineStr">
        <is>
          <t>HUDIKSVALL</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13461-2024</t>
        </is>
      </c>
      <c r="B10194" s="1" t="n">
        <v>45387</v>
      </c>
      <c r="C10194" s="1" t="n">
        <v>45587</v>
      </c>
      <c r="D10194" t="inlineStr">
        <is>
          <t>GÄVLEBORGS LÄN</t>
        </is>
      </c>
      <c r="E10194" t="inlineStr">
        <is>
          <t>BOLLNÄS</t>
        </is>
      </c>
      <c r="F10194" t="inlineStr">
        <is>
          <t>Holmen skog AB</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13473-2024</t>
        </is>
      </c>
      <c r="B10195" s="1" t="n">
        <v>45387</v>
      </c>
      <c r="C10195" s="1" t="n">
        <v>45587</v>
      </c>
      <c r="D10195" t="inlineStr">
        <is>
          <t>GÄVLEBORGS LÄN</t>
        </is>
      </c>
      <c r="E10195" t="inlineStr">
        <is>
          <t>HOFORS</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13538-2024</t>
        </is>
      </c>
      <c r="B10196" s="1" t="n">
        <v>45388</v>
      </c>
      <c r="C10196" s="1" t="n">
        <v>45587</v>
      </c>
      <c r="D10196" t="inlineStr">
        <is>
          <t>GÄVLEBORGS LÄN</t>
        </is>
      </c>
      <c r="E10196" t="inlineStr">
        <is>
          <t>BOLLNÄS</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13537-2024</t>
        </is>
      </c>
      <c r="B10197" s="1" t="n">
        <v>45388</v>
      </c>
      <c r="C10197" s="1" t="n">
        <v>45587</v>
      </c>
      <c r="D10197" t="inlineStr">
        <is>
          <t>GÄVLEBORGS LÄN</t>
        </is>
      </c>
      <c r="E10197" t="inlineStr">
        <is>
          <t>BOLLNÄS</t>
        </is>
      </c>
      <c r="G10197" t="n">
        <v>6.2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13496-2024</t>
        </is>
      </c>
      <c r="B10198" s="1" t="n">
        <v>45387</v>
      </c>
      <c r="C10198" s="1" t="n">
        <v>45587</v>
      </c>
      <c r="D10198" t="inlineStr">
        <is>
          <t>GÄVLEBORGS LÄN</t>
        </is>
      </c>
      <c r="E10198" t="inlineStr">
        <is>
          <t>LJUSDAL</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13471-2024</t>
        </is>
      </c>
      <c r="B10199" s="1" t="n">
        <v>45387</v>
      </c>
      <c r="C10199" s="1" t="n">
        <v>45587</v>
      </c>
      <c r="D10199" t="inlineStr">
        <is>
          <t>GÄVLEBORGS LÄN</t>
        </is>
      </c>
      <c r="E10199" t="inlineStr">
        <is>
          <t>HOFORS</t>
        </is>
      </c>
      <c r="G10199" t="n">
        <v>2.9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13406-2024</t>
        </is>
      </c>
      <c r="B10200" s="1" t="n">
        <v>45387</v>
      </c>
      <c r="C10200" s="1" t="n">
        <v>45587</v>
      </c>
      <c r="D10200" t="inlineStr">
        <is>
          <t>GÄVLEBORGS LÄN</t>
        </is>
      </c>
      <c r="E10200" t="inlineStr">
        <is>
          <t>LJUSDAL</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13362-2024</t>
        </is>
      </c>
      <c r="B10201" s="1" t="n">
        <v>45387</v>
      </c>
      <c r="C10201" s="1" t="n">
        <v>45587</v>
      </c>
      <c r="D10201" t="inlineStr">
        <is>
          <t>GÄVLEBORGS LÄN</t>
        </is>
      </c>
      <c r="E10201" t="inlineStr">
        <is>
          <t>GÄVLE</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13443-2024</t>
        </is>
      </c>
      <c r="B10202" s="1" t="n">
        <v>45387</v>
      </c>
      <c r="C10202" s="1" t="n">
        <v>45587</v>
      </c>
      <c r="D10202" t="inlineStr">
        <is>
          <t>GÄVLEBORGS LÄN</t>
        </is>
      </c>
      <c r="E10202" t="inlineStr">
        <is>
          <t>OVANÅKER</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13427-2024</t>
        </is>
      </c>
      <c r="B10203" s="1" t="n">
        <v>45387</v>
      </c>
      <c r="C10203" s="1" t="n">
        <v>45587</v>
      </c>
      <c r="D10203" t="inlineStr">
        <is>
          <t>GÄVLEBORGS LÄN</t>
        </is>
      </c>
      <c r="E10203" t="inlineStr">
        <is>
          <t>LJUSDAL</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13411-2024</t>
        </is>
      </c>
      <c r="B10204" s="1" t="n">
        <v>45387</v>
      </c>
      <c r="C10204" s="1" t="n">
        <v>45587</v>
      </c>
      <c r="D10204" t="inlineStr">
        <is>
          <t>GÄVLEBORGS LÄN</t>
        </is>
      </c>
      <c r="E10204" t="inlineStr">
        <is>
          <t>LJUSDAL</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13498-2024</t>
        </is>
      </c>
      <c r="B10205" s="1" t="n">
        <v>45387</v>
      </c>
      <c r="C10205" s="1" t="n">
        <v>45587</v>
      </c>
      <c r="D10205" t="inlineStr">
        <is>
          <t>GÄVLEBORGS LÄN</t>
        </is>
      </c>
      <c r="E10205" t="inlineStr">
        <is>
          <t>LJUSDAL</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13490-2024</t>
        </is>
      </c>
      <c r="B10206" s="1" t="n">
        <v>45387</v>
      </c>
      <c r="C10206" s="1" t="n">
        <v>45587</v>
      </c>
      <c r="D10206" t="inlineStr">
        <is>
          <t>GÄVLEBORGS LÄN</t>
        </is>
      </c>
      <c r="E10206" t="inlineStr">
        <is>
          <t>HUDIKSVALL</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13486-2024</t>
        </is>
      </c>
      <c r="B10207" s="1" t="n">
        <v>45387</v>
      </c>
      <c r="C10207" s="1" t="n">
        <v>45587</v>
      </c>
      <c r="D10207" t="inlineStr">
        <is>
          <t>GÄVLEBORGS LÄN</t>
        </is>
      </c>
      <c r="E10207" t="inlineStr">
        <is>
          <t>OVANÅKER</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13417-2024</t>
        </is>
      </c>
      <c r="B10208" s="1" t="n">
        <v>45387</v>
      </c>
      <c r="C10208" s="1" t="n">
        <v>45587</v>
      </c>
      <c r="D10208" t="inlineStr">
        <is>
          <t>GÄVLEBORGS LÄN</t>
        </is>
      </c>
      <c r="E10208" t="inlineStr">
        <is>
          <t>LJUSDAL</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13369-2024</t>
        </is>
      </c>
      <c r="B10209" s="1" t="n">
        <v>45387</v>
      </c>
      <c r="C10209" s="1" t="n">
        <v>45587</v>
      </c>
      <c r="D10209" t="inlineStr">
        <is>
          <t>GÄVLEBORGS LÄN</t>
        </is>
      </c>
      <c r="E10209" t="inlineStr">
        <is>
          <t>GÄVLE</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13630-2024</t>
        </is>
      </c>
      <c r="B10210" s="1" t="n">
        <v>45390</v>
      </c>
      <c r="C10210" s="1" t="n">
        <v>45587</v>
      </c>
      <c r="D10210" t="inlineStr">
        <is>
          <t>GÄVLEBORGS LÄN</t>
        </is>
      </c>
      <c r="E10210" t="inlineStr">
        <is>
          <t>BOLLNÄS</t>
        </is>
      </c>
      <c r="F10210" t="inlineStr">
        <is>
          <t>Holmen skog AB</t>
        </is>
      </c>
      <c r="G10210" t="n">
        <v>6.4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13612-2024</t>
        </is>
      </c>
      <c r="B10211" s="1" t="n">
        <v>45390</v>
      </c>
      <c r="C10211" s="1" t="n">
        <v>45587</v>
      </c>
      <c r="D10211" t="inlineStr">
        <is>
          <t>GÄVLEBORGS LÄN</t>
        </is>
      </c>
      <c r="E10211" t="inlineStr">
        <is>
          <t>HUDIKSVALL</t>
        </is>
      </c>
      <c r="F10211" t="inlineStr">
        <is>
          <t>Holmen skog AB</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13603-2024</t>
        </is>
      </c>
      <c r="B10212" s="1" t="n">
        <v>45390</v>
      </c>
      <c r="C10212" s="1" t="n">
        <v>45587</v>
      </c>
      <c r="D10212" t="inlineStr">
        <is>
          <t>GÄVLEBORGS LÄN</t>
        </is>
      </c>
      <c r="E10212" t="inlineStr">
        <is>
          <t>GÄVLE</t>
        </is>
      </c>
      <c r="G10212" t="n">
        <v>5.9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13629-2024</t>
        </is>
      </c>
      <c r="B10213" s="1" t="n">
        <v>45390</v>
      </c>
      <c r="C10213" s="1" t="n">
        <v>45587</v>
      </c>
      <c r="D10213" t="inlineStr">
        <is>
          <t>GÄVLEBORGS LÄN</t>
        </is>
      </c>
      <c r="E10213" t="inlineStr">
        <is>
          <t>OVANÅKER</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13632-2024</t>
        </is>
      </c>
      <c r="B10214" s="1" t="n">
        <v>45390</v>
      </c>
      <c r="C10214" s="1" t="n">
        <v>45587</v>
      </c>
      <c r="D10214" t="inlineStr">
        <is>
          <t>GÄVLEBORGS LÄN</t>
        </is>
      </c>
      <c r="E10214" t="inlineStr">
        <is>
          <t>SANDVIKEN</t>
        </is>
      </c>
      <c r="F10214" t="inlineStr">
        <is>
          <t>Kyrkan</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13689-2024</t>
        </is>
      </c>
      <c r="B10215" s="1" t="n">
        <v>45390</v>
      </c>
      <c r="C10215" s="1" t="n">
        <v>45587</v>
      </c>
      <c r="D10215" t="inlineStr">
        <is>
          <t>GÄVLEBORGS LÄN</t>
        </is>
      </c>
      <c r="E10215" t="inlineStr">
        <is>
          <t>SANDVIKEN</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13680-2024</t>
        </is>
      </c>
      <c r="B10216" s="1" t="n">
        <v>45390</v>
      </c>
      <c r="C10216" s="1" t="n">
        <v>45587</v>
      </c>
      <c r="D10216" t="inlineStr">
        <is>
          <t>GÄVLEBORGS LÄN</t>
        </is>
      </c>
      <c r="E10216" t="inlineStr">
        <is>
          <t>GÄVLE</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13711-2024</t>
        </is>
      </c>
      <c r="B10217" s="1" t="n">
        <v>45390</v>
      </c>
      <c r="C10217" s="1" t="n">
        <v>45587</v>
      </c>
      <c r="D10217" t="inlineStr">
        <is>
          <t>GÄVLEBORGS LÄN</t>
        </is>
      </c>
      <c r="E10217" t="inlineStr">
        <is>
          <t>SANDVIKEN</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13705-2024</t>
        </is>
      </c>
      <c r="B10218" s="1" t="n">
        <v>45390</v>
      </c>
      <c r="C10218" s="1" t="n">
        <v>45587</v>
      </c>
      <c r="D10218" t="inlineStr">
        <is>
          <t>GÄVLEBORGS LÄN</t>
        </is>
      </c>
      <c r="E10218" t="inlineStr">
        <is>
          <t>HUDIKSVALL</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13670-2024</t>
        </is>
      </c>
      <c r="B10219" s="1" t="n">
        <v>45390</v>
      </c>
      <c r="C10219" s="1" t="n">
        <v>45587</v>
      </c>
      <c r="D10219" t="inlineStr">
        <is>
          <t>GÄVLEBORGS LÄN</t>
        </is>
      </c>
      <c r="E10219" t="inlineStr">
        <is>
          <t>HUDIKSVALL</t>
        </is>
      </c>
      <c r="F10219" t="inlineStr">
        <is>
          <t>Holmen skog AB</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13683-2024</t>
        </is>
      </c>
      <c r="B10220" s="1" t="n">
        <v>45390</v>
      </c>
      <c r="C10220" s="1" t="n">
        <v>45587</v>
      </c>
      <c r="D10220" t="inlineStr">
        <is>
          <t>GÄVLEBORGS LÄN</t>
        </is>
      </c>
      <c r="E10220" t="inlineStr">
        <is>
          <t>OVANÅKER</t>
        </is>
      </c>
      <c r="G10220" t="n">
        <v>3.7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13829-2024</t>
        </is>
      </c>
      <c r="B10221" s="1" t="n">
        <v>45391</v>
      </c>
      <c r="C10221" s="1" t="n">
        <v>45587</v>
      </c>
      <c r="D10221" t="inlineStr">
        <is>
          <t>GÄVLEBORGS LÄN</t>
        </is>
      </c>
      <c r="E10221" t="inlineStr">
        <is>
          <t>LJUSDAL</t>
        </is>
      </c>
      <c r="F10221" t="inlineStr">
        <is>
          <t>Kommuner</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13812-2024</t>
        </is>
      </c>
      <c r="B10222" s="1" t="n">
        <v>45391</v>
      </c>
      <c r="C10222" s="1" t="n">
        <v>45587</v>
      </c>
      <c r="D10222" t="inlineStr">
        <is>
          <t>GÄVLEBORGS LÄN</t>
        </is>
      </c>
      <c r="E10222" t="inlineStr">
        <is>
          <t>SANDVIKEN</t>
        </is>
      </c>
      <c r="G10222" t="n">
        <v>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13866-2024</t>
        </is>
      </c>
      <c r="B10223" s="1" t="n">
        <v>45391</v>
      </c>
      <c r="C10223" s="1" t="n">
        <v>45587</v>
      </c>
      <c r="D10223" t="inlineStr">
        <is>
          <t>GÄVLEBORGS LÄN</t>
        </is>
      </c>
      <c r="E10223" t="inlineStr">
        <is>
          <t>SÖDERHAMN</t>
        </is>
      </c>
      <c r="F10223" t="inlineStr">
        <is>
          <t>Bergvik skog väst AB</t>
        </is>
      </c>
      <c r="G10223" t="n">
        <v>8.6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13911-2024</t>
        </is>
      </c>
      <c r="B10224" s="1" t="n">
        <v>45391</v>
      </c>
      <c r="C10224" s="1" t="n">
        <v>45587</v>
      </c>
      <c r="D10224" t="inlineStr">
        <is>
          <t>GÄVLEBORGS LÄN</t>
        </is>
      </c>
      <c r="E10224" t="inlineStr">
        <is>
          <t>LJUSDAL</t>
        </is>
      </c>
      <c r="G10224" t="n">
        <v>18.2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13806-2024</t>
        </is>
      </c>
      <c r="B10225" s="1" t="n">
        <v>45391</v>
      </c>
      <c r="C10225" s="1" t="n">
        <v>45587</v>
      </c>
      <c r="D10225" t="inlineStr">
        <is>
          <t>GÄVLEBORGS LÄN</t>
        </is>
      </c>
      <c r="E10225" t="inlineStr">
        <is>
          <t>HUDIKSVALL</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13929-2024</t>
        </is>
      </c>
      <c r="B10226" s="1" t="n">
        <v>45392</v>
      </c>
      <c r="C10226" s="1" t="n">
        <v>45587</v>
      </c>
      <c r="D10226" t="inlineStr">
        <is>
          <t>GÄVLEBORGS LÄN</t>
        </is>
      </c>
      <c r="E10226" t="inlineStr">
        <is>
          <t>SÖDERHAMN</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13822-2024</t>
        </is>
      </c>
      <c r="B10227" s="1" t="n">
        <v>45391</v>
      </c>
      <c r="C10227" s="1" t="n">
        <v>45587</v>
      </c>
      <c r="D10227" t="inlineStr">
        <is>
          <t>GÄVLEBORGS LÄN</t>
        </is>
      </c>
      <c r="E10227" t="inlineStr">
        <is>
          <t>LJUSDAL</t>
        </is>
      </c>
      <c r="F10227" t="inlineStr">
        <is>
          <t>Kommuner</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13793-2024</t>
        </is>
      </c>
      <c r="B10228" s="1" t="n">
        <v>45391</v>
      </c>
      <c r="C10228" s="1" t="n">
        <v>45587</v>
      </c>
      <c r="D10228" t="inlineStr">
        <is>
          <t>GÄVLEBORGS LÄN</t>
        </is>
      </c>
      <c r="E10228" t="inlineStr">
        <is>
          <t>BOLLNÄS</t>
        </is>
      </c>
      <c r="G10228" t="n">
        <v>11.5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13798-2024</t>
        </is>
      </c>
      <c r="B10229" s="1" t="n">
        <v>45391</v>
      </c>
      <c r="C10229" s="1" t="n">
        <v>45587</v>
      </c>
      <c r="D10229" t="inlineStr">
        <is>
          <t>GÄVLEBORGS LÄN</t>
        </is>
      </c>
      <c r="E10229" t="inlineStr">
        <is>
          <t>SANDVIKEN</t>
        </is>
      </c>
      <c r="G10229" t="n">
        <v>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13872-2024</t>
        </is>
      </c>
      <c r="B10230" s="1" t="n">
        <v>45391</v>
      </c>
      <c r="C10230" s="1" t="n">
        <v>45587</v>
      </c>
      <c r="D10230" t="inlineStr">
        <is>
          <t>GÄVLEBORGS LÄN</t>
        </is>
      </c>
      <c r="E10230" t="inlineStr">
        <is>
          <t>LJUSDAL</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13961-2024</t>
        </is>
      </c>
      <c r="B10231" s="1" t="n">
        <v>45392</v>
      </c>
      <c r="C10231" s="1" t="n">
        <v>45587</v>
      </c>
      <c r="D10231" t="inlineStr">
        <is>
          <t>GÄVLEBORGS LÄN</t>
        </is>
      </c>
      <c r="E10231" t="inlineStr">
        <is>
          <t>GÄVLE</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13993-2024</t>
        </is>
      </c>
      <c r="B10232" s="1" t="n">
        <v>45392</v>
      </c>
      <c r="C10232" s="1" t="n">
        <v>45587</v>
      </c>
      <c r="D10232" t="inlineStr">
        <is>
          <t>GÄVLEBORGS LÄN</t>
        </is>
      </c>
      <c r="E10232" t="inlineStr">
        <is>
          <t>BOLLNÄS</t>
        </is>
      </c>
      <c r="G10232" t="n">
        <v>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13997-2024</t>
        </is>
      </c>
      <c r="B10233" s="1" t="n">
        <v>45392</v>
      </c>
      <c r="C10233" s="1" t="n">
        <v>45587</v>
      </c>
      <c r="D10233" t="inlineStr">
        <is>
          <t>GÄVLEBORGS LÄN</t>
        </is>
      </c>
      <c r="E10233" t="inlineStr">
        <is>
          <t>HUDIKSVALL</t>
        </is>
      </c>
      <c r="F10233" t="inlineStr">
        <is>
          <t>Holmen skog AB</t>
        </is>
      </c>
      <c r="G10233" t="n">
        <v>6.8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14045-2024</t>
        </is>
      </c>
      <c r="B10234" s="1" t="n">
        <v>45392</v>
      </c>
      <c r="C10234" s="1" t="n">
        <v>45587</v>
      </c>
      <c r="D10234" t="inlineStr">
        <is>
          <t>GÄVLEBORGS LÄN</t>
        </is>
      </c>
      <c r="E10234" t="inlineStr">
        <is>
          <t>OVANÅKER</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14111-2024</t>
        </is>
      </c>
      <c r="B10235" s="1" t="n">
        <v>45392</v>
      </c>
      <c r="C10235" s="1" t="n">
        <v>45587</v>
      </c>
      <c r="D10235" t="inlineStr">
        <is>
          <t>GÄVLEBORGS LÄN</t>
        </is>
      </c>
      <c r="E10235" t="inlineStr">
        <is>
          <t>SÖDERHAMN</t>
        </is>
      </c>
      <c r="F10235" t="inlineStr">
        <is>
          <t>Bergvik skog väst AB</t>
        </is>
      </c>
      <c r="G10235" t="n">
        <v>7.7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14121-2024</t>
        </is>
      </c>
      <c r="B10236" s="1" t="n">
        <v>45392</v>
      </c>
      <c r="C10236" s="1" t="n">
        <v>45587</v>
      </c>
      <c r="D10236" t="inlineStr">
        <is>
          <t>GÄVLEBORGS LÄN</t>
        </is>
      </c>
      <c r="E10236" t="inlineStr">
        <is>
          <t>SANDVIKEN</t>
        </is>
      </c>
      <c r="F10236" t="inlineStr">
        <is>
          <t>Bergvik skog öst AB</t>
        </is>
      </c>
      <c r="G10236" t="n">
        <v>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14000-2024</t>
        </is>
      </c>
      <c r="B10237" s="1" t="n">
        <v>45392</v>
      </c>
      <c r="C10237" s="1" t="n">
        <v>45587</v>
      </c>
      <c r="D10237" t="inlineStr">
        <is>
          <t>GÄVLEBORGS LÄN</t>
        </is>
      </c>
      <c r="E10237" t="inlineStr">
        <is>
          <t>BOLLNÄS</t>
        </is>
      </c>
      <c r="F10237" t="inlineStr">
        <is>
          <t>Bergvik skog väst AB</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14065-2024</t>
        </is>
      </c>
      <c r="B10238" s="1" t="n">
        <v>45392</v>
      </c>
      <c r="C10238" s="1" t="n">
        <v>45587</v>
      </c>
      <c r="D10238" t="inlineStr">
        <is>
          <t>GÄVLEBORGS LÄN</t>
        </is>
      </c>
      <c r="E10238" t="inlineStr">
        <is>
          <t>OVANÅKER</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14138-2024</t>
        </is>
      </c>
      <c r="B10239" s="1" t="n">
        <v>45392</v>
      </c>
      <c r="C10239" s="1" t="n">
        <v>45587</v>
      </c>
      <c r="D10239" t="inlineStr">
        <is>
          <t>GÄVLEBORGS LÄN</t>
        </is>
      </c>
      <c r="E10239" t="inlineStr">
        <is>
          <t>SANDVIKEN</t>
        </is>
      </c>
      <c r="F10239" t="inlineStr">
        <is>
          <t>Sveaskog</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14046-2024</t>
        </is>
      </c>
      <c r="B10240" s="1" t="n">
        <v>45392</v>
      </c>
      <c r="C10240" s="1" t="n">
        <v>45587</v>
      </c>
      <c r="D10240" t="inlineStr">
        <is>
          <t>GÄVLEBORGS LÄN</t>
        </is>
      </c>
      <c r="E10240" t="inlineStr">
        <is>
          <t>LJUSDAL</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14172-2024</t>
        </is>
      </c>
      <c r="B10241" s="1" t="n">
        <v>45392</v>
      </c>
      <c r="C10241" s="1" t="n">
        <v>45587</v>
      </c>
      <c r="D10241" t="inlineStr">
        <is>
          <t>GÄVLEBORGS LÄN</t>
        </is>
      </c>
      <c r="E10241" t="inlineStr">
        <is>
          <t>NORDANSTIG</t>
        </is>
      </c>
      <c r="F10241" t="inlineStr">
        <is>
          <t>SCA</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14100-2024</t>
        </is>
      </c>
      <c r="B10242" s="1" t="n">
        <v>45392</v>
      </c>
      <c r="C10242" s="1" t="n">
        <v>45587</v>
      </c>
      <c r="D10242" t="inlineStr">
        <is>
          <t>GÄVLEBORGS LÄN</t>
        </is>
      </c>
      <c r="E10242" t="inlineStr">
        <is>
          <t>NORDANSTIG</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14198-2024</t>
        </is>
      </c>
      <c r="B10243" s="1" t="n">
        <v>45393</v>
      </c>
      <c r="C10243" s="1" t="n">
        <v>45587</v>
      </c>
      <c r="D10243" t="inlineStr">
        <is>
          <t>GÄVLEBORGS LÄN</t>
        </is>
      </c>
      <c r="E10243" t="inlineStr">
        <is>
          <t>NORDANSTIG</t>
        </is>
      </c>
      <c r="G10243" t="n">
        <v>0.1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14260-2024</t>
        </is>
      </c>
      <c r="B10244" s="1" t="n">
        <v>45393</v>
      </c>
      <c r="C10244" s="1" t="n">
        <v>45587</v>
      </c>
      <c r="D10244" t="inlineStr">
        <is>
          <t>GÄVLEBORGS LÄN</t>
        </is>
      </c>
      <c r="E10244" t="inlineStr">
        <is>
          <t>SÖDERHAMN</t>
        </is>
      </c>
      <c r="G10244" t="n">
        <v>5.2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14305-2024</t>
        </is>
      </c>
      <c r="B10245" s="1" t="n">
        <v>45393</v>
      </c>
      <c r="C10245" s="1" t="n">
        <v>45587</v>
      </c>
      <c r="D10245" t="inlineStr">
        <is>
          <t>GÄVLEBORGS LÄN</t>
        </is>
      </c>
      <c r="E10245" t="inlineStr">
        <is>
          <t>OCKELBO</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14321-2024</t>
        </is>
      </c>
      <c r="B10246" s="1" t="n">
        <v>45393</v>
      </c>
      <c r="C10246" s="1" t="n">
        <v>45587</v>
      </c>
      <c r="D10246" t="inlineStr">
        <is>
          <t>GÄVLEBORGS LÄN</t>
        </is>
      </c>
      <c r="E10246" t="inlineStr">
        <is>
          <t>SÖDERHAMN</t>
        </is>
      </c>
      <c r="G10246" t="n">
        <v>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14263-2024</t>
        </is>
      </c>
      <c r="B10247" s="1" t="n">
        <v>45393</v>
      </c>
      <c r="C10247" s="1" t="n">
        <v>45587</v>
      </c>
      <c r="D10247" t="inlineStr">
        <is>
          <t>GÄVLEBORGS LÄN</t>
        </is>
      </c>
      <c r="E10247" t="inlineStr">
        <is>
          <t>LJUSDAL</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14296-2024</t>
        </is>
      </c>
      <c r="B10248" s="1" t="n">
        <v>45393</v>
      </c>
      <c r="C10248" s="1" t="n">
        <v>45587</v>
      </c>
      <c r="D10248" t="inlineStr">
        <is>
          <t>GÄVLEBORGS LÄN</t>
        </is>
      </c>
      <c r="E10248" t="inlineStr">
        <is>
          <t>LJUSDAL</t>
        </is>
      </c>
      <c r="F10248" t="inlineStr">
        <is>
          <t>Bergvik skog väst AB</t>
        </is>
      </c>
      <c r="G10248" t="n">
        <v>0.4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14318-2024</t>
        </is>
      </c>
      <c r="B10249" s="1" t="n">
        <v>45393</v>
      </c>
      <c r="C10249" s="1" t="n">
        <v>45587</v>
      </c>
      <c r="D10249" t="inlineStr">
        <is>
          <t>GÄVLEBORGS LÄN</t>
        </is>
      </c>
      <c r="E10249" t="inlineStr">
        <is>
          <t>SÖDERHAMN</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14326-2024</t>
        </is>
      </c>
      <c r="B10250" s="1" t="n">
        <v>45393</v>
      </c>
      <c r="C10250" s="1" t="n">
        <v>45587</v>
      </c>
      <c r="D10250" t="inlineStr">
        <is>
          <t>GÄVLEBORGS LÄN</t>
        </is>
      </c>
      <c r="E10250" t="inlineStr">
        <is>
          <t>SÖDERHAMN</t>
        </is>
      </c>
      <c r="G10250" t="n">
        <v>37.3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14315-2024</t>
        </is>
      </c>
      <c r="B10251" s="1" t="n">
        <v>45393</v>
      </c>
      <c r="C10251" s="1" t="n">
        <v>45587</v>
      </c>
      <c r="D10251" t="inlineStr">
        <is>
          <t>GÄVLEBORGS LÄN</t>
        </is>
      </c>
      <c r="E10251" t="inlineStr">
        <is>
          <t>SÖDERHAMN</t>
        </is>
      </c>
      <c r="G10251" t="n">
        <v>10.2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14398-2024</t>
        </is>
      </c>
      <c r="B10252" s="1" t="n">
        <v>45394</v>
      </c>
      <c r="C10252" s="1" t="n">
        <v>45587</v>
      </c>
      <c r="D10252" t="inlineStr">
        <is>
          <t>GÄVLEBORGS LÄN</t>
        </is>
      </c>
      <c r="E10252" t="inlineStr">
        <is>
          <t>BOLLNÄS</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14460-2024</t>
        </is>
      </c>
      <c r="B10253" s="1" t="n">
        <v>45394</v>
      </c>
      <c r="C10253" s="1" t="n">
        <v>45587</v>
      </c>
      <c r="D10253" t="inlineStr">
        <is>
          <t>GÄVLEBORGS LÄN</t>
        </is>
      </c>
      <c r="E10253" t="inlineStr">
        <is>
          <t>BOLLNÄS</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14574-2024</t>
        </is>
      </c>
      <c r="B10254" s="1" t="n">
        <v>45394</v>
      </c>
      <c r="C10254" s="1" t="n">
        <v>45587</v>
      </c>
      <c r="D10254" t="inlineStr">
        <is>
          <t>GÄVLEBORGS LÄN</t>
        </is>
      </c>
      <c r="E10254" t="inlineStr">
        <is>
          <t>SÖDERHAMN</t>
        </is>
      </c>
      <c r="G10254" t="n">
        <v>7.2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14472-2024</t>
        </is>
      </c>
      <c r="B10255" s="1" t="n">
        <v>45394</v>
      </c>
      <c r="C10255" s="1" t="n">
        <v>45587</v>
      </c>
      <c r="D10255" t="inlineStr">
        <is>
          <t>GÄVLEBORGS LÄN</t>
        </is>
      </c>
      <c r="E10255" t="inlineStr">
        <is>
          <t>SÖDERHAMN</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14447-2024</t>
        </is>
      </c>
      <c r="B10256" s="1" t="n">
        <v>45394</v>
      </c>
      <c r="C10256" s="1" t="n">
        <v>45587</v>
      </c>
      <c r="D10256" t="inlineStr">
        <is>
          <t>GÄVLEBORGS LÄN</t>
        </is>
      </c>
      <c r="E10256" t="inlineStr">
        <is>
          <t>SÖDERHAMN</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14563-2024</t>
        </is>
      </c>
      <c r="B10257" s="1" t="n">
        <v>45395</v>
      </c>
      <c r="C10257" s="1" t="n">
        <v>45587</v>
      </c>
      <c r="D10257" t="inlineStr">
        <is>
          <t>GÄVLEBORGS LÄN</t>
        </is>
      </c>
      <c r="E10257" t="inlineStr">
        <is>
          <t>HUDIKSVALL</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14575-2024</t>
        </is>
      </c>
      <c r="B10258" s="1" t="n">
        <v>45394</v>
      </c>
      <c r="C10258" s="1" t="n">
        <v>45587</v>
      </c>
      <c r="D10258" t="inlineStr">
        <is>
          <t>GÄVLEBORGS LÄN</t>
        </is>
      </c>
      <c r="E10258" t="inlineStr">
        <is>
          <t>OVANÅKER</t>
        </is>
      </c>
      <c r="G10258" t="n">
        <v>4.4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14680-2024</t>
        </is>
      </c>
      <c r="B10259" s="1" t="n">
        <v>45397</v>
      </c>
      <c r="C10259" s="1" t="n">
        <v>45587</v>
      </c>
      <c r="D10259" t="inlineStr">
        <is>
          <t>GÄVLEBORGS LÄN</t>
        </is>
      </c>
      <c r="E10259" t="inlineStr">
        <is>
          <t>SÖDERHAMN</t>
        </is>
      </c>
      <c r="F10259" t="inlineStr">
        <is>
          <t>Bergvik skog väst AB</t>
        </is>
      </c>
      <c r="G10259" t="n">
        <v>4.2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14686-2024</t>
        </is>
      </c>
      <c r="B10260" s="1" t="n">
        <v>45397</v>
      </c>
      <c r="C10260" s="1" t="n">
        <v>45587</v>
      </c>
      <c r="D10260" t="inlineStr">
        <is>
          <t>GÄVLEBORGS LÄN</t>
        </is>
      </c>
      <c r="E10260" t="inlineStr">
        <is>
          <t>GÄVLE</t>
        </is>
      </c>
      <c r="F10260" t="inlineStr">
        <is>
          <t>Bergvik skog öst AB</t>
        </is>
      </c>
      <c r="G10260" t="n">
        <v>17.4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14714-2024</t>
        </is>
      </c>
      <c r="B10261" s="1" t="n">
        <v>45397</v>
      </c>
      <c r="C10261" s="1" t="n">
        <v>45587</v>
      </c>
      <c r="D10261" t="inlineStr">
        <is>
          <t>GÄVLEBORGS LÄN</t>
        </is>
      </c>
      <c r="E10261" t="inlineStr">
        <is>
          <t>SÖDERHAMN</t>
        </is>
      </c>
      <c r="G10261" t="n">
        <v>15.3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14718-2024</t>
        </is>
      </c>
      <c r="B10262" s="1" t="n">
        <v>45397</v>
      </c>
      <c r="C10262" s="1" t="n">
        <v>45587</v>
      </c>
      <c r="D10262" t="inlineStr">
        <is>
          <t>GÄVLEBORGS LÄN</t>
        </is>
      </c>
      <c r="E10262" t="inlineStr">
        <is>
          <t>SÖDERHAMN</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14748-2024</t>
        </is>
      </c>
      <c r="B10263" s="1" t="n">
        <v>45397</v>
      </c>
      <c r="C10263" s="1" t="n">
        <v>45587</v>
      </c>
      <c r="D10263" t="inlineStr">
        <is>
          <t>GÄVLEBORGS LÄN</t>
        </is>
      </c>
      <c r="E10263" t="inlineStr">
        <is>
          <t>OVANÅKER</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14648-2024</t>
        </is>
      </c>
      <c r="B10264" s="1" t="n">
        <v>45397</v>
      </c>
      <c r="C10264" s="1" t="n">
        <v>45587</v>
      </c>
      <c r="D10264" t="inlineStr">
        <is>
          <t>GÄVLEBORGS LÄN</t>
        </is>
      </c>
      <c r="E10264" t="inlineStr">
        <is>
          <t>HUDIKSVALL</t>
        </is>
      </c>
      <c r="G10264" t="n">
        <v>9.4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14652-2024</t>
        </is>
      </c>
      <c r="B10265" s="1" t="n">
        <v>45397</v>
      </c>
      <c r="C10265" s="1" t="n">
        <v>45587</v>
      </c>
      <c r="D10265" t="inlineStr">
        <is>
          <t>GÄVLEBORGS LÄN</t>
        </is>
      </c>
      <c r="E10265" t="inlineStr">
        <is>
          <t>NORDANSTIG</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14721-2024</t>
        </is>
      </c>
      <c r="B10266" s="1" t="n">
        <v>45397</v>
      </c>
      <c r="C10266" s="1" t="n">
        <v>45587</v>
      </c>
      <c r="D10266" t="inlineStr">
        <is>
          <t>GÄVLEBORGS LÄN</t>
        </is>
      </c>
      <c r="E10266" t="inlineStr">
        <is>
          <t>GÄVLE</t>
        </is>
      </c>
      <c r="F10266" t="inlineStr">
        <is>
          <t>Bergvik skog öst AB</t>
        </is>
      </c>
      <c r="G10266" t="n">
        <v>5.6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14735-2024</t>
        </is>
      </c>
      <c r="B10267" s="1" t="n">
        <v>45397</v>
      </c>
      <c r="C10267" s="1" t="n">
        <v>45587</v>
      </c>
      <c r="D10267" t="inlineStr">
        <is>
          <t>GÄVLEBORGS LÄN</t>
        </is>
      </c>
      <c r="E10267" t="inlineStr">
        <is>
          <t>GÄVLE</t>
        </is>
      </c>
      <c r="F10267" t="inlineStr">
        <is>
          <t>Bergvik skog öst AB</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14755-2024</t>
        </is>
      </c>
      <c r="B10268" s="1" t="n">
        <v>45397</v>
      </c>
      <c r="C10268" s="1" t="n">
        <v>45587</v>
      </c>
      <c r="D10268" t="inlineStr">
        <is>
          <t>GÄVLEBORGS LÄN</t>
        </is>
      </c>
      <c r="E10268" t="inlineStr">
        <is>
          <t>OVANÅKER</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14759-2024</t>
        </is>
      </c>
      <c r="B10269" s="1" t="n">
        <v>45397</v>
      </c>
      <c r="C10269" s="1" t="n">
        <v>45587</v>
      </c>
      <c r="D10269" t="inlineStr">
        <is>
          <t>GÄVLEBORGS LÄN</t>
        </is>
      </c>
      <c r="E10269" t="inlineStr">
        <is>
          <t>SÖDERHAMN</t>
        </is>
      </c>
      <c r="G10269" t="n">
        <v>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14866-2024</t>
        </is>
      </c>
      <c r="B10270" s="1" t="n">
        <v>45397</v>
      </c>
      <c r="C10270" s="1" t="n">
        <v>45587</v>
      </c>
      <c r="D10270" t="inlineStr">
        <is>
          <t>GÄVLEBORGS LÄN</t>
        </is>
      </c>
      <c r="E10270" t="inlineStr">
        <is>
          <t>NORDANSTIG</t>
        </is>
      </c>
      <c r="G10270" t="n">
        <v>0.3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14712-2024</t>
        </is>
      </c>
      <c r="B10271" s="1" t="n">
        <v>45397</v>
      </c>
      <c r="C10271" s="1" t="n">
        <v>45587</v>
      </c>
      <c r="D10271" t="inlineStr">
        <is>
          <t>GÄVLEBORGS LÄN</t>
        </is>
      </c>
      <c r="E10271" t="inlineStr">
        <is>
          <t>GÄVLE</t>
        </is>
      </c>
      <c r="F10271" t="inlineStr">
        <is>
          <t>Bergvik skog öst AB</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14750-2024</t>
        </is>
      </c>
      <c r="B10272" s="1" t="n">
        <v>45397</v>
      </c>
      <c r="C10272" s="1" t="n">
        <v>45587</v>
      </c>
      <c r="D10272" t="inlineStr">
        <is>
          <t>GÄVLEBORGS LÄN</t>
        </is>
      </c>
      <c r="E10272" t="inlineStr">
        <is>
          <t>GÄVLE</t>
        </is>
      </c>
      <c r="F10272" t="inlineStr">
        <is>
          <t>Bergvik skog öst AB</t>
        </is>
      </c>
      <c r="G10272" t="n">
        <v>4.8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14758-2024</t>
        </is>
      </c>
      <c r="B10273" s="1" t="n">
        <v>45397</v>
      </c>
      <c r="C10273" s="1" t="n">
        <v>45587</v>
      </c>
      <c r="D10273" t="inlineStr">
        <is>
          <t>GÄVLEBORGS LÄN</t>
        </is>
      </c>
      <c r="E10273" t="inlineStr">
        <is>
          <t>OVANÅKER</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14868-2024</t>
        </is>
      </c>
      <c r="B10274" s="1" t="n">
        <v>45397</v>
      </c>
      <c r="C10274" s="1" t="n">
        <v>45587</v>
      </c>
      <c r="D10274" t="inlineStr">
        <is>
          <t>GÄVLEBORGS LÄN</t>
        </is>
      </c>
      <c r="E10274" t="inlineStr">
        <is>
          <t>NORDANSTIG</t>
        </is>
      </c>
      <c r="G10274" t="n">
        <v>5.8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14646-2024</t>
        </is>
      </c>
      <c r="B10275" s="1" t="n">
        <v>45397</v>
      </c>
      <c r="C10275" s="1" t="n">
        <v>45587</v>
      </c>
      <c r="D10275" t="inlineStr">
        <is>
          <t>GÄVLEBORGS LÄN</t>
        </is>
      </c>
      <c r="E10275" t="inlineStr">
        <is>
          <t>SÖDERHAMN</t>
        </is>
      </c>
      <c r="F10275" t="inlineStr">
        <is>
          <t>Bergvik skog väst AB</t>
        </is>
      </c>
      <c r="G10275" t="n">
        <v>14.6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14691-2024</t>
        </is>
      </c>
      <c r="B10276" s="1" t="n">
        <v>45397</v>
      </c>
      <c r="C10276" s="1" t="n">
        <v>45587</v>
      </c>
      <c r="D10276" t="inlineStr">
        <is>
          <t>GÄVLEBORGS LÄN</t>
        </is>
      </c>
      <c r="E10276" t="inlineStr">
        <is>
          <t>GÄVLE</t>
        </is>
      </c>
      <c r="F10276" t="inlineStr">
        <is>
          <t>Bergvik skog öst AB</t>
        </is>
      </c>
      <c r="G10276" t="n">
        <v>20.7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14700-2024</t>
        </is>
      </c>
      <c r="B10277" s="1" t="n">
        <v>45397</v>
      </c>
      <c r="C10277" s="1" t="n">
        <v>45587</v>
      </c>
      <c r="D10277" t="inlineStr">
        <is>
          <t>GÄVLEBORGS LÄN</t>
        </is>
      </c>
      <c r="E10277" t="inlineStr">
        <is>
          <t>HUDIKSVALL</t>
        </is>
      </c>
      <c r="G10277" t="n">
        <v>3.8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14719-2024</t>
        </is>
      </c>
      <c r="B10278" s="1" t="n">
        <v>45397</v>
      </c>
      <c r="C10278" s="1" t="n">
        <v>45587</v>
      </c>
      <c r="D10278" t="inlineStr">
        <is>
          <t>GÄVLEBORGS LÄN</t>
        </is>
      </c>
      <c r="E10278" t="inlineStr">
        <is>
          <t>GÄVLE</t>
        </is>
      </c>
      <c r="F10278" t="inlineStr">
        <is>
          <t>Bergvik skog öst AB</t>
        </is>
      </c>
      <c r="G10278" t="n">
        <v>12.4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14753-2024</t>
        </is>
      </c>
      <c r="B10279" s="1" t="n">
        <v>45397</v>
      </c>
      <c r="C10279" s="1" t="n">
        <v>45587</v>
      </c>
      <c r="D10279" t="inlineStr">
        <is>
          <t>GÄVLEBORGS LÄN</t>
        </is>
      </c>
      <c r="E10279" t="inlineStr">
        <is>
          <t>BOLLNÄS</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14757-2024</t>
        </is>
      </c>
      <c r="B10280" s="1" t="n">
        <v>45397</v>
      </c>
      <c r="C10280" s="1" t="n">
        <v>45587</v>
      </c>
      <c r="D10280" t="inlineStr">
        <is>
          <t>GÄVLEBORGS LÄN</t>
        </is>
      </c>
      <c r="E10280" t="inlineStr">
        <is>
          <t>SÖDERHAMN</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14761-2024</t>
        </is>
      </c>
      <c r="B10281" s="1" t="n">
        <v>45397</v>
      </c>
      <c r="C10281" s="1" t="n">
        <v>45587</v>
      </c>
      <c r="D10281" t="inlineStr">
        <is>
          <t>GÄVLEBORGS LÄN</t>
        </is>
      </c>
      <c r="E10281" t="inlineStr">
        <is>
          <t>OVANÅKER</t>
        </is>
      </c>
      <c r="G10281" t="n">
        <v>4.3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14832-2024</t>
        </is>
      </c>
      <c r="B10282" s="1" t="n">
        <v>45398</v>
      </c>
      <c r="C10282" s="1" t="n">
        <v>45587</v>
      </c>
      <c r="D10282" t="inlineStr">
        <is>
          <t>GÄVLEBORGS LÄN</t>
        </is>
      </c>
      <c r="E10282" t="inlineStr">
        <is>
          <t>GÄVLE</t>
        </is>
      </c>
      <c r="F10282" t="inlineStr">
        <is>
          <t>Bergvik skog öst AB</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14850-2024</t>
        </is>
      </c>
      <c r="B10283" s="1" t="n">
        <v>45398</v>
      </c>
      <c r="C10283" s="1" t="n">
        <v>45587</v>
      </c>
      <c r="D10283" t="inlineStr">
        <is>
          <t>GÄVLEBORGS LÄN</t>
        </is>
      </c>
      <c r="E10283" t="inlineStr">
        <is>
          <t>SÖDERHAMN</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14862-2024</t>
        </is>
      </c>
      <c r="B10284" s="1" t="n">
        <v>45398</v>
      </c>
      <c r="C10284" s="1" t="n">
        <v>45587</v>
      </c>
      <c r="D10284" t="inlineStr">
        <is>
          <t>GÄVLEBORGS LÄN</t>
        </is>
      </c>
      <c r="E10284" t="inlineStr">
        <is>
          <t>GÄVLE</t>
        </is>
      </c>
      <c r="F10284" t="inlineStr">
        <is>
          <t>Bergvik skog öst AB</t>
        </is>
      </c>
      <c r="G10284" t="n">
        <v>7.8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14877-2024</t>
        </is>
      </c>
      <c r="B10285" s="1" t="n">
        <v>45398</v>
      </c>
      <c r="C10285" s="1" t="n">
        <v>45587</v>
      </c>
      <c r="D10285" t="inlineStr">
        <is>
          <t>GÄVLEBORGS LÄN</t>
        </is>
      </c>
      <c r="E10285" t="inlineStr">
        <is>
          <t>LJUSDAL</t>
        </is>
      </c>
      <c r="F10285" t="inlineStr">
        <is>
          <t>Allmännings- och besparingsskogar</t>
        </is>
      </c>
      <c r="G10285" t="n">
        <v>27.1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14881-2024</t>
        </is>
      </c>
      <c r="B10286" s="1" t="n">
        <v>45398</v>
      </c>
      <c r="C10286" s="1" t="n">
        <v>45587</v>
      </c>
      <c r="D10286" t="inlineStr">
        <is>
          <t>GÄVLEBORGS LÄN</t>
        </is>
      </c>
      <c r="E10286" t="inlineStr">
        <is>
          <t>GÄVLE</t>
        </is>
      </c>
      <c r="F10286" t="inlineStr">
        <is>
          <t>Bergvik skog öst AB</t>
        </is>
      </c>
      <c r="G10286" t="n">
        <v>17.8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14880-2024</t>
        </is>
      </c>
      <c r="B10287" s="1" t="n">
        <v>45398</v>
      </c>
      <c r="C10287" s="1" t="n">
        <v>45587</v>
      </c>
      <c r="D10287" t="inlineStr">
        <is>
          <t>GÄVLEBORGS LÄN</t>
        </is>
      </c>
      <c r="E10287" t="inlineStr">
        <is>
          <t>LJUSDAL</t>
        </is>
      </c>
      <c r="F10287" t="inlineStr">
        <is>
          <t>Allmännings- och besparingsskogar</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14916-2024</t>
        </is>
      </c>
      <c r="B10288" s="1" t="n">
        <v>45398</v>
      </c>
      <c r="C10288" s="1" t="n">
        <v>45587</v>
      </c>
      <c r="D10288" t="inlineStr">
        <is>
          <t>GÄVLEBORGS LÄN</t>
        </is>
      </c>
      <c r="E10288" t="inlineStr">
        <is>
          <t>GÄVLE</t>
        </is>
      </c>
      <c r="F10288" t="inlineStr">
        <is>
          <t>Bergvik skog öst AB</t>
        </is>
      </c>
      <c r="G10288" t="n">
        <v>10</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14924-2024</t>
        </is>
      </c>
      <c r="B10289" s="1" t="n">
        <v>45398</v>
      </c>
      <c r="C10289" s="1" t="n">
        <v>45587</v>
      </c>
      <c r="D10289" t="inlineStr">
        <is>
          <t>GÄVLEBORGS LÄN</t>
        </is>
      </c>
      <c r="E10289" t="inlineStr">
        <is>
          <t>GÄVLE</t>
        </is>
      </c>
      <c r="F10289" t="inlineStr">
        <is>
          <t>Bergvik skog öst AB</t>
        </is>
      </c>
      <c r="G10289" t="n">
        <v>24.5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14937-2024</t>
        </is>
      </c>
      <c r="B10290" s="1" t="n">
        <v>45398</v>
      </c>
      <c r="C10290" s="1" t="n">
        <v>45587</v>
      </c>
      <c r="D10290" t="inlineStr">
        <is>
          <t>GÄVLEBORGS LÄN</t>
        </is>
      </c>
      <c r="E10290" t="inlineStr">
        <is>
          <t>OCKELBO</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14961-2024</t>
        </is>
      </c>
      <c r="B10291" s="1" t="n">
        <v>45398</v>
      </c>
      <c r="C10291" s="1" t="n">
        <v>45587</v>
      </c>
      <c r="D10291" t="inlineStr">
        <is>
          <t>GÄVLEBORGS LÄN</t>
        </is>
      </c>
      <c r="E10291" t="inlineStr">
        <is>
          <t>SÖDERHAMN</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14863-2024</t>
        </is>
      </c>
      <c r="B10292" s="1" t="n">
        <v>45398</v>
      </c>
      <c r="C10292" s="1" t="n">
        <v>45587</v>
      </c>
      <c r="D10292" t="inlineStr">
        <is>
          <t>GÄVLEBORGS LÄN</t>
        </is>
      </c>
      <c r="E10292" t="inlineStr">
        <is>
          <t>HUDIKSVALL</t>
        </is>
      </c>
      <c r="F10292" t="inlineStr">
        <is>
          <t>Holmen skog AB</t>
        </is>
      </c>
      <c r="G10292" t="n">
        <v>2.9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14886-2024</t>
        </is>
      </c>
      <c r="B10293" s="1" t="n">
        <v>45398</v>
      </c>
      <c r="C10293" s="1" t="n">
        <v>45587</v>
      </c>
      <c r="D10293" t="inlineStr">
        <is>
          <t>GÄVLEBORGS LÄN</t>
        </is>
      </c>
      <c r="E10293" t="inlineStr">
        <is>
          <t>GÄVLE</t>
        </is>
      </c>
      <c r="F10293" t="inlineStr">
        <is>
          <t>Bergvik skog öst AB</t>
        </is>
      </c>
      <c r="G10293" t="n">
        <v>13.7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14906-2024</t>
        </is>
      </c>
      <c r="B10294" s="1" t="n">
        <v>45398</v>
      </c>
      <c r="C10294" s="1" t="n">
        <v>45587</v>
      </c>
      <c r="D10294" t="inlineStr">
        <is>
          <t>GÄVLEBORGS LÄN</t>
        </is>
      </c>
      <c r="E10294" t="inlineStr">
        <is>
          <t>HUDIKSVALL</t>
        </is>
      </c>
      <c r="F10294" t="inlineStr">
        <is>
          <t>Holmen skog AB</t>
        </is>
      </c>
      <c r="G10294" t="n">
        <v>4.5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14918-2024</t>
        </is>
      </c>
      <c r="B10295" s="1" t="n">
        <v>45398</v>
      </c>
      <c r="C10295" s="1" t="n">
        <v>45587</v>
      </c>
      <c r="D10295" t="inlineStr">
        <is>
          <t>GÄVLEBORGS LÄN</t>
        </is>
      </c>
      <c r="E10295" t="inlineStr">
        <is>
          <t>BOLLNÄS</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14959-2024</t>
        </is>
      </c>
      <c r="B10296" s="1" t="n">
        <v>45399</v>
      </c>
      <c r="C10296" s="1" t="n">
        <v>45587</v>
      </c>
      <c r="D10296" t="inlineStr">
        <is>
          <t>GÄVLEBORGS LÄN</t>
        </is>
      </c>
      <c r="E10296" t="inlineStr">
        <is>
          <t>SÖDERHAMN</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14852-2024</t>
        </is>
      </c>
      <c r="B10297" s="1" t="n">
        <v>45398</v>
      </c>
      <c r="C10297" s="1" t="n">
        <v>45587</v>
      </c>
      <c r="D10297" t="inlineStr">
        <is>
          <t>GÄVLEBORGS LÄN</t>
        </is>
      </c>
      <c r="E10297" t="inlineStr">
        <is>
          <t>SÖDERHAMN</t>
        </is>
      </c>
      <c r="G10297" t="n">
        <v>6.8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14864-2024</t>
        </is>
      </c>
      <c r="B10298" s="1" t="n">
        <v>45398</v>
      </c>
      <c r="C10298" s="1" t="n">
        <v>45587</v>
      </c>
      <c r="D10298" t="inlineStr">
        <is>
          <t>GÄVLEBORGS LÄN</t>
        </is>
      </c>
      <c r="E10298" t="inlineStr">
        <is>
          <t>GÄVLE</t>
        </is>
      </c>
      <c r="F10298" t="inlineStr">
        <is>
          <t>Bergvik skog öst AB</t>
        </is>
      </c>
      <c r="G10298" t="n">
        <v>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14891-2024</t>
        </is>
      </c>
      <c r="B10299" s="1" t="n">
        <v>45398</v>
      </c>
      <c r="C10299" s="1" t="n">
        <v>45587</v>
      </c>
      <c r="D10299" t="inlineStr">
        <is>
          <t>GÄVLEBORGS LÄN</t>
        </is>
      </c>
      <c r="E10299" t="inlineStr">
        <is>
          <t>GÄVLE</t>
        </is>
      </c>
      <c r="F10299" t="inlineStr">
        <is>
          <t>Bergvik skog öst AB</t>
        </is>
      </c>
      <c r="G10299" t="n">
        <v>10.8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14899-2024</t>
        </is>
      </c>
      <c r="B10300" s="1" t="n">
        <v>45398</v>
      </c>
      <c r="C10300" s="1" t="n">
        <v>45587</v>
      </c>
      <c r="D10300" t="inlineStr">
        <is>
          <t>GÄVLEBORGS LÄN</t>
        </is>
      </c>
      <c r="E10300" t="inlineStr">
        <is>
          <t>GÄVLE</t>
        </is>
      </c>
      <c r="F10300" t="inlineStr">
        <is>
          <t>Bergvik skog öst AB</t>
        </is>
      </c>
      <c r="G10300" t="n">
        <v>7.8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14944-2024</t>
        </is>
      </c>
      <c r="B10301" s="1" t="n">
        <v>45398</v>
      </c>
      <c r="C10301" s="1" t="n">
        <v>45587</v>
      </c>
      <c r="D10301" t="inlineStr">
        <is>
          <t>GÄVLEBORGS LÄN</t>
        </is>
      </c>
      <c r="E10301" t="inlineStr">
        <is>
          <t>LJUSDAL</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14960-2024</t>
        </is>
      </c>
      <c r="B10302" s="1" t="n">
        <v>45398</v>
      </c>
      <c r="C10302" s="1" t="n">
        <v>45587</v>
      </c>
      <c r="D10302" t="inlineStr">
        <is>
          <t>GÄVLEBORGS LÄN</t>
        </is>
      </c>
      <c r="E10302" t="inlineStr">
        <is>
          <t>SÖDERHAMN</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15026-2024</t>
        </is>
      </c>
      <c r="B10303" s="1" t="n">
        <v>45399</v>
      </c>
      <c r="C10303" s="1" t="n">
        <v>45587</v>
      </c>
      <c r="D10303" t="inlineStr">
        <is>
          <t>GÄVLEBORGS LÄN</t>
        </is>
      </c>
      <c r="E10303" t="inlineStr">
        <is>
          <t>GÄVLE</t>
        </is>
      </c>
      <c r="F10303" t="inlineStr">
        <is>
          <t>Bergvik skog öst AB</t>
        </is>
      </c>
      <c r="G10303" t="n">
        <v>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15068-2024</t>
        </is>
      </c>
      <c r="B10304" s="1" t="n">
        <v>45399</v>
      </c>
      <c r="C10304" s="1" t="n">
        <v>45587</v>
      </c>
      <c r="D10304" t="inlineStr">
        <is>
          <t>GÄVLEBORGS LÄN</t>
        </is>
      </c>
      <c r="E10304" t="inlineStr">
        <is>
          <t>GÄVLE</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15088-2024</t>
        </is>
      </c>
      <c r="B10305" s="1" t="n">
        <v>45399</v>
      </c>
      <c r="C10305" s="1" t="n">
        <v>45587</v>
      </c>
      <c r="D10305" t="inlineStr">
        <is>
          <t>GÄVLEBORGS LÄN</t>
        </is>
      </c>
      <c r="E10305" t="inlineStr">
        <is>
          <t>NORDANSTIG</t>
        </is>
      </c>
      <c r="G10305" t="n">
        <v>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15023-2024</t>
        </is>
      </c>
      <c r="B10306" s="1" t="n">
        <v>45399</v>
      </c>
      <c r="C10306" s="1" t="n">
        <v>45587</v>
      </c>
      <c r="D10306" t="inlineStr">
        <is>
          <t>GÄVLEBORGS LÄN</t>
        </is>
      </c>
      <c r="E10306" t="inlineStr">
        <is>
          <t>LJUSDAL</t>
        </is>
      </c>
      <c r="G10306" t="n">
        <v>4.5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15027-2024</t>
        </is>
      </c>
      <c r="B10307" s="1" t="n">
        <v>45399</v>
      </c>
      <c r="C10307" s="1" t="n">
        <v>45587</v>
      </c>
      <c r="D10307" t="inlineStr">
        <is>
          <t>GÄVLEBORGS LÄN</t>
        </is>
      </c>
      <c r="E10307" t="inlineStr">
        <is>
          <t>GÄVLE</t>
        </is>
      </c>
      <c r="F10307" t="inlineStr">
        <is>
          <t>Bergvik skog öst AB</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15053-2024</t>
        </is>
      </c>
      <c r="B10308" s="1" t="n">
        <v>45399</v>
      </c>
      <c r="C10308" s="1" t="n">
        <v>45587</v>
      </c>
      <c r="D10308" t="inlineStr">
        <is>
          <t>GÄVLEBORGS LÄN</t>
        </is>
      </c>
      <c r="E10308" t="inlineStr">
        <is>
          <t>LJUSDAL</t>
        </is>
      </c>
      <c r="G10308" t="n">
        <v>11.9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15069-2024</t>
        </is>
      </c>
      <c r="B10309" s="1" t="n">
        <v>45399</v>
      </c>
      <c r="C10309" s="1" t="n">
        <v>45587</v>
      </c>
      <c r="D10309" t="inlineStr">
        <is>
          <t>GÄVLEBORGS LÄN</t>
        </is>
      </c>
      <c r="E10309" t="inlineStr">
        <is>
          <t>OVANÅKER</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15077-2024</t>
        </is>
      </c>
      <c r="B10310" s="1" t="n">
        <v>45399</v>
      </c>
      <c r="C10310" s="1" t="n">
        <v>45587</v>
      </c>
      <c r="D10310" t="inlineStr">
        <is>
          <t>GÄVLEBORGS LÄN</t>
        </is>
      </c>
      <c r="E10310" t="inlineStr">
        <is>
          <t>OCKELBO</t>
        </is>
      </c>
      <c r="F10310" t="inlineStr">
        <is>
          <t>Bergvik skog väst AB</t>
        </is>
      </c>
      <c r="G10310" t="n">
        <v>3.8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15032-2024</t>
        </is>
      </c>
      <c r="B10311" s="1" t="n">
        <v>45399</v>
      </c>
      <c r="C10311" s="1" t="n">
        <v>45587</v>
      </c>
      <c r="D10311" t="inlineStr">
        <is>
          <t>GÄVLEBORGS LÄN</t>
        </is>
      </c>
      <c r="E10311" t="inlineStr">
        <is>
          <t>GÄVLE</t>
        </is>
      </c>
      <c r="F10311" t="inlineStr">
        <is>
          <t>Bergvik skog öst AB</t>
        </is>
      </c>
      <c r="G10311" t="n">
        <v>30</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15074-2024</t>
        </is>
      </c>
      <c r="B10312" s="1" t="n">
        <v>45399</v>
      </c>
      <c r="C10312" s="1" t="n">
        <v>45587</v>
      </c>
      <c r="D10312" t="inlineStr">
        <is>
          <t>GÄVLEBORGS LÄN</t>
        </is>
      </c>
      <c r="E10312" t="inlineStr">
        <is>
          <t>OCKELBO</t>
        </is>
      </c>
      <c r="F10312" t="inlineStr">
        <is>
          <t>Bergvik skog väst AB</t>
        </is>
      </c>
      <c r="G10312" t="n">
        <v>13.2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15111-2024</t>
        </is>
      </c>
      <c r="B10313" s="1" t="n">
        <v>45399</v>
      </c>
      <c r="C10313" s="1" t="n">
        <v>45587</v>
      </c>
      <c r="D10313" t="inlineStr">
        <is>
          <t>GÄVLEBORGS LÄN</t>
        </is>
      </c>
      <c r="E10313" t="inlineStr">
        <is>
          <t>SÖDERHAMN</t>
        </is>
      </c>
      <c r="G10313" t="n">
        <v>5.6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15115-2024</t>
        </is>
      </c>
      <c r="B10314" s="1" t="n">
        <v>45399</v>
      </c>
      <c r="C10314" s="1" t="n">
        <v>45587</v>
      </c>
      <c r="D10314" t="inlineStr">
        <is>
          <t>GÄVLEBORGS LÄN</t>
        </is>
      </c>
      <c r="E10314" t="inlineStr">
        <is>
          <t>SÖDERHAMN</t>
        </is>
      </c>
      <c r="G10314" t="n">
        <v>5.1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15168-2024</t>
        </is>
      </c>
      <c r="B10315" s="1" t="n">
        <v>45400</v>
      </c>
      <c r="C10315" s="1" t="n">
        <v>45587</v>
      </c>
      <c r="D10315" t="inlineStr">
        <is>
          <t>GÄVLEBORGS LÄN</t>
        </is>
      </c>
      <c r="E10315" t="inlineStr">
        <is>
          <t>LJUSDAL</t>
        </is>
      </c>
      <c r="F10315" t="inlineStr">
        <is>
          <t>Holmen skog AB</t>
        </is>
      </c>
      <c r="G10315" t="n">
        <v>6.6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15185-2024</t>
        </is>
      </c>
      <c r="B10316" s="1" t="n">
        <v>45400</v>
      </c>
      <c r="C10316" s="1" t="n">
        <v>45587</v>
      </c>
      <c r="D10316" t="inlineStr">
        <is>
          <t>GÄVLEBORGS LÄN</t>
        </is>
      </c>
      <c r="E10316" t="inlineStr">
        <is>
          <t>SANDVIKEN</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15224-2024</t>
        </is>
      </c>
      <c r="B10317" s="1" t="n">
        <v>45400</v>
      </c>
      <c r="C10317" s="1" t="n">
        <v>45587</v>
      </c>
      <c r="D10317" t="inlineStr">
        <is>
          <t>GÄVLEBORGS LÄN</t>
        </is>
      </c>
      <c r="E10317" t="inlineStr">
        <is>
          <t>SÖDERHAMN</t>
        </is>
      </c>
      <c r="F10317" t="inlineStr">
        <is>
          <t>Bergvik skog väst AB</t>
        </is>
      </c>
      <c r="G10317" t="n">
        <v>6.2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15242-2024</t>
        </is>
      </c>
      <c r="B10318" s="1" t="n">
        <v>45400</v>
      </c>
      <c r="C10318" s="1" t="n">
        <v>45587</v>
      </c>
      <c r="D10318" t="inlineStr">
        <is>
          <t>GÄVLEBORGS LÄN</t>
        </is>
      </c>
      <c r="E10318" t="inlineStr">
        <is>
          <t>SANDVIKEN</t>
        </is>
      </c>
      <c r="F10318" t="inlineStr">
        <is>
          <t>Bergvik skog öst AB</t>
        </is>
      </c>
      <c r="G10318" t="n">
        <v>4.6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15305-2024</t>
        </is>
      </c>
      <c r="B10319" s="1" t="n">
        <v>45400</v>
      </c>
      <c r="C10319" s="1" t="n">
        <v>45587</v>
      </c>
      <c r="D10319" t="inlineStr">
        <is>
          <t>GÄVLEBORGS LÄN</t>
        </is>
      </c>
      <c r="E10319" t="inlineStr">
        <is>
          <t>GÄVLE</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15267-2024</t>
        </is>
      </c>
      <c r="B10320" s="1" t="n">
        <v>45400</v>
      </c>
      <c r="C10320" s="1" t="n">
        <v>45587</v>
      </c>
      <c r="D10320" t="inlineStr">
        <is>
          <t>GÄVLEBORGS LÄN</t>
        </is>
      </c>
      <c r="E10320" t="inlineStr">
        <is>
          <t>LJUSDAL</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15187-2024</t>
        </is>
      </c>
      <c r="B10321" s="1" t="n">
        <v>45400</v>
      </c>
      <c r="C10321" s="1" t="n">
        <v>45587</v>
      </c>
      <c r="D10321" t="inlineStr">
        <is>
          <t>GÄVLEBORGS LÄN</t>
        </is>
      </c>
      <c r="E10321" t="inlineStr">
        <is>
          <t>SANDVIKEN</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15199-2024</t>
        </is>
      </c>
      <c r="B10322" s="1" t="n">
        <v>45400</v>
      </c>
      <c r="C10322" s="1" t="n">
        <v>45587</v>
      </c>
      <c r="D10322" t="inlineStr">
        <is>
          <t>GÄVLEBORGS LÄN</t>
        </is>
      </c>
      <c r="E10322" t="inlineStr">
        <is>
          <t>SÖDERHAMN</t>
        </is>
      </c>
      <c r="F10322" t="inlineStr">
        <is>
          <t>Bergvik skog väst AB</t>
        </is>
      </c>
      <c r="G10322" t="n">
        <v>4.2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15207-2024</t>
        </is>
      </c>
      <c r="B10323" s="1" t="n">
        <v>45400</v>
      </c>
      <c r="C10323" s="1" t="n">
        <v>45587</v>
      </c>
      <c r="D10323" t="inlineStr">
        <is>
          <t>GÄVLEBORGS LÄN</t>
        </is>
      </c>
      <c r="E10323" t="inlineStr">
        <is>
          <t>GÄVLE</t>
        </is>
      </c>
      <c r="G10323" t="n">
        <v>6.3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15211-2024</t>
        </is>
      </c>
      <c r="B10324" s="1" t="n">
        <v>45400</v>
      </c>
      <c r="C10324" s="1" t="n">
        <v>45587</v>
      </c>
      <c r="D10324" t="inlineStr">
        <is>
          <t>GÄVLEBORGS LÄN</t>
        </is>
      </c>
      <c r="E10324" t="inlineStr">
        <is>
          <t>HUDIKSVALL</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15240-2024</t>
        </is>
      </c>
      <c r="B10325" s="1" t="n">
        <v>45400</v>
      </c>
      <c r="C10325" s="1" t="n">
        <v>45587</v>
      </c>
      <c r="D10325" t="inlineStr">
        <is>
          <t>GÄVLEBORGS LÄN</t>
        </is>
      </c>
      <c r="E10325" t="inlineStr">
        <is>
          <t>GÄVLE</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15256-2024</t>
        </is>
      </c>
      <c r="B10326" s="1" t="n">
        <v>45400</v>
      </c>
      <c r="C10326" s="1" t="n">
        <v>45587</v>
      </c>
      <c r="D10326" t="inlineStr">
        <is>
          <t>GÄVLEBORGS LÄN</t>
        </is>
      </c>
      <c r="E10326" t="inlineStr">
        <is>
          <t>SANDVIKEN</t>
        </is>
      </c>
      <c r="F10326" t="inlineStr">
        <is>
          <t>Bergvik skog öst AB</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15319-2024</t>
        </is>
      </c>
      <c r="B10327" s="1" t="n">
        <v>45400</v>
      </c>
      <c r="C10327" s="1" t="n">
        <v>45587</v>
      </c>
      <c r="D10327" t="inlineStr">
        <is>
          <t>GÄVLEBORGS LÄN</t>
        </is>
      </c>
      <c r="E10327" t="inlineStr">
        <is>
          <t>BOLLNÄS</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15372-2024</t>
        </is>
      </c>
      <c r="B10328" s="1" t="n">
        <v>45401</v>
      </c>
      <c r="C10328" s="1" t="n">
        <v>45587</v>
      </c>
      <c r="D10328" t="inlineStr">
        <is>
          <t>GÄVLEBORGS LÄN</t>
        </is>
      </c>
      <c r="E10328" t="inlineStr">
        <is>
          <t>LJUSDAL</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15371-2024</t>
        </is>
      </c>
      <c r="B10329" s="1" t="n">
        <v>45401</v>
      </c>
      <c r="C10329" s="1" t="n">
        <v>45587</v>
      </c>
      <c r="D10329" t="inlineStr">
        <is>
          <t>GÄVLEBORGS LÄN</t>
        </is>
      </c>
      <c r="E10329" t="inlineStr">
        <is>
          <t>LJUSDAL</t>
        </is>
      </c>
      <c r="G10329" t="n">
        <v>5.7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15509-2024</t>
        </is>
      </c>
      <c r="B10330" s="1" t="n">
        <v>45401</v>
      </c>
      <c r="C10330" s="1" t="n">
        <v>45587</v>
      </c>
      <c r="D10330" t="inlineStr">
        <is>
          <t>GÄVLEBORGS LÄN</t>
        </is>
      </c>
      <c r="E10330" t="inlineStr">
        <is>
          <t>OVANÅKER</t>
        </is>
      </c>
      <c r="G10330" t="n">
        <v>10.5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15564-2024</t>
        </is>
      </c>
      <c r="B10331" s="1" t="n">
        <v>45401</v>
      </c>
      <c r="C10331" s="1" t="n">
        <v>45587</v>
      </c>
      <c r="D10331" t="inlineStr">
        <is>
          <t>GÄVLEBORGS LÄN</t>
        </is>
      </c>
      <c r="E10331" t="inlineStr">
        <is>
          <t>OVANÅKER</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15527-2024</t>
        </is>
      </c>
      <c r="B10332" s="1" t="n">
        <v>45401</v>
      </c>
      <c r="C10332" s="1" t="n">
        <v>45587</v>
      </c>
      <c r="D10332" t="inlineStr">
        <is>
          <t>GÄVLEBORGS LÄN</t>
        </is>
      </c>
      <c r="E10332" t="inlineStr">
        <is>
          <t>HUDIKSVALL</t>
        </is>
      </c>
      <c r="F10332" t="inlineStr">
        <is>
          <t>Holmen skog AB</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15486-2024</t>
        </is>
      </c>
      <c r="B10333" s="1" t="n">
        <v>45401</v>
      </c>
      <c r="C10333" s="1" t="n">
        <v>45587</v>
      </c>
      <c r="D10333" t="inlineStr">
        <is>
          <t>GÄVLEBORGS LÄN</t>
        </is>
      </c>
      <c r="E10333" t="inlineStr">
        <is>
          <t>HUDIKSVALL</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15443-2024</t>
        </is>
      </c>
      <c r="B10334" s="1" t="n">
        <v>45401</v>
      </c>
      <c r="C10334" s="1" t="n">
        <v>45587</v>
      </c>
      <c r="D10334" t="inlineStr">
        <is>
          <t>GÄVLEBORGS LÄN</t>
        </is>
      </c>
      <c r="E10334" t="inlineStr">
        <is>
          <t>BOLLNÄS</t>
        </is>
      </c>
      <c r="G10334" t="n">
        <v>3.4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15484-2024</t>
        </is>
      </c>
      <c r="B10335" s="1" t="n">
        <v>45401</v>
      </c>
      <c r="C10335" s="1" t="n">
        <v>45587</v>
      </c>
      <c r="D10335" t="inlineStr">
        <is>
          <t>GÄVLEBORGS LÄN</t>
        </is>
      </c>
      <c r="E10335" t="inlineStr">
        <is>
          <t>HOFORS</t>
        </is>
      </c>
      <c r="F10335" t="inlineStr">
        <is>
          <t>Sveaskog</t>
        </is>
      </c>
      <c r="G10335" t="n">
        <v>11.6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15449-2024</t>
        </is>
      </c>
      <c r="B10336" s="1" t="n">
        <v>45401</v>
      </c>
      <c r="C10336" s="1" t="n">
        <v>45587</v>
      </c>
      <c r="D10336" t="inlineStr">
        <is>
          <t>GÄVLEBORGS LÄN</t>
        </is>
      </c>
      <c r="E10336" t="inlineStr">
        <is>
          <t>HUDIKSVALL</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15444-2024</t>
        </is>
      </c>
      <c r="B10337" s="1" t="n">
        <v>45401</v>
      </c>
      <c r="C10337" s="1" t="n">
        <v>45587</v>
      </c>
      <c r="D10337" t="inlineStr">
        <is>
          <t>GÄVLEBORGS LÄN</t>
        </is>
      </c>
      <c r="E10337" t="inlineStr">
        <is>
          <t>GÄVLE</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15651-2024</t>
        </is>
      </c>
      <c r="B10338" s="1" t="n">
        <v>45404</v>
      </c>
      <c r="C10338" s="1" t="n">
        <v>45587</v>
      </c>
      <c r="D10338" t="inlineStr">
        <is>
          <t>GÄVLEBORGS LÄN</t>
        </is>
      </c>
      <c r="E10338" t="inlineStr">
        <is>
          <t>OCKELBO</t>
        </is>
      </c>
      <c r="F10338" t="inlineStr">
        <is>
          <t>Bergvik skog väst AB</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15674-2024</t>
        </is>
      </c>
      <c r="B10339" s="1" t="n">
        <v>45404</v>
      </c>
      <c r="C10339" s="1" t="n">
        <v>45587</v>
      </c>
      <c r="D10339" t="inlineStr">
        <is>
          <t>GÄVLEBORGS LÄN</t>
        </is>
      </c>
      <c r="E10339" t="inlineStr">
        <is>
          <t>SANDVIKEN</t>
        </is>
      </c>
      <c r="F10339" t="inlineStr">
        <is>
          <t>Bergvik skog öst AB</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15682-2024</t>
        </is>
      </c>
      <c r="B10340" s="1" t="n">
        <v>45404</v>
      </c>
      <c r="C10340" s="1" t="n">
        <v>45587</v>
      </c>
      <c r="D10340" t="inlineStr">
        <is>
          <t>GÄVLEBORGS LÄN</t>
        </is>
      </c>
      <c r="E10340" t="inlineStr">
        <is>
          <t>SANDVIKEN</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15742-2024</t>
        </is>
      </c>
      <c r="B10341" s="1" t="n">
        <v>45404</v>
      </c>
      <c r="C10341" s="1" t="n">
        <v>45587</v>
      </c>
      <c r="D10341" t="inlineStr">
        <is>
          <t>GÄVLEBORGS LÄN</t>
        </is>
      </c>
      <c r="E10341" t="inlineStr">
        <is>
          <t>GÄVLE</t>
        </is>
      </c>
      <c r="F10341" t="inlineStr">
        <is>
          <t>Bergvik skog väst AB</t>
        </is>
      </c>
      <c r="G10341" t="n">
        <v>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15662-2024</t>
        </is>
      </c>
      <c r="B10342" s="1" t="n">
        <v>45404</v>
      </c>
      <c r="C10342" s="1" t="n">
        <v>45587</v>
      </c>
      <c r="D10342" t="inlineStr">
        <is>
          <t>GÄVLEBORGS LÄN</t>
        </is>
      </c>
      <c r="E10342" t="inlineStr">
        <is>
          <t>OCKELBO</t>
        </is>
      </c>
      <c r="F10342" t="inlineStr">
        <is>
          <t>Bergvik skog väst AB</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15676-2024</t>
        </is>
      </c>
      <c r="B10343" s="1" t="n">
        <v>45404</v>
      </c>
      <c r="C10343" s="1" t="n">
        <v>45587</v>
      </c>
      <c r="D10343" t="inlineStr">
        <is>
          <t>GÄVLEBORGS LÄN</t>
        </is>
      </c>
      <c r="E10343" t="inlineStr">
        <is>
          <t>SÖDERHAMN</t>
        </is>
      </c>
      <c r="G10343" t="n">
        <v>5.9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15671-2024</t>
        </is>
      </c>
      <c r="B10344" s="1" t="n">
        <v>45404</v>
      </c>
      <c r="C10344" s="1" t="n">
        <v>45587</v>
      </c>
      <c r="D10344" t="inlineStr">
        <is>
          <t>GÄVLEBORGS LÄN</t>
        </is>
      </c>
      <c r="E10344" t="inlineStr">
        <is>
          <t>SANDVIKEN</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15675-2024</t>
        </is>
      </c>
      <c r="B10345" s="1" t="n">
        <v>45404</v>
      </c>
      <c r="C10345" s="1" t="n">
        <v>45587</v>
      </c>
      <c r="D10345" t="inlineStr">
        <is>
          <t>GÄVLEBORGS LÄN</t>
        </is>
      </c>
      <c r="E10345" t="inlineStr">
        <is>
          <t>OCKELBO</t>
        </is>
      </c>
      <c r="F10345" t="inlineStr">
        <is>
          <t>Bergvik skog väst AB</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15707-2024</t>
        </is>
      </c>
      <c r="B10346" s="1" t="n">
        <v>45404</v>
      </c>
      <c r="C10346" s="1" t="n">
        <v>45587</v>
      </c>
      <c r="D10346" t="inlineStr">
        <is>
          <t>GÄVLEBORGS LÄN</t>
        </is>
      </c>
      <c r="E10346" t="inlineStr">
        <is>
          <t>GÄVLE</t>
        </is>
      </c>
      <c r="G10346" t="n">
        <v>4.7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15771-2024</t>
        </is>
      </c>
      <c r="B10347" s="1" t="n">
        <v>45404</v>
      </c>
      <c r="C10347" s="1" t="n">
        <v>45587</v>
      </c>
      <c r="D10347" t="inlineStr">
        <is>
          <t>GÄVLEBORGS LÄN</t>
        </is>
      </c>
      <c r="E10347" t="inlineStr">
        <is>
          <t>OCKELBO</t>
        </is>
      </c>
      <c r="F10347" t="inlineStr">
        <is>
          <t>Bergvik skog väst AB</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15853-2024</t>
        </is>
      </c>
      <c r="B10348" s="1" t="n">
        <v>45404</v>
      </c>
      <c r="C10348" s="1" t="n">
        <v>45587</v>
      </c>
      <c r="D10348" t="inlineStr">
        <is>
          <t>GÄVLEBORGS LÄN</t>
        </is>
      </c>
      <c r="E10348" t="inlineStr">
        <is>
          <t>GÄVLE</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16020-2024</t>
        </is>
      </c>
      <c r="B10349" s="1" t="n">
        <v>45405</v>
      </c>
      <c r="C10349" s="1" t="n">
        <v>45587</v>
      </c>
      <c r="D10349" t="inlineStr">
        <is>
          <t>GÄVLEBORGS LÄN</t>
        </is>
      </c>
      <c r="E10349" t="inlineStr">
        <is>
          <t>BOLLNÄS</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15984-2024</t>
        </is>
      </c>
      <c r="B10350" s="1" t="n">
        <v>45405</v>
      </c>
      <c r="C10350" s="1" t="n">
        <v>45587</v>
      </c>
      <c r="D10350" t="inlineStr">
        <is>
          <t>GÄVLEBORGS LÄN</t>
        </is>
      </c>
      <c r="E10350" t="inlineStr">
        <is>
          <t>LJUSDAL</t>
        </is>
      </c>
      <c r="G10350" t="n">
        <v>4.6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15976-2024</t>
        </is>
      </c>
      <c r="B10351" s="1" t="n">
        <v>45405</v>
      </c>
      <c r="C10351" s="1" t="n">
        <v>45587</v>
      </c>
      <c r="D10351" t="inlineStr">
        <is>
          <t>GÄVLEBORGS LÄN</t>
        </is>
      </c>
      <c r="E10351" t="inlineStr">
        <is>
          <t>GÄVLE</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15912-2024</t>
        </is>
      </c>
      <c r="B10352" s="1" t="n">
        <v>45405</v>
      </c>
      <c r="C10352" s="1" t="n">
        <v>45587</v>
      </c>
      <c r="D10352" t="inlineStr">
        <is>
          <t>GÄVLEBORGS LÄN</t>
        </is>
      </c>
      <c r="E10352" t="inlineStr">
        <is>
          <t>OVANÅKER</t>
        </is>
      </c>
      <c r="G10352" t="n">
        <v>4.1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15895-2024</t>
        </is>
      </c>
      <c r="B10353" s="1" t="n">
        <v>45405</v>
      </c>
      <c r="C10353" s="1" t="n">
        <v>45587</v>
      </c>
      <c r="D10353" t="inlineStr">
        <is>
          <t>GÄVLEBORGS LÄN</t>
        </is>
      </c>
      <c r="E10353" t="inlineStr">
        <is>
          <t>NORDANSTIG</t>
        </is>
      </c>
      <c r="G10353" t="n">
        <v>5.4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15950-2024</t>
        </is>
      </c>
      <c r="B10354" s="1" t="n">
        <v>45405</v>
      </c>
      <c r="C10354" s="1" t="n">
        <v>45587</v>
      </c>
      <c r="D10354" t="inlineStr">
        <is>
          <t>GÄVLEBORGS LÄN</t>
        </is>
      </c>
      <c r="E10354" t="inlineStr">
        <is>
          <t>BOLLNÄS</t>
        </is>
      </c>
      <c r="G10354" t="n">
        <v>6.5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16019-2024</t>
        </is>
      </c>
      <c r="B10355" s="1" t="n">
        <v>45405</v>
      </c>
      <c r="C10355" s="1" t="n">
        <v>45587</v>
      </c>
      <c r="D10355" t="inlineStr">
        <is>
          <t>GÄVLEBORGS LÄN</t>
        </is>
      </c>
      <c r="E10355" t="inlineStr">
        <is>
          <t>OVANÅKER</t>
        </is>
      </c>
      <c r="G10355" t="n">
        <v>3.6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15946-2024</t>
        </is>
      </c>
      <c r="B10356" s="1" t="n">
        <v>45405</v>
      </c>
      <c r="C10356" s="1" t="n">
        <v>45587</v>
      </c>
      <c r="D10356" t="inlineStr">
        <is>
          <t>GÄVLEBORGS LÄN</t>
        </is>
      </c>
      <c r="E10356" t="inlineStr">
        <is>
          <t>HUDIKSVALL</t>
        </is>
      </c>
      <c r="G10356" t="n">
        <v>4.8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15910-2024</t>
        </is>
      </c>
      <c r="B10357" s="1" t="n">
        <v>45405</v>
      </c>
      <c r="C10357" s="1" t="n">
        <v>45587</v>
      </c>
      <c r="D10357" t="inlineStr">
        <is>
          <t>GÄVLEBORGS LÄN</t>
        </is>
      </c>
      <c r="E10357" t="inlineStr">
        <is>
          <t>OVANÅKER</t>
        </is>
      </c>
      <c r="G10357" t="n">
        <v>5.9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16134-2024</t>
        </is>
      </c>
      <c r="B10358" s="1" t="n">
        <v>45406</v>
      </c>
      <c r="C10358" s="1" t="n">
        <v>45587</v>
      </c>
      <c r="D10358" t="inlineStr">
        <is>
          <t>GÄVLEBORGS LÄN</t>
        </is>
      </c>
      <c r="E10358" t="inlineStr">
        <is>
          <t>BOLLNÄS</t>
        </is>
      </c>
      <c r="G10358" t="n">
        <v>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16146-2024</t>
        </is>
      </c>
      <c r="B10359" s="1" t="n">
        <v>45406</v>
      </c>
      <c r="C10359" s="1" t="n">
        <v>45587</v>
      </c>
      <c r="D10359" t="inlineStr">
        <is>
          <t>GÄVLEBORGS LÄN</t>
        </is>
      </c>
      <c r="E10359" t="inlineStr">
        <is>
          <t>SÖDERHAMN</t>
        </is>
      </c>
      <c r="F10359" t="inlineStr">
        <is>
          <t>Kommuner</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16095-2024</t>
        </is>
      </c>
      <c r="B10360" s="1" t="n">
        <v>45406</v>
      </c>
      <c r="C10360" s="1" t="n">
        <v>45587</v>
      </c>
      <c r="D10360" t="inlineStr">
        <is>
          <t>GÄVLEBORGS LÄN</t>
        </is>
      </c>
      <c r="E10360" t="inlineStr">
        <is>
          <t>HUDIKSVALL</t>
        </is>
      </c>
      <c r="G10360" t="n">
        <v>6.4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16133-2024</t>
        </is>
      </c>
      <c r="B10361" s="1" t="n">
        <v>45406</v>
      </c>
      <c r="C10361" s="1" t="n">
        <v>45587</v>
      </c>
      <c r="D10361" t="inlineStr">
        <is>
          <t>GÄVLEBORGS LÄN</t>
        </is>
      </c>
      <c r="E10361" t="inlineStr">
        <is>
          <t>BOLLNÄS</t>
        </is>
      </c>
      <c r="G10361" t="n">
        <v>6.2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16137-2024</t>
        </is>
      </c>
      <c r="B10362" s="1" t="n">
        <v>45406</v>
      </c>
      <c r="C10362" s="1" t="n">
        <v>45587</v>
      </c>
      <c r="D10362" t="inlineStr">
        <is>
          <t>GÄVLEBORGS LÄN</t>
        </is>
      </c>
      <c r="E10362" t="inlineStr">
        <is>
          <t>HOFORS</t>
        </is>
      </c>
      <c r="G10362" t="n">
        <v>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16150-2024</t>
        </is>
      </c>
      <c r="B10363" s="1" t="n">
        <v>45406</v>
      </c>
      <c r="C10363" s="1" t="n">
        <v>45587</v>
      </c>
      <c r="D10363" t="inlineStr">
        <is>
          <t>GÄVLEBORGS LÄN</t>
        </is>
      </c>
      <c r="E10363" t="inlineStr">
        <is>
          <t>HUDIKSVALL</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16093-2024</t>
        </is>
      </c>
      <c r="B10364" s="1" t="n">
        <v>45406</v>
      </c>
      <c r="C10364" s="1" t="n">
        <v>45587</v>
      </c>
      <c r="D10364" t="inlineStr">
        <is>
          <t>GÄVLEBORGS LÄN</t>
        </is>
      </c>
      <c r="E10364" t="inlineStr">
        <is>
          <t>HUDIKSVALL</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16135-2024</t>
        </is>
      </c>
      <c r="B10365" s="1" t="n">
        <v>45406</v>
      </c>
      <c r="C10365" s="1" t="n">
        <v>45587</v>
      </c>
      <c r="D10365" t="inlineStr">
        <is>
          <t>GÄVLEBORGS LÄN</t>
        </is>
      </c>
      <c r="E10365" t="inlineStr">
        <is>
          <t>HOFORS</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16139-2024</t>
        </is>
      </c>
      <c r="B10366" s="1" t="n">
        <v>45406</v>
      </c>
      <c r="C10366" s="1" t="n">
        <v>45587</v>
      </c>
      <c r="D10366" t="inlineStr">
        <is>
          <t>GÄVLEBORGS LÄN</t>
        </is>
      </c>
      <c r="E10366" t="inlineStr">
        <is>
          <t>BOLLNÄS</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16147-2024</t>
        </is>
      </c>
      <c r="B10367" s="1" t="n">
        <v>45406</v>
      </c>
      <c r="C10367" s="1" t="n">
        <v>45587</v>
      </c>
      <c r="D10367" t="inlineStr">
        <is>
          <t>GÄVLEBORGS LÄN</t>
        </is>
      </c>
      <c r="E10367" t="inlineStr">
        <is>
          <t>HOFORS</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16375-2024</t>
        </is>
      </c>
      <c r="B10368" s="1" t="n">
        <v>45407</v>
      </c>
      <c r="C10368" s="1" t="n">
        <v>45587</v>
      </c>
      <c r="D10368" t="inlineStr">
        <is>
          <t>GÄVLEBORGS LÄN</t>
        </is>
      </c>
      <c r="E10368" t="inlineStr">
        <is>
          <t>BOLLNÄS</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16374-2024</t>
        </is>
      </c>
      <c r="B10369" s="1" t="n">
        <v>45407</v>
      </c>
      <c r="C10369" s="1" t="n">
        <v>45587</v>
      </c>
      <c r="D10369" t="inlineStr">
        <is>
          <t>GÄVLEBORGS LÄN</t>
        </is>
      </c>
      <c r="E10369" t="inlineStr">
        <is>
          <t>BOLLNÄS</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16469-2024</t>
        </is>
      </c>
      <c r="B10370" s="1" t="n">
        <v>45408</v>
      </c>
      <c r="C10370" s="1" t="n">
        <v>45587</v>
      </c>
      <c r="D10370" t="inlineStr">
        <is>
          <t>GÄVLEBORGS LÄN</t>
        </is>
      </c>
      <c r="E10370" t="inlineStr">
        <is>
          <t>OVANÅKER</t>
        </is>
      </c>
      <c r="G10370" t="n">
        <v>8.9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16533-2024</t>
        </is>
      </c>
      <c r="B10371" s="1" t="n">
        <v>45408</v>
      </c>
      <c r="C10371" s="1" t="n">
        <v>45587</v>
      </c>
      <c r="D10371" t="inlineStr">
        <is>
          <t>GÄVLEBORGS LÄN</t>
        </is>
      </c>
      <c r="E10371" t="inlineStr">
        <is>
          <t>SÖDERHAMN</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16605-2024</t>
        </is>
      </c>
      <c r="B10372" s="1" t="n">
        <v>45408</v>
      </c>
      <c r="C10372" s="1" t="n">
        <v>45587</v>
      </c>
      <c r="D10372" t="inlineStr">
        <is>
          <t>GÄVLEBORGS LÄN</t>
        </is>
      </c>
      <c r="E10372" t="inlineStr">
        <is>
          <t>OVANÅKER</t>
        </is>
      </c>
      <c r="G10372" t="n">
        <v>17.8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16609-2024</t>
        </is>
      </c>
      <c r="B10373" s="1" t="n">
        <v>45408</v>
      </c>
      <c r="C10373" s="1" t="n">
        <v>45587</v>
      </c>
      <c r="D10373" t="inlineStr">
        <is>
          <t>GÄVLEBORGS LÄN</t>
        </is>
      </c>
      <c r="E10373" t="inlineStr">
        <is>
          <t>SÖDERHAMN</t>
        </is>
      </c>
      <c r="G10373" t="n">
        <v>8.5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16633-2024</t>
        </is>
      </c>
      <c r="B10374" s="1" t="n">
        <v>45408</v>
      </c>
      <c r="C10374" s="1" t="n">
        <v>45587</v>
      </c>
      <c r="D10374" t="inlineStr">
        <is>
          <t>GÄVLEBORGS LÄN</t>
        </is>
      </c>
      <c r="E10374" t="inlineStr">
        <is>
          <t>HUDIKSVALL</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16641-2024</t>
        </is>
      </c>
      <c r="B10375" s="1" t="n">
        <v>45408</v>
      </c>
      <c r="C10375" s="1" t="n">
        <v>45587</v>
      </c>
      <c r="D10375" t="inlineStr">
        <is>
          <t>GÄVLEBORGS LÄN</t>
        </is>
      </c>
      <c r="E10375" t="inlineStr">
        <is>
          <t>BOLLNÄS</t>
        </is>
      </c>
      <c r="F10375" t="inlineStr">
        <is>
          <t>Bergvik skog öst AB</t>
        </is>
      </c>
      <c r="G10375" t="n">
        <v>4.5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16666-2024</t>
        </is>
      </c>
      <c r="B10376" s="1" t="n">
        <v>45408</v>
      </c>
      <c r="C10376" s="1" t="n">
        <v>45587</v>
      </c>
      <c r="D10376" t="inlineStr">
        <is>
          <t>GÄVLEBORGS LÄN</t>
        </is>
      </c>
      <c r="E10376" t="inlineStr">
        <is>
          <t>LJUSDAL</t>
        </is>
      </c>
      <c r="G10376" t="n">
        <v>22.8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16536-2024</t>
        </is>
      </c>
      <c r="B10377" s="1" t="n">
        <v>45408</v>
      </c>
      <c r="C10377" s="1" t="n">
        <v>45587</v>
      </c>
      <c r="D10377" t="inlineStr">
        <is>
          <t>GÄVLEBORGS LÄN</t>
        </is>
      </c>
      <c r="E10377" t="inlineStr">
        <is>
          <t>SÖDERHAMN</t>
        </is>
      </c>
      <c r="F10377" t="inlineStr">
        <is>
          <t>Bergvik skog väst AB</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16560-2024</t>
        </is>
      </c>
      <c r="B10378" s="1" t="n">
        <v>45408</v>
      </c>
      <c r="C10378" s="1" t="n">
        <v>45587</v>
      </c>
      <c r="D10378" t="inlineStr">
        <is>
          <t>GÄVLEBORGS LÄN</t>
        </is>
      </c>
      <c r="E10378" t="inlineStr">
        <is>
          <t>OVANÅKER</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16564-2024</t>
        </is>
      </c>
      <c r="B10379" s="1" t="n">
        <v>45408</v>
      </c>
      <c r="C10379" s="1" t="n">
        <v>45587</v>
      </c>
      <c r="D10379" t="inlineStr">
        <is>
          <t>GÄVLEBORGS LÄN</t>
        </is>
      </c>
      <c r="E10379" t="inlineStr">
        <is>
          <t>BOLLNÄS</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16632-2024</t>
        </is>
      </c>
      <c r="B10380" s="1" t="n">
        <v>45408</v>
      </c>
      <c r="C10380" s="1" t="n">
        <v>45587</v>
      </c>
      <c r="D10380" t="inlineStr">
        <is>
          <t>GÄVLEBORGS LÄN</t>
        </is>
      </c>
      <c r="E10380" t="inlineStr">
        <is>
          <t>OVANÅKER</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16546-2024</t>
        </is>
      </c>
      <c r="B10381" s="1" t="n">
        <v>45408</v>
      </c>
      <c r="C10381" s="1" t="n">
        <v>45587</v>
      </c>
      <c r="D10381" t="inlineStr">
        <is>
          <t>GÄVLEBORGS LÄN</t>
        </is>
      </c>
      <c r="E10381" t="inlineStr">
        <is>
          <t>GÄVLE</t>
        </is>
      </c>
      <c r="F10381" t="inlineStr">
        <is>
          <t>Bergvik skog väst AB</t>
        </is>
      </c>
      <c r="G10381" t="n">
        <v>24.5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16594-2024</t>
        </is>
      </c>
      <c r="B10382" s="1" t="n">
        <v>45408</v>
      </c>
      <c r="C10382" s="1" t="n">
        <v>45587</v>
      </c>
      <c r="D10382" t="inlineStr">
        <is>
          <t>GÄVLEBORGS LÄN</t>
        </is>
      </c>
      <c r="E10382" t="inlineStr">
        <is>
          <t>HUDIKSVALL</t>
        </is>
      </c>
      <c r="G10382" t="n">
        <v>11.8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16614-2024</t>
        </is>
      </c>
      <c r="B10383" s="1" t="n">
        <v>45408</v>
      </c>
      <c r="C10383" s="1" t="n">
        <v>45587</v>
      </c>
      <c r="D10383" t="inlineStr">
        <is>
          <t>GÄVLEBORGS LÄN</t>
        </is>
      </c>
      <c r="E10383" t="inlineStr">
        <is>
          <t>OCKELBO</t>
        </is>
      </c>
      <c r="F10383" t="inlineStr">
        <is>
          <t>Bergvik skog väst AB</t>
        </is>
      </c>
      <c r="G10383" t="n">
        <v>10.2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16667-2024</t>
        </is>
      </c>
      <c r="B10384" s="1" t="n">
        <v>45408</v>
      </c>
      <c r="C10384" s="1" t="n">
        <v>45587</v>
      </c>
      <c r="D10384" t="inlineStr">
        <is>
          <t>GÄVLEBORGS LÄN</t>
        </is>
      </c>
      <c r="E10384" t="inlineStr">
        <is>
          <t>HUDIKSVALL</t>
        </is>
      </c>
      <c r="G10384" t="n">
        <v>10.5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16810-2024</t>
        </is>
      </c>
      <c r="B10385" s="1" t="n">
        <v>45411</v>
      </c>
      <c r="C10385" s="1" t="n">
        <v>45587</v>
      </c>
      <c r="D10385" t="inlineStr">
        <is>
          <t>GÄVLEBORGS LÄN</t>
        </is>
      </c>
      <c r="E10385" t="inlineStr">
        <is>
          <t>HUDIKSVALL</t>
        </is>
      </c>
      <c r="F10385" t="inlineStr">
        <is>
          <t>Holmen skog AB</t>
        </is>
      </c>
      <c r="G10385" t="n">
        <v>9.800000000000001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16787-2024</t>
        </is>
      </c>
      <c r="B10386" s="1" t="n">
        <v>45411</v>
      </c>
      <c r="C10386" s="1" t="n">
        <v>45587</v>
      </c>
      <c r="D10386" t="inlineStr">
        <is>
          <t>GÄVLEBORGS LÄN</t>
        </is>
      </c>
      <c r="E10386" t="inlineStr">
        <is>
          <t>OCKELBO</t>
        </is>
      </c>
      <c r="G10386" t="n">
        <v>2.7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16803-2024</t>
        </is>
      </c>
      <c r="B10387" s="1" t="n">
        <v>45411</v>
      </c>
      <c r="C10387" s="1" t="n">
        <v>45587</v>
      </c>
      <c r="D10387" t="inlineStr">
        <is>
          <t>GÄVLEBORGS LÄN</t>
        </is>
      </c>
      <c r="E10387" t="inlineStr">
        <is>
          <t>OCKELBO</t>
        </is>
      </c>
      <c r="F10387" t="inlineStr">
        <is>
          <t>Bergvik skog väst AB</t>
        </is>
      </c>
      <c r="G10387" t="n">
        <v>5.6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16858-2024</t>
        </is>
      </c>
      <c r="B10388" s="1" t="n">
        <v>45411</v>
      </c>
      <c r="C10388" s="1" t="n">
        <v>45587</v>
      </c>
      <c r="D10388" t="inlineStr">
        <is>
          <t>GÄVLEBORGS LÄN</t>
        </is>
      </c>
      <c r="E10388" t="inlineStr">
        <is>
          <t>HUDIKSVALL</t>
        </is>
      </c>
      <c r="G10388" t="n">
        <v>5.7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16870-2024</t>
        </is>
      </c>
      <c r="B10389" s="1" t="n">
        <v>45411</v>
      </c>
      <c r="C10389" s="1" t="n">
        <v>45587</v>
      </c>
      <c r="D10389" t="inlineStr">
        <is>
          <t>GÄVLEBORGS LÄN</t>
        </is>
      </c>
      <c r="E10389" t="inlineStr">
        <is>
          <t>SÖDERHAMN</t>
        </is>
      </c>
      <c r="F10389" t="inlineStr">
        <is>
          <t>Bergvik skog väst AB</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16831-2024</t>
        </is>
      </c>
      <c r="B10390" s="1" t="n">
        <v>45411</v>
      </c>
      <c r="C10390" s="1" t="n">
        <v>45587</v>
      </c>
      <c r="D10390" t="inlineStr">
        <is>
          <t>GÄVLEBORGS LÄN</t>
        </is>
      </c>
      <c r="E10390" t="inlineStr">
        <is>
          <t>SÖDERHAMN</t>
        </is>
      </c>
      <c r="F10390" t="inlineStr">
        <is>
          <t>Bergvik skog väst AB</t>
        </is>
      </c>
      <c r="G10390" t="n">
        <v>11.1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16869-2024</t>
        </is>
      </c>
      <c r="B10391" s="1" t="n">
        <v>45411</v>
      </c>
      <c r="C10391" s="1" t="n">
        <v>45587</v>
      </c>
      <c r="D10391" t="inlineStr">
        <is>
          <t>GÄVLEBORGS LÄN</t>
        </is>
      </c>
      <c r="E10391" t="inlineStr">
        <is>
          <t>HUDIKSVALL</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16827-2024</t>
        </is>
      </c>
      <c r="B10392" s="1" t="n">
        <v>45411</v>
      </c>
      <c r="C10392" s="1" t="n">
        <v>45587</v>
      </c>
      <c r="D10392" t="inlineStr">
        <is>
          <t>GÄVLEBORGS LÄN</t>
        </is>
      </c>
      <c r="E10392" t="inlineStr">
        <is>
          <t>HUDIKSVALL</t>
        </is>
      </c>
      <c r="F10392" t="inlineStr">
        <is>
          <t>Holmen skog AB</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16802-2024</t>
        </is>
      </c>
      <c r="B10393" s="1" t="n">
        <v>45411</v>
      </c>
      <c r="C10393" s="1" t="n">
        <v>45587</v>
      </c>
      <c r="D10393" t="inlineStr">
        <is>
          <t>GÄVLEBORGS LÄN</t>
        </is>
      </c>
      <c r="E10393" t="inlineStr">
        <is>
          <t>SÖDERHAMN</t>
        </is>
      </c>
      <c r="F10393" t="inlineStr">
        <is>
          <t>Bergvik skog väst AB</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16900-2024</t>
        </is>
      </c>
      <c r="B10394" s="1" t="n">
        <v>45411</v>
      </c>
      <c r="C10394" s="1" t="n">
        <v>45587</v>
      </c>
      <c r="D10394" t="inlineStr">
        <is>
          <t>GÄVLEBORGS LÄN</t>
        </is>
      </c>
      <c r="E10394" t="inlineStr">
        <is>
          <t>OVANÅKER</t>
        </is>
      </c>
      <c r="G10394" t="n">
        <v>8.699999999999999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16812-2024</t>
        </is>
      </c>
      <c r="B10395" s="1" t="n">
        <v>45411</v>
      </c>
      <c r="C10395" s="1" t="n">
        <v>45587</v>
      </c>
      <c r="D10395" t="inlineStr">
        <is>
          <t>GÄVLEBORGS LÄN</t>
        </is>
      </c>
      <c r="E10395" t="inlineStr">
        <is>
          <t>SÖDERHAMN</t>
        </is>
      </c>
      <c r="F10395" t="inlineStr">
        <is>
          <t>Bergvik skog väst AB</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16796-2024</t>
        </is>
      </c>
      <c r="B10396" s="1" t="n">
        <v>45411</v>
      </c>
      <c r="C10396" s="1" t="n">
        <v>45587</v>
      </c>
      <c r="D10396" t="inlineStr">
        <is>
          <t>GÄVLEBORGS LÄN</t>
        </is>
      </c>
      <c r="E10396" t="inlineStr">
        <is>
          <t>OCKELBO</t>
        </is>
      </c>
      <c r="F10396" t="inlineStr">
        <is>
          <t>Bergvik skog väst AB</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16784-2024</t>
        </is>
      </c>
      <c r="B10397" s="1" t="n">
        <v>45411</v>
      </c>
      <c r="C10397" s="1" t="n">
        <v>45587</v>
      </c>
      <c r="D10397" t="inlineStr">
        <is>
          <t>GÄVLEBORGS LÄN</t>
        </is>
      </c>
      <c r="E10397" t="inlineStr">
        <is>
          <t>OCKELBO</t>
        </is>
      </c>
      <c r="F10397" t="inlineStr">
        <is>
          <t>Bergvik skog väst AB</t>
        </is>
      </c>
      <c r="G10397" t="n">
        <v>4.1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16768-2024</t>
        </is>
      </c>
      <c r="B10398" s="1" t="n">
        <v>45411</v>
      </c>
      <c r="C10398" s="1" t="n">
        <v>45587</v>
      </c>
      <c r="D10398" t="inlineStr">
        <is>
          <t>GÄVLEBORGS LÄN</t>
        </is>
      </c>
      <c r="E10398" t="inlineStr">
        <is>
          <t>HUDIKSVALL</t>
        </is>
      </c>
      <c r="F10398" t="inlineStr">
        <is>
          <t>Holmen skog AB</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16781-2024</t>
        </is>
      </c>
      <c r="B10399" s="1" t="n">
        <v>45411</v>
      </c>
      <c r="C10399" s="1" t="n">
        <v>45587</v>
      </c>
      <c r="D10399" t="inlineStr">
        <is>
          <t>GÄVLEBORGS LÄN</t>
        </is>
      </c>
      <c r="E10399" t="inlineStr">
        <is>
          <t>HUDIKSVALL</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16753-2024</t>
        </is>
      </c>
      <c r="B10400" s="1" t="n">
        <v>45411</v>
      </c>
      <c r="C10400" s="1" t="n">
        <v>45587</v>
      </c>
      <c r="D10400" t="inlineStr">
        <is>
          <t>GÄVLEBORGS LÄN</t>
        </is>
      </c>
      <c r="E10400" t="inlineStr">
        <is>
          <t>OCKELBO</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17026-2024</t>
        </is>
      </c>
      <c r="B10401" s="1" t="n">
        <v>45412</v>
      </c>
      <c r="C10401" s="1" t="n">
        <v>45587</v>
      </c>
      <c r="D10401" t="inlineStr">
        <is>
          <t>GÄVLEBORGS LÄN</t>
        </is>
      </c>
      <c r="E10401" t="inlineStr">
        <is>
          <t>BOLLNÄS</t>
        </is>
      </c>
      <c r="G10401" t="n">
        <v>5.8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17107-2024</t>
        </is>
      </c>
      <c r="B10402" s="1" t="n">
        <v>45412</v>
      </c>
      <c r="C10402" s="1" t="n">
        <v>45587</v>
      </c>
      <c r="D10402" t="inlineStr">
        <is>
          <t>GÄVLEBORGS LÄN</t>
        </is>
      </c>
      <c r="E10402" t="inlineStr">
        <is>
          <t>SANDVIKEN</t>
        </is>
      </c>
      <c r="G10402" t="n">
        <v>3.9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17110-2024</t>
        </is>
      </c>
      <c r="B10403" s="1" t="n">
        <v>45412</v>
      </c>
      <c r="C10403" s="1" t="n">
        <v>45587</v>
      </c>
      <c r="D10403" t="inlineStr">
        <is>
          <t>GÄVLEBORGS LÄN</t>
        </is>
      </c>
      <c r="E10403" t="inlineStr">
        <is>
          <t>HUDIKSVALL</t>
        </is>
      </c>
      <c r="G10403" t="n">
        <v>7.1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17101-2024</t>
        </is>
      </c>
      <c r="B10404" s="1" t="n">
        <v>45412</v>
      </c>
      <c r="C10404" s="1" t="n">
        <v>45587</v>
      </c>
      <c r="D10404" t="inlineStr">
        <is>
          <t>GÄVLEBORGS LÄN</t>
        </is>
      </c>
      <c r="E10404" t="inlineStr">
        <is>
          <t>OCKELBO</t>
        </is>
      </c>
      <c r="F10404" t="inlineStr">
        <is>
          <t>Bergvik skog väst AB</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17044-2024</t>
        </is>
      </c>
      <c r="B10405" s="1" t="n">
        <v>45412</v>
      </c>
      <c r="C10405" s="1" t="n">
        <v>45587</v>
      </c>
      <c r="D10405" t="inlineStr">
        <is>
          <t>GÄVLEBORGS LÄN</t>
        </is>
      </c>
      <c r="E10405" t="inlineStr">
        <is>
          <t>LJUSDAL</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17036-2024</t>
        </is>
      </c>
      <c r="B10406" s="1" t="n">
        <v>45412</v>
      </c>
      <c r="C10406" s="1" t="n">
        <v>45587</v>
      </c>
      <c r="D10406" t="inlineStr">
        <is>
          <t>GÄVLEBORGS LÄN</t>
        </is>
      </c>
      <c r="E10406" t="inlineStr">
        <is>
          <t>OVANÅKER</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16995-2024</t>
        </is>
      </c>
      <c r="B10407" s="1" t="n">
        <v>45412</v>
      </c>
      <c r="C10407" s="1" t="n">
        <v>45587</v>
      </c>
      <c r="D10407" t="inlineStr">
        <is>
          <t>GÄVLEBORGS LÄN</t>
        </is>
      </c>
      <c r="E10407" t="inlineStr">
        <is>
          <t>HUDIKSVALL</t>
        </is>
      </c>
      <c r="F10407" t="inlineStr">
        <is>
          <t>Holmen skog AB</t>
        </is>
      </c>
      <c r="G10407" t="n">
        <v>28.6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17102-2024</t>
        </is>
      </c>
      <c r="B10408" s="1" t="n">
        <v>45412</v>
      </c>
      <c r="C10408" s="1" t="n">
        <v>45587</v>
      </c>
      <c r="D10408" t="inlineStr">
        <is>
          <t>GÄVLEBORGS LÄN</t>
        </is>
      </c>
      <c r="E10408" t="inlineStr">
        <is>
          <t>SANDVIKEN</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17141-2024</t>
        </is>
      </c>
      <c r="B10409" s="1" t="n">
        <v>45412</v>
      </c>
      <c r="C10409" s="1" t="n">
        <v>45587</v>
      </c>
      <c r="D10409" t="inlineStr">
        <is>
          <t>GÄVLEBORGS LÄN</t>
        </is>
      </c>
      <c r="E10409" t="inlineStr">
        <is>
          <t>OVANÅKER</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17137-2024</t>
        </is>
      </c>
      <c r="B10410" s="1" t="n">
        <v>45412</v>
      </c>
      <c r="C10410" s="1" t="n">
        <v>45587</v>
      </c>
      <c r="D10410" t="inlineStr">
        <is>
          <t>GÄVLEBORGS LÄN</t>
        </is>
      </c>
      <c r="E10410" t="inlineStr">
        <is>
          <t>OVANÅKER</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17113-2024</t>
        </is>
      </c>
      <c r="B10411" s="1" t="n">
        <v>45412</v>
      </c>
      <c r="C10411" s="1" t="n">
        <v>45587</v>
      </c>
      <c r="D10411" t="inlineStr">
        <is>
          <t>GÄVLEBORGS LÄN</t>
        </is>
      </c>
      <c r="E10411" t="inlineStr">
        <is>
          <t>GÄVLE</t>
        </is>
      </c>
      <c r="G10411" t="n">
        <v>3.4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17023-2024</t>
        </is>
      </c>
      <c r="B10412" s="1" t="n">
        <v>45412</v>
      </c>
      <c r="C10412" s="1" t="n">
        <v>45587</v>
      </c>
      <c r="D10412" t="inlineStr">
        <is>
          <t>GÄVLEBORGS LÄN</t>
        </is>
      </c>
      <c r="E10412" t="inlineStr">
        <is>
          <t>BOLLNÄS</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17231-2024</t>
        </is>
      </c>
      <c r="B10413" s="1" t="n">
        <v>45414</v>
      </c>
      <c r="C10413" s="1" t="n">
        <v>45587</v>
      </c>
      <c r="D10413" t="inlineStr">
        <is>
          <t>GÄVLEBORGS LÄN</t>
        </is>
      </c>
      <c r="E10413" t="inlineStr">
        <is>
          <t>SANDVIKEN</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17235-2024</t>
        </is>
      </c>
      <c r="B10414" s="1" t="n">
        <v>45414</v>
      </c>
      <c r="C10414" s="1" t="n">
        <v>45587</v>
      </c>
      <c r="D10414" t="inlineStr">
        <is>
          <t>GÄVLEBORGS LÄN</t>
        </is>
      </c>
      <c r="E10414" t="inlineStr">
        <is>
          <t>SANDVIKEN</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17256-2024</t>
        </is>
      </c>
      <c r="B10415" s="1" t="n">
        <v>45414</v>
      </c>
      <c r="C10415" s="1" t="n">
        <v>45587</v>
      </c>
      <c r="D10415" t="inlineStr">
        <is>
          <t>GÄVLEBORGS LÄN</t>
        </is>
      </c>
      <c r="E10415" t="inlineStr">
        <is>
          <t>SANDVIKEN</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17241-2024</t>
        </is>
      </c>
      <c r="B10416" s="1" t="n">
        <v>45414</v>
      </c>
      <c r="C10416" s="1" t="n">
        <v>45587</v>
      </c>
      <c r="D10416" t="inlineStr">
        <is>
          <t>GÄVLEBORGS LÄN</t>
        </is>
      </c>
      <c r="E10416" t="inlineStr">
        <is>
          <t>GÄVLE</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17245-2024</t>
        </is>
      </c>
      <c r="B10417" s="1" t="n">
        <v>45414</v>
      </c>
      <c r="C10417" s="1" t="n">
        <v>45587</v>
      </c>
      <c r="D10417" t="inlineStr">
        <is>
          <t>GÄVLEBORGS LÄN</t>
        </is>
      </c>
      <c r="E10417" t="inlineStr">
        <is>
          <t>GÄVLE</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17218-2024</t>
        </is>
      </c>
      <c r="B10418" s="1" t="n">
        <v>45414</v>
      </c>
      <c r="C10418" s="1" t="n">
        <v>45587</v>
      </c>
      <c r="D10418" t="inlineStr">
        <is>
          <t>GÄVLEBORGS LÄN</t>
        </is>
      </c>
      <c r="E10418" t="inlineStr">
        <is>
          <t>SANDVIKEN</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17247-2024</t>
        </is>
      </c>
      <c r="B10419" s="1" t="n">
        <v>45414</v>
      </c>
      <c r="C10419" s="1" t="n">
        <v>45587</v>
      </c>
      <c r="D10419" t="inlineStr">
        <is>
          <t>GÄVLEBORGS LÄN</t>
        </is>
      </c>
      <c r="E10419" t="inlineStr">
        <is>
          <t>GÄVLE</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17345-2024</t>
        </is>
      </c>
      <c r="B10420" s="1" t="n">
        <v>45414</v>
      </c>
      <c r="C10420" s="1" t="n">
        <v>45587</v>
      </c>
      <c r="D10420" t="inlineStr">
        <is>
          <t>GÄVLEBORGS LÄN</t>
        </is>
      </c>
      <c r="E10420" t="inlineStr">
        <is>
          <t>HUDIKSVALL</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17361-2024</t>
        </is>
      </c>
      <c r="B10421" s="1" t="n">
        <v>45414</v>
      </c>
      <c r="C10421" s="1" t="n">
        <v>45587</v>
      </c>
      <c r="D10421" t="inlineStr">
        <is>
          <t>GÄVLEBORGS LÄN</t>
        </is>
      </c>
      <c r="E10421" t="inlineStr">
        <is>
          <t>HUDIKSVALL</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17237-2024</t>
        </is>
      </c>
      <c r="B10422" s="1" t="n">
        <v>45414</v>
      </c>
      <c r="C10422" s="1" t="n">
        <v>45587</v>
      </c>
      <c r="D10422" t="inlineStr">
        <is>
          <t>GÄVLEBORGS LÄN</t>
        </is>
      </c>
      <c r="E10422" t="inlineStr">
        <is>
          <t>GÄVLE</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17254-2024</t>
        </is>
      </c>
      <c r="B10423" s="1" t="n">
        <v>45414</v>
      </c>
      <c r="C10423" s="1" t="n">
        <v>45587</v>
      </c>
      <c r="D10423" t="inlineStr">
        <is>
          <t>GÄVLEBORGS LÄN</t>
        </is>
      </c>
      <c r="E10423" t="inlineStr">
        <is>
          <t>GÄVLE</t>
        </is>
      </c>
      <c r="G10423" t="n">
        <v>3.3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17375-2024</t>
        </is>
      </c>
      <c r="B10424" s="1" t="n">
        <v>45414</v>
      </c>
      <c r="C10424" s="1" t="n">
        <v>45587</v>
      </c>
      <c r="D10424" t="inlineStr">
        <is>
          <t>GÄVLEBORGS LÄN</t>
        </is>
      </c>
      <c r="E10424" t="inlineStr">
        <is>
          <t>BOLLNÄS</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17376-2024</t>
        </is>
      </c>
      <c r="B10425" s="1" t="n">
        <v>45414</v>
      </c>
      <c r="C10425" s="1" t="n">
        <v>45587</v>
      </c>
      <c r="D10425" t="inlineStr">
        <is>
          <t>GÄVLEBORGS LÄN</t>
        </is>
      </c>
      <c r="E10425" t="inlineStr">
        <is>
          <t>BOLLNÄS</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17445-2024</t>
        </is>
      </c>
      <c r="B10426" s="1" t="n">
        <v>45415</v>
      </c>
      <c r="C10426" s="1" t="n">
        <v>45587</v>
      </c>
      <c r="D10426" t="inlineStr">
        <is>
          <t>GÄVLEBORGS LÄN</t>
        </is>
      </c>
      <c r="E10426" t="inlineStr">
        <is>
          <t>SANDVIKEN</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17529-2024</t>
        </is>
      </c>
      <c r="B10427" s="1" t="n">
        <v>45415</v>
      </c>
      <c r="C10427" s="1" t="n">
        <v>45587</v>
      </c>
      <c r="D10427" t="inlineStr">
        <is>
          <t>GÄVLEBORGS LÄN</t>
        </is>
      </c>
      <c r="E10427" t="inlineStr">
        <is>
          <t>BOLLNÄS</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17498-2024</t>
        </is>
      </c>
      <c r="B10428" s="1" t="n">
        <v>45415</v>
      </c>
      <c r="C10428" s="1" t="n">
        <v>45587</v>
      </c>
      <c r="D10428" t="inlineStr">
        <is>
          <t>GÄVLEBORGS LÄN</t>
        </is>
      </c>
      <c r="E10428" t="inlineStr">
        <is>
          <t>SANDVIKEN</t>
        </is>
      </c>
      <c r="F10428" t="inlineStr">
        <is>
          <t>Kommuner</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17504-2024</t>
        </is>
      </c>
      <c r="B10429" s="1" t="n">
        <v>45415</v>
      </c>
      <c r="C10429" s="1" t="n">
        <v>45587</v>
      </c>
      <c r="D10429" t="inlineStr">
        <is>
          <t>GÄVLEBORGS LÄN</t>
        </is>
      </c>
      <c r="E10429" t="inlineStr">
        <is>
          <t>SANDVIKEN</t>
        </is>
      </c>
      <c r="F10429" t="inlineStr">
        <is>
          <t>Kommuner</t>
        </is>
      </c>
      <c r="G10429" t="n">
        <v>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17620-2024</t>
        </is>
      </c>
      <c r="B10430" s="1" t="n">
        <v>45417</v>
      </c>
      <c r="C10430" s="1" t="n">
        <v>45587</v>
      </c>
      <c r="D10430" t="inlineStr">
        <is>
          <t>GÄVLEBORGS LÄN</t>
        </is>
      </c>
      <c r="E10430" t="inlineStr">
        <is>
          <t>SÖDERHAMN</t>
        </is>
      </c>
      <c r="F10430" t="inlineStr">
        <is>
          <t>Bergvik skog väst AB</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17625-2024</t>
        </is>
      </c>
      <c r="B10431" s="1" t="n">
        <v>45417</v>
      </c>
      <c r="C10431" s="1" t="n">
        <v>45587</v>
      </c>
      <c r="D10431" t="inlineStr">
        <is>
          <t>GÄVLEBORGS LÄN</t>
        </is>
      </c>
      <c r="E10431" t="inlineStr">
        <is>
          <t>OVANÅKER</t>
        </is>
      </c>
      <c r="G10431" t="n">
        <v>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17735-2024</t>
        </is>
      </c>
      <c r="B10432" s="1" t="n">
        <v>45418</v>
      </c>
      <c r="C10432" s="1" t="n">
        <v>45587</v>
      </c>
      <c r="D10432" t="inlineStr">
        <is>
          <t>GÄVLEBORGS LÄN</t>
        </is>
      </c>
      <c r="E10432" t="inlineStr">
        <is>
          <t>SANDVIKEN</t>
        </is>
      </c>
      <c r="G10432" t="n">
        <v>5.1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17756-2024</t>
        </is>
      </c>
      <c r="B10433" s="1" t="n">
        <v>45418</v>
      </c>
      <c r="C10433" s="1" t="n">
        <v>45587</v>
      </c>
      <c r="D10433" t="inlineStr">
        <is>
          <t>GÄVLEBORGS LÄN</t>
        </is>
      </c>
      <c r="E10433" t="inlineStr">
        <is>
          <t>OVANÅKER</t>
        </is>
      </c>
      <c r="F10433" t="inlineStr">
        <is>
          <t>Bergvik skog öst AB</t>
        </is>
      </c>
      <c r="G10433" t="n">
        <v>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17758-2024</t>
        </is>
      </c>
      <c r="B10434" s="1" t="n">
        <v>45418</v>
      </c>
      <c r="C10434" s="1" t="n">
        <v>45587</v>
      </c>
      <c r="D10434" t="inlineStr">
        <is>
          <t>GÄVLEBORGS LÄN</t>
        </is>
      </c>
      <c r="E10434" t="inlineStr">
        <is>
          <t>SANDVIKEN</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17705-2024</t>
        </is>
      </c>
      <c r="B10435" s="1" t="n">
        <v>45418</v>
      </c>
      <c r="C10435" s="1" t="n">
        <v>45587</v>
      </c>
      <c r="D10435" t="inlineStr">
        <is>
          <t>GÄVLEBORGS LÄN</t>
        </is>
      </c>
      <c r="E10435" t="inlineStr">
        <is>
          <t>SÖDERHAMN</t>
        </is>
      </c>
      <c r="G10435" t="n">
        <v>27.5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17738-2024</t>
        </is>
      </c>
      <c r="B10436" s="1" t="n">
        <v>45418</v>
      </c>
      <c r="C10436" s="1" t="n">
        <v>45587</v>
      </c>
      <c r="D10436" t="inlineStr">
        <is>
          <t>GÄVLEBORGS LÄN</t>
        </is>
      </c>
      <c r="E10436" t="inlineStr">
        <is>
          <t>NORDANSTIG</t>
        </is>
      </c>
      <c r="F10436" t="inlineStr">
        <is>
          <t>Holmen skog AB</t>
        </is>
      </c>
      <c r="G10436" t="n">
        <v>10.7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17755-2024</t>
        </is>
      </c>
      <c r="B10437" s="1" t="n">
        <v>45418</v>
      </c>
      <c r="C10437" s="1" t="n">
        <v>45587</v>
      </c>
      <c r="D10437" t="inlineStr">
        <is>
          <t>GÄVLEBORGS LÄN</t>
        </is>
      </c>
      <c r="E10437" t="inlineStr">
        <is>
          <t>HUDIKSVALL</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17947-2024</t>
        </is>
      </c>
      <c r="B10438" s="1" t="n">
        <v>45419</v>
      </c>
      <c r="C10438" s="1" t="n">
        <v>45587</v>
      </c>
      <c r="D10438" t="inlineStr">
        <is>
          <t>GÄVLEBORGS LÄN</t>
        </is>
      </c>
      <c r="E10438" t="inlineStr">
        <is>
          <t>HUDIKSVALL</t>
        </is>
      </c>
      <c r="G10438" t="n">
        <v>5.6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17951-2024</t>
        </is>
      </c>
      <c r="B10439" s="1" t="n">
        <v>45419</v>
      </c>
      <c r="C10439" s="1" t="n">
        <v>45587</v>
      </c>
      <c r="D10439" t="inlineStr">
        <is>
          <t>GÄVLEBORGS LÄN</t>
        </is>
      </c>
      <c r="E10439" t="inlineStr">
        <is>
          <t>HUDIKSVALL</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17831-2024</t>
        </is>
      </c>
      <c r="B10440" s="1" t="n">
        <v>45419</v>
      </c>
      <c r="C10440" s="1" t="n">
        <v>45587</v>
      </c>
      <c r="D10440" t="inlineStr">
        <is>
          <t>GÄVLEBORGS LÄN</t>
        </is>
      </c>
      <c r="E10440" t="inlineStr">
        <is>
          <t>OVANÅKER</t>
        </is>
      </c>
      <c r="F10440" t="inlineStr">
        <is>
          <t>Bergvik skog öst AB</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17833-2024</t>
        </is>
      </c>
      <c r="B10441" s="1" t="n">
        <v>45419</v>
      </c>
      <c r="C10441" s="1" t="n">
        <v>45587</v>
      </c>
      <c r="D10441" t="inlineStr">
        <is>
          <t>GÄVLEBORGS LÄN</t>
        </is>
      </c>
      <c r="E10441" t="inlineStr">
        <is>
          <t>OVANÅKER</t>
        </is>
      </c>
      <c r="F10441" t="inlineStr">
        <is>
          <t>Bergvik skog öst AB</t>
        </is>
      </c>
      <c r="G10441" t="n">
        <v>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17941-2024</t>
        </is>
      </c>
      <c r="B10442" s="1" t="n">
        <v>45419</v>
      </c>
      <c r="C10442" s="1" t="n">
        <v>45587</v>
      </c>
      <c r="D10442" t="inlineStr">
        <is>
          <t>GÄVLEBORGS LÄN</t>
        </is>
      </c>
      <c r="E10442" t="inlineStr">
        <is>
          <t>HUDIKSVALL</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17999-2024</t>
        </is>
      </c>
      <c r="B10443" s="1" t="n">
        <v>45420</v>
      </c>
      <c r="C10443" s="1" t="n">
        <v>45587</v>
      </c>
      <c r="D10443" t="inlineStr">
        <is>
          <t>GÄVLEBORGS LÄN</t>
        </is>
      </c>
      <c r="E10443" t="inlineStr">
        <is>
          <t>OVANÅKER</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17887-2024</t>
        </is>
      </c>
      <c r="B10444" s="1" t="n">
        <v>45419</v>
      </c>
      <c r="C10444" s="1" t="n">
        <v>45587</v>
      </c>
      <c r="D10444" t="inlineStr">
        <is>
          <t>GÄVLEBORGS LÄN</t>
        </is>
      </c>
      <c r="E10444" t="inlineStr">
        <is>
          <t>NORDANSTIG</t>
        </is>
      </c>
      <c r="F10444" t="inlineStr">
        <is>
          <t>Holmen skog AB</t>
        </is>
      </c>
      <c r="G10444" t="n">
        <v>3.5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17939-2024</t>
        </is>
      </c>
      <c r="B10445" s="1" t="n">
        <v>45419</v>
      </c>
      <c r="C10445" s="1" t="n">
        <v>45587</v>
      </c>
      <c r="D10445" t="inlineStr">
        <is>
          <t>GÄVLEBORGS LÄN</t>
        </is>
      </c>
      <c r="E10445" t="inlineStr">
        <is>
          <t>HUDIKSVALL</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17997-2024</t>
        </is>
      </c>
      <c r="B10446" s="1" t="n">
        <v>45420</v>
      </c>
      <c r="C10446" s="1" t="n">
        <v>45587</v>
      </c>
      <c r="D10446" t="inlineStr">
        <is>
          <t>GÄVLEBORGS LÄN</t>
        </is>
      </c>
      <c r="E10446" t="inlineStr">
        <is>
          <t>OVANÅKER</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17949-2024</t>
        </is>
      </c>
      <c r="B10447" s="1" t="n">
        <v>45419</v>
      </c>
      <c r="C10447" s="1" t="n">
        <v>45587</v>
      </c>
      <c r="D10447" t="inlineStr">
        <is>
          <t>GÄVLEBORGS LÄN</t>
        </is>
      </c>
      <c r="E10447" t="inlineStr">
        <is>
          <t>HUDIKSVALL</t>
        </is>
      </c>
      <c r="G10447" t="n">
        <v>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17998-2024</t>
        </is>
      </c>
      <c r="B10448" s="1" t="n">
        <v>45420</v>
      </c>
      <c r="C10448" s="1" t="n">
        <v>45587</v>
      </c>
      <c r="D10448" t="inlineStr">
        <is>
          <t>GÄVLEBORGS LÄN</t>
        </is>
      </c>
      <c r="E10448" t="inlineStr">
        <is>
          <t>OVANÅKER</t>
        </is>
      </c>
      <c r="G10448" t="n">
        <v>8.699999999999999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18041-2024</t>
        </is>
      </c>
      <c r="B10449" s="1" t="n">
        <v>45420</v>
      </c>
      <c r="C10449" s="1" t="n">
        <v>45587</v>
      </c>
      <c r="D10449" t="inlineStr">
        <is>
          <t>GÄVLEBORGS LÄN</t>
        </is>
      </c>
      <c r="E10449" t="inlineStr">
        <is>
          <t>SÖDERHAMN</t>
        </is>
      </c>
      <c r="F10449" t="inlineStr">
        <is>
          <t>Bergvik skog väst AB</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18078-2024</t>
        </is>
      </c>
      <c r="B10450" s="1" t="n">
        <v>45420</v>
      </c>
      <c r="C10450" s="1" t="n">
        <v>45587</v>
      </c>
      <c r="D10450" t="inlineStr">
        <is>
          <t>GÄVLEBORGS LÄN</t>
        </is>
      </c>
      <c r="E10450" t="inlineStr">
        <is>
          <t>LJUSDAL</t>
        </is>
      </c>
      <c r="F10450" t="inlineStr">
        <is>
          <t>Holmen skog AB</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18016-2024</t>
        </is>
      </c>
      <c r="B10451" s="1" t="n">
        <v>45420</v>
      </c>
      <c r="C10451" s="1" t="n">
        <v>45587</v>
      </c>
      <c r="D10451" t="inlineStr">
        <is>
          <t>GÄVLEBORGS LÄN</t>
        </is>
      </c>
      <c r="E10451" t="inlineStr">
        <is>
          <t>OVANÅKER</t>
        </is>
      </c>
      <c r="G10451" t="n">
        <v>5.1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18061-2024</t>
        </is>
      </c>
      <c r="B10452" s="1" t="n">
        <v>45420</v>
      </c>
      <c r="C10452" s="1" t="n">
        <v>45587</v>
      </c>
      <c r="D10452" t="inlineStr">
        <is>
          <t>GÄVLEBORGS LÄN</t>
        </is>
      </c>
      <c r="E10452" t="inlineStr">
        <is>
          <t>LJUSDAL</t>
        </is>
      </c>
      <c r="G10452" t="n">
        <v>5.1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18097-2024</t>
        </is>
      </c>
      <c r="B10453" s="1" t="n">
        <v>45420</v>
      </c>
      <c r="C10453" s="1" t="n">
        <v>45587</v>
      </c>
      <c r="D10453" t="inlineStr">
        <is>
          <t>GÄVLEBORGS LÄN</t>
        </is>
      </c>
      <c r="E10453" t="inlineStr">
        <is>
          <t>SÖDERHAMN</t>
        </is>
      </c>
      <c r="F10453" t="inlineStr">
        <is>
          <t>Bergvik skog väst AB</t>
        </is>
      </c>
      <c r="G10453" t="n">
        <v>8.4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18130-2024</t>
        </is>
      </c>
      <c r="B10454" s="1" t="n">
        <v>45420</v>
      </c>
      <c r="C10454" s="1" t="n">
        <v>45587</v>
      </c>
      <c r="D10454" t="inlineStr">
        <is>
          <t>GÄVLEBORGS LÄN</t>
        </is>
      </c>
      <c r="E10454" t="inlineStr">
        <is>
          <t>LJUSDAL</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18158-2024</t>
        </is>
      </c>
      <c r="B10455" s="1" t="n">
        <v>45420</v>
      </c>
      <c r="C10455" s="1" t="n">
        <v>45587</v>
      </c>
      <c r="D10455" t="inlineStr">
        <is>
          <t>GÄVLEBORGS LÄN</t>
        </is>
      </c>
      <c r="E10455" t="inlineStr">
        <is>
          <t>LJUSDAL</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18166-2024</t>
        </is>
      </c>
      <c r="B10456" s="1" t="n">
        <v>45420</v>
      </c>
      <c r="C10456" s="1" t="n">
        <v>45587</v>
      </c>
      <c r="D10456" t="inlineStr">
        <is>
          <t>GÄVLEBORGS LÄN</t>
        </is>
      </c>
      <c r="E10456" t="inlineStr">
        <is>
          <t>LJUSDAL</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18194-2024</t>
        </is>
      </c>
      <c r="B10457" s="1" t="n">
        <v>45420</v>
      </c>
      <c r="C10457" s="1" t="n">
        <v>45587</v>
      </c>
      <c r="D10457" t="inlineStr">
        <is>
          <t>GÄVLEBORGS LÄN</t>
        </is>
      </c>
      <c r="E10457" t="inlineStr">
        <is>
          <t>OVANÅKER</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18218-2024</t>
        </is>
      </c>
      <c r="B10458" s="1" t="n">
        <v>45420</v>
      </c>
      <c r="C10458" s="1" t="n">
        <v>45587</v>
      </c>
      <c r="D10458" t="inlineStr">
        <is>
          <t>GÄVLEBORGS LÄN</t>
        </is>
      </c>
      <c r="E10458" t="inlineStr">
        <is>
          <t>GÄVLE</t>
        </is>
      </c>
      <c r="F10458" t="inlineStr">
        <is>
          <t>Bergvik skog väst AB</t>
        </is>
      </c>
      <c r="G10458" t="n">
        <v>13.1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18015-2024</t>
        </is>
      </c>
      <c r="B10459" s="1" t="n">
        <v>45420</v>
      </c>
      <c r="C10459" s="1" t="n">
        <v>45587</v>
      </c>
      <c r="D10459" t="inlineStr">
        <is>
          <t>GÄVLEBORGS LÄN</t>
        </is>
      </c>
      <c r="E10459" t="inlineStr">
        <is>
          <t>OVANÅKER</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18031-2024</t>
        </is>
      </c>
      <c r="B10460" s="1" t="n">
        <v>45420</v>
      </c>
      <c r="C10460" s="1" t="n">
        <v>45587</v>
      </c>
      <c r="D10460" t="inlineStr">
        <is>
          <t>GÄVLEBORGS LÄN</t>
        </is>
      </c>
      <c r="E10460" t="inlineStr">
        <is>
          <t>SÖDERHAMN</t>
        </is>
      </c>
      <c r="F10460" t="inlineStr">
        <is>
          <t>Bergvik skog väst AB</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18092-2024</t>
        </is>
      </c>
      <c r="B10461" s="1" t="n">
        <v>45420</v>
      </c>
      <c r="C10461" s="1" t="n">
        <v>45587</v>
      </c>
      <c r="D10461" t="inlineStr">
        <is>
          <t>GÄVLEBORGS LÄN</t>
        </is>
      </c>
      <c r="E10461" t="inlineStr">
        <is>
          <t>SÖDERHAMN</t>
        </is>
      </c>
      <c r="F10461" t="inlineStr">
        <is>
          <t>Bergvik skog väst AB</t>
        </is>
      </c>
      <c r="G10461" t="n">
        <v>5.5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18169-2024</t>
        </is>
      </c>
      <c r="B10462" s="1" t="n">
        <v>45420</v>
      </c>
      <c r="C10462" s="1" t="n">
        <v>45587</v>
      </c>
      <c r="D10462" t="inlineStr">
        <is>
          <t>GÄVLEBORGS LÄN</t>
        </is>
      </c>
      <c r="E10462" t="inlineStr">
        <is>
          <t>LJUSDAL</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18177-2024</t>
        </is>
      </c>
      <c r="B10463" s="1" t="n">
        <v>45420</v>
      </c>
      <c r="C10463" s="1" t="n">
        <v>45587</v>
      </c>
      <c r="D10463" t="inlineStr">
        <is>
          <t>GÄVLEBORGS LÄN</t>
        </is>
      </c>
      <c r="E10463" t="inlineStr">
        <is>
          <t>BOLLNÄS</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18156-2024</t>
        </is>
      </c>
      <c r="B10464" s="1" t="n">
        <v>45420</v>
      </c>
      <c r="C10464" s="1" t="n">
        <v>45587</v>
      </c>
      <c r="D10464" t="inlineStr">
        <is>
          <t>GÄVLEBORGS LÄN</t>
        </is>
      </c>
      <c r="E10464" t="inlineStr">
        <is>
          <t>OVANÅKER</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18189-2024</t>
        </is>
      </c>
      <c r="B10465" s="1" t="n">
        <v>45420</v>
      </c>
      <c r="C10465" s="1" t="n">
        <v>45587</v>
      </c>
      <c r="D10465" t="inlineStr">
        <is>
          <t>GÄVLEBORGS LÄN</t>
        </is>
      </c>
      <c r="E10465" t="inlineStr">
        <is>
          <t>SÖDERHAMN</t>
        </is>
      </c>
      <c r="F10465" t="inlineStr">
        <is>
          <t>Bergvik skog väst AB</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18197-2024</t>
        </is>
      </c>
      <c r="B10466" s="1" t="n">
        <v>45420</v>
      </c>
      <c r="C10466" s="1" t="n">
        <v>45587</v>
      </c>
      <c r="D10466" t="inlineStr">
        <is>
          <t>GÄVLEBORGS LÄN</t>
        </is>
      </c>
      <c r="E10466" t="inlineStr">
        <is>
          <t>OVANÅKER</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18217-2024</t>
        </is>
      </c>
      <c r="B10467" s="1" t="n">
        <v>45420</v>
      </c>
      <c r="C10467" s="1" t="n">
        <v>45587</v>
      </c>
      <c r="D10467" t="inlineStr">
        <is>
          <t>GÄVLEBORGS LÄN</t>
        </is>
      </c>
      <c r="E10467" t="inlineStr">
        <is>
          <t>GÄVLE</t>
        </is>
      </c>
      <c r="F10467" t="inlineStr">
        <is>
          <t>Bergvik skog väst AB</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18221-2024</t>
        </is>
      </c>
      <c r="B10468" s="1" t="n">
        <v>45421</v>
      </c>
      <c r="C10468" s="1" t="n">
        <v>45587</v>
      </c>
      <c r="D10468" t="inlineStr">
        <is>
          <t>GÄVLEBORGS LÄN</t>
        </is>
      </c>
      <c r="E10468" t="inlineStr">
        <is>
          <t>LJUSDAL</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18216-2024</t>
        </is>
      </c>
      <c r="B10469" s="1" t="n">
        <v>45420</v>
      </c>
      <c r="C10469" s="1" t="n">
        <v>45587</v>
      </c>
      <c r="D10469" t="inlineStr">
        <is>
          <t>GÄVLEBORGS LÄN</t>
        </is>
      </c>
      <c r="E10469" t="inlineStr">
        <is>
          <t>GÄVLE</t>
        </is>
      </c>
      <c r="F10469" t="inlineStr">
        <is>
          <t>Bergvik skog väst AB</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18071-2024</t>
        </is>
      </c>
      <c r="B10470" s="1" t="n">
        <v>45420</v>
      </c>
      <c r="C10470" s="1" t="n">
        <v>45587</v>
      </c>
      <c r="D10470" t="inlineStr">
        <is>
          <t>GÄVLEBORGS LÄN</t>
        </is>
      </c>
      <c r="E10470" t="inlineStr">
        <is>
          <t>SÖDERHAMN</t>
        </is>
      </c>
      <c r="F10470" t="inlineStr">
        <is>
          <t>Bergvik skog väst AB</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18099-2024</t>
        </is>
      </c>
      <c r="B10471" s="1" t="n">
        <v>45420</v>
      </c>
      <c r="C10471" s="1" t="n">
        <v>45587</v>
      </c>
      <c r="D10471" t="inlineStr">
        <is>
          <t>GÄVLEBORGS LÄN</t>
        </is>
      </c>
      <c r="E10471" t="inlineStr">
        <is>
          <t>SÖDERHAMN</t>
        </is>
      </c>
      <c r="F10471" t="inlineStr">
        <is>
          <t>Bergvik skog väst AB</t>
        </is>
      </c>
      <c r="G10471" t="n">
        <v>4.8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18111-2024</t>
        </is>
      </c>
      <c r="B10472" s="1" t="n">
        <v>45420</v>
      </c>
      <c r="C10472" s="1" t="n">
        <v>45587</v>
      </c>
      <c r="D10472" t="inlineStr">
        <is>
          <t>GÄVLEBORGS LÄN</t>
        </is>
      </c>
      <c r="E10472" t="inlineStr">
        <is>
          <t>LJUSDAL</t>
        </is>
      </c>
      <c r="F10472" t="inlineStr">
        <is>
          <t>Holmen skog AB</t>
        </is>
      </c>
      <c r="G10472" t="n">
        <v>5.7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18151-2024</t>
        </is>
      </c>
      <c r="B10473" s="1" t="n">
        <v>45420</v>
      </c>
      <c r="C10473" s="1" t="n">
        <v>45587</v>
      </c>
      <c r="D10473" t="inlineStr">
        <is>
          <t>GÄVLEBORGS LÄN</t>
        </is>
      </c>
      <c r="E10473" t="inlineStr">
        <is>
          <t>BOLLNÄS</t>
        </is>
      </c>
      <c r="G10473" t="n">
        <v>7.2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18250-2024</t>
        </is>
      </c>
      <c r="B10474" s="1" t="n">
        <v>45421</v>
      </c>
      <c r="C10474" s="1" t="n">
        <v>45587</v>
      </c>
      <c r="D10474" t="inlineStr">
        <is>
          <t>GÄVLEBORGS LÄN</t>
        </is>
      </c>
      <c r="E10474" t="inlineStr">
        <is>
          <t>LJUSDAL</t>
        </is>
      </c>
      <c r="F10474" t="inlineStr">
        <is>
          <t>Sveaskog</t>
        </is>
      </c>
      <c r="G10474" t="n">
        <v>7.2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18244-2024</t>
        </is>
      </c>
      <c r="B10475" s="1" t="n">
        <v>45421</v>
      </c>
      <c r="C10475" s="1" t="n">
        <v>45587</v>
      </c>
      <c r="D10475" t="inlineStr">
        <is>
          <t>GÄVLEBORGS LÄN</t>
        </is>
      </c>
      <c r="E10475" t="inlineStr">
        <is>
          <t>OVANÅKER</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18243-2024</t>
        </is>
      </c>
      <c r="B10476" s="1" t="n">
        <v>45421</v>
      </c>
      <c r="C10476" s="1" t="n">
        <v>45587</v>
      </c>
      <c r="D10476" t="inlineStr">
        <is>
          <t>GÄVLEBORGS LÄN</t>
        </is>
      </c>
      <c r="E10476" t="inlineStr">
        <is>
          <t>OVANÅKER</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18247-2024</t>
        </is>
      </c>
      <c r="B10477" s="1" t="n">
        <v>45421</v>
      </c>
      <c r="C10477" s="1" t="n">
        <v>45587</v>
      </c>
      <c r="D10477" t="inlineStr">
        <is>
          <t>GÄVLEBORGS LÄN</t>
        </is>
      </c>
      <c r="E10477" t="inlineStr">
        <is>
          <t>HUDIKSVALL</t>
        </is>
      </c>
      <c r="G10477" t="n">
        <v>9.5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18255-2024</t>
        </is>
      </c>
      <c r="B10478" s="1" t="n">
        <v>45421</v>
      </c>
      <c r="C10478" s="1" t="n">
        <v>45587</v>
      </c>
      <c r="D10478" t="inlineStr">
        <is>
          <t>GÄVLEBORGS LÄN</t>
        </is>
      </c>
      <c r="E10478" t="inlineStr">
        <is>
          <t>OVANÅKER</t>
        </is>
      </c>
      <c r="G10478" t="n">
        <v>3.1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18334-2024</t>
        </is>
      </c>
      <c r="B10479" s="1" t="n">
        <v>45422</v>
      </c>
      <c r="C10479" s="1" t="n">
        <v>45587</v>
      </c>
      <c r="D10479" t="inlineStr">
        <is>
          <t>GÄVLEBORGS LÄN</t>
        </is>
      </c>
      <c r="E10479" t="inlineStr">
        <is>
          <t>BOLLNÄS</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18322-2024</t>
        </is>
      </c>
      <c r="B10480" s="1" t="n">
        <v>45422</v>
      </c>
      <c r="C10480" s="1" t="n">
        <v>45587</v>
      </c>
      <c r="D10480" t="inlineStr">
        <is>
          <t>GÄVLEBORGS LÄN</t>
        </is>
      </c>
      <c r="E10480" t="inlineStr">
        <is>
          <t>NORDANSTIG</t>
        </is>
      </c>
      <c r="F10480" t="inlineStr">
        <is>
          <t>Holmen skog AB</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18361-2024</t>
        </is>
      </c>
      <c r="B10481" s="1" t="n">
        <v>45422</v>
      </c>
      <c r="C10481" s="1" t="n">
        <v>45587</v>
      </c>
      <c r="D10481" t="inlineStr">
        <is>
          <t>GÄVLEBORGS LÄN</t>
        </is>
      </c>
      <c r="E10481" t="inlineStr">
        <is>
          <t>SANDVIKEN</t>
        </is>
      </c>
      <c r="F10481" t="inlineStr">
        <is>
          <t>Bergvik skog väst AB</t>
        </is>
      </c>
      <c r="G10481" t="n">
        <v>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18357-2024</t>
        </is>
      </c>
      <c r="B10482" s="1" t="n">
        <v>45422</v>
      </c>
      <c r="C10482" s="1" t="n">
        <v>45587</v>
      </c>
      <c r="D10482" t="inlineStr">
        <is>
          <t>GÄVLEBORGS LÄN</t>
        </is>
      </c>
      <c r="E10482" t="inlineStr">
        <is>
          <t>LJUSDAL</t>
        </is>
      </c>
      <c r="G10482" t="n">
        <v>3.8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18332-2024</t>
        </is>
      </c>
      <c r="B10483" s="1" t="n">
        <v>45422</v>
      </c>
      <c r="C10483" s="1" t="n">
        <v>45587</v>
      </c>
      <c r="D10483" t="inlineStr">
        <is>
          <t>GÄVLEBORGS LÄN</t>
        </is>
      </c>
      <c r="E10483" t="inlineStr">
        <is>
          <t>NORDANSTIG</t>
        </is>
      </c>
      <c r="F10483" t="inlineStr">
        <is>
          <t>Holmen skog AB</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18341-2024</t>
        </is>
      </c>
      <c r="B10484" s="1" t="n">
        <v>45422</v>
      </c>
      <c r="C10484" s="1" t="n">
        <v>45587</v>
      </c>
      <c r="D10484" t="inlineStr">
        <is>
          <t>GÄVLEBORGS LÄN</t>
        </is>
      </c>
      <c r="E10484" t="inlineStr">
        <is>
          <t>BOLLNÄS</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18297-2024</t>
        </is>
      </c>
      <c r="B10485" s="1" t="n">
        <v>45422</v>
      </c>
      <c r="C10485" s="1" t="n">
        <v>45587</v>
      </c>
      <c r="D10485" t="inlineStr">
        <is>
          <t>GÄVLEBORGS LÄN</t>
        </is>
      </c>
      <c r="E10485" t="inlineStr">
        <is>
          <t>LJUSDAL</t>
        </is>
      </c>
      <c r="F10485" t="inlineStr">
        <is>
          <t>Holmen skog AB</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18374-2024</t>
        </is>
      </c>
      <c r="B10486" s="1" t="n">
        <v>45423</v>
      </c>
      <c r="C10486" s="1" t="n">
        <v>45587</v>
      </c>
      <c r="D10486" t="inlineStr">
        <is>
          <t>GÄVLEBORGS LÄN</t>
        </is>
      </c>
      <c r="E10486" t="inlineStr">
        <is>
          <t>LJUSDAL</t>
        </is>
      </c>
      <c r="G10486" t="n">
        <v>8.6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18377-2024</t>
        </is>
      </c>
      <c r="B10487" s="1" t="n">
        <v>45423</v>
      </c>
      <c r="C10487" s="1" t="n">
        <v>45587</v>
      </c>
      <c r="D10487" t="inlineStr">
        <is>
          <t>GÄVLEBORGS LÄN</t>
        </is>
      </c>
      <c r="E10487" t="inlineStr">
        <is>
          <t>GÄVLE</t>
        </is>
      </c>
      <c r="F10487" t="inlineStr">
        <is>
          <t>Bergvik skog väst AB</t>
        </is>
      </c>
      <c r="G10487" t="n">
        <v>4.5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18375-2024</t>
        </is>
      </c>
      <c r="B10488" s="1" t="n">
        <v>45423</v>
      </c>
      <c r="C10488" s="1" t="n">
        <v>45587</v>
      </c>
      <c r="D10488" t="inlineStr">
        <is>
          <t>GÄVLEBORGS LÄN</t>
        </is>
      </c>
      <c r="E10488" t="inlineStr">
        <is>
          <t>LJUSDAL</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18455-2024</t>
        </is>
      </c>
      <c r="B10489" s="1" t="n">
        <v>45425</v>
      </c>
      <c r="C10489" s="1" t="n">
        <v>45587</v>
      </c>
      <c r="D10489" t="inlineStr">
        <is>
          <t>GÄVLEBORGS LÄN</t>
        </is>
      </c>
      <c r="E10489" t="inlineStr">
        <is>
          <t>GÄVLE</t>
        </is>
      </c>
      <c r="F10489" t="inlineStr">
        <is>
          <t>Bergvik skog väst AB</t>
        </is>
      </c>
      <c r="G10489" t="n">
        <v>3.8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18471-2024</t>
        </is>
      </c>
      <c r="B10490" s="1" t="n">
        <v>45425</v>
      </c>
      <c r="C10490" s="1" t="n">
        <v>45587</v>
      </c>
      <c r="D10490" t="inlineStr">
        <is>
          <t>GÄVLEBORGS LÄN</t>
        </is>
      </c>
      <c r="E10490" t="inlineStr">
        <is>
          <t>SÖDERHAMN</t>
        </is>
      </c>
      <c r="F10490" t="inlineStr">
        <is>
          <t>Bergvik skog väst AB</t>
        </is>
      </c>
      <c r="G10490" t="n">
        <v>3.3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18488-2024</t>
        </is>
      </c>
      <c r="B10491" s="1" t="n">
        <v>45425</v>
      </c>
      <c r="C10491" s="1" t="n">
        <v>45587</v>
      </c>
      <c r="D10491" t="inlineStr">
        <is>
          <t>GÄVLEBORGS LÄN</t>
        </is>
      </c>
      <c r="E10491" t="inlineStr">
        <is>
          <t>LJUSDAL</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18492-2024</t>
        </is>
      </c>
      <c r="B10492" s="1" t="n">
        <v>45425</v>
      </c>
      <c r="C10492" s="1" t="n">
        <v>45587</v>
      </c>
      <c r="D10492" t="inlineStr">
        <is>
          <t>GÄVLEBORGS LÄN</t>
        </is>
      </c>
      <c r="E10492" t="inlineStr">
        <is>
          <t>SÖDERHAMN</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18505-2024</t>
        </is>
      </c>
      <c r="B10493" s="1" t="n">
        <v>45425</v>
      </c>
      <c r="C10493" s="1" t="n">
        <v>45587</v>
      </c>
      <c r="D10493" t="inlineStr">
        <is>
          <t>GÄVLEBORGS LÄN</t>
        </is>
      </c>
      <c r="E10493" t="inlineStr">
        <is>
          <t>SÖDERHAMN</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18611-2024</t>
        </is>
      </c>
      <c r="B10494" s="1" t="n">
        <v>45426</v>
      </c>
      <c r="C10494" s="1" t="n">
        <v>45587</v>
      </c>
      <c r="D10494" t="inlineStr">
        <is>
          <t>GÄVLEBORGS LÄN</t>
        </is>
      </c>
      <c r="E10494" t="inlineStr">
        <is>
          <t>LJUSDAL</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18433-2024</t>
        </is>
      </c>
      <c r="B10495" s="1" t="n">
        <v>45425</v>
      </c>
      <c r="C10495" s="1" t="n">
        <v>45587</v>
      </c>
      <c r="D10495" t="inlineStr">
        <is>
          <t>GÄVLEBORGS LÄN</t>
        </is>
      </c>
      <c r="E10495" t="inlineStr">
        <is>
          <t>SÖDERHAMN</t>
        </is>
      </c>
      <c r="G10495" t="n">
        <v>2.8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18441-2024</t>
        </is>
      </c>
      <c r="B10496" s="1" t="n">
        <v>45425</v>
      </c>
      <c r="C10496" s="1" t="n">
        <v>45587</v>
      </c>
      <c r="D10496" t="inlineStr">
        <is>
          <t>GÄVLEBORGS LÄN</t>
        </is>
      </c>
      <c r="E10496" t="inlineStr">
        <is>
          <t>BOLLNÄS</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18457-2024</t>
        </is>
      </c>
      <c r="B10497" s="1" t="n">
        <v>45425</v>
      </c>
      <c r="C10497" s="1" t="n">
        <v>45587</v>
      </c>
      <c r="D10497" t="inlineStr">
        <is>
          <t>GÄVLEBORGS LÄN</t>
        </is>
      </c>
      <c r="E10497" t="inlineStr">
        <is>
          <t>GÄVLE</t>
        </is>
      </c>
      <c r="F10497" t="inlineStr">
        <is>
          <t>Bergvik skog väst AB</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18473-2024</t>
        </is>
      </c>
      <c r="B10498" s="1" t="n">
        <v>45425</v>
      </c>
      <c r="C10498" s="1" t="n">
        <v>45587</v>
      </c>
      <c r="D10498" t="inlineStr">
        <is>
          <t>GÄVLEBORGS LÄN</t>
        </is>
      </c>
      <c r="E10498" t="inlineStr">
        <is>
          <t>NORDANSTIG</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18503-2024</t>
        </is>
      </c>
      <c r="B10499" s="1" t="n">
        <v>45425</v>
      </c>
      <c r="C10499" s="1" t="n">
        <v>45587</v>
      </c>
      <c r="D10499" t="inlineStr">
        <is>
          <t>GÄVLEBORGS LÄN</t>
        </is>
      </c>
      <c r="E10499" t="inlineStr">
        <is>
          <t>SÖDERHAMN</t>
        </is>
      </c>
      <c r="F10499" t="inlineStr">
        <is>
          <t>Bergvik skog väst AB</t>
        </is>
      </c>
      <c r="G10499" t="n">
        <v>8.1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18576-2024</t>
        </is>
      </c>
      <c r="B10500" s="1" t="n">
        <v>45425</v>
      </c>
      <c r="C10500" s="1" t="n">
        <v>45587</v>
      </c>
      <c r="D10500" t="inlineStr">
        <is>
          <t>GÄVLEBORGS LÄN</t>
        </is>
      </c>
      <c r="E10500" t="inlineStr">
        <is>
          <t>LJUSDAL</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18428-2024</t>
        </is>
      </c>
      <c r="B10501" s="1" t="n">
        <v>45425</v>
      </c>
      <c r="C10501" s="1" t="n">
        <v>45587</v>
      </c>
      <c r="D10501" t="inlineStr">
        <is>
          <t>GÄVLEBORGS LÄN</t>
        </is>
      </c>
      <c r="E10501" t="inlineStr">
        <is>
          <t>LJUSDAL</t>
        </is>
      </c>
      <c r="F10501" t="inlineStr">
        <is>
          <t>Sveaskog</t>
        </is>
      </c>
      <c r="G10501" t="n">
        <v>5.5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18432-2024</t>
        </is>
      </c>
      <c r="B10502" s="1" t="n">
        <v>45425</v>
      </c>
      <c r="C10502" s="1" t="n">
        <v>45587</v>
      </c>
      <c r="D10502" t="inlineStr">
        <is>
          <t>GÄVLEBORGS LÄN</t>
        </is>
      </c>
      <c r="E10502" t="inlineStr">
        <is>
          <t>SÖDERHAMN</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18452-2024</t>
        </is>
      </c>
      <c r="B10503" s="1" t="n">
        <v>45425</v>
      </c>
      <c r="C10503" s="1" t="n">
        <v>45587</v>
      </c>
      <c r="D10503" t="inlineStr">
        <is>
          <t>GÄVLEBORGS LÄN</t>
        </is>
      </c>
      <c r="E10503" t="inlineStr">
        <is>
          <t>GÄVLE</t>
        </is>
      </c>
      <c r="F10503" t="inlineStr">
        <is>
          <t>Bergvik skog väst AB</t>
        </is>
      </c>
      <c r="G10503" t="n">
        <v>6.4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18464-2024</t>
        </is>
      </c>
      <c r="B10504" s="1" t="n">
        <v>45425</v>
      </c>
      <c r="C10504" s="1" t="n">
        <v>45587</v>
      </c>
      <c r="D10504" t="inlineStr">
        <is>
          <t>GÄVLEBORGS LÄN</t>
        </is>
      </c>
      <c r="E10504" t="inlineStr">
        <is>
          <t>SÖDERHAMN</t>
        </is>
      </c>
      <c r="F10504" t="inlineStr">
        <is>
          <t>Bergvik skog väst AB</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18493-2024</t>
        </is>
      </c>
      <c r="B10505" s="1" t="n">
        <v>45425</v>
      </c>
      <c r="C10505" s="1" t="n">
        <v>45587</v>
      </c>
      <c r="D10505" t="inlineStr">
        <is>
          <t>GÄVLEBORGS LÄN</t>
        </is>
      </c>
      <c r="E10505" t="inlineStr">
        <is>
          <t>HUDIKSVALL</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18538-2024</t>
        </is>
      </c>
      <c r="B10506" s="1" t="n">
        <v>45425</v>
      </c>
      <c r="C10506" s="1" t="n">
        <v>45587</v>
      </c>
      <c r="D10506" t="inlineStr">
        <is>
          <t>GÄVLEBORGS LÄN</t>
        </is>
      </c>
      <c r="E10506" t="inlineStr">
        <is>
          <t>HUDIKSVALL</t>
        </is>
      </c>
      <c r="F10506" t="inlineStr">
        <is>
          <t>Holmen skog AB</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18546-2024</t>
        </is>
      </c>
      <c r="B10507" s="1" t="n">
        <v>45425</v>
      </c>
      <c r="C10507" s="1" t="n">
        <v>45587</v>
      </c>
      <c r="D10507" t="inlineStr">
        <is>
          <t>GÄVLEBORGS LÄN</t>
        </is>
      </c>
      <c r="E10507" t="inlineStr">
        <is>
          <t>SÖDERHAMN</t>
        </is>
      </c>
      <c r="F10507" t="inlineStr">
        <is>
          <t>Bergvik skog väst AB</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18430-2024</t>
        </is>
      </c>
      <c r="B10508" s="1" t="n">
        <v>45425</v>
      </c>
      <c r="C10508" s="1" t="n">
        <v>45587</v>
      </c>
      <c r="D10508" t="inlineStr">
        <is>
          <t>GÄVLEBORGS LÄN</t>
        </is>
      </c>
      <c r="E10508" t="inlineStr">
        <is>
          <t>SÖDERHAMN</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18438-2024</t>
        </is>
      </c>
      <c r="B10509" s="1" t="n">
        <v>45425</v>
      </c>
      <c r="C10509" s="1" t="n">
        <v>45587</v>
      </c>
      <c r="D10509" t="inlineStr">
        <is>
          <t>GÄVLEBORGS LÄN</t>
        </is>
      </c>
      <c r="E10509" t="inlineStr">
        <is>
          <t>BOLLNÄS</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18608-2024</t>
        </is>
      </c>
      <c r="B10510" s="1" t="n">
        <v>45426</v>
      </c>
      <c r="C10510" s="1" t="n">
        <v>45587</v>
      </c>
      <c r="D10510" t="inlineStr">
        <is>
          <t>GÄVLEBORGS LÄN</t>
        </is>
      </c>
      <c r="E10510" t="inlineStr">
        <is>
          <t>LJUSDAL</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18446-2024</t>
        </is>
      </c>
      <c r="B10511" s="1" t="n">
        <v>45425</v>
      </c>
      <c r="C10511" s="1" t="n">
        <v>45587</v>
      </c>
      <c r="D10511" t="inlineStr">
        <is>
          <t>GÄVLEBORGS LÄN</t>
        </is>
      </c>
      <c r="E10511" t="inlineStr">
        <is>
          <t>LJUSDAL</t>
        </is>
      </c>
      <c r="F10511" t="inlineStr">
        <is>
          <t>Sveaskog</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18450-2024</t>
        </is>
      </c>
      <c r="B10512" s="1" t="n">
        <v>45425</v>
      </c>
      <c r="C10512" s="1" t="n">
        <v>45587</v>
      </c>
      <c r="D10512" t="inlineStr">
        <is>
          <t>GÄVLEBORGS LÄN</t>
        </is>
      </c>
      <c r="E10512" t="inlineStr">
        <is>
          <t>LJUSDAL</t>
        </is>
      </c>
      <c r="F10512" t="inlineStr">
        <is>
          <t>Sveaskog</t>
        </is>
      </c>
      <c r="G10512" t="n">
        <v>5.4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18454-2024</t>
        </is>
      </c>
      <c r="B10513" s="1" t="n">
        <v>45425</v>
      </c>
      <c r="C10513" s="1" t="n">
        <v>45587</v>
      </c>
      <c r="D10513" t="inlineStr">
        <is>
          <t>GÄVLEBORGS LÄN</t>
        </is>
      </c>
      <c r="E10513" t="inlineStr">
        <is>
          <t>GÄVLE</t>
        </is>
      </c>
      <c r="F10513" t="inlineStr">
        <is>
          <t>Bergvik skog väst AB</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18466-2024</t>
        </is>
      </c>
      <c r="B10514" s="1" t="n">
        <v>45425</v>
      </c>
      <c r="C10514" s="1" t="n">
        <v>45587</v>
      </c>
      <c r="D10514" t="inlineStr">
        <is>
          <t>GÄVLEBORGS LÄN</t>
        </is>
      </c>
      <c r="E10514" t="inlineStr">
        <is>
          <t>SÖDERHAMN</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18474-2024</t>
        </is>
      </c>
      <c r="B10515" s="1" t="n">
        <v>45425</v>
      </c>
      <c r="C10515" s="1" t="n">
        <v>45587</v>
      </c>
      <c r="D10515" t="inlineStr">
        <is>
          <t>GÄVLEBORGS LÄN</t>
        </is>
      </c>
      <c r="E10515" t="inlineStr">
        <is>
          <t>NORDANSTIG</t>
        </is>
      </c>
      <c r="G10515" t="n">
        <v>4.4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18479-2024</t>
        </is>
      </c>
      <c r="B10516" s="1" t="n">
        <v>45425</v>
      </c>
      <c r="C10516" s="1" t="n">
        <v>45587</v>
      </c>
      <c r="D10516" t="inlineStr">
        <is>
          <t>GÄVLEBORGS LÄN</t>
        </is>
      </c>
      <c r="E10516" t="inlineStr">
        <is>
          <t>NORDANSTIG</t>
        </is>
      </c>
      <c r="G10516" t="n">
        <v>7.6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18499-2024</t>
        </is>
      </c>
      <c r="B10517" s="1" t="n">
        <v>45425</v>
      </c>
      <c r="C10517" s="1" t="n">
        <v>45587</v>
      </c>
      <c r="D10517" t="inlineStr">
        <is>
          <t>GÄVLEBORGS LÄN</t>
        </is>
      </c>
      <c r="E10517" t="inlineStr">
        <is>
          <t>SÖDERHAMN</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18715-2024</t>
        </is>
      </c>
      <c r="B10518" s="1" t="n">
        <v>45426</v>
      </c>
      <c r="C10518" s="1" t="n">
        <v>45587</v>
      </c>
      <c r="D10518" t="inlineStr">
        <is>
          <t>GÄVLEBORGS LÄN</t>
        </is>
      </c>
      <c r="E10518" t="inlineStr">
        <is>
          <t>SANDVIKEN</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18709-2024</t>
        </is>
      </c>
      <c r="B10519" s="1" t="n">
        <v>45426</v>
      </c>
      <c r="C10519" s="1" t="n">
        <v>45587</v>
      </c>
      <c r="D10519" t="inlineStr">
        <is>
          <t>GÄVLEBORGS LÄN</t>
        </is>
      </c>
      <c r="E10519" t="inlineStr">
        <is>
          <t>HOFORS</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18707-2024</t>
        </is>
      </c>
      <c r="B10520" s="1" t="n">
        <v>45426</v>
      </c>
      <c r="C10520" s="1" t="n">
        <v>45587</v>
      </c>
      <c r="D10520" t="inlineStr">
        <is>
          <t>GÄVLEBORGS LÄN</t>
        </is>
      </c>
      <c r="E10520" t="inlineStr">
        <is>
          <t>SANDVIKEN</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18772-2024</t>
        </is>
      </c>
      <c r="B10521" s="1" t="n">
        <v>45426</v>
      </c>
      <c r="C10521" s="1" t="n">
        <v>45587</v>
      </c>
      <c r="D10521" t="inlineStr">
        <is>
          <t>GÄVLEBORGS LÄN</t>
        </is>
      </c>
      <c r="E10521" t="inlineStr">
        <is>
          <t>BOLLNÄS</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18832-2024</t>
        </is>
      </c>
      <c r="B10522" s="1" t="n">
        <v>45426</v>
      </c>
      <c r="C10522" s="1" t="n">
        <v>45587</v>
      </c>
      <c r="D10522" t="inlineStr">
        <is>
          <t>GÄVLEBORGS LÄN</t>
        </is>
      </c>
      <c r="E10522" t="inlineStr">
        <is>
          <t>HUDIKSVALL</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18734-2024</t>
        </is>
      </c>
      <c r="B10523" s="1" t="n">
        <v>45426</v>
      </c>
      <c r="C10523" s="1" t="n">
        <v>45587</v>
      </c>
      <c r="D10523" t="inlineStr">
        <is>
          <t>GÄVLEBORGS LÄN</t>
        </is>
      </c>
      <c r="E10523" t="inlineStr">
        <is>
          <t>LJUSDAL</t>
        </is>
      </c>
      <c r="F10523" t="inlineStr">
        <is>
          <t>Sveaskog</t>
        </is>
      </c>
      <c r="G10523" t="n">
        <v>3.6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18733-2024</t>
        </is>
      </c>
      <c r="B10524" s="1" t="n">
        <v>45426</v>
      </c>
      <c r="C10524" s="1" t="n">
        <v>45587</v>
      </c>
      <c r="D10524" t="inlineStr">
        <is>
          <t>GÄVLEBORGS LÄN</t>
        </is>
      </c>
      <c r="E10524" t="inlineStr">
        <is>
          <t>LJUSDAL</t>
        </is>
      </c>
      <c r="F10524" t="inlineStr">
        <is>
          <t>Sveaskog</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18761-2024</t>
        </is>
      </c>
      <c r="B10525" s="1" t="n">
        <v>45426</v>
      </c>
      <c r="C10525" s="1" t="n">
        <v>45587</v>
      </c>
      <c r="D10525" t="inlineStr">
        <is>
          <t>GÄVLEBORGS LÄN</t>
        </is>
      </c>
      <c r="E10525" t="inlineStr">
        <is>
          <t>NORDANSTIG</t>
        </is>
      </c>
      <c r="F10525" t="inlineStr">
        <is>
          <t>Holmen skog AB</t>
        </is>
      </c>
      <c r="G10525" t="n">
        <v>7.5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18797-2024</t>
        </is>
      </c>
      <c r="B10526" s="1" t="n">
        <v>45426</v>
      </c>
      <c r="C10526" s="1" t="n">
        <v>45587</v>
      </c>
      <c r="D10526" t="inlineStr">
        <is>
          <t>GÄVLEBORGS LÄN</t>
        </is>
      </c>
      <c r="E10526" t="inlineStr">
        <is>
          <t>BOLLNÄS</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18825-2024</t>
        </is>
      </c>
      <c r="B10527" s="1" t="n">
        <v>45426</v>
      </c>
      <c r="C10527" s="1" t="n">
        <v>45587</v>
      </c>
      <c r="D10527" t="inlineStr">
        <is>
          <t>GÄVLEBORGS LÄN</t>
        </is>
      </c>
      <c r="E10527" t="inlineStr">
        <is>
          <t>HUDIKSVALL</t>
        </is>
      </c>
      <c r="G10527" t="n">
        <v>0.3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18865-2024</t>
        </is>
      </c>
      <c r="B10528" s="1" t="n">
        <v>45427</v>
      </c>
      <c r="C10528" s="1" t="n">
        <v>45587</v>
      </c>
      <c r="D10528" t="inlineStr">
        <is>
          <t>GÄVLEBORGS LÄN</t>
        </is>
      </c>
      <c r="E10528" t="inlineStr">
        <is>
          <t>SÖDERHAMN</t>
        </is>
      </c>
      <c r="G10528" t="n">
        <v>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18800-2024</t>
        </is>
      </c>
      <c r="B10529" s="1" t="n">
        <v>45426</v>
      </c>
      <c r="C10529" s="1" t="n">
        <v>45587</v>
      </c>
      <c r="D10529" t="inlineStr">
        <is>
          <t>GÄVLEBORGS LÄN</t>
        </is>
      </c>
      <c r="E10529" t="inlineStr">
        <is>
          <t>SÖDERHAMN</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18804-2024</t>
        </is>
      </c>
      <c r="B10530" s="1" t="n">
        <v>45426</v>
      </c>
      <c r="C10530" s="1" t="n">
        <v>45587</v>
      </c>
      <c r="D10530" t="inlineStr">
        <is>
          <t>GÄVLEBORGS LÄN</t>
        </is>
      </c>
      <c r="E10530" t="inlineStr">
        <is>
          <t>BOLLNÄS</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18829-2024</t>
        </is>
      </c>
      <c r="B10531" s="1" t="n">
        <v>45426</v>
      </c>
      <c r="C10531" s="1" t="n">
        <v>45587</v>
      </c>
      <c r="D10531" t="inlineStr">
        <is>
          <t>GÄVLEBORGS LÄN</t>
        </is>
      </c>
      <c r="E10531" t="inlineStr">
        <is>
          <t>HUDIKSVALL</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18864-2024</t>
        </is>
      </c>
      <c r="B10532" s="1" t="n">
        <v>45427</v>
      </c>
      <c r="C10532" s="1" t="n">
        <v>45587</v>
      </c>
      <c r="D10532" t="inlineStr">
        <is>
          <t>GÄVLEBORGS LÄN</t>
        </is>
      </c>
      <c r="E10532" t="inlineStr">
        <is>
          <t>SÖDERHAMN</t>
        </is>
      </c>
      <c r="G10532" t="n">
        <v>10.9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18706-2024</t>
        </is>
      </c>
      <c r="B10533" s="1" t="n">
        <v>45426</v>
      </c>
      <c r="C10533" s="1" t="n">
        <v>45587</v>
      </c>
      <c r="D10533" t="inlineStr">
        <is>
          <t>GÄVLEBORGS LÄN</t>
        </is>
      </c>
      <c r="E10533" t="inlineStr">
        <is>
          <t>HUDIKSVALL</t>
        </is>
      </c>
      <c r="F10533" t="inlineStr">
        <is>
          <t>Holmen skog AB</t>
        </is>
      </c>
      <c r="G10533" t="n">
        <v>9.199999999999999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18731-2024</t>
        </is>
      </c>
      <c r="B10534" s="1" t="n">
        <v>45426</v>
      </c>
      <c r="C10534" s="1" t="n">
        <v>45587</v>
      </c>
      <c r="D10534" t="inlineStr">
        <is>
          <t>GÄVLEBORGS LÄN</t>
        </is>
      </c>
      <c r="E10534" t="inlineStr">
        <is>
          <t>LJUSDAL</t>
        </is>
      </c>
      <c r="F10534" t="inlineStr">
        <is>
          <t>Sveaskog</t>
        </is>
      </c>
      <c r="G10534" t="n">
        <v>6.8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18747-2024</t>
        </is>
      </c>
      <c r="B10535" s="1" t="n">
        <v>45426</v>
      </c>
      <c r="C10535" s="1" t="n">
        <v>45587</v>
      </c>
      <c r="D10535" t="inlineStr">
        <is>
          <t>GÄVLEBORGS LÄN</t>
        </is>
      </c>
      <c r="E10535" t="inlineStr">
        <is>
          <t>NORDANSTIG</t>
        </is>
      </c>
      <c r="F10535" t="inlineStr">
        <is>
          <t>Holmen skog AB</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18815-2024</t>
        </is>
      </c>
      <c r="B10536" s="1" t="n">
        <v>45426</v>
      </c>
      <c r="C10536" s="1" t="n">
        <v>45587</v>
      </c>
      <c r="D10536" t="inlineStr">
        <is>
          <t>GÄVLEBORGS LÄN</t>
        </is>
      </c>
      <c r="E10536" t="inlineStr">
        <is>
          <t>BOLLNÄS</t>
        </is>
      </c>
      <c r="G10536" t="n">
        <v>6.8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18819-2024</t>
        </is>
      </c>
      <c r="B10537" s="1" t="n">
        <v>45426</v>
      </c>
      <c r="C10537" s="1" t="n">
        <v>45587</v>
      </c>
      <c r="D10537" t="inlineStr">
        <is>
          <t>GÄVLEBORGS LÄN</t>
        </is>
      </c>
      <c r="E10537" t="inlineStr">
        <is>
          <t>BOLLNÄS</t>
        </is>
      </c>
      <c r="G10537" t="n">
        <v>8.199999999999999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18828-2024</t>
        </is>
      </c>
      <c r="B10538" s="1" t="n">
        <v>45426</v>
      </c>
      <c r="C10538" s="1" t="n">
        <v>45587</v>
      </c>
      <c r="D10538" t="inlineStr">
        <is>
          <t>GÄVLEBORGS LÄN</t>
        </is>
      </c>
      <c r="E10538" t="inlineStr">
        <is>
          <t>HUDIKSVALL</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18701-2024</t>
        </is>
      </c>
      <c r="B10539" s="1" t="n">
        <v>45426</v>
      </c>
      <c r="C10539" s="1" t="n">
        <v>45587</v>
      </c>
      <c r="D10539" t="inlineStr">
        <is>
          <t>GÄVLEBORGS LÄN</t>
        </is>
      </c>
      <c r="E10539" t="inlineStr">
        <is>
          <t>NORDANSTIG</t>
        </is>
      </c>
      <c r="F10539" t="inlineStr">
        <is>
          <t>Holmen skog AB</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19014-2024</t>
        </is>
      </c>
      <c r="B10540" s="1" t="n">
        <v>45427</v>
      </c>
      <c r="C10540" s="1" t="n">
        <v>45587</v>
      </c>
      <c r="D10540" t="inlineStr">
        <is>
          <t>GÄVLEBORGS LÄN</t>
        </is>
      </c>
      <c r="E10540" t="inlineStr">
        <is>
          <t>HUDIKSVALL</t>
        </is>
      </c>
      <c r="F10540" t="inlineStr">
        <is>
          <t>Holmen skog AB</t>
        </is>
      </c>
      <c r="G10540" t="n">
        <v>17.7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19042-2024</t>
        </is>
      </c>
      <c r="B10541" s="1" t="n">
        <v>45427</v>
      </c>
      <c r="C10541" s="1" t="n">
        <v>45587</v>
      </c>
      <c r="D10541" t="inlineStr">
        <is>
          <t>GÄVLEBORGS LÄN</t>
        </is>
      </c>
      <c r="E10541" t="inlineStr">
        <is>
          <t>OVANÅKER</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18994-2024</t>
        </is>
      </c>
      <c r="B10542" s="1" t="n">
        <v>45427</v>
      </c>
      <c r="C10542" s="1" t="n">
        <v>45587</v>
      </c>
      <c r="D10542" t="inlineStr">
        <is>
          <t>GÄVLEBORGS LÄN</t>
        </is>
      </c>
      <c r="E10542" t="inlineStr">
        <is>
          <t>HUDIKSVALL</t>
        </is>
      </c>
      <c r="G10542" t="n">
        <v>4.9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18917-2024</t>
        </is>
      </c>
      <c r="B10543" s="1" t="n">
        <v>45427</v>
      </c>
      <c r="C10543" s="1" t="n">
        <v>45587</v>
      </c>
      <c r="D10543" t="inlineStr">
        <is>
          <t>GÄVLEBORGS LÄN</t>
        </is>
      </c>
      <c r="E10543" t="inlineStr">
        <is>
          <t>HUDIKSVALL</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18958-2024</t>
        </is>
      </c>
      <c r="B10544" s="1" t="n">
        <v>45427</v>
      </c>
      <c r="C10544" s="1" t="n">
        <v>45587</v>
      </c>
      <c r="D10544" t="inlineStr">
        <is>
          <t>GÄVLEBORGS LÄN</t>
        </is>
      </c>
      <c r="E10544" t="inlineStr">
        <is>
          <t>LJUSDAL</t>
        </is>
      </c>
      <c r="F10544" t="inlineStr">
        <is>
          <t>Bergvik skog väst AB</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18934-2024</t>
        </is>
      </c>
      <c r="B10545" s="1" t="n">
        <v>45427</v>
      </c>
      <c r="C10545" s="1" t="n">
        <v>45587</v>
      </c>
      <c r="D10545" t="inlineStr">
        <is>
          <t>GÄVLEBORGS LÄN</t>
        </is>
      </c>
      <c r="E10545" t="inlineStr">
        <is>
          <t>LJUSDAL</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19039-2024</t>
        </is>
      </c>
      <c r="B10546" s="1" t="n">
        <v>45427</v>
      </c>
      <c r="C10546" s="1" t="n">
        <v>45587</v>
      </c>
      <c r="D10546" t="inlineStr">
        <is>
          <t>GÄVLEBORGS LÄN</t>
        </is>
      </c>
      <c r="E10546" t="inlineStr">
        <is>
          <t>OVANÅKER</t>
        </is>
      </c>
      <c r="G10546" t="n">
        <v>2.3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18963-2024</t>
        </is>
      </c>
      <c r="B10547" s="1" t="n">
        <v>45427</v>
      </c>
      <c r="C10547" s="1" t="n">
        <v>45587</v>
      </c>
      <c r="D10547" t="inlineStr">
        <is>
          <t>GÄVLEBORGS LÄN</t>
        </is>
      </c>
      <c r="E10547" t="inlineStr">
        <is>
          <t>HOFORS</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18914-2024</t>
        </is>
      </c>
      <c r="B10548" s="1" t="n">
        <v>45427</v>
      </c>
      <c r="C10548" s="1" t="n">
        <v>45587</v>
      </c>
      <c r="D10548" t="inlineStr">
        <is>
          <t>GÄVLEBORGS LÄN</t>
        </is>
      </c>
      <c r="E10548" t="inlineStr">
        <is>
          <t>LJUSDAL</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18960-2024</t>
        </is>
      </c>
      <c r="B10549" s="1" t="n">
        <v>45427</v>
      </c>
      <c r="C10549" s="1" t="n">
        <v>45587</v>
      </c>
      <c r="D10549" t="inlineStr">
        <is>
          <t>GÄVLEBORGS LÄN</t>
        </is>
      </c>
      <c r="E10549" t="inlineStr">
        <is>
          <t>LJUSDAL</t>
        </is>
      </c>
      <c r="F10549" t="inlineStr">
        <is>
          <t>Bergvik skog väst AB</t>
        </is>
      </c>
      <c r="G10549" t="n">
        <v>4.3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19041-2024</t>
        </is>
      </c>
      <c r="B10550" s="1" t="n">
        <v>45427</v>
      </c>
      <c r="C10550" s="1" t="n">
        <v>45587</v>
      </c>
      <c r="D10550" t="inlineStr">
        <is>
          <t>GÄVLEBORGS LÄN</t>
        </is>
      </c>
      <c r="E10550" t="inlineStr">
        <is>
          <t>OVANÅKER</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18996-2024</t>
        </is>
      </c>
      <c r="B10551" s="1" t="n">
        <v>45427</v>
      </c>
      <c r="C10551" s="1" t="n">
        <v>45587</v>
      </c>
      <c r="D10551" t="inlineStr">
        <is>
          <t>GÄVLEBORGS LÄN</t>
        </is>
      </c>
      <c r="E10551" t="inlineStr">
        <is>
          <t>LJUSDAL</t>
        </is>
      </c>
      <c r="G10551" t="n">
        <v>8.1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19105-2024</t>
        </is>
      </c>
      <c r="B10552" s="1" t="n">
        <v>45428</v>
      </c>
      <c r="C10552" s="1" t="n">
        <v>45587</v>
      </c>
      <c r="D10552" t="inlineStr">
        <is>
          <t>GÄVLEBORGS LÄN</t>
        </is>
      </c>
      <c r="E10552" t="inlineStr">
        <is>
          <t>HUDIKSVALL</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19110-2024</t>
        </is>
      </c>
      <c r="B10553" s="1" t="n">
        <v>45428</v>
      </c>
      <c r="C10553" s="1" t="n">
        <v>45587</v>
      </c>
      <c r="D10553" t="inlineStr">
        <is>
          <t>GÄVLEBORGS LÄN</t>
        </is>
      </c>
      <c r="E10553" t="inlineStr">
        <is>
          <t>SÖDERHAMN</t>
        </is>
      </c>
      <c r="F10553" t="inlineStr">
        <is>
          <t>Bergvik skog väst AB</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19144-2024</t>
        </is>
      </c>
      <c r="B10554" s="1" t="n">
        <v>45428</v>
      </c>
      <c r="C10554" s="1" t="n">
        <v>45587</v>
      </c>
      <c r="D10554" t="inlineStr">
        <is>
          <t>GÄVLEBORGS LÄN</t>
        </is>
      </c>
      <c r="E10554" t="inlineStr">
        <is>
          <t>BOLLNÄS</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19172-2024</t>
        </is>
      </c>
      <c r="B10555" s="1" t="n">
        <v>45428</v>
      </c>
      <c r="C10555" s="1" t="n">
        <v>45587</v>
      </c>
      <c r="D10555" t="inlineStr">
        <is>
          <t>GÄVLEBORGS LÄN</t>
        </is>
      </c>
      <c r="E10555" t="inlineStr">
        <is>
          <t>OVANÅKER</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19188-2024</t>
        </is>
      </c>
      <c r="B10556" s="1" t="n">
        <v>45428</v>
      </c>
      <c r="C10556" s="1" t="n">
        <v>45587</v>
      </c>
      <c r="D10556" t="inlineStr">
        <is>
          <t>GÄVLEBORGS LÄN</t>
        </is>
      </c>
      <c r="E10556" t="inlineStr">
        <is>
          <t>SÖDERHAMN</t>
        </is>
      </c>
      <c r="F10556" t="inlineStr">
        <is>
          <t>Bergvik skog väst AB</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19197-2024</t>
        </is>
      </c>
      <c r="B10557" s="1" t="n">
        <v>45428</v>
      </c>
      <c r="C10557" s="1" t="n">
        <v>45587</v>
      </c>
      <c r="D10557" t="inlineStr">
        <is>
          <t>GÄVLEBORGS LÄN</t>
        </is>
      </c>
      <c r="E10557" t="inlineStr">
        <is>
          <t>HUDIKSVALL</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19217-2024</t>
        </is>
      </c>
      <c r="B10558" s="1" t="n">
        <v>45428</v>
      </c>
      <c r="C10558" s="1" t="n">
        <v>45587</v>
      </c>
      <c r="D10558" t="inlineStr">
        <is>
          <t>GÄVLEBORGS LÄN</t>
        </is>
      </c>
      <c r="E10558" t="inlineStr">
        <is>
          <t>HUDIKSVALL</t>
        </is>
      </c>
      <c r="G10558" t="n">
        <v>6.3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19091-2024</t>
        </is>
      </c>
      <c r="B10559" s="1" t="n">
        <v>45428</v>
      </c>
      <c r="C10559" s="1" t="n">
        <v>45587</v>
      </c>
      <c r="D10559" t="inlineStr">
        <is>
          <t>GÄVLEBORGS LÄN</t>
        </is>
      </c>
      <c r="E10559" t="inlineStr">
        <is>
          <t>SÖDERHAMN</t>
        </is>
      </c>
      <c r="F10559" t="inlineStr">
        <is>
          <t>Bergvik skog väst AB</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19113-2024</t>
        </is>
      </c>
      <c r="B10560" s="1" t="n">
        <v>45428</v>
      </c>
      <c r="C10560" s="1" t="n">
        <v>45587</v>
      </c>
      <c r="D10560" t="inlineStr">
        <is>
          <t>GÄVLEBORGS LÄN</t>
        </is>
      </c>
      <c r="E10560" t="inlineStr">
        <is>
          <t>SÖDERHAMN</t>
        </is>
      </c>
      <c r="F10560" t="inlineStr">
        <is>
          <t>Bergvik skog väst AB</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19135-2024</t>
        </is>
      </c>
      <c r="B10561" s="1" t="n">
        <v>45428</v>
      </c>
      <c r="C10561" s="1" t="n">
        <v>45587</v>
      </c>
      <c r="D10561" t="inlineStr">
        <is>
          <t>GÄVLEBORGS LÄN</t>
        </is>
      </c>
      <c r="E10561" t="inlineStr">
        <is>
          <t>BOLLNÄS</t>
        </is>
      </c>
      <c r="G10561" t="n">
        <v>4.7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19143-2024</t>
        </is>
      </c>
      <c r="B10562" s="1" t="n">
        <v>45428</v>
      </c>
      <c r="C10562" s="1" t="n">
        <v>45587</v>
      </c>
      <c r="D10562" t="inlineStr">
        <is>
          <t>GÄVLEBORGS LÄN</t>
        </is>
      </c>
      <c r="E10562" t="inlineStr">
        <is>
          <t>BOLLNÄS</t>
        </is>
      </c>
      <c r="G10562" t="n">
        <v>7.4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19142-2024</t>
        </is>
      </c>
      <c r="B10563" s="1" t="n">
        <v>45428</v>
      </c>
      <c r="C10563" s="1" t="n">
        <v>45587</v>
      </c>
      <c r="D10563" t="inlineStr">
        <is>
          <t>GÄVLEBORGS LÄN</t>
        </is>
      </c>
      <c r="E10563" t="inlineStr">
        <is>
          <t>BOLLNÄS</t>
        </is>
      </c>
      <c r="G10563" t="n">
        <v>4.2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19146-2024</t>
        </is>
      </c>
      <c r="B10564" s="1" t="n">
        <v>45428</v>
      </c>
      <c r="C10564" s="1" t="n">
        <v>45587</v>
      </c>
      <c r="D10564" t="inlineStr">
        <is>
          <t>GÄVLEBORGS LÄN</t>
        </is>
      </c>
      <c r="E10564" t="inlineStr">
        <is>
          <t>BOLLNÄS</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19154-2024</t>
        </is>
      </c>
      <c r="B10565" s="1" t="n">
        <v>45428</v>
      </c>
      <c r="C10565" s="1" t="n">
        <v>45587</v>
      </c>
      <c r="D10565" t="inlineStr">
        <is>
          <t>GÄVLEBORGS LÄN</t>
        </is>
      </c>
      <c r="E10565" t="inlineStr">
        <is>
          <t>BOLLNÄS</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19163-2024</t>
        </is>
      </c>
      <c r="B10566" s="1" t="n">
        <v>45428</v>
      </c>
      <c r="C10566" s="1" t="n">
        <v>45587</v>
      </c>
      <c r="D10566" t="inlineStr">
        <is>
          <t>GÄVLEBORGS LÄN</t>
        </is>
      </c>
      <c r="E10566" t="inlineStr">
        <is>
          <t>OVANÅKER</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19167-2024</t>
        </is>
      </c>
      <c r="B10567" s="1" t="n">
        <v>45428</v>
      </c>
      <c r="C10567" s="1" t="n">
        <v>45587</v>
      </c>
      <c r="D10567" t="inlineStr">
        <is>
          <t>GÄVLEBORGS LÄN</t>
        </is>
      </c>
      <c r="E10567" t="inlineStr">
        <is>
          <t>SÖDERHAMN</t>
        </is>
      </c>
      <c r="F10567" t="inlineStr">
        <is>
          <t>Bergvik skog väst AB</t>
        </is>
      </c>
      <c r="G10567" t="n">
        <v>3.7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19273-2024</t>
        </is>
      </c>
      <c r="B10568" s="1" t="n">
        <v>45428</v>
      </c>
      <c r="C10568" s="1" t="n">
        <v>45587</v>
      </c>
      <c r="D10568" t="inlineStr">
        <is>
          <t>GÄVLEBORGS LÄN</t>
        </is>
      </c>
      <c r="E10568" t="inlineStr">
        <is>
          <t>SANDVIKEN</t>
        </is>
      </c>
      <c r="F10568" t="inlineStr">
        <is>
          <t>Bergvik skog öst AB</t>
        </is>
      </c>
      <c r="G10568" t="n">
        <v>7.2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19289-2024</t>
        </is>
      </c>
      <c r="B10569" s="1" t="n">
        <v>45428</v>
      </c>
      <c r="C10569" s="1" t="n">
        <v>45587</v>
      </c>
      <c r="D10569" t="inlineStr">
        <is>
          <t>GÄVLEBORGS LÄN</t>
        </is>
      </c>
      <c r="E10569" t="inlineStr">
        <is>
          <t>OVANÅKER</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19111-2024</t>
        </is>
      </c>
      <c r="B10570" s="1" t="n">
        <v>45428</v>
      </c>
      <c r="C10570" s="1" t="n">
        <v>45587</v>
      </c>
      <c r="D10570" t="inlineStr">
        <is>
          <t>GÄVLEBORGS LÄN</t>
        </is>
      </c>
      <c r="E10570" t="inlineStr">
        <is>
          <t>SÖDERHAMN</t>
        </is>
      </c>
      <c r="F10570" t="inlineStr">
        <is>
          <t>Bergvik skog väst AB</t>
        </is>
      </c>
      <c r="G10570" t="n">
        <v>4.3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19141-2024</t>
        </is>
      </c>
      <c r="B10571" s="1" t="n">
        <v>45428</v>
      </c>
      <c r="C10571" s="1" t="n">
        <v>45587</v>
      </c>
      <c r="D10571" t="inlineStr">
        <is>
          <t>GÄVLEBORGS LÄN</t>
        </is>
      </c>
      <c r="E10571" t="inlineStr">
        <is>
          <t>BOLLNÄS</t>
        </is>
      </c>
      <c r="G10571" t="n">
        <v>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19169-2024</t>
        </is>
      </c>
      <c r="B10572" s="1" t="n">
        <v>45428</v>
      </c>
      <c r="C10572" s="1" t="n">
        <v>45587</v>
      </c>
      <c r="D10572" t="inlineStr">
        <is>
          <t>GÄVLEBORGS LÄN</t>
        </is>
      </c>
      <c r="E10572" t="inlineStr">
        <is>
          <t>SÖDERHAMN</t>
        </is>
      </c>
      <c r="F10572" t="inlineStr">
        <is>
          <t>Bergvik skog väst AB</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19177-2024</t>
        </is>
      </c>
      <c r="B10573" s="1" t="n">
        <v>45428</v>
      </c>
      <c r="C10573" s="1" t="n">
        <v>45587</v>
      </c>
      <c r="D10573" t="inlineStr">
        <is>
          <t>GÄVLEBORGS LÄN</t>
        </is>
      </c>
      <c r="E10573" t="inlineStr">
        <is>
          <t>OVANÅKER</t>
        </is>
      </c>
      <c r="G10573" t="n">
        <v>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19186-2024</t>
        </is>
      </c>
      <c r="B10574" s="1" t="n">
        <v>45428</v>
      </c>
      <c r="C10574" s="1" t="n">
        <v>45587</v>
      </c>
      <c r="D10574" t="inlineStr">
        <is>
          <t>GÄVLEBORGS LÄN</t>
        </is>
      </c>
      <c r="E10574" t="inlineStr">
        <is>
          <t>GÄVLE</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19190-2024</t>
        </is>
      </c>
      <c r="B10575" s="1" t="n">
        <v>45428</v>
      </c>
      <c r="C10575" s="1" t="n">
        <v>45587</v>
      </c>
      <c r="D10575" t="inlineStr">
        <is>
          <t>GÄVLEBORGS LÄN</t>
        </is>
      </c>
      <c r="E10575" t="inlineStr">
        <is>
          <t>LJUSDAL</t>
        </is>
      </c>
      <c r="G10575" t="n">
        <v>4.8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19231-2024</t>
        </is>
      </c>
      <c r="B10576" s="1" t="n">
        <v>45428</v>
      </c>
      <c r="C10576" s="1" t="n">
        <v>45587</v>
      </c>
      <c r="D10576" t="inlineStr">
        <is>
          <t>GÄVLEBORGS LÄN</t>
        </is>
      </c>
      <c r="E10576" t="inlineStr">
        <is>
          <t>NORDANSTIG</t>
        </is>
      </c>
      <c r="F10576" t="inlineStr">
        <is>
          <t>Holmen skog AB</t>
        </is>
      </c>
      <c r="G10576" t="n">
        <v>21.5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19316-2024</t>
        </is>
      </c>
      <c r="B10577" s="1" t="n">
        <v>45428</v>
      </c>
      <c r="C10577" s="1" t="n">
        <v>45587</v>
      </c>
      <c r="D10577" t="inlineStr">
        <is>
          <t>GÄVLEBORGS LÄN</t>
        </is>
      </c>
      <c r="E10577" t="inlineStr">
        <is>
          <t>HUDIKSVALL</t>
        </is>
      </c>
      <c r="F10577" t="inlineStr">
        <is>
          <t>Holmen skog AB</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19451-2024</t>
        </is>
      </c>
      <c r="B10578" s="1" t="n">
        <v>45429</v>
      </c>
      <c r="C10578" s="1" t="n">
        <v>45587</v>
      </c>
      <c r="D10578" t="inlineStr">
        <is>
          <t>GÄVLEBORGS LÄN</t>
        </is>
      </c>
      <c r="E10578" t="inlineStr">
        <is>
          <t>OCKELBO</t>
        </is>
      </c>
      <c r="F10578" t="inlineStr">
        <is>
          <t>Bergvik skog väst AB</t>
        </is>
      </c>
      <c r="G10578" t="n">
        <v>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19495-2024</t>
        </is>
      </c>
      <c r="B10579" s="1" t="n">
        <v>45429</v>
      </c>
      <c r="C10579" s="1" t="n">
        <v>45587</v>
      </c>
      <c r="D10579" t="inlineStr">
        <is>
          <t>GÄVLEBORGS LÄN</t>
        </is>
      </c>
      <c r="E10579" t="inlineStr">
        <is>
          <t>OCKELBO</t>
        </is>
      </c>
      <c r="F10579" t="inlineStr">
        <is>
          <t>Bergvik skog väst AB</t>
        </is>
      </c>
      <c r="G10579" t="n">
        <v>10.4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19407-2024</t>
        </is>
      </c>
      <c r="B10580" s="1" t="n">
        <v>45429</v>
      </c>
      <c r="C10580" s="1" t="n">
        <v>45587</v>
      </c>
      <c r="D10580" t="inlineStr">
        <is>
          <t>GÄVLEBORGS LÄN</t>
        </is>
      </c>
      <c r="E10580" t="inlineStr">
        <is>
          <t>LJUSDAL</t>
        </is>
      </c>
      <c r="F10580" t="inlineStr">
        <is>
          <t>Sveaskog</t>
        </is>
      </c>
      <c r="G10580" t="n">
        <v>2.7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19441-2024</t>
        </is>
      </c>
      <c r="B10581" s="1" t="n">
        <v>45429</v>
      </c>
      <c r="C10581" s="1" t="n">
        <v>45587</v>
      </c>
      <c r="D10581" t="inlineStr">
        <is>
          <t>GÄVLEBORGS LÄN</t>
        </is>
      </c>
      <c r="E10581" t="inlineStr">
        <is>
          <t>SÖDERHAMN</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19477-2024</t>
        </is>
      </c>
      <c r="B10582" s="1" t="n">
        <v>45429</v>
      </c>
      <c r="C10582" s="1" t="n">
        <v>45587</v>
      </c>
      <c r="D10582" t="inlineStr">
        <is>
          <t>GÄVLEBORGS LÄN</t>
        </is>
      </c>
      <c r="E10582" t="inlineStr">
        <is>
          <t>BOLLNÄS</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19489-2024</t>
        </is>
      </c>
      <c r="B10583" s="1" t="n">
        <v>45429</v>
      </c>
      <c r="C10583" s="1" t="n">
        <v>45587</v>
      </c>
      <c r="D10583" t="inlineStr">
        <is>
          <t>GÄVLEBORGS LÄN</t>
        </is>
      </c>
      <c r="E10583" t="inlineStr">
        <is>
          <t>OCKELBO</t>
        </is>
      </c>
      <c r="F10583" t="inlineStr">
        <is>
          <t>Bergvik skog väst AB</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19497-2024</t>
        </is>
      </c>
      <c r="B10584" s="1" t="n">
        <v>45429</v>
      </c>
      <c r="C10584" s="1" t="n">
        <v>45587</v>
      </c>
      <c r="D10584" t="inlineStr">
        <is>
          <t>GÄVLEBORGS LÄN</t>
        </is>
      </c>
      <c r="E10584" t="inlineStr">
        <is>
          <t>GÄVLE</t>
        </is>
      </c>
      <c r="G10584" t="n">
        <v>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19444-2024</t>
        </is>
      </c>
      <c r="B10585" s="1" t="n">
        <v>45429</v>
      </c>
      <c r="C10585" s="1" t="n">
        <v>45587</v>
      </c>
      <c r="D10585" t="inlineStr">
        <is>
          <t>GÄVLEBORGS LÄN</t>
        </is>
      </c>
      <c r="E10585" t="inlineStr">
        <is>
          <t>OCKELBO</t>
        </is>
      </c>
      <c r="F10585" t="inlineStr">
        <is>
          <t>Bergvik skog väst AB</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19517-2024</t>
        </is>
      </c>
      <c r="B10586" s="1" t="n">
        <v>45429</v>
      </c>
      <c r="C10586" s="1" t="n">
        <v>45587</v>
      </c>
      <c r="D10586" t="inlineStr">
        <is>
          <t>GÄVLEBORGS LÄN</t>
        </is>
      </c>
      <c r="E10586" t="inlineStr">
        <is>
          <t>GÄVLE</t>
        </is>
      </c>
      <c r="F10586" t="inlineStr">
        <is>
          <t>Bergvik skog väst AB</t>
        </is>
      </c>
      <c r="G10586" t="n">
        <v>7.1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19569-2024</t>
        </is>
      </c>
      <c r="B10587" s="1" t="n">
        <v>45430</v>
      </c>
      <c r="C10587" s="1" t="n">
        <v>45587</v>
      </c>
      <c r="D10587" t="inlineStr">
        <is>
          <t>GÄVLEBORGS LÄN</t>
        </is>
      </c>
      <c r="E10587" t="inlineStr">
        <is>
          <t>NORDANSTIG</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19499-2024</t>
        </is>
      </c>
      <c r="B10588" s="1" t="n">
        <v>45429</v>
      </c>
      <c r="C10588" s="1" t="n">
        <v>45587</v>
      </c>
      <c r="D10588" t="inlineStr">
        <is>
          <t>GÄVLEBORGS LÄN</t>
        </is>
      </c>
      <c r="E10588" t="inlineStr">
        <is>
          <t>BOLLNÄS</t>
        </is>
      </c>
      <c r="G10588" t="n">
        <v>12.4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19515-2024</t>
        </is>
      </c>
      <c r="B10589" s="1" t="n">
        <v>45429</v>
      </c>
      <c r="C10589" s="1" t="n">
        <v>45587</v>
      </c>
      <c r="D10589" t="inlineStr">
        <is>
          <t>GÄVLEBORGS LÄN</t>
        </is>
      </c>
      <c r="E10589" t="inlineStr">
        <is>
          <t>HUDIKSVALL</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19568-2024</t>
        </is>
      </c>
      <c r="B10590" s="1" t="n">
        <v>45430</v>
      </c>
      <c r="C10590" s="1" t="n">
        <v>45587</v>
      </c>
      <c r="D10590" t="inlineStr">
        <is>
          <t>GÄVLEBORGS LÄN</t>
        </is>
      </c>
      <c r="E10590" t="inlineStr">
        <is>
          <t>NORDANSTIG</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19522-2024</t>
        </is>
      </c>
      <c r="B10591" s="1" t="n">
        <v>45429</v>
      </c>
      <c r="C10591" s="1" t="n">
        <v>45587</v>
      </c>
      <c r="D10591" t="inlineStr">
        <is>
          <t>GÄVLEBORGS LÄN</t>
        </is>
      </c>
      <c r="E10591" t="inlineStr">
        <is>
          <t>OVANÅKER</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19547-2024</t>
        </is>
      </c>
      <c r="B10592" s="1" t="n">
        <v>45429</v>
      </c>
      <c r="C10592" s="1" t="n">
        <v>45587</v>
      </c>
      <c r="D10592" t="inlineStr">
        <is>
          <t>GÄVLEBORGS LÄN</t>
        </is>
      </c>
      <c r="E10592" t="inlineStr">
        <is>
          <t>OVANÅKER</t>
        </is>
      </c>
      <c r="G10592" t="n">
        <v>11.9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19567-2024</t>
        </is>
      </c>
      <c r="B10593" s="1" t="n">
        <v>45430</v>
      </c>
      <c r="C10593" s="1" t="n">
        <v>45587</v>
      </c>
      <c r="D10593" t="inlineStr">
        <is>
          <t>GÄVLEBORGS LÄN</t>
        </is>
      </c>
      <c r="E10593" t="inlineStr">
        <is>
          <t>NORDANSTIG</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19600-2024</t>
        </is>
      </c>
      <c r="B10594" s="1" t="n">
        <v>45431</v>
      </c>
      <c r="C10594" s="1" t="n">
        <v>45587</v>
      </c>
      <c r="D10594" t="inlineStr">
        <is>
          <t>GÄVLEBORGS LÄN</t>
        </is>
      </c>
      <c r="E10594" t="inlineStr">
        <is>
          <t>HUDIKSVALL</t>
        </is>
      </c>
      <c r="F10594" t="inlineStr">
        <is>
          <t>Holmen skog AB</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19603-2024</t>
        </is>
      </c>
      <c r="B10595" s="1" t="n">
        <v>45431</v>
      </c>
      <c r="C10595" s="1" t="n">
        <v>45587</v>
      </c>
      <c r="D10595" t="inlineStr">
        <is>
          <t>GÄVLEBORGS LÄN</t>
        </is>
      </c>
      <c r="E10595" t="inlineStr">
        <is>
          <t>HUDIKSVALL</t>
        </is>
      </c>
      <c r="F10595" t="inlineStr">
        <is>
          <t>Holmen skog AB</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19601-2024</t>
        </is>
      </c>
      <c r="B10596" s="1" t="n">
        <v>45431</v>
      </c>
      <c r="C10596" s="1" t="n">
        <v>45587</v>
      </c>
      <c r="D10596" t="inlineStr">
        <is>
          <t>GÄVLEBORGS LÄN</t>
        </is>
      </c>
      <c r="E10596" t="inlineStr">
        <is>
          <t>HUDIKSVALL</t>
        </is>
      </c>
      <c r="F10596" t="inlineStr">
        <is>
          <t>Holmen skog AB</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19666-2024</t>
        </is>
      </c>
      <c r="B10597" s="1" t="n">
        <v>45432</v>
      </c>
      <c r="C10597" s="1" t="n">
        <v>45587</v>
      </c>
      <c r="D10597" t="inlineStr">
        <is>
          <t>GÄVLEBORGS LÄN</t>
        </is>
      </c>
      <c r="E10597" t="inlineStr">
        <is>
          <t>SANDVIKEN</t>
        </is>
      </c>
      <c r="G10597" t="n">
        <v>5.4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19682-2024</t>
        </is>
      </c>
      <c r="B10598" s="1" t="n">
        <v>45432</v>
      </c>
      <c r="C10598" s="1" t="n">
        <v>45587</v>
      </c>
      <c r="D10598" t="inlineStr">
        <is>
          <t>GÄVLEBORGS LÄN</t>
        </is>
      </c>
      <c r="E10598" t="inlineStr">
        <is>
          <t>HUDIKSVALL</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19706-2024</t>
        </is>
      </c>
      <c r="B10599" s="1" t="n">
        <v>45432</v>
      </c>
      <c r="C10599" s="1" t="n">
        <v>45587</v>
      </c>
      <c r="D10599" t="inlineStr">
        <is>
          <t>GÄVLEBORGS LÄN</t>
        </is>
      </c>
      <c r="E10599" t="inlineStr">
        <is>
          <t>HUDIKSVALL</t>
        </is>
      </c>
      <c r="G10599" t="n">
        <v>3.6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19734-2024</t>
        </is>
      </c>
      <c r="B10600" s="1" t="n">
        <v>45432</v>
      </c>
      <c r="C10600" s="1" t="n">
        <v>45587</v>
      </c>
      <c r="D10600" t="inlineStr">
        <is>
          <t>GÄVLEBORGS LÄN</t>
        </is>
      </c>
      <c r="E10600" t="inlineStr">
        <is>
          <t>NORDANSTIG</t>
        </is>
      </c>
      <c r="F10600" t="inlineStr">
        <is>
          <t>Holmen skog AB</t>
        </is>
      </c>
      <c r="G10600" t="n">
        <v>23.3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19663-2024</t>
        </is>
      </c>
      <c r="B10601" s="1" t="n">
        <v>45432</v>
      </c>
      <c r="C10601" s="1" t="n">
        <v>45587</v>
      </c>
      <c r="D10601" t="inlineStr">
        <is>
          <t>GÄVLEBORGS LÄN</t>
        </is>
      </c>
      <c r="E10601" t="inlineStr">
        <is>
          <t>HUDIKSVALL</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19671-2024</t>
        </is>
      </c>
      <c r="B10602" s="1" t="n">
        <v>45432</v>
      </c>
      <c r="C10602" s="1" t="n">
        <v>45587</v>
      </c>
      <c r="D10602" t="inlineStr">
        <is>
          <t>GÄVLEBORGS LÄN</t>
        </is>
      </c>
      <c r="E10602" t="inlineStr">
        <is>
          <t>HUDIKSVALL</t>
        </is>
      </c>
      <c r="G10602" t="n">
        <v>4.3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19757-2024</t>
        </is>
      </c>
      <c r="B10603" s="1" t="n">
        <v>45432</v>
      </c>
      <c r="C10603" s="1" t="n">
        <v>45587</v>
      </c>
      <c r="D10603" t="inlineStr">
        <is>
          <t>GÄVLEBORGS LÄN</t>
        </is>
      </c>
      <c r="E10603" t="inlineStr">
        <is>
          <t>OCKELBO</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19762-2024</t>
        </is>
      </c>
      <c r="B10604" s="1" t="n">
        <v>45432</v>
      </c>
      <c r="C10604" s="1" t="n">
        <v>45587</v>
      </c>
      <c r="D10604" t="inlineStr">
        <is>
          <t>GÄVLEBORGS LÄN</t>
        </is>
      </c>
      <c r="E10604" t="inlineStr">
        <is>
          <t>OCKELBO</t>
        </is>
      </c>
      <c r="G10604" t="n">
        <v>3.5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19657-2024</t>
        </is>
      </c>
      <c r="B10605" s="1" t="n">
        <v>45432</v>
      </c>
      <c r="C10605" s="1" t="n">
        <v>45587</v>
      </c>
      <c r="D10605" t="inlineStr">
        <is>
          <t>GÄVLEBORGS LÄN</t>
        </is>
      </c>
      <c r="E10605" t="inlineStr">
        <is>
          <t>OCKELBO</t>
        </is>
      </c>
      <c r="G10605" t="n">
        <v>3.9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19641-2024</t>
        </is>
      </c>
      <c r="B10606" s="1" t="n">
        <v>45432</v>
      </c>
      <c r="C10606" s="1" t="n">
        <v>45587</v>
      </c>
      <c r="D10606" t="inlineStr">
        <is>
          <t>GÄVLEBORGS LÄN</t>
        </is>
      </c>
      <c r="E10606" t="inlineStr">
        <is>
          <t>LJUSDAL</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19658-2024</t>
        </is>
      </c>
      <c r="B10607" s="1" t="n">
        <v>45432</v>
      </c>
      <c r="C10607" s="1" t="n">
        <v>45587</v>
      </c>
      <c r="D10607" t="inlineStr">
        <is>
          <t>GÄVLEBORGS LÄN</t>
        </is>
      </c>
      <c r="E10607" t="inlineStr">
        <is>
          <t>HUDIKSVALL</t>
        </is>
      </c>
      <c r="G10607" t="n">
        <v>13.4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19647-2024</t>
        </is>
      </c>
      <c r="B10608" s="1" t="n">
        <v>45432</v>
      </c>
      <c r="C10608" s="1" t="n">
        <v>45587</v>
      </c>
      <c r="D10608" t="inlineStr">
        <is>
          <t>GÄVLEBORGS LÄN</t>
        </is>
      </c>
      <c r="E10608" t="inlineStr">
        <is>
          <t>LJUSDAL</t>
        </is>
      </c>
      <c r="F10608" t="inlineStr">
        <is>
          <t>Bergvik skog väst AB</t>
        </is>
      </c>
      <c r="G10608" t="n">
        <v>8.6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19637-2024</t>
        </is>
      </c>
      <c r="B10609" s="1" t="n">
        <v>45432</v>
      </c>
      <c r="C10609" s="1" t="n">
        <v>45587</v>
      </c>
      <c r="D10609" t="inlineStr">
        <is>
          <t>GÄVLEBORGS LÄN</t>
        </is>
      </c>
      <c r="E10609" t="inlineStr">
        <is>
          <t>LJUSDAL</t>
        </is>
      </c>
      <c r="G10609" t="n">
        <v>3.7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19633-2024</t>
        </is>
      </c>
      <c r="B10610" s="1" t="n">
        <v>45432</v>
      </c>
      <c r="C10610" s="1" t="n">
        <v>45587</v>
      </c>
      <c r="D10610" t="inlineStr">
        <is>
          <t>GÄVLEBORGS LÄN</t>
        </is>
      </c>
      <c r="E10610" t="inlineStr">
        <is>
          <t>LJUSDAL</t>
        </is>
      </c>
      <c r="G10610" t="n">
        <v>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19626-2024</t>
        </is>
      </c>
      <c r="B10611" s="1" t="n">
        <v>45432</v>
      </c>
      <c r="C10611" s="1" t="n">
        <v>45587</v>
      </c>
      <c r="D10611" t="inlineStr">
        <is>
          <t>GÄVLEBORGS LÄN</t>
        </is>
      </c>
      <c r="E10611" t="inlineStr">
        <is>
          <t>HUDIKSVALL</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19632-2024</t>
        </is>
      </c>
      <c r="B10612" s="1" t="n">
        <v>45432</v>
      </c>
      <c r="C10612" s="1" t="n">
        <v>45587</v>
      </c>
      <c r="D10612" t="inlineStr">
        <is>
          <t>GÄVLEBORGS LÄN</t>
        </is>
      </c>
      <c r="E10612" t="inlineStr">
        <is>
          <t>OVANÅKER</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19646-2024</t>
        </is>
      </c>
      <c r="B10613" s="1" t="n">
        <v>45432</v>
      </c>
      <c r="C10613" s="1" t="n">
        <v>45587</v>
      </c>
      <c r="D10613" t="inlineStr">
        <is>
          <t>GÄVLEBORGS LÄN</t>
        </is>
      </c>
      <c r="E10613" t="inlineStr">
        <is>
          <t>LJUSDAL</t>
        </is>
      </c>
      <c r="F10613" t="inlineStr">
        <is>
          <t>Bergvik skog väst AB</t>
        </is>
      </c>
      <c r="G10613" t="n">
        <v>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19642-2024</t>
        </is>
      </c>
      <c r="B10614" s="1" t="n">
        <v>45432</v>
      </c>
      <c r="C10614" s="1" t="n">
        <v>45587</v>
      </c>
      <c r="D10614" t="inlineStr">
        <is>
          <t>GÄVLEBORGS LÄN</t>
        </is>
      </c>
      <c r="E10614" t="inlineStr">
        <is>
          <t>LJUSDAL</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19629-2024</t>
        </is>
      </c>
      <c r="B10615" s="1" t="n">
        <v>45432</v>
      </c>
      <c r="C10615" s="1" t="n">
        <v>45587</v>
      </c>
      <c r="D10615" t="inlineStr">
        <is>
          <t>GÄVLEBORGS LÄN</t>
        </is>
      </c>
      <c r="E10615" t="inlineStr">
        <is>
          <t>OVANÅKER</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19652-2024</t>
        </is>
      </c>
      <c r="B10616" s="1" t="n">
        <v>45432</v>
      </c>
      <c r="C10616" s="1" t="n">
        <v>45587</v>
      </c>
      <c r="D10616" t="inlineStr">
        <is>
          <t>GÄVLEBORGS LÄN</t>
        </is>
      </c>
      <c r="E10616" t="inlineStr">
        <is>
          <t>SÖDERHAMN</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19656-2024</t>
        </is>
      </c>
      <c r="B10617" s="1" t="n">
        <v>45432</v>
      </c>
      <c r="C10617" s="1" t="n">
        <v>45587</v>
      </c>
      <c r="D10617" t="inlineStr">
        <is>
          <t>GÄVLEBORGS LÄN</t>
        </is>
      </c>
      <c r="E10617" t="inlineStr">
        <is>
          <t>OVANÅKER</t>
        </is>
      </c>
      <c r="G10617" t="n">
        <v>9.4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19617-2024</t>
        </is>
      </c>
      <c r="B10618" s="1" t="n">
        <v>45432</v>
      </c>
      <c r="C10618" s="1" t="n">
        <v>45587</v>
      </c>
      <c r="D10618" t="inlineStr">
        <is>
          <t>GÄVLEBORGS LÄN</t>
        </is>
      </c>
      <c r="E10618" t="inlineStr">
        <is>
          <t>SÖDERHAMN</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19696-2024</t>
        </is>
      </c>
      <c r="B10619" s="1" t="n">
        <v>45432</v>
      </c>
      <c r="C10619" s="1" t="n">
        <v>45587</v>
      </c>
      <c r="D10619" t="inlineStr">
        <is>
          <t>GÄVLEBORGS LÄN</t>
        </is>
      </c>
      <c r="E10619" t="inlineStr">
        <is>
          <t>SÖDERHAMN</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19724-2024</t>
        </is>
      </c>
      <c r="B10620" s="1" t="n">
        <v>45432</v>
      </c>
      <c r="C10620" s="1" t="n">
        <v>45587</v>
      </c>
      <c r="D10620" t="inlineStr">
        <is>
          <t>GÄVLEBORGS LÄN</t>
        </is>
      </c>
      <c r="E10620" t="inlineStr">
        <is>
          <t>HUDIKSVALL</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19736-2024</t>
        </is>
      </c>
      <c r="B10621" s="1" t="n">
        <v>45432</v>
      </c>
      <c r="C10621" s="1" t="n">
        <v>45587</v>
      </c>
      <c r="D10621" t="inlineStr">
        <is>
          <t>GÄVLEBORGS LÄN</t>
        </is>
      </c>
      <c r="E10621" t="inlineStr">
        <is>
          <t>HUDIKSVALL</t>
        </is>
      </c>
      <c r="G10621" t="n">
        <v>7.3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19756-2024</t>
        </is>
      </c>
      <c r="B10622" s="1" t="n">
        <v>45432</v>
      </c>
      <c r="C10622" s="1" t="n">
        <v>45587</v>
      </c>
      <c r="D10622" t="inlineStr">
        <is>
          <t>GÄVLEBORGS LÄN</t>
        </is>
      </c>
      <c r="E10622" t="inlineStr">
        <is>
          <t>OCKELBO</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19797-2024</t>
        </is>
      </c>
      <c r="B10623" s="1" t="n">
        <v>45433</v>
      </c>
      <c r="C10623" s="1" t="n">
        <v>45587</v>
      </c>
      <c r="D10623" t="inlineStr">
        <is>
          <t>GÄVLEBORGS LÄN</t>
        </is>
      </c>
      <c r="E10623" t="inlineStr">
        <is>
          <t>LJUSDAL</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19807-2024</t>
        </is>
      </c>
      <c r="B10624" s="1" t="n">
        <v>45433</v>
      </c>
      <c r="C10624" s="1" t="n">
        <v>45587</v>
      </c>
      <c r="D10624" t="inlineStr">
        <is>
          <t>GÄVLEBORGS LÄN</t>
        </is>
      </c>
      <c r="E10624" t="inlineStr">
        <is>
          <t>BOLLNÄS</t>
        </is>
      </c>
      <c r="G10624" t="n">
        <v>4.9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19813-2024</t>
        </is>
      </c>
      <c r="B10625" s="1" t="n">
        <v>45433</v>
      </c>
      <c r="C10625" s="1" t="n">
        <v>45587</v>
      </c>
      <c r="D10625" t="inlineStr">
        <is>
          <t>GÄVLEBORGS LÄN</t>
        </is>
      </c>
      <c r="E10625" t="inlineStr">
        <is>
          <t>LJUSDAL</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19821-2024</t>
        </is>
      </c>
      <c r="B10626" s="1" t="n">
        <v>45433</v>
      </c>
      <c r="C10626" s="1" t="n">
        <v>45587</v>
      </c>
      <c r="D10626" t="inlineStr">
        <is>
          <t>GÄVLEBORGS LÄN</t>
        </is>
      </c>
      <c r="E10626" t="inlineStr">
        <is>
          <t>SÖDERHAMN</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19849-2024</t>
        </is>
      </c>
      <c r="B10627" s="1" t="n">
        <v>45433</v>
      </c>
      <c r="C10627" s="1" t="n">
        <v>45587</v>
      </c>
      <c r="D10627" t="inlineStr">
        <is>
          <t>GÄVLEBORGS LÄN</t>
        </is>
      </c>
      <c r="E10627" t="inlineStr">
        <is>
          <t>LJUSDAL</t>
        </is>
      </c>
      <c r="F10627" t="inlineStr">
        <is>
          <t>Sveaskog</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19861-2024</t>
        </is>
      </c>
      <c r="B10628" s="1" t="n">
        <v>45433</v>
      </c>
      <c r="C10628" s="1" t="n">
        <v>45587</v>
      </c>
      <c r="D10628" t="inlineStr">
        <is>
          <t>GÄVLEBORGS LÄN</t>
        </is>
      </c>
      <c r="E10628" t="inlineStr">
        <is>
          <t>GÄVLE</t>
        </is>
      </c>
      <c r="G10628" t="n">
        <v>3.5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19843-2024</t>
        </is>
      </c>
      <c r="B10629" s="1" t="n">
        <v>45433</v>
      </c>
      <c r="C10629" s="1" t="n">
        <v>45587</v>
      </c>
      <c r="D10629" t="inlineStr">
        <is>
          <t>GÄVLEBORGS LÄN</t>
        </is>
      </c>
      <c r="E10629" t="inlineStr">
        <is>
          <t>SÖDERHAMN</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19851-2024</t>
        </is>
      </c>
      <c r="B10630" s="1" t="n">
        <v>45433</v>
      </c>
      <c r="C10630" s="1" t="n">
        <v>45587</v>
      </c>
      <c r="D10630" t="inlineStr">
        <is>
          <t>GÄVLEBORGS LÄN</t>
        </is>
      </c>
      <c r="E10630" t="inlineStr">
        <is>
          <t>SÖDERHAMN</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19864-2024</t>
        </is>
      </c>
      <c r="B10631" s="1" t="n">
        <v>45433</v>
      </c>
      <c r="C10631" s="1" t="n">
        <v>45587</v>
      </c>
      <c r="D10631" t="inlineStr">
        <is>
          <t>GÄVLEBORGS LÄN</t>
        </is>
      </c>
      <c r="E10631" t="inlineStr">
        <is>
          <t>SANDVIKEN</t>
        </is>
      </c>
      <c r="G10631" t="n">
        <v>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19846-2024</t>
        </is>
      </c>
      <c r="B10632" s="1" t="n">
        <v>45433</v>
      </c>
      <c r="C10632" s="1" t="n">
        <v>45587</v>
      </c>
      <c r="D10632" t="inlineStr">
        <is>
          <t>GÄVLEBORGS LÄN</t>
        </is>
      </c>
      <c r="E10632" t="inlineStr">
        <is>
          <t>SÖDERHAMN</t>
        </is>
      </c>
      <c r="G10632" t="n">
        <v>4.8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19916-2024</t>
        </is>
      </c>
      <c r="B10633" s="1" t="n">
        <v>45433</v>
      </c>
      <c r="C10633" s="1" t="n">
        <v>45587</v>
      </c>
      <c r="D10633" t="inlineStr">
        <is>
          <t>GÄVLEBORGS LÄN</t>
        </is>
      </c>
      <c r="E10633" t="inlineStr">
        <is>
          <t>BOLLNÄS</t>
        </is>
      </c>
      <c r="F10633" t="inlineStr">
        <is>
          <t>Bergvik skog väst AB</t>
        </is>
      </c>
      <c r="G10633" t="n">
        <v>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19936-2024</t>
        </is>
      </c>
      <c r="B10634" s="1" t="n">
        <v>45433</v>
      </c>
      <c r="C10634" s="1" t="n">
        <v>45587</v>
      </c>
      <c r="D10634" t="inlineStr">
        <is>
          <t>GÄVLEBORGS LÄN</t>
        </is>
      </c>
      <c r="E10634" t="inlineStr">
        <is>
          <t>BOLLNÄS</t>
        </is>
      </c>
      <c r="F10634" t="inlineStr">
        <is>
          <t>Bergvik skog väst AB</t>
        </is>
      </c>
      <c r="G10634" t="n">
        <v>4.5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19943-2024</t>
        </is>
      </c>
      <c r="B10635" s="1" t="n">
        <v>45433</v>
      </c>
      <c r="C10635" s="1" t="n">
        <v>45587</v>
      </c>
      <c r="D10635" t="inlineStr">
        <is>
          <t>GÄVLEBORGS LÄN</t>
        </is>
      </c>
      <c r="E10635" t="inlineStr">
        <is>
          <t>OCKELBO</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19993-2024</t>
        </is>
      </c>
      <c r="B10636" s="1" t="n">
        <v>45433</v>
      </c>
      <c r="C10636" s="1" t="n">
        <v>45587</v>
      </c>
      <c r="D10636" t="inlineStr">
        <is>
          <t>GÄVLEBORGS LÄN</t>
        </is>
      </c>
      <c r="E10636" t="inlineStr">
        <is>
          <t>HUDIKSVALL</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19971-2024</t>
        </is>
      </c>
      <c r="B10637" s="1" t="n">
        <v>45433</v>
      </c>
      <c r="C10637" s="1" t="n">
        <v>45587</v>
      </c>
      <c r="D10637" t="inlineStr">
        <is>
          <t>GÄVLEBORGS LÄN</t>
        </is>
      </c>
      <c r="E10637" t="inlineStr">
        <is>
          <t>BOLLNÄS</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19970-2024</t>
        </is>
      </c>
      <c r="B10638" s="1" t="n">
        <v>45433</v>
      </c>
      <c r="C10638" s="1" t="n">
        <v>45587</v>
      </c>
      <c r="D10638" t="inlineStr">
        <is>
          <t>GÄVLEBORGS LÄN</t>
        </is>
      </c>
      <c r="E10638" t="inlineStr">
        <is>
          <t>BOLLNÄS</t>
        </is>
      </c>
      <c r="G10638" t="n">
        <v>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19927-2024</t>
        </is>
      </c>
      <c r="B10639" s="1" t="n">
        <v>45433</v>
      </c>
      <c r="C10639" s="1" t="n">
        <v>45587</v>
      </c>
      <c r="D10639" t="inlineStr">
        <is>
          <t>GÄVLEBORGS LÄN</t>
        </is>
      </c>
      <c r="E10639" t="inlineStr">
        <is>
          <t>BOLLNÄS</t>
        </is>
      </c>
      <c r="F10639" t="inlineStr">
        <is>
          <t>Bergvik skog väst AB</t>
        </is>
      </c>
      <c r="G10639" t="n">
        <v>5.6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19948-2024</t>
        </is>
      </c>
      <c r="B10640" s="1" t="n">
        <v>45433</v>
      </c>
      <c r="C10640" s="1" t="n">
        <v>45587</v>
      </c>
      <c r="D10640" t="inlineStr">
        <is>
          <t>GÄVLEBORGS LÄN</t>
        </is>
      </c>
      <c r="E10640" t="inlineStr">
        <is>
          <t>GÄVLE</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19968-2024</t>
        </is>
      </c>
      <c r="B10641" s="1" t="n">
        <v>45433</v>
      </c>
      <c r="C10641" s="1" t="n">
        <v>45587</v>
      </c>
      <c r="D10641" t="inlineStr">
        <is>
          <t>GÄVLEBORGS LÄN</t>
        </is>
      </c>
      <c r="E10641" t="inlineStr">
        <is>
          <t>SANDVIKEN</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19972-2024</t>
        </is>
      </c>
      <c r="B10642" s="1" t="n">
        <v>45433</v>
      </c>
      <c r="C10642" s="1" t="n">
        <v>45587</v>
      </c>
      <c r="D10642" t="inlineStr">
        <is>
          <t>GÄVLEBORGS LÄN</t>
        </is>
      </c>
      <c r="E10642" t="inlineStr">
        <is>
          <t>BOLLNÄS</t>
        </is>
      </c>
      <c r="G10642" t="n">
        <v>9.4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20026-2024</t>
        </is>
      </c>
      <c r="B10643" s="1" t="n">
        <v>45434</v>
      </c>
      <c r="C10643" s="1" t="n">
        <v>45587</v>
      </c>
      <c r="D10643" t="inlineStr">
        <is>
          <t>GÄVLEBORGS LÄN</t>
        </is>
      </c>
      <c r="E10643" t="inlineStr">
        <is>
          <t>LJUSDAL</t>
        </is>
      </c>
      <c r="G10643" t="n">
        <v>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20043-2024</t>
        </is>
      </c>
      <c r="B10644" s="1" t="n">
        <v>45434</v>
      </c>
      <c r="C10644" s="1" t="n">
        <v>45587</v>
      </c>
      <c r="D10644" t="inlineStr">
        <is>
          <t>GÄVLEBORGS LÄN</t>
        </is>
      </c>
      <c r="E10644" t="inlineStr">
        <is>
          <t>LJUSDAL</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20083-2024</t>
        </is>
      </c>
      <c r="B10645" s="1" t="n">
        <v>45434</v>
      </c>
      <c r="C10645" s="1" t="n">
        <v>45587</v>
      </c>
      <c r="D10645" t="inlineStr">
        <is>
          <t>GÄVLEBORGS LÄN</t>
        </is>
      </c>
      <c r="E10645" t="inlineStr">
        <is>
          <t>NORDANSTIG</t>
        </is>
      </c>
      <c r="F10645" t="inlineStr">
        <is>
          <t>Holmen skog AB</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20031-2024</t>
        </is>
      </c>
      <c r="B10646" s="1" t="n">
        <v>45434</v>
      </c>
      <c r="C10646" s="1" t="n">
        <v>45587</v>
      </c>
      <c r="D10646" t="inlineStr">
        <is>
          <t>GÄVLEBORGS LÄN</t>
        </is>
      </c>
      <c r="E10646" t="inlineStr">
        <is>
          <t>LJUSDAL</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20044-2024</t>
        </is>
      </c>
      <c r="B10647" s="1" t="n">
        <v>45434</v>
      </c>
      <c r="C10647" s="1" t="n">
        <v>45587</v>
      </c>
      <c r="D10647" t="inlineStr">
        <is>
          <t>GÄVLEBORGS LÄN</t>
        </is>
      </c>
      <c r="E10647" t="inlineStr">
        <is>
          <t>NORDANSTIG</t>
        </is>
      </c>
      <c r="F10647" t="inlineStr">
        <is>
          <t>Holmen skog AB</t>
        </is>
      </c>
      <c r="G10647" t="n">
        <v>9.1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20024-2024</t>
        </is>
      </c>
      <c r="B10648" s="1" t="n">
        <v>45434</v>
      </c>
      <c r="C10648" s="1" t="n">
        <v>45587</v>
      </c>
      <c r="D10648" t="inlineStr">
        <is>
          <t>GÄVLEBORGS LÄN</t>
        </is>
      </c>
      <c r="E10648" t="inlineStr">
        <is>
          <t>HUDIKSVALL</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20032-2024</t>
        </is>
      </c>
      <c r="B10649" s="1" t="n">
        <v>45434</v>
      </c>
      <c r="C10649" s="1" t="n">
        <v>45587</v>
      </c>
      <c r="D10649" t="inlineStr">
        <is>
          <t>GÄVLEBORGS LÄN</t>
        </is>
      </c>
      <c r="E10649" t="inlineStr">
        <is>
          <t>LJUSDAL</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20142-2024</t>
        </is>
      </c>
      <c r="B10650" s="1" t="n">
        <v>45434</v>
      </c>
      <c r="C10650" s="1" t="n">
        <v>45587</v>
      </c>
      <c r="D10650" t="inlineStr">
        <is>
          <t>GÄVLEBORGS LÄN</t>
        </is>
      </c>
      <c r="E10650" t="inlineStr">
        <is>
          <t>GÄVLE</t>
        </is>
      </c>
      <c r="F10650" t="inlineStr">
        <is>
          <t>Bergvik skog väst AB</t>
        </is>
      </c>
      <c r="G10650" t="n">
        <v>8.1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20049-2024</t>
        </is>
      </c>
      <c r="B10651" s="1" t="n">
        <v>45434</v>
      </c>
      <c r="C10651" s="1" t="n">
        <v>45587</v>
      </c>
      <c r="D10651" t="inlineStr">
        <is>
          <t>GÄVLEBORGS LÄN</t>
        </is>
      </c>
      <c r="E10651" t="inlineStr">
        <is>
          <t>OVANÅKER</t>
        </is>
      </c>
      <c r="F10651" t="inlineStr">
        <is>
          <t>Kyrkan</t>
        </is>
      </c>
      <c r="G10651" t="n">
        <v>9.699999999999999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20077-2024</t>
        </is>
      </c>
      <c r="B10652" s="1" t="n">
        <v>45434</v>
      </c>
      <c r="C10652" s="1" t="n">
        <v>45587</v>
      </c>
      <c r="D10652" t="inlineStr">
        <is>
          <t>GÄVLEBORGS LÄN</t>
        </is>
      </c>
      <c r="E10652" t="inlineStr">
        <is>
          <t>NORDANSTIG</t>
        </is>
      </c>
      <c r="F10652" t="inlineStr">
        <is>
          <t>Holmen skog AB</t>
        </is>
      </c>
      <c r="G10652" t="n">
        <v>7.1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20093-2024</t>
        </is>
      </c>
      <c r="B10653" s="1" t="n">
        <v>45434</v>
      </c>
      <c r="C10653" s="1" t="n">
        <v>45587</v>
      </c>
      <c r="D10653" t="inlineStr">
        <is>
          <t>GÄVLEBORGS LÄN</t>
        </is>
      </c>
      <c r="E10653" t="inlineStr">
        <is>
          <t>NORDANSTIG</t>
        </is>
      </c>
      <c r="F10653" t="inlineStr">
        <is>
          <t>Holmen skog AB</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20218-2024</t>
        </is>
      </c>
      <c r="B10654" s="1" t="n">
        <v>45434</v>
      </c>
      <c r="C10654" s="1" t="n">
        <v>45587</v>
      </c>
      <c r="D10654" t="inlineStr">
        <is>
          <t>GÄVLEBORGS LÄN</t>
        </is>
      </c>
      <c r="E10654" t="inlineStr">
        <is>
          <t>LJUSDAL</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20189-2024</t>
        </is>
      </c>
      <c r="B10655" s="1" t="n">
        <v>45434</v>
      </c>
      <c r="C10655" s="1" t="n">
        <v>45587</v>
      </c>
      <c r="D10655" t="inlineStr">
        <is>
          <t>GÄVLEBORGS LÄN</t>
        </is>
      </c>
      <c r="E10655" t="inlineStr">
        <is>
          <t>SANDVIKEN</t>
        </is>
      </c>
      <c r="F10655" t="inlineStr">
        <is>
          <t>Sveaskog</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20229-2024</t>
        </is>
      </c>
      <c r="B10656" s="1" t="n">
        <v>45434</v>
      </c>
      <c r="C10656" s="1" t="n">
        <v>45587</v>
      </c>
      <c r="D10656" t="inlineStr">
        <is>
          <t>GÄVLEBORGS LÄN</t>
        </is>
      </c>
      <c r="E10656" t="inlineStr">
        <is>
          <t>GÄVLE</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20233-2024</t>
        </is>
      </c>
      <c r="B10657" s="1" t="n">
        <v>45434</v>
      </c>
      <c r="C10657" s="1" t="n">
        <v>45587</v>
      </c>
      <c r="D10657" t="inlineStr">
        <is>
          <t>GÄVLEBORGS LÄN</t>
        </is>
      </c>
      <c r="E10657" t="inlineStr">
        <is>
          <t>GÄVLE</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20265-2024</t>
        </is>
      </c>
      <c r="B10658" s="1" t="n">
        <v>45435</v>
      </c>
      <c r="C10658" s="1" t="n">
        <v>45587</v>
      </c>
      <c r="D10658" t="inlineStr">
        <is>
          <t>GÄVLEBORGS LÄN</t>
        </is>
      </c>
      <c r="E10658" t="inlineStr">
        <is>
          <t>OVANÅKER</t>
        </is>
      </c>
      <c r="G10658" t="n">
        <v>20.1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20143-2024</t>
        </is>
      </c>
      <c r="B10659" s="1" t="n">
        <v>45434</v>
      </c>
      <c r="C10659" s="1" t="n">
        <v>45587</v>
      </c>
      <c r="D10659" t="inlineStr">
        <is>
          <t>GÄVLEBORGS LÄN</t>
        </is>
      </c>
      <c r="E10659" t="inlineStr">
        <is>
          <t>GÄVLE</t>
        </is>
      </c>
      <c r="F10659" t="inlineStr">
        <is>
          <t>Bergvik skog väst AB</t>
        </is>
      </c>
      <c r="G10659" t="n">
        <v>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20191-2024</t>
        </is>
      </c>
      <c r="B10660" s="1" t="n">
        <v>45434</v>
      </c>
      <c r="C10660" s="1" t="n">
        <v>45587</v>
      </c>
      <c r="D10660" t="inlineStr">
        <is>
          <t>GÄVLEBORGS LÄN</t>
        </is>
      </c>
      <c r="E10660" t="inlineStr">
        <is>
          <t>HOFORS</t>
        </is>
      </c>
      <c r="F10660" t="inlineStr">
        <is>
          <t>Sveaskog</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20207-2024</t>
        </is>
      </c>
      <c r="B10661" s="1" t="n">
        <v>45434</v>
      </c>
      <c r="C10661" s="1" t="n">
        <v>45587</v>
      </c>
      <c r="D10661" t="inlineStr">
        <is>
          <t>GÄVLEBORGS LÄN</t>
        </is>
      </c>
      <c r="E10661" t="inlineStr">
        <is>
          <t>OCKELBO</t>
        </is>
      </c>
      <c r="G10661" t="n">
        <v>7.6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20219-2024</t>
        </is>
      </c>
      <c r="B10662" s="1" t="n">
        <v>45434</v>
      </c>
      <c r="C10662" s="1" t="n">
        <v>45587</v>
      </c>
      <c r="D10662" t="inlineStr">
        <is>
          <t>GÄVLEBORGS LÄN</t>
        </is>
      </c>
      <c r="E10662" t="inlineStr">
        <is>
          <t>BOLLNÄS</t>
        </is>
      </c>
      <c r="G10662" t="n">
        <v>6.3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20231-2024</t>
        </is>
      </c>
      <c r="B10663" s="1" t="n">
        <v>45434</v>
      </c>
      <c r="C10663" s="1" t="n">
        <v>45587</v>
      </c>
      <c r="D10663" t="inlineStr">
        <is>
          <t>GÄVLEBORGS LÄN</t>
        </is>
      </c>
      <c r="E10663" t="inlineStr">
        <is>
          <t>OCKELBO</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20266-2024</t>
        </is>
      </c>
      <c r="B10664" s="1" t="n">
        <v>45435</v>
      </c>
      <c r="C10664" s="1" t="n">
        <v>45587</v>
      </c>
      <c r="D10664" t="inlineStr">
        <is>
          <t>GÄVLEBORGS LÄN</t>
        </is>
      </c>
      <c r="E10664" t="inlineStr">
        <is>
          <t>OVANÅKER</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20224-2024</t>
        </is>
      </c>
      <c r="B10665" s="1" t="n">
        <v>45434</v>
      </c>
      <c r="C10665" s="1" t="n">
        <v>45587</v>
      </c>
      <c r="D10665" t="inlineStr">
        <is>
          <t>GÄVLEBORGS LÄN</t>
        </is>
      </c>
      <c r="E10665" t="inlineStr">
        <is>
          <t>BOLLNÄS</t>
        </is>
      </c>
      <c r="G10665" t="n">
        <v>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20232-2024</t>
        </is>
      </c>
      <c r="B10666" s="1" t="n">
        <v>45434</v>
      </c>
      <c r="C10666" s="1" t="n">
        <v>45587</v>
      </c>
      <c r="D10666" t="inlineStr">
        <is>
          <t>GÄVLEBORGS LÄN</t>
        </is>
      </c>
      <c r="E10666" t="inlineStr">
        <is>
          <t>GÄVLE</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20264-2024</t>
        </is>
      </c>
      <c r="B10667" s="1" t="n">
        <v>45435</v>
      </c>
      <c r="C10667" s="1" t="n">
        <v>45587</v>
      </c>
      <c r="D10667" t="inlineStr">
        <is>
          <t>GÄVLEBORGS LÄN</t>
        </is>
      </c>
      <c r="E10667" t="inlineStr">
        <is>
          <t>OVANÅKER</t>
        </is>
      </c>
      <c r="G10667" t="n">
        <v>5.3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20332-2024</t>
        </is>
      </c>
      <c r="B10668" s="1" t="n">
        <v>45435</v>
      </c>
      <c r="C10668" s="1" t="n">
        <v>45587</v>
      </c>
      <c r="D10668" t="inlineStr">
        <is>
          <t>GÄVLEBORGS LÄN</t>
        </is>
      </c>
      <c r="E10668" t="inlineStr">
        <is>
          <t>LJUSDAL</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20434-2024</t>
        </is>
      </c>
      <c r="B10669" s="1" t="n">
        <v>45435</v>
      </c>
      <c r="C10669" s="1" t="n">
        <v>45587</v>
      </c>
      <c r="D10669" t="inlineStr">
        <is>
          <t>GÄVLEBORGS LÄN</t>
        </is>
      </c>
      <c r="E10669" t="inlineStr">
        <is>
          <t>NORDANSTIG</t>
        </is>
      </c>
      <c r="F10669" t="inlineStr">
        <is>
          <t>Holmen skog AB</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20288-2024</t>
        </is>
      </c>
      <c r="B10670" s="1" t="n">
        <v>45435</v>
      </c>
      <c r="C10670" s="1" t="n">
        <v>45587</v>
      </c>
      <c r="D10670" t="inlineStr">
        <is>
          <t>GÄVLEBORGS LÄN</t>
        </is>
      </c>
      <c r="E10670" t="inlineStr">
        <is>
          <t>LJUSDAL</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20317-2024</t>
        </is>
      </c>
      <c r="B10671" s="1" t="n">
        <v>45435</v>
      </c>
      <c r="C10671" s="1" t="n">
        <v>45587</v>
      </c>
      <c r="D10671" t="inlineStr">
        <is>
          <t>GÄVLEBORGS LÄN</t>
        </is>
      </c>
      <c r="E10671" t="inlineStr">
        <is>
          <t>LJUSDAL</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20335-2024</t>
        </is>
      </c>
      <c r="B10672" s="1" t="n">
        <v>45435</v>
      </c>
      <c r="C10672" s="1" t="n">
        <v>45587</v>
      </c>
      <c r="D10672" t="inlineStr">
        <is>
          <t>GÄVLEBORGS LÄN</t>
        </is>
      </c>
      <c r="E10672" t="inlineStr">
        <is>
          <t>LJUSDAL</t>
        </is>
      </c>
      <c r="G10672" t="n">
        <v>3.4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20339-2024</t>
        </is>
      </c>
      <c r="B10673" s="1" t="n">
        <v>45435</v>
      </c>
      <c r="C10673" s="1" t="n">
        <v>45587</v>
      </c>
      <c r="D10673" t="inlineStr">
        <is>
          <t>GÄVLEBORGS LÄN</t>
        </is>
      </c>
      <c r="E10673" t="inlineStr">
        <is>
          <t>LJUSDAL</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20424-2024</t>
        </is>
      </c>
      <c r="B10674" s="1" t="n">
        <v>45435</v>
      </c>
      <c r="C10674" s="1" t="n">
        <v>45587</v>
      </c>
      <c r="D10674" t="inlineStr">
        <is>
          <t>GÄVLEBORGS LÄN</t>
        </is>
      </c>
      <c r="E10674" t="inlineStr">
        <is>
          <t>LJUSDAL</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20338-2024</t>
        </is>
      </c>
      <c r="B10675" s="1" t="n">
        <v>45435</v>
      </c>
      <c r="C10675" s="1" t="n">
        <v>45587</v>
      </c>
      <c r="D10675" t="inlineStr">
        <is>
          <t>GÄVLEBORGS LÄN</t>
        </is>
      </c>
      <c r="E10675" t="inlineStr">
        <is>
          <t>GÄVLE</t>
        </is>
      </c>
      <c r="G10675" t="n">
        <v>9.5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20386-2024</t>
        </is>
      </c>
      <c r="B10676" s="1" t="n">
        <v>45435</v>
      </c>
      <c r="C10676" s="1" t="n">
        <v>45587</v>
      </c>
      <c r="D10676" t="inlineStr">
        <is>
          <t>GÄVLEBORGS LÄN</t>
        </is>
      </c>
      <c r="E10676" t="inlineStr">
        <is>
          <t>NORDANSTIG</t>
        </is>
      </c>
      <c r="F10676" t="inlineStr">
        <is>
          <t>Holmen skog AB</t>
        </is>
      </c>
      <c r="G10676" t="n">
        <v>6.5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20456-2024</t>
        </is>
      </c>
      <c r="B10677" s="1" t="n">
        <v>45435</v>
      </c>
      <c r="C10677" s="1" t="n">
        <v>45587</v>
      </c>
      <c r="D10677" t="inlineStr">
        <is>
          <t>GÄVLEBORGS LÄN</t>
        </is>
      </c>
      <c r="E10677" t="inlineStr">
        <is>
          <t>SÖDERHAMN</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20649-2024</t>
        </is>
      </c>
      <c r="B10678" s="1" t="n">
        <v>45436</v>
      </c>
      <c r="C10678" s="1" t="n">
        <v>45587</v>
      </c>
      <c r="D10678" t="inlineStr">
        <is>
          <t>GÄVLEBORGS LÄN</t>
        </is>
      </c>
      <c r="E10678" t="inlineStr">
        <is>
          <t>OVANÅKER</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20554-2024</t>
        </is>
      </c>
      <c r="B10679" s="1" t="n">
        <v>45436</v>
      </c>
      <c r="C10679" s="1" t="n">
        <v>45587</v>
      </c>
      <c r="D10679" t="inlineStr">
        <is>
          <t>GÄVLEBORGS LÄN</t>
        </is>
      </c>
      <c r="E10679" t="inlineStr">
        <is>
          <t>LJUSDAL</t>
        </is>
      </c>
      <c r="F10679" t="inlineStr">
        <is>
          <t>Sveaskog</t>
        </is>
      </c>
      <c r="G10679" t="n">
        <v>4.5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20548-2024</t>
        </is>
      </c>
      <c r="B10680" s="1" t="n">
        <v>45436</v>
      </c>
      <c r="C10680" s="1" t="n">
        <v>45587</v>
      </c>
      <c r="D10680" t="inlineStr">
        <is>
          <t>GÄVLEBORGS LÄN</t>
        </is>
      </c>
      <c r="E10680" t="inlineStr">
        <is>
          <t>LJUSDAL</t>
        </is>
      </c>
      <c r="F10680" t="inlineStr">
        <is>
          <t>Sveaskog</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20572-2024</t>
        </is>
      </c>
      <c r="B10681" s="1" t="n">
        <v>45436</v>
      </c>
      <c r="C10681" s="1" t="n">
        <v>45587</v>
      </c>
      <c r="D10681" t="inlineStr">
        <is>
          <t>GÄVLEBORGS LÄN</t>
        </is>
      </c>
      <c r="E10681" t="inlineStr">
        <is>
          <t>BOLLNÄS</t>
        </is>
      </c>
      <c r="F10681" t="inlineStr">
        <is>
          <t>Bergvik skog väst AB</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20653-2024</t>
        </is>
      </c>
      <c r="B10682" s="1" t="n">
        <v>45436</v>
      </c>
      <c r="C10682" s="1" t="n">
        <v>45587</v>
      </c>
      <c r="D10682" t="inlineStr">
        <is>
          <t>GÄVLEBORGS LÄN</t>
        </is>
      </c>
      <c r="E10682" t="inlineStr">
        <is>
          <t>LJUSDAL</t>
        </is>
      </c>
      <c r="F10682" t="inlineStr">
        <is>
          <t>Sveaskog</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20691-2024</t>
        </is>
      </c>
      <c r="B10683" s="1" t="n">
        <v>45436</v>
      </c>
      <c r="C10683" s="1" t="n">
        <v>45587</v>
      </c>
      <c r="D10683" t="inlineStr">
        <is>
          <t>GÄVLEBORGS LÄN</t>
        </is>
      </c>
      <c r="E10683" t="inlineStr">
        <is>
          <t>HUDIKSVALL</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20715-2024</t>
        </is>
      </c>
      <c r="B10684" s="1" t="n">
        <v>45436</v>
      </c>
      <c r="C10684" s="1" t="n">
        <v>45587</v>
      </c>
      <c r="D10684" t="inlineStr">
        <is>
          <t>GÄVLEBORGS LÄN</t>
        </is>
      </c>
      <c r="E10684" t="inlineStr">
        <is>
          <t>HUDIKSVALL</t>
        </is>
      </c>
      <c r="G10684" t="n">
        <v>6.3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20549-2024</t>
        </is>
      </c>
      <c r="B10685" s="1" t="n">
        <v>45436</v>
      </c>
      <c r="C10685" s="1" t="n">
        <v>45587</v>
      </c>
      <c r="D10685" t="inlineStr">
        <is>
          <t>GÄVLEBORGS LÄN</t>
        </is>
      </c>
      <c r="E10685" t="inlineStr">
        <is>
          <t>LJUSDAL</t>
        </is>
      </c>
      <c r="F10685" t="inlineStr">
        <is>
          <t>Sveaskog</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20717-2024</t>
        </is>
      </c>
      <c r="B10686" s="1" t="n">
        <v>45436</v>
      </c>
      <c r="C10686" s="1" t="n">
        <v>45587</v>
      </c>
      <c r="D10686" t="inlineStr">
        <is>
          <t>GÄVLEBORGS LÄN</t>
        </is>
      </c>
      <c r="E10686" t="inlineStr">
        <is>
          <t>SÖDERHAMN</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20689-2024</t>
        </is>
      </c>
      <c r="B10687" s="1" t="n">
        <v>45436</v>
      </c>
      <c r="C10687" s="1" t="n">
        <v>45587</v>
      </c>
      <c r="D10687" t="inlineStr">
        <is>
          <t>GÄVLEBORGS LÄN</t>
        </is>
      </c>
      <c r="E10687" t="inlineStr">
        <is>
          <t>GÄVLE</t>
        </is>
      </c>
      <c r="G10687" t="n">
        <v>0.2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20555-2024</t>
        </is>
      </c>
      <c r="B10688" s="1" t="n">
        <v>45436</v>
      </c>
      <c r="C10688" s="1" t="n">
        <v>45587</v>
      </c>
      <c r="D10688" t="inlineStr">
        <is>
          <t>GÄVLEBORGS LÄN</t>
        </is>
      </c>
      <c r="E10688" t="inlineStr">
        <is>
          <t>LJUSDAL</t>
        </is>
      </c>
      <c r="F10688" t="inlineStr">
        <is>
          <t>Sveaskog</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20619-2024</t>
        </is>
      </c>
      <c r="B10689" s="1" t="n">
        <v>45436</v>
      </c>
      <c r="C10689" s="1" t="n">
        <v>45587</v>
      </c>
      <c r="D10689" t="inlineStr">
        <is>
          <t>GÄVLEBORGS LÄN</t>
        </is>
      </c>
      <c r="E10689" t="inlineStr">
        <is>
          <t>BOLLNÄS</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20652-2024</t>
        </is>
      </c>
      <c r="B10690" s="1" t="n">
        <v>45436</v>
      </c>
      <c r="C10690" s="1" t="n">
        <v>45587</v>
      </c>
      <c r="D10690" t="inlineStr">
        <is>
          <t>GÄVLEBORGS LÄN</t>
        </is>
      </c>
      <c r="E10690" t="inlineStr">
        <is>
          <t>NORDANSTIG</t>
        </is>
      </c>
      <c r="F10690" t="inlineStr">
        <is>
          <t>Holmen skog AB</t>
        </is>
      </c>
      <c r="G10690" t="n">
        <v>6.9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20612-2024</t>
        </is>
      </c>
      <c r="B10691" s="1" t="n">
        <v>45436</v>
      </c>
      <c r="C10691" s="1" t="n">
        <v>45587</v>
      </c>
      <c r="D10691" t="inlineStr">
        <is>
          <t>GÄVLEBORGS LÄN</t>
        </is>
      </c>
      <c r="E10691" t="inlineStr">
        <is>
          <t>HUDIKSVALL</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20742-2024</t>
        </is>
      </c>
      <c r="B10692" s="1" t="n">
        <v>45436</v>
      </c>
      <c r="C10692" s="1" t="n">
        <v>45587</v>
      </c>
      <c r="D10692" t="inlineStr">
        <is>
          <t>GÄVLEBORGS LÄN</t>
        </is>
      </c>
      <c r="E10692" t="inlineStr">
        <is>
          <t>BOLLNÄS</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20787-2024</t>
        </is>
      </c>
      <c r="B10693" s="1" t="n">
        <v>45438</v>
      </c>
      <c r="C10693" s="1" t="n">
        <v>45587</v>
      </c>
      <c r="D10693" t="inlineStr">
        <is>
          <t>GÄVLEBORGS LÄN</t>
        </is>
      </c>
      <c r="E10693" t="inlineStr">
        <is>
          <t>LJUSDAL</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20893-2024</t>
        </is>
      </c>
      <c r="B10694" s="1" t="n">
        <v>45439</v>
      </c>
      <c r="C10694" s="1" t="n">
        <v>45587</v>
      </c>
      <c r="D10694" t="inlineStr">
        <is>
          <t>GÄVLEBORGS LÄN</t>
        </is>
      </c>
      <c r="E10694" t="inlineStr">
        <is>
          <t>GÄVLE</t>
        </is>
      </c>
      <c r="G10694" t="n">
        <v>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20907-2024</t>
        </is>
      </c>
      <c r="B10695" s="1" t="n">
        <v>45439</v>
      </c>
      <c r="C10695" s="1" t="n">
        <v>45587</v>
      </c>
      <c r="D10695" t="inlineStr">
        <is>
          <t>GÄVLEBORGS LÄN</t>
        </is>
      </c>
      <c r="E10695" t="inlineStr">
        <is>
          <t>OCKELBO</t>
        </is>
      </c>
      <c r="F10695" t="inlineStr">
        <is>
          <t>Bergvik skog väst AB</t>
        </is>
      </c>
      <c r="G10695" t="n">
        <v>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20976-2024</t>
        </is>
      </c>
      <c r="B10696" s="1" t="n">
        <v>45439</v>
      </c>
      <c r="C10696" s="1" t="n">
        <v>45587</v>
      </c>
      <c r="D10696" t="inlineStr">
        <is>
          <t>GÄVLEBORGS LÄN</t>
        </is>
      </c>
      <c r="E10696" t="inlineStr">
        <is>
          <t>OVANÅKER</t>
        </is>
      </c>
      <c r="G10696" t="n">
        <v>3.3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20876-2024</t>
        </is>
      </c>
      <c r="B10697" s="1" t="n">
        <v>45439</v>
      </c>
      <c r="C10697" s="1" t="n">
        <v>45587</v>
      </c>
      <c r="D10697" t="inlineStr">
        <is>
          <t>GÄVLEBORGS LÄN</t>
        </is>
      </c>
      <c r="E10697" t="inlineStr">
        <is>
          <t>BOLLNÄS</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21019-2024</t>
        </is>
      </c>
      <c r="B10698" s="1" t="n">
        <v>45439</v>
      </c>
      <c r="C10698" s="1" t="n">
        <v>45587</v>
      </c>
      <c r="D10698" t="inlineStr">
        <is>
          <t>GÄVLEBORGS LÄN</t>
        </is>
      </c>
      <c r="E10698" t="inlineStr">
        <is>
          <t>HOFORS</t>
        </is>
      </c>
      <c r="F10698" t="inlineStr">
        <is>
          <t>Sveaskog</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21027-2024</t>
        </is>
      </c>
      <c r="B10699" s="1" t="n">
        <v>45439</v>
      </c>
      <c r="C10699" s="1" t="n">
        <v>45587</v>
      </c>
      <c r="D10699" t="inlineStr">
        <is>
          <t>GÄVLEBORGS LÄN</t>
        </is>
      </c>
      <c r="E10699" t="inlineStr">
        <is>
          <t>HOFORS</t>
        </is>
      </c>
      <c r="F10699" t="inlineStr">
        <is>
          <t>Sveaskog</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21061-2024</t>
        </is>
      </c>
      <c r="B10700" s="1" t="n">
        <v>45439</v>
      </c>
      <c r="C10700" s="1" t="n">
        <v>45587</v>
      </c>
      <c r="D10700" t="inlineStr">
        <is>
          <t>GÄVLEBORGS LÄN</t>
        </is>
      </c>
      <c r="E10700" t="inlineStr">
        <is>
          <t>NORDANSTIG</t>
        </is>
      </c>
      <c r="F10700" t="inlineStr">
        <is>
          <t>Holmen skog AB</t>
        </is>
      </c>
      <c r="G10700" t="n">
        <v>7.1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21070-2024</t>
        </is>
      </c>
      <c r="B10701" s="1" t="n">
        <v>45439</v>
      </c>
      <c r="C10701" s="1" t="n">
        <v>45587</v>
      </c>
      <c r="D10701" t="inlineStr">
        <is>
          <t>GÄVLEBORGS LÄN</t>
        </is>
      </c>
      <c r="E10701" t="inlineStr">
        <is>
          <t>LJUSDAL</t>
        </is>
      </c>
      <c r="F10701" t="inlineStr">
        <is>
          <t>Övriga Aktiebolag</t>
        </is>
      </c>
      <c r="G10701" t="n">
        <v>8.199999999999999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20897-2024</t>
        </is>
      </c>
      <c r="B10702" s="1" t="n">
        <v>45439</v>
      </c>
      <c r="C10702" s="1" t="n">
        <v>45587</v>
      </c>
      <c r="D10702" t="inlineStr">
        <is>
          <t>GÄVLEBORGS LÄN</t>
        </is>
      </c>
      <c r="E10702" t="inlineStr">
        <is>
          <t>LJUSDAL</t>
        </is>
      </c>
      <c r="G10702" t="n">
        <v>4.6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21063-2024</t>
        </is>
      </c>
      <c r="B10703" s="1" t="n">
        <v>45439</v>
      </c>
      <c r="C10703" s="1" t="n">
        <v>45587</v>
      </c>
      <c r="D10703" t="inlineStr">
        <is>
          <t>GÄVLEBORGS LÄN</t>
        </is>
      </c>
      <c r="E10703" t="inlineStr">
        <is>
          <t>NORDANSTIG</t>
        </is>
      </c>
      <c r="F10703" t="inlineStr">
        <is>
          <t>Holmen skog AB</t>
        </is>
      </c>
      <c r="G10703" t="n">
        <v>4.5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21039-2024</t>
        </is>
      </c>
      <c r="B10704" s="1" t="n">
        <v>45439</v>
      </c>
      <c r="C10704" s="1" t="n">
        <v>45587</v>
      </c>
      <c r="D10704" t="inlineStr">
        <is>
          <t>GÄVLEBORGS LÄN</t>
        </is>
      </c>
      <c r="E10704" t="inlineStr">
        <is>
          <t>HOFORS</t>
        </is>
      </c>
      <c r="F10704" t="inlineStr">
        <is>
          <t>Sveaskog</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20945-2024</t>
        </is>
      </c>
      <c r="B10705" s="1" t="n">
        <v>45439</v>
      </c>
      <c r="C10705" s="1" t="n">
        <v>45587</v>
      </c>
      <c r="D10705" t="inlineStr">
        <is>
          <t>GÄVLEBORGS LÄN</t>
        </is>
      </c>
      <c r="E10705" t="inlineStr">
        <is>
          <t>NORDANSTIG</t>
        </is>
      </c>
      <c r="F10705" t="inlineStr">
        <is>
          <t>Holmen skog AB</t>
        </is>
      </c>
      <c r="G10705" t="n">
        <v>8.9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20859-2024</t>
        </is>
      </c>
      <c r="B10706" s="1" t="n">
        <v>45439</v>
      </c>
      <c r="C10706" s="1" t="n">
        <v>45587</v>
      </c>
      <c r="D10706" t="inlineStr">
        <is>
          <t>GÄVLEBORGS LÄN</t>
        </is>
      </c>
      <c r="E10706" t="inlineStr">
        <is>
          <t>OCKELBO</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20956-2024</t>
        </is>
      </c>
      <c r="B10707" s="1" t="n">
        <v>45439</v>
      </c>
      <c r="C10707" s="1" t="n">
        <v>45587</v>
      </c>
      <c r="D10707" t="inlineStr">
        <is>
          <t>GÄVLEBORGS LÄN</t>
        </is>
      </c>
      <c r="E10707" t="inlineStr">
        <is>
          <t>LJUSDAL</t>
        </is>
      </c>
      <c r="G10707" t="n">
        <v>7.2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20908-2024</t>
        </is>
      </c>
      <c r="B10708" s="1" t="n">
        <v>45439</v>
      </c>
      <c r="C10708" s="1" t="n">
        <v>45587</v>
      </c>
      <c r="D10708" t="inlineStr">
        <is>
          <t>GÄVLEBORGS LÄN</t>
        </is>
      </c>
      <c r="E10708" t="inlineStr">
        <is>
          <t>GÄVLE</t>
        </is>
      </c>
      <c r="G10708" t="n">
        <v>6.4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20890-2024</t>
        </is>
      </c>
      <c r="B10709" s="1" t="n">
        <v>45439</v>
      </c>
      <c r="C10709" s="1" t="n">
        <v>45587</v>
      </c>
      <c r="D10709" t="inlineStr">
        <is>
          <t>GÄVLEBORGS LÄN</t>
        </is>
      </c>
      <c r="E10709" t="inlineStr">
        <is>
          <t>NORDANSTIG</t>
        </is>
      </c>
      <c r="F10709" t="inlineStr">
        <is>
          <t>Holmen skog AB</t>
        </is>
      </c>
      <c r="G10709" t="n">
        <v>7.1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21085-2024</t>
        </is>
      </c>
      <c r="B10710" s="1" t="n">
        <v>45439</v>
      </c>
      <c r="C10710" s="1" t="n">
        <v>45587</v>
      </c>
      <c r="D10710" t="inlineStr">
        <is>
          <t>GÄVLEBORGS LÄN</t>
        </is>
      </c>
      <c r="E10710" t="inlineStr">
        <is>
          <t>NORDANSTIG</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21028-2024</t>
        </is>
      </c>
      <c r="B10711" s="1" t="n">
        <v>45439</v>
      </c>
      <c r="C10711" s="1" t="n">
        <v>45587</v>
      </c>
      <c r="D10711" t="inlineStr">
        <is>
          <t>GÄVLEBORGS LÄN</t>
        </is>
      </c>
      <c r="E10711" t="inlineStr">
        <is>
          <t>HOFORS</t>
        </is>
      </c>
      <c r="F10711" t="inlineStr">
        <is>
          <t>Sveaskog</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21156-2024</t>
        </is>
      </c>
      <c r="B10712" s="1" t="n">
        <v>45440</v>
      </c>
      <c r="C10712" s="1" t="n">
        <v>45587</v>
      </c>
      <c r="D10712" t="inlineStr">
        <is>
          <t>GÄVLEBORGS LÄN</t>
        </is>
      </c>
      <c r="E10712" t="inlineStr">
        <is>
          <t>HUDIKSVALL</t>
        </is>
      </c>
      <c r="G10712" t="n">
        <v>5.2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21246-2024</t>
        </is>
      </c>
      <c r="B10713" s="1" t="n">
        <v>45440</v>
      </c>
      <c r="C10713" s="1" t="n">
        <v>45587</v>
      </c>
      <c r="D10713" t="inlineStr">
        <is>
          <t>GÄVLEBORGS LÄN</t>
        </is>
      </c>
      <c r="E10713" t="inlineStr">
        <is>
          <t>GÄVLE</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21254-2024</t>
        </is>
      </c>
      <c r="B10714" s="1" t="n">
        <v>45440</v>
      </c>
      <c r="C10714" s="1" t="n">
        <v>45587</v>
      </c>
      <c r="D10714" t="inlineStr">
        <is>
          <t>GÄVLEBORGS LÄN</t>
        </is>
      </c>
      <c r="E10714" t="inlineStr">
        <is>
          <t>HOFORS</t>
        </is>
      </c>
      <c r="G10714" t="n">
        <v>4.3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21194-2024</t>
        </is>
      </c>
      <c r="B10715" s="1" t="n">
        <v>45440</v>
      </c>
      <c r="C10715" s="1" t="n">
        <v>45587</v>
      </c>
      <c r="D10715" t="inlineStr">
        <is>
          <t>GÄVLEBORGS LÄN</t>
        </is>
      </c>
      <c r="E10715" t="inlineStr">
        <is>
          <t>LJUSDAL</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21175-2024</t>
        </is>
      </c>
      <c r="B10716" s="1" t="n">
        <v>45440</v>
      </c>
      <c r="C10716" s="1" t="n">
        <v>45587</v>
      </c>
      <c r="D10716" t="inlineStr">
        <is>
          <t>GÄVLEBORGS LÄN</t>
        </is>
      </c>
      <c r="E10716" t="inlineStr">
        <is>
          <t>NORDANSTIG</t>
        </is>
      </c>
      <c r="G10716" t="n">
        <v>8.4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21191-2024</t>
        </is>
      </c>
      <c r="B10717" s="1" t="n">
        <v>45440</v>
      </c>
      <c r="C10717" s="1" t="n">
        <v>45587</v>
      </c>
      <c r="D10717" t="inlineStr">
        <is>
          <t>GÄVLEBORGS LÄN</t>
        </is>
      </c>
      <c r="E10717" t="inlineStr">
        <is>
          <t>NORDANSTIG</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21239-2024</t>
        </is>
      </c>
      <c r="B10718" s="1" t="n">
        <v>45440</v>
      </c>
      <c r="C10718" s="1" t="n">
        <v>45587</v>
      </c>
      <c r="D10718" t="inlineStr">
        <is>
          <t>GÄVLEBORGS LÄN</t>
        </is>
      </c>
      <c r="E10718" t="inlineStr">
        <is>
          <t>GÄVLE</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21287-2024</t>
        </is>
      </c>
      <c r="B10719" s="1" t="n">
        <v>45440</v>
      </c>
      <c r="C10719" s="1" t="n">
        <v>45587</v>
      </c>
      <c r="D10719" t="inlineStr">
        <is>
          <t>GÄVLEBORGS LÄN</t>
        </is>
      </c>
      <c r="E10719" t="inlineStr">
        <is>
          <t>SÖDERHAMN</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21300-2024</t>
        </is>
      </c>
      <c r="B10720" s="1" t="n">
        <v>45440</v>
      </c>
      <c r="C10720" s="1" t="n">
        <v>45587</v>
      </c>
      <c r="D10720" t="inlineStr">
        <is>
          <t>GÄVLEBORGS LÄN</t>
        </is>
      </c>
      <c r="E10720" t="inlineStr">
        <is>
          <t>GÄVLE</t>
        </is>
      </c>
      <c r="G10720" t="n">
        <v>8.6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21273-2024</t>
        </is>
      </c>
      <c r="B10721" s="1" t="n">
        <v>45440</v>
      </c>
      <c r="C10721" s="1" t="n">
        <v>45587</v>
      </c>
      <c r="D10721" t="inlineStr">
        <is>
          <t>GÄVLEBORGS LÄN</t>
        </is>
      </c>
      <c r="E10721" t="inlineStr">
        <is>
          <t>GÄVLE</t>
        </is>
      </c>
      <c r="G10721" t="n">
        <v>9.1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21346-2024</t>
        </is>
      </c>
      <c r="B10722" s="1" t="n">
        <v>45441</v>
      </c>
      <c r="C10722" s="1" t="n">
        <v>45587</v>
      </c>
      <c r="D10722" t="inlineStr">
        <is>
          <t>GÄVLEBORGS LÄN</t>
        </is>
      </c>
      <c r="E10722" t="inlineStr">
        <is>
          <t>LJUSDAL</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21289-2024</t>
        </is>
      </c>
      <c r="B10723" s="1" t="n">
        <v>45440</v>
      </c>
      <c r="C10723" s="1" t="n">
        <v>45587</v>
      </c>
      <c r="D10723" t="inlineStr">
        <is>
          <t>GÄVLEBORGS LÄN</t>
        </is>
      </c>
      <c r="E10723" t="inlineStr">
        <is>
          <t>OCKELBO</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21293-2024</t>
        </is>
      </c>
      <c r="B10724" s="1" t="n">
        <v>45440</v>
      </c>
      <c r="C10724" s="1" t="n">
        <v>45587</v>
      </c>
      <c r="D10724" t="inlineStr">
        <is>
          <t>GÄVLEBORGS LÄN</t>
        </is>
      </c>
      <c r="E10724" t="inlineStr">
        <is>
          <t>OCKELBO</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21121-2024</t>
        </is>
      </c>
      <c r="B10725" s="1" t="n">
        <v>45440</v>
      </c>
      <c r="C10725" s="1" t="n">
        <v>45587</v>
      </c>
      <c r="D10725" t="inlineStr">
        <is>
          <t>GÄVLEBORGS LÄN</t>
        </is>
      </c>
      <c r="E10725" t="inlineStr">
        <is>
          <t>SANDVIKEN</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21316-2024</t>
        </is>
      </c>
      <c r="B10726" s="1" t="n">
        <v>45440</v>
      </c>
      <c r="C10726" s="1" t="n">
        <v>45587</v>
      </c>
      <c r="D10726" t="inlineStr">
        <is>
          <t>GÄVLEBORGS LÄN</t>
        </is>
      </c>
      <c r="E10726" t="inlineStr">
        <is>
          <t>SÖDERHAMN</t>
        </is>
      </c>
      <c r="F10726" t="inlineStr">
        <is>
          <t>Kommuner</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21347-2024</t>
        </is>
      </c>
      <c r="B10727" s="1" t="n">
        <v>45441</v>
      </c>
      <c r="C10727" s="1" t="n">
        <v>45587</v>
      </c>
      <c r="D10727" t="inlineStr">
        <is>
          <t>GÄVLEBORGS LÄN</t>
        </is>
      </c>
      <c r="E10727" t="inlineStr">
        <is>
          <t>LJUSDAL</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21395-2024</t>
        </is>
      </c>
      <c r="B10728" s="1" t="n">
        <v>45441</v>
      </c>
      <c r="C10728" s="1" t="n">
        <v>45587</v>
      </c>
      <c r="D10728" t="inlineStr">
        <is>
          <t>GÄVLEBORGS LÄN</t>
        </is>
      </c>
      <c r="E10728" t="inlineStr">
        <is>
          <t>OCKELBO</t>
        </is>
      </c>
      <c r="F10728" t="inlineStr">
        <is>
          <t>Bergvik skog väst AB</t>
        </is>
      </c>
      <c r="G10728" t="n">
        <v>2.9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21429-2024</t>
        </is>
      </c>
      <c r="B10729" s="1" t="n">
        <v>45441</v>
      </c>
      <c r="C10729" s="1" t="n">
        <v>45587</v>
      </c>
      <c r="D10729" t="inlineStr">
        <is>
          <t>GÄVLEBORGS LÄN</t>
        </is>
      </c>
      <c r="E10729" t="inlineStr">
        <is>
          <t>OVANÅKER</t>
        </is>
      </c>
      <c r="F10729" t="inlineStr">
        <is>
          <t>Kyrkan</t>
        </is>
      </c>
      <c r="G10729" t="n">
        <v>11.3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21441-2024</t>
        </is>
      </c>
      <c r="B10730" s="1" t="n">
        <v>45441</v>
      </c>
      <c r="C10730" s="1" t="n">
        <v>45587</v>
      </c>
      <c r="D10730" t="inlineStr">
        <is>
          <t>GÄVLEBORGS LÄN</t>
        </is>
      </c>
      <c r="E10730" t="inlineStr">
        <is>
          <t>LJUSDAL</t>
        </is>
      </c>
      <c r="F10730" t="inlineStr">
        <is>
          <t>Bergvik skog väst AB</t>
        </is>
      </c>
      <c r="G10730" t="n">
        <v>10.1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21418-2024</t>
        </is>
      </c>
      <c r="B10731" s="1" t="n">
        <v>45441</v>
      </c>
      <c r="C10731" s="1" t="n">
        <v>45587</v>
      </c>
      <c r="D10731" t="inlineStr">
        <is>
          <t>GÄVLEBORGS LÄN</t>
        </is>
      </c>
      <c r="E10731" t="inlineStr">
        <is>
          <t>OCKELBO</t>
        </is>
      </c>
      <c r="F10731" t="inlineStr">
        <is>
          <t>Bergvik skog väst AB</t>
        </is>
      </c>
      <c r="G10731" t="n">
        <v>7.1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21570-2024</t>
        </is>
      </c>
      <c r="B10732" s="1" t="n">
        <v>45441</v>
      </c>
      <c r="C10732" s="1" t="n">
        <v>45587</v>
      </c>
      <c r="D10732" t="inlineStr">
        <is>
          <t>GÄVLEBORGS LÄN</t>
        </is>
      </c>
      <c r="E10732" t="inlineStr">
        <is>
          <t>LJUSDAL</t>
        </is>
      </c>
      <c r="F10732" t="inlineStr">
        <is>
          <t>Bergvik skog väst AB</t>
        </is>
      </c>
      <c r="G10732" t="n">
        <v>8.199999999999999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21582-2024</t>
        </is>
      </c>
      <c r="B10733" s="1" t="n">
        <v>45441</v>
      </c>
      <c r="C10733" s="1" t="n">
        <v>45587</v>
      </c>
      <c r="D10733" t="inlineStr">
        <is>
          <t>GÄVLEBORGS LÄN</t>
        </is>
      </c>
      <c r="E10733" t="inlineStr">
        <is>
          <t>OCKELBO</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21563-2024</t>
        </is>
      </c>
      <c r="B10734" s="1" t="n">
        <v>45441</v>
      </c>
      <c r="C10734" s="1" t="n">
        <v>45587</v>
      </c>
      <c r="D10734" t="inlineStr">
        <is>
          <t>GÄVLEBORGS LÄN</t>
        </is>
      </c>
      <c r="E10734" t="inlineStr">
        <is>
          <t>LJUSDAL</t>
        </is>
      </c>
      <c r="F10734" t="inlineStr">
        <is>
          <t>Bergvik skog väst AB</t>
        </is>
      </c>
      <c r="G10734" t="n">
        <v>12.9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21465-2024</t>
        </is>
      </c>
      <c r="B10735" s="1" t="n">
        <v>45441</v>
      </c>
      <c r="C10735" s="1" t="n">
        <v>45587</v>
      </c>
      <c r="D10735" t="inlineStr">
        <is>
          <t>GÄVLEBORGS LÄN</t>
        </is>
      </c>
      <c r="E10735" t="inlineStr">
        <is>
          <t>LJUSDAL</t>
        </is>
      </c>
      <c r="G10735" t="n">
        <v>6.3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21734-2024</t>
        </is>
      </c>
      <c r="B10736" s="1" t="n">
        <v>45442</v>
      </c>
      <c r="C10736" s="1" t="n">
        <v>45587</v>
      </c>
      <c r="D10736" t="inlineStr">
        <is>
          <t>GÄVLEBORGS LÄN</t>
        </is>
      </c>
      <c r="E10736" t="inlineStr">
        <is>
          <t>OCKELBO</t>
        </is>
      </c>
      <c r="F10736" t="inlineStr">
        <is>
          <t>Bergvik skog väst AB</t>
        </is>
      </c>
      <c r="G10736" t="n">
        <v>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21750-2024</t>
        </is>
      </c>
      <c r="B10737" s="1" t="n">
        <v>45442</v>
      </c>
      <c r="C10737" s="1" t="n">
        <v>45587</v>
      </c>
      <c r="D10737" t="inlineStr">
        <is>
          <t>GÄVLEBORGS LÄN</t>
        </is>
      </c>
      <c r="E10737" t="inlineStr">
        <is>
          <t>HOFORS</t>
        </is>
      </c>
      <c r="G10737" t="n">
        <v>3.7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21709-2024</t>
        </is>
      </c>
      <c r="B10738" s="1" t="n">
        <v>45442</v>
      </c>
      <c r="C10738" s="1" t="n">
        <v>45587</v>
      </c>
      <c r="D10738" t="inlineStr">
        <is>
          <t>GÄVLEBORGS LÄN</t>
        </is>
      </c>
      <c r="E10738" t="inlineStr">
        <is>
          <t>LJUSDAL</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21672-2024</t>
        </is>
      </c>
      <c r="B10739" s="1" t="n">
        <v>45442</v>
      </c>
      <c r="C10739" s="1" t="n">
        <v>45587</v>
      </c>
      <c r="D10739" t="inlineStr">
        <is>
          <t>GÄVLEBORGS LÄN</t>
        </is>
      </c>
      <c r="E10739" t="inlineStr">
        <is>
          <t>NORDANSTIG</t>
        </is>
      </c>
      <c r="G10739" t="n">
        <v>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21741-2024</t>
        </is>
      </c>
      <c r="B10740" s="1" t="n">
        <v>45442</v>
      </c>
      <c r="C10740" s="1" t="n">
        <v>45587</v>
      </c>
      <c r="D10740" t="inlineStr">
        <is>
          <t>GÄVLEBORGS LÄN</t>
        </is>
      </c>
      <c r="E10740" t="inlineStr">
        <is>
          <t>BOLLNÄS</t>
        </is>
      </c>
      <c r="F10740" t="inlineStr">
        <is>
          <t>Bergvik skog väst AB</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21789-2024</t>
        </is>
      </c>
      <c r="B10741" s="1" t="n">
        <v>45442</v>
      </c>
      <c r="C10741" s="1" t="n">
        <v>45587</v>
      </c>
      <c r="D10741" t="inlineStr">
        <is>
          <t>GÄVLEBORGS LÄN</t>
        </is>
      </c>
      <c r="E10741" t="inlineStr">
        <is>
          <t>SÖDERHAMN</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21805-2024</t>
        </is>
      </c>
      <c r="B10742" s="1" t="n">
        <v>45442</v>
      </c>
      <c r="C10742" s="1" t="n">
        <v>45587</v>
      </c>
      <c r="D10742" t="inlineStr">
        <is>
          <t>GÄVLEBORGS LÄN</t>
        </is>
      </c>
      <c r="E10742" t="inlineStr">
        <is>
          <t>HUDIKSVALL</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21692-2024</t>
        </is>
      </c>
      <c r="B10743" s="1" t="n">
        <v>45442</v>
      </c>
      <c r="C10743" s="1" t="n">
        <v>45587</v>
      </c>
      <c r="D10743" t="inlineStr">
        <is>
          <t>GÄVLEBORGS LÄN</t>
        </is>
      </c>
      <c r="E10743" t="inlineStr">
        <is>
          <t>BOLLNÄS</t>
        </is>
      </c>
      <c r="F10743" t="inlineStr">
        <is>
          <t>Bergvik skog väst AB</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21728-2024</t>
        </is>
      </c>
      <c r="B10744" s="1" t="n">
        <v>45442</v>
      </c>
      <c r="C10744" s="1" t="n">
        <v>45587</v>
      </c>
      <c r="D10744" t="inlineStr">
        <is>
          <t>GÄVLEBORGS LÄN</t>
        </is>
      </c>
      <c r="E10744" t="inlineStr">
        <is>
          <t>OCKELBO</t>
        </is>
      </c>
      <c r="F10744" t="inlineStr">
        <is>
          <t>Bergvik skog väst AB</t>
        </is>
      </c>
      <c r="G10744" t="n">
        <v>6.1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21740-2024</t>
        </is>
      </c>
      <c r="B10745" s="1" t="n">
        <v>45442</v>
      </c>
      <c r="C10745" s="1" t="n">
        <v>45587</v>
      </c>
      <c r="D10745" t="inlineStr">
        <is>
          <t>GÄVLEBORGS LÄN</t>
        </is>
      </c>
      <c r="E10745" t="inlineStr">
        <is>
          <t>BOLLNÄS</t>
        </is>
      </c>
      <c r="F10745" t="inlineStr">
        <is>
          <t>Bergvik skog väst AB</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21756-2024</t>
        </is>
      </c>
      <c r="B10746" s="1" t="n">
        <v>45442</v>
      </c>
      <c r="C10746" s="1" t="n">
        <v>45587</v>
      </c>
      <c r="D10746" t="inlineStr">
        <is>
          <t>GÄVLEBORGS LÄN</t>
        </is>
      </c>
      <c r="E10746" t="inlineStr">
        <is>
          <t>LJUSDAL</t>
        </is>
      </c>
      <c r="G10746" t="n">
        <v>0.3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21633-2024</t>
        </is>
      </c>
      <c r="B10747" s="1" t="n">
        <v>45442</v>
      </c>
      <c r="C10747" s="1" t="n">
        <v>45587</v>
      </c>
      <c r="D10747" t="inlineStr">
        <is>
          <t>GÄVLEBORGS LÄN</t>
        </is>
      </c>
      <c r="E10747" t="inlineStr">
        <is>
          <t>LJUSDAL</t>
        </is>
      </c>
      <c r="G10747" t="n">
        <v>3.1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21637-2024</t>
        </is>
      </c>
      <c r="B10748" s="1" t="n">
        <v>45442</v>
      </c>
      <c r="C10748" s="1" t="n">
        <v>45587</v>
      </c>
      <c r="D10748" t="inlineStr">
        <is>
          <t>GÄVLEBORGS LÄN</t>
        </is>
      </c>
      <c r="E10748" t="inlineStr">
        <is>
          <t>LJUSDAL</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21682-2024</t>
        </is>
      </c>
      <c r="B10749" s="1" t="n">
        <v>45442</v>
      </c>
      <c r="C10749" s="1" t="n">
        <v>45587</v>
      </c>
      <c r="D10749" t="inlineStr">
        <is>
          <t>GÄVLEBORGS LÄN</t>
        </is>
      </c>
      <c r="E10749" t="inlineStr">
        <is>
          <t>BOLLNÄS</t>
        </is>
      </c>
      <c r="F10749" t="inlineStr">
        <is>
          <t>Bergvik skog väst AB</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21751-2024</t>
        </is>
      </c>
      <c r="B10750" s="1" t="n">
        <v>45442</v>
      </c>
      <c r="C10750" s="1" t="n">
        <v>45587</v>
      </c>
      <c r="D10750" t="inlineStr">
        <is>
          <t>GÄVLEBORGS LÄN</t>
        </is>
      </c>
      <c r="E10750" t="inlineStr">
        <is>
          <t>HOFORS</t>
        </is>
      </c>
      <c r="G10750" t="n">
        <v>4.1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21775-2024</t>
        </is>
      </c>
      <c r="B10751" s="1" t="n">
        <v>45442</v>
      </c>
      <c r="C10751" s="1" t="n">
        <v>45587</v>
      </c>
      <c r="D10751" t="inlineStr">
        <is>
          <t>GÄVLEBORGS LÄN</t>
        </is>
      </c>
      <c r="E10751" t="inlineStr">
        <is>
          <t>BOLLNÄS</t>
        </is>
      </c>
      <c r="G10751" t="n">
        <v>8.5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21783-2024</t>
        </is>
      </c>
      <c r="B10752" s="1" t="n">
        <v>45442</v>
      </c>
      <c r="C10752" s="1" t="n">
        <v>45587</v>
      </c>
      <c r="D10752" t="inlineStr">
        <is>
          <t>GÄVLEBORGS LÄN</t>
        </is>
      </c>
      <c r="E10752" t="inlineStr">
        <is>
          <t>HUDIKSVALL</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22028-2024</t>
        </is>
      </c>
      <c r="B10753" s="1" t="n">
        <v>45443</v>
      </c>
      <c r="C10753" s="1" t="n">
        <v>45587</v>
      </c>
      <c r="D10753" t="inlineStr">
        <is>
          <t>GÄVLEBORGS LÄN</t>
        </is>
      </c>
      <c r="E10753" t="inlineStr">
        <is>
          <t>BOLLNÄS</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21872-2024</t>
        </is>
      </c>
      <c r="B10754" s="1" t="n">
        <v>45443</v>
      </c>
      <c r="C10754" s="1" t="n">
        <v>45587</v>
      </c>
      <c r="D10754" t="inlineStr">
        <is>
          <t>GÄVLEBORGS LÄN</t>
        </is>
      </c>
      <c r="E10754" t="inlineStr">
        <is>
          <t>OCKELBO</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21904-2024</t>
        </is>
      </c>
      <c r="B10755" s="1" t="n">
        <v>45443</v>
      </c>
      <c r="C10755" s="1" t="n">
        <v>45587</v>
      </c>
      <c r="D10755" t="inlineStr">
        <is>
          <t>GÄVLEBORGS LÄN</t>
        </is>
      </c>
      <c r="E10755" t="inlineStr">
        <is>
          <t>HUDIKSVALL</t>
        </is>
      </c>
      <c r="F10755" t="inlineStr">
        <is>
          <t>Holmen skog AB</t>
        </is>
      </c>
      <c r="G10755" t="n">
        <v>7.4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21917-2024</t>
        </is>
      </c>
      <c r="B10756" s="1" t="n">
        <v>45443</v>
      </c>
      <c r="C10756" s="1" t="n">
        <v>45587</v>
      </c>
      <c r="D10756" t="inlineStr">
        <is>
          <t>GÄVLEBORGS LÄN</t>
        </is>
      </c>
      <c r="E10756" t="inlineStr">
        <is>
          <t>HUDIKSVALL</t>
        </is>
      </c>
      <c r="F10756" t="inlineStr">
        <is>
          <t>Holmen skog AB</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22055-2024</t>
        </is>
      </c>
      <c r="B10757" s="1" t="n">
        <v>45443</v>
      </c>
      <c r="C10757" s="1" t="n">
        <v>45587</v>
      </c>
      <c r="D10757" t="inlineStr">
        <is>
          <t>GÄVLEBORGS LÄN</t>
        </is>
      </c>
      <c r="E10757" t="inlineStr">
        <is>
          <t>HUDIKSVALL</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22067-2024</t>
        </is>
      </c>
      <c r="B10758" s="1" t="n">
        <v>45443</v>
      </c>
      <c r="C10758" s="1" t="n">
        <v>45587</v>
      </c>
      <c r="D10758" t="inlineStr">
        <is>
          <t>GÄVLEBORGS LÄN</t>
        </is>
      </c>
      <c r="E10758" t="inlineStr">
        <is>
          <t>LJUSDAL</t>
        </is>
      </c>
      <c r="F10758" t="inlineStr">
        <is>
          <t>Sveaskog</t>
        </is>
      </c>
      <c r="G10758" t="n">
        <v>2.9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21959-2024</t>
        </is>
      </c>
      <c r="B10759" s="1" t="n">
        <v>45443</v>
      </c>
      <c r="C10759" s="1" t="n">
        <v>45587</v>
      </c>
      <c r="D10759" t="inlineStr">
        <is>
          <t>GÄVLEBORGS LÄN</t>
        </is>
      </c>
      <c r="E10759" t="inlineStr">
        <is>
          <t>SÖDERHAMN</t>
        </is>
      </c>
      <c r="F10759" t="inlineStr">
        <is>
          <t>Kommuner</t>
        </is>
      </c>
      <c r="G10759" t="n">
        <v>5.5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21971-2024</t>
        </is>
      </c>
      <c r="B10760" s="1" t="n">
        <v>45443</v>
      </c>
      <c r="C10760" s="1" t="n">
        <v>45587</v>
      </c>
      <c r="D10760" t="inlineStr">
        <is>
          <t>GÄVLEBORGS LÄN</t>
        </is>
      </c>
      <c r="E10760" t="inlineStr">
        <is>
          <t>HUDIKSVALL</t>
        </is>
      </c>
      <c r="F10760" t="inlineStr">
        <is>
          <t>Sveaskog</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22018-2024</t>
        </is>
      </c>
      <c r="B10761" s="1" t="n">
        <v>45443</v>
      </c>
      <c r="C10761" s="1" t="n">
        <v>45587</v>
      </c>
      <c r="D10761" t="inlineStr">
        <is>
          <t>GÄVLEBORGS LÄN</t>
        </is>
      </c>
      <c r="E10761" t="inlineStr">
        <is>
          <t>HUDIKSVALL</t>
        </is>
      </c>
      <c r="F10761" t="inlineStr">
        <is>
          <t>Holmen skog AB</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22026-2024</t>
        </is>
      </c>
      <c r="B10762" s="1" t="n">
        <v>45443</v>
      </c>
      <c r="C10762" s="1" t="n">
        <v>45587</v>
      </c>
      <c r="D10762" t="inlineStr">
        <is>
          <t>GÄVLEBORGS LÄN</t>
        </is>
      </c>
      <c r="E10762" t="inlineStr">
        <is>
          <t>BOLLNÄS</t>
        </is>
      </c>
      <c r="G10762" t="n">
        <v>2.9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22088-2024</t>
        </is>
      </c>
      <c r="B10763" s="1" t="n">
        <v>45443</v>
      </c>
      <c r="C10763" s="1" t="n">
        <v>45587</v>
      </c>
      <c r="D10763" t="inlineStr">
        <is>
          <t>GÄVLEBORGS LÄN</t>
        </is>
      </c>
      <c r="E10763" t="inlineStr">
        <is>
          <t>GÄVLE</t>
        </is>
      </c>
      <c r="G10763" t="n">
        <v>8.6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22013-2024</t>
        </is>
      </c>
      <c r="B10764" s="1" t="n">
        <v>45443</v>
      </c>
      <c r="C10764" s="1" t="n">
        <v>45587</v>
      </c>
      <c r="D10764" t="inlineStr">
        <is>
          <t>GÄVLEBORGS LÄN</t>
        </is>
      </c>
      <c r="E10764" t="inlineStr">
        <is>
          <t>SÖDERHAMN</t>
        </is>
      </c>
      <c r="F10764" t="inlineStr">
        <is>
          <t>Kommuner</t>
        </is>
      </c>
      <c r="G10764" t="n">
        <v>3.9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21991-2024</t>
        </is>
      </c>
      <c r="B10765" s="1" t="n">
        <v>45443</v>
      </c>
      <c r="C10765" s="1" t="n">
        <v>45587</v>
      </c>
      <c r="D10765" t="inlineStr">
        <is>
          <t>GÄVLEBORGS LÄN</t>
        </is>
      </c>
      <c r="E10765" t="inlineStr">
        <is>
          <t>SÖDERHAMN</t>
        </is>
      </c>
      <c r="F10765" t="inlineStr">
        <is>
          <t>Kommuner</t>
        </is>
      </c>
      <c r="G10765" t="n">
        <v>5.9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21878-2024</t>
        </is>
      </c>
      <c r="B10766" s="1" t="n">
        <v>45443</v>
      </c>
      <c r="C10766" s="1" t="n">
        <v>45587</v>
      </c>
      <c r="D10766" t="inlineStr">
        <is>
          <t>GÄVLEBORGS LÄN</t>
        </is>
      </c>
      <c r="E10766" t="inlineStr">
        <is>
          <t>OCKELBO</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21898-2024</t>
        </is>
      </c>
      <c r="B10767" s="1" t="n">
        <v>45443</v>
      </c>
      <c r="C10767" s="1" t="n">
        <v>45587</v>
      </c>
      <c r="D10767" t="inlineStr">
        <is>
          <t>GÄVLEBORGS LÄN</t>
        </is>
      </c>
      <c r="E10767" t="inlineStr">
        <is>
          <t>NORDANSTIG</t>
        </is>
      </c>
      <c r="F10767" t="inlineStr">
        <is>
          <t>Holmen skog AB</t>
        </is>
      </c>
      <c r="G10767" t="n">
        <v>3.3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21902-2024</t>
        </is>
      </c>
      <c r="B10768" s="1" t="n">
        <v>45443</v>
      </c>
      <c r="C10768" s="1" t="n">
        <v>45587</v>
      </c>
      <c r="D10768" t="inlineStr">
        <is>
          <t>GÄVLEBORGS LÄN</t>
        </is>
      </c>
      <c r="E10768" t="inlineStr">
        <is>
          <t>HUDIKSVALL</t>
        </is>
      </c>
      <c r="F10768" t="inlineStr">
        <is>
          <t>Holmen skog AB</t>
        </is>
      </c>
      <c r="G10768" t="n">
        <v>6.6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21927-2024</t>
        </is>
      </c>
      <c r="B10769" s="1" t="n">
        <v>45443</v>
      </c>
      <c r="C10769" s="1" t="n">
        <v>45587</v>
      </c>
      <c r="D10769" t="inlineStr">
        <is>
          <t>GÄVLEBORGS LÄN</t>
        </is>
      </c>
      <c r="E10769" t="inlineStr">
        <is>
          <t>HUDIKSVALL</t>
        </is>
      </c>
      <c r="F10769" t="inlineStr">
        <is>
          <t>Holmen skog AB</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21940-2024</t>
        </is>
      </c>
      <c r="B10770" s="1" t="n">
        <v>45443</v>
      </c>
      <c r="C10770" s="1" t="n">
        <v>45587</v>
      </c>
      <c r="D10770" t="inlineStr">
        <is>
          <t>GÄVLEBORGS LÄN</t>
        </is>
      </c>
      <c r="E10770" t="inlineStr">
        <is>
          <t>HUDIKSVALL</t>
        </is>
      </c>
      <c r="F10770" t="inlineStr">
        <is>
          <t>Holmen skog AB</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21994-2024</t>
        </is>
      </c>
      <c r="B10771" s="1" t="n">
        <v>45443</v>
      </c>
      <c r="C10771" s="1" t="n">
        <v>45587</v>
      </c>
      <c r="D10771" t="inlineStr">
        <is>
          <t>GÄVLEBORGS LÄN</t>
        </is>
      </c>
      <c r="E10771" t="inlineStr">
        <is>
          <t>SANDVIKEN</t>
        </is>
      </c>
      <c r="G10771" t="n">
        <v>7.1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22002-2024</t>
        </is>
      </c>
      <c r="B10772" s="1" t="n">
        <v>45443</v>
      </c>
      <c r="C10772" s="1" t="n">
        <v>45587</v>
      </c>
      <c r="D10772" t="inlineStr">
        <is>
          <t>GÄVLEBORGS LÄN</t>
        </is>
      </c>
      <c r="E10772" t="inlineStr">
        <is>
          <t>SÖDERHAMN</t>
        </is>
      </c>
      <c r="F10772" t="inlineStr">
        <is>
          <t>Kommuner</t>
        </is>
      </c>
      <c r="G10772" t="n">
        <v>6.9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22010-2024</t>
        </is>
      </c>
      <c r="B10773" s="1" t="n">
        <v>45443</v>
      </c>
      <c r="C10773" s="1" t="n">
        <v>45587</v>
      </c>
      <c r="D10773" t="inlineStr">
        <is>
          <t>GÄVLEBORGS LÄN</t>
        </is>
      </c>
      <c r="E10773" t="inlineStr">
        <is>
          <t>BOLLNÄS</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22016-2024</t>
        </is>
      </c>
      <c r="B10774" s="1" t="n">
        <v>45443</v>
      </c>
      <c r="C10774" s="1" t="n">
        <v>45587</v>
      </c>
      <c r="D10774" t="inlineStr">
        <is>
          <t>GÄVLEBORGS LÄN</t>
        </is>
      </c>
      <c r="E10774" t="inlineStr">
        <is>
          <t>NORDANSTIG</t>
        </is>
      </c>
      <c r="F10774" t="inlineStr">
        <is>
          <t>Holmen skog AB</t>
        </is>
      </c>
      <c r="G10774" t="n">
        <v>15.5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22033-2024</t>
        </is>
      </c>
      <c r="B10775" s="1" t="n">
        <v>45443</v>
      </c>
      <c r="C10775" s="1" t="n">
        <v>45587</v>
      </c>
      <c r="D10775" t="inlineStr">
        <is>
          <t>GÄVLEBORGS LÄN</t>
        </is>
      </c>
      <c r="E10775" t="inlineStr">
        <is>
          <t>BOLLNÄS</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22090-2024</t>
        </is>
      </c>
      <c r="B10776" s="1" t="n">
        <v>45443</v>
      </c>
      <c r="C10776" s="1" t="n">
        <v>45587</v>
      </c>
      <c r="D10776" t="inlineStr">
        <is>
          <t>GÄVLEBORGS LÄN</t>
        </is>
      </c>
      <c r="E10776" t="inlineStr">
        <is>
          <t>GÄVLE</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21958-2024</t>
        </is>
      </c>
      <c r="B10777" s="1" t="n">
        <v>45443</v>
      </c>
      <c r="C10777" s="1" t="n">
        <v>45587</v>
      </c>
      <c r="D10777" t="inlineStr">
        <is>
          <t>GÄVLEBORGS LÄN</t>
        </is>
      </c>
      <c r="E10777" t="inlineStr">
        <is>
          <t>HOFORS</t>
        </is>
      </c>
      <c r="G10777" t="n">
        <v>6.1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21941-2024</t>
        </is>
      </c>
      <c r="B10778" s="1" t="n">
        <v>45443</v>
      </c>
      <c r="C10778" s="1" t="n">
        <v>45587</v>
      </c>
      <c r="D10778" t="inlineStr">
        <is>
          <t>GÄVLEBORGS LÄN</t>
        </is>
      </c>
      <c r="E10778" t="inlineStr">
        <is>
          <t>SÖDERHAMN</t>
        </is>
      </c>
      <c r="F10778" t="inlineStr">
        <is>
          <t>Bergvik skog väst AB</t>
        </is>
      </c>
      <c r="G10778" t="n">
        <v>6.4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21936-2024</t>
        </is>
      </c>
      <c r="B10779" s="1" t="n">
        <v>45443</v>
      </c>
      <c r="C10779" s="1" t="n">
        <v>45587</v>
      </c>
      <c r="D10779" t="inlineStr">
        <is>
          <t>GÄVLEBORGS LÄN</t>
        </is>
      </c>
      <c r="E10779" t="inlineStr">
        <is>
          <t>OCKELBO</t>
        </is>
      </c>
      <c r="F10779" t="inlineStr">
        <is>
          <t>Bergvik skog väst AB</t>
        </is>
      </c>
      <c r="G10779" t="n">
        <v>4.1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22087-2024</t>
        </is>
      </c>
      <c r="B10780" s="1" t="n">
        <v>45443</v>
      </c>
      <c r="C10780" s="1" t="n">
        <v>45587</v>
      </c>
      <c r="D10780" t="inlineStr">
        <is>
          <t>GÄVLEBORGS LÄN</t>
        </is>
      </c>
      <c r="E10780" t="inlineStr">
        <is>
          <t>GÄVLE</t>
        </is>
      </c>
      <c r="G10780" t="n">
        <v>3.9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22030-2024</t>
        </is>
      </c>
      <c r="B10781" s="1" t="n">
        <v>45443</v>
      </c>
      <c r="C10781" s="1" t="n">
        <v>45587</v>
      </c>
      <c r="D10781" t="inlineStr">
        <is>
          <t>GÄVLEBORGS LÄN</t>
        </is>
      </c>
      <c r="E10781" t="inlineStr">
        <is>
          <t>BOLLNÄS</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21895-2024</t>
        </is>
      </c>
      <c r="B10782" s="1" t="n">
        <v>45443</v>
      </c>
      <c r="C10782" s="1" t="n">
        <v>45587</v>
      </c>
      <c r="D10782" t="inlineStr">
        <is>
          <t>GÄVLEBORGS LÄN</t>
        </is>
      </c>
      <c r="E10782" t="inlineStr">
        <is>
          <t>SÖDERHAMN</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22065-2024</t>
        </is>
      </c>
      <c r="B10783" s="1" t="n">
        <v>45443</v>
      </c>
      <c r="C10783" s="1" t="n">
        <v>45587</v>
      </c>
      <c r="D10783" t="inlineStr">
        <is>
          <t>GÄVLEBORGS LÄN</t>
        </is>
      </c>
      <c r="E10783" t="inlineStr">
        <is>
          <t>LJUSDAL</t>
        </is>
      </c>
      <c r="F10783" t="inlineStr">
        <is>
          <t>Sveaskog</t>
        </is>
      </c>
      <c r="G10783" t="n">
        <v>8.800000000000001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22015-2024</t>
        </is>
      </c>
      <c r="B10784" s="1" t="n">
        <v>45443</v>
      </c>
      <c r="C10784" s="1" t="n">
        <v>45587</v>
      </c>
      <c r="D10784" t="inlineStr">
        <is>
          <t>GÄVLEBORGS LÄN</t>
        </is>
      </c>
      <c r="E10784" t="inlineStr">
        <is>
          <t>NORDANSTIG</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21989-2024</t>
        </is>
      </c>
      <c r="B10785" s="1" t="n">
        <v>45443</v>
      </c>
      <c r="C10785" s="1" t="n">
        <v>45587</v>
      </c>
      <c r="D10785" t="inlineStr">
        <is>
          <t>GÄVLEBORGS LÄN</t>
        </is>
      </c>
      <c r="E10785" t="inlineStr">
        <is>
          <t>BOLLNÄS</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21905-2024</t>
        </is>
      </c>
      <c r="B10786" s="1" t="n">
        <v>45443</v>
      </c>
      <c r="C10786" s="1" t="n">
        <v>45587</v>
      </c>
      <c r="D10786" t="inlineStr">
        <is>
          <t>GÄVLEBORGS LÄN</t>
        </is>
      </c>
      <c r="E10786" t="inlineStr">
        <is>
          <t>OVANÅKER</t>
        </is>
      </c>
      <c r="F10786" t="inlineStr">
        <is>
          <t>Kyrkan</t>
        </is>
      </c>
      <c r="G10786" t="n">
        <v>7.5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21901-2024</t>
        </is>
      </c>
      <c r="B10787" s="1" t="n">
        <v>45443</v>
      </c>
      <c r="C10787" s="1" t="n">
        <v>45587</v>
      </c>
      <c r="D10787" t="inlineStr">
        <is>
          <t>GÄVLEBORGS LÄN</t>
        </is>
      </c>
      <c r="E10787" t="inlineStr">
        <is>
          <t>LJUSDAL</t>
        </is>
      </c>
      <c r="F10787" t="inlineStr">
        <is>
          <t>Sveaskog</t>
        </is>
      </c>
      <c r="G10787" t="n">
        <v>18.9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22135-2024</t>
        </is>
      </c>
      <c r="B10788" s="1" t="n">
        <v>45444</v>
      </c>
      <c r="C10788" s="1" t="n">
        <v>45587</v>
      </c>
      <c r="D10788" t="inlineStr">
        <is>
          <t>GÄVLEBORGS LÄN</t>
        </is>
      </c>
      <c r="E10788" t="inlineStr">
        <is>
          <t>LJUSDAL</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22346-2024</t>
        </is>
      </c>
      <c r="B10789" s="1" t="n">
        <v>45446</v>
      </c>
      <c r="C10789" s="1" t="n">
        <v>45587</v>
      </c>
      <c r="D10789" t="inlineStr">
        <is>
          <t>GÄVLEBORGS LÄN</t>
        </is>
      </c>
      <c r="E10789" t="inlineStr">
        <is>
          <t>OVANÅKER</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22374-2024</t>
        </is>
      </c>
      <c r="B10790" s="1" t="n">
        <v>45446</v>
      </c>
      <c r="C10790" s="1" t="n">
        <v>45587</v>
      </c>
      <c r="D10790" t="inlineStr">
        <is>
          <t>GÄVLEBORGS LÄN</t>
        </is>
      </c>
      <c r="E10790" t="inlineStr">
        <is>
          <t>HUDIKSVALL</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22241-2024</t>
        </is>
      </c>
      <c r="B10791" s="1" t="n">
        <v>45446</v>
      </c>
      <c r="C10791" s="1" t="n">
        <v>45587</v>
      </c>
      <c r="D10791" t="inlineStr">
        <is>
          <t>GÄVLEBORGS LÄN</t>
        </is>
      </c>
      <c r="E10791" t="inlineStr">
        <is>
          <t>LJUSDAL</t>
        </is>
      </c>
      <c r="G10791" t="n">
        <v>5.2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22271-2024</t>
        </is>
      </c>
      <c r="B10792" s="1" t="n">
        <v>45446</v>
      </c>
      <c r="C10792" s="1" t="n">
        <v>45587</v>
      </c>
      <c r="D10792" t="inlineStr">
        <is>
          <t>GÄVLEBORGS LÄN</t>
        </is>
      </c>
      <c r="E10792" t="inlineStr">
        <is>
          <t>SANDVIKEN</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22275-2024</t>
        </is>
      </c>
      <c r="B10793" s="1" t="n">
        <v>45446</v>
      </c>
      <c r="C10793" s="1" t="n">
        <v>45587</v>
      </c>
      <c r="D10793" t="inlineStr">
        <is>
          <t>GÄVLEBORGS LÄN</t>
        </is>
      </c>
      <c r="E10793" t="inlineStr">
        <is>
          <t>SANDVIKEN</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22317-2024</t>
        </is>
      </c>
      <c r="B10794" s="1" t="n">
        <v>45446</v>
      </c>
      <c r="C10794" s="1" t="n">
        <v>45587</v>
      </c>
      <c r="D10794" t="inlineStr">
        <is>
          <t>GÄVLEBORGS LÄN</t>
        </is>
      </c>
      <c r="E10794" t="inlineStr">
        <is>
          <t>LJUSDAL</t>
        </is>
      </c>
      <c r="F10794" t="inlineStr">
        <is>
          <t>Bergvik skog väst AB</t>
        </is>
      </c>
      <c r="G10794" t="n">
        <v>5.2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22250-2024</t>
        </is>
      </c>
      <c r="B10795" s="1" t="n">
        <v>45446</v>
      </c>
      <c r="C10795" s="1" t="n">
        <v>45587</v>
      </c>
      <c r="D10795" t="inlineStr">
        <is>
          <t>GÄVLEBORGS LÄN</t>
        </is>
      </c>
      <c r="E10795" t="inlineStr">
        <is>
          <t>LJUSDAL</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22347-2024</t>
        </is>
      </c>
      <c r="B10796" s="1" t="n">
        <v>45446</v>
      </c>
      <c r="C10796" s="1" t="n">
        <v>45587</v>
      </c>
      <c r="D10796" t="inlineStr">
        <is>
          <t>GÄVLEBORGS LÄN</t>
        </is>
      </c>
      <c r="E10796" t="inlineStr">
        <is>
          <t>OVANÅKER</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22293-2024</t>
        </is>
      </c>
      <c r="B10797" s="1" t="n">
        <v>45446</v>
      </c>
      <c r="C10797" s="1" t="n">
        <v>45587</v>
      </c>
      <c r="D10797" t="inlineStr">
        <is>
          <t>GÄVLEBORGS LÄN</t>
        </is>
      </c>
      <c r="E10797" t="inlineStr">
        <is>
          <t>OCKELBO</t>
        </is>
      </c>
      <c r="G10797" t="n">
        <v>3.9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22242-2024</t>
        </is>
      </c>
      <c r="B10798" s="1" t="n">
        <v>45446</v>
      </c>
      <c r="C10798" s="1" t="n">
        <v>45587</v>
      </c>
      <c r="D10798" t="inlineStr">
        <is>
          <t>GÄVLEBORGS LÄN</t>
        </is>
      </c>
      <c r="E10798" t="inlineStr">
        <is>
          <t>LJUSDAL</t>
        </is>
      </c>
      <c r="F10798" t="inlineStr">
        <is>
          <t>Sveaskog</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22226-2024</t>
        </is>
      </c>
      <c r="B10799" s="1" t="n">
        <v>45446</v>
      </c>
      <c r="C10799" s="1" t="n">
        <v>45587</v>
      </c>
      <c r="D10799" t="inlineStr">
        <is>
          <t>GÄVLEBORGS LÄN</t>
        </is>
      </c>
      <c r="E10799" t="inlineStr">
        <is>
          <t>HOFORS</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22168-2024</t>
        </is>
      </c>
      <c r="B10800" s="1" t="n">
        <v>45446</v>
      </c>
      <c r="C10800" s="1" t="n">
        <v>45587</v>
      </c>
      <c r="D10800" t="inlineStr">
        <is>
          <t>GÄVLEBORGS LÄN</t>
        </is>
      </c>
      <c r="E10800" t="inlineStr">
        <is>
          <t>LJUSDAL</t>
        </is>
      </c>
      <c r="F10800" t="inlineStr">
        <is>
          <t>Bergvik skog väst AB</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22379-2024</t>
        </is>
      </c>
      <c r="B10801" s="1" t="n">
        <v>45446</v>
      </c>
      <c r="C10801" s="1" t="n">
        <v>45587</v>
      </c>
      <c r="D10801" t="inlineStr">
        <is>
          <t>GÄVLEBORGS LÄN</t>
        </is>
      </c>
      <c r="E10801" t="inlineStr">
        <is>
          <t>HUDIKSVALL</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22357-2024</t>
        </is>
      </c>
      <c r="B10802" s="1" t="n">
        <v>45446</v>
      </c>
      <c r="C10802" s="1" t="n">
        <v>45587</v>
      </c>
      <c r="D10802" t="inlineStr">
        <is>
          <t>GÄVLEBORGS LÄN</t>
        </is>
      </c>
      <c r="E10802" t="inlineStr">
        <is>
          <t>OVANÅKER</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22298-2024</t>
        </is>
      </c>
      <c r="B10803" s="1" t="n">
        <v>45446</v>
      </c>
      <c r="C10803" s="1" t="n">
        <v>45587</v>
      </c>
      <c r="D10803" t="inlineStr">
        <is>
          <t>GÄVLEBORGS LÄN</t>
        </is>
      </c>
      <c r="E10803" t="inlineStr">
        <is>
          <t>OCKELBO</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22294-2024</t>
        </is>
      </c>
      <c r="B10804" s="1" t="n">
        <v>45446</v>
      </c>
      <c r="C10804" s="1" t="n">
        <v>45587</v>
      </c>
      <c r="D10804" t="inlineStr">
        <is>
          <t>GÄVLEBORGS LÄN</t>
        </is>
      </c>
      <c r="E10804" t="inlineStr">
        <is>
          <t>LJUSDAL</t>
        </is>
      </c>
      <c r="F10804" t="inlineStr">
        <is>
          <t>Bergvik skog väst AB</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22261-2024</t>
        </is>
      </c>
      <c r="B10805" s="1" t="n">
        <v>45446</v>
      </c>
      <c r="C10805" s="1" t="n">
        <v>45587</v>
      </c>
      <c r="D10805" t="inlineStr">
        <is>
          <t>GÄVLEBORGS LÄN</t>
        </is>
      </c>
      <c r="E10805" t="inlineStr">
        <is>
          <t>HUDIKSVALL</t>
        </is>
      </c>
      <c r="G10805" t="n">
        <v>7.6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22248-2024</t>
        </is>
      </c>
      <c r="B10806" s="1" t="n">
        <v>45446</v>
      </c>
      <c r="C10806" s="1" t="n">
        <v>45587</v>
      </c>
      <c r="D10806" t="inlineStr">
        <is>
          <t>GÄVLEBORGS LÄN</t>
        </is>
      </c>
      <c r="E10806" t="inlineStr">
        <is>
          <t>LJUSDAL</t>
        </is>
      </c>
      <c r="G10806" t="n">
        <v>4.1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22227-2024</t>
        </is>
      </c>
      <c r="B10807" s="1" t="n">
        <v>45446</v>
      </c>
      <c r="C10807" s="1" t="n">
        <v>45587</v>
      </c>
      <c r="D10807" t="inlineStr">
        <is>
          <t>GÄVLEBORGS LÄN</t>
        </is>
      </c>
      <c r="E10807" t="inlineStr">
        <is>
          <t>SÖDERHAMN</t>
        </is>
      </c>
      <c r="G10807" t="n">
        <v>8.9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22173-2024</t>
        </is>
      </c>
      <c r="B10808" s="1" t="n">
        <v>45446</v>
      </c>
      <c r="C10808" s="1" t="n">
        <v>45587</v>
      </c>
      <c r="D10808" t="inlineStr">
        <is>
          <t>GÄVLEBORGS LÄN</t>
        </is>
      </c>
      <c r="E10808" t="inlineStr">
        <is>
          <t>OVANÅKER</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22169-2024</t>
        </is>
      </c>
      <c r="B10809" s="1" t="n">
        <v>45446</v>
      </c>
      <c r="C10809" s="1" t="n">
        <v>45587</v>
      </c>
      <c r="D10809" t="inlineStr">
        <is>
          <t>GÄVLEBORGS LÄN</t>
        </is>
      </c>
      <c r="E10809" t="inlineStr">
        <is>
          <t>LJUSDAL</t>
        </is>
      </c>
      <c r="F10809" t="inlineStr">
        <is>
          <t>Bergvik skog väst AB</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22641-2024</t>
        </is>
      </c>
      <c r="B10810" s="1" t="n">
        <v>45447</v>
      </c>
      <c r="C10810" s="1" t="n">
        <v>45587</v>
      </c>
      <c r="D10810" t="inlineStr">
        <is>
          <t>GÄVLEBORGS LÄN</t>
        </is>
      </c>
      <c r="E10810" t="inlineStr">
        <is>
          <t>HUDIKSVALL</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22599-2024</t>
        </is>
      </c>
      <c r="B10811" s="1" t="n">
        <v>45447</v>
      </c>
      <c r="C10811" s="1" t="n">
        <v>45587</v>
      </c>
      <c r="D10811" t="inlineStr">
        <is>
          <t>GÄVLEBORGS LÄN</t>
        </is>
      </c>
      <c r="E10811" t="inlineStr">
        <is>
          <t>LJUSDAL</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22571-2024</t>
        </is>
      </c>
      <c r="B10812" s="1" t="n">
        <v>45447</v>
      </c>
      <c r="C10812" s="1" t="n">
        <v>45587</v>
      </c>
      <c r="D10812" t="inlineStr">
        <is>
          <t>GÄVLEBORGS LÄN</t>
        </is>
      </c>
      <c r="E10812" t="inlineStr">
        <is>
          <t>GÄVLE</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22642-2024</t>
        </is>
      </c>
      <c r="B10813" s="1" t="n">
        <v>45447</v>
      </c>
      <c r="C10813" s="1" t="n">
        <v>45587</v>
      </c>
      <c r="D10813" t="inlineStr">
        <is>
          <t>GÄVLEBORGS LÄN</t>
        </is>
      </c>
      <c r="E10813" t="inlineStr">
        <is>
          <t>OCKELBO</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22572-2024</t>
        </is>
      </c>
      <c r="B10814" s="1" t="n">
        <v>45447</v>
      </c>
      <c r="C10814" s="1" t="n">
        <v>45587</v>
      </c>
      <c r="D10814" t="inlineStr">
        <is>
          <t>GÄVLEBORGS LÄN</t>
        </is>
      </c>
      <c r="E10814" t="inlineStr">
        <is>
          <t>GÄVLE</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22547-2024</t>
        </is>
      </c>
      <c r="B10815" s="1" t="n">
        <v>45447</v>
      </c>
      <c r="C10815" s="1" t="n">
        <v>45587</v>
      </c>
      <c r="D10815" t="inlineStr">
        <is>
          <t>GÄVLEBORGS LÄN</t>
        </is>
      </c>
      <c r="E10815" t="inlineStr">
        <is>
          <t>LJUSDAL</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22489-2024</t>
        </is>
      </c>
      <c r="B10816" s="1" t="n">
        <v>45447</v>
      </c>
      <c r="C10816" s="1" t="n">
        <v>45587</v>
      </c>
      <c r="D10816" t="inlineStr">
        <is>
          <t>GÄVLEBORGS LÄN</t>
        </is>
      </c>
      <c r="E10816" t="inlineStr">
        <is>
          <t>LJUSDAL</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22530-2024</t>
        </is>
      </c>
      <c r="B10817" s="1" t="n">
        <v>45447</v>
      </c>
      <c r="C10817" s="1" t="n">
        <v>45587</v>
      </c>
      <c r="D10817" t="inlineStr">
        <is>
          <t>GÄVLEBORGS LÄN</t>
        </is>
      </c>
      <c r="E10817" t="inlineStr">
        <is>
          <t>HOFORS</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22518-2024</t>
        </is>
      </c>
      <c r="B10818" s="1" t="n">
        <v>45447</v>
      </c>
      <c r="C10818" s="1" t="n">
        <v>45587</v>
      </c>
      <c r="D10818" t="inlineStr">
        <is>
          <t>GÄVLEBORGS LÄN</t>
        </is>
      </c>
      <c r="E10818" t="inlineStr">
        <is>
          <t>HUDIKSVALL</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22537-2024</t>
        </is>
      </c>
      <c r="B10819" s="1" t="n">
        <v>45447</v>
      </c>
      <c r="C10819" s="1" t="n">
        <v>45587</v>
      </c>
      <c r="D10819" t="inlineStr">
        <is>
          <t>GÄVLEBORGS LÄN</t>
        </is>
      </c>
      <c r="E10819" t="inlineStr">
        <is>
          <t>BOLLNÄS</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22610-2024</t>
        </is>
      </c>
      <c r="B10820" s="1" t="n">
        <v>45447</v>
      </c>
      <c r="C10820" s="1" t="n">
        <v>45587</v>
      </c>
      <c r="D10820" t="inlineStr">
        <is>
          <t>GÄVLEBORGS LÄN</t>
        </is>
      </c>
      <c r="E10820" t="inlineStr">
        <is>
          <t>LJUSDAL</t>
        </is>
      </c>
      <c r="G10820" t="n">
        <v>3.1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22593-2024</t>
        </is>
      </c>
      <c r="B10821" s="1" t="n">
        <v>45447</v>
      </c>
      <c r="C10821" s="1" t="n">
        <v>45587</v>
      </c>
      <c r="D10821" t="inlineStr">
        <is>
          <t>GÄVLEBORGS LÄN</t>
        </is>
      </c>
      <c r="E10821" t="inlineStr">
        <is>
          <t>NORDANSTIG</t>
        </is>
      </c>
      <c r="F10821" t="inlineStr">
        <is>
          <t>Holmen skog AB</t>
        </is>
      </c>
      <c r="G10821" t="n">
        <v>3.2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22532-2024</t>
        </is>
      </c>
      <c r="B10822" s="1" t="n">
        <v>45447</v>
      </c>
      <c r="C10822" s="1" t="n">
        <v>45587</v>
      </c>
      <c r="D10822" t="inlineStr">
        <is>
          <t>GÄVLEBORGS LÄN</t>
        </is>
      </c>
      <c r="E10822" t="inlineStr">
        <is>
          <t>BOLLNÄS</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22804-2024</t>
        </is>
      </c>
      <c r="B10823" s="1" t="n">
        <v>45448</v>
      </c>
      <c r="C10823" s="1" t="n">
        <v>45587</v>
      </c>
      <c r="D10823" t="inlineStr">
        <is>
          <t>GÄVLEBORGS LÄN</t>
        </is>
      </c>
      <c r="E10823" t="inlineStr">
        <is>
          <t>HUDIKSVALL</t>
        </is>
      </c>
      <c r="G10823" t="n">
        <v>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22808-2024</t>
        </is>
      </c>
      <c r="B10824" s="1" t="n">
        <v>45448</v>
      </c>
      <c r="C10824" s="1" t="n">
        <v>45587</v>
      </c>
      <c r="D10824" t="inlineStr">
        <is>
          <t>GÄVLEBORGS LÄN</t>
        </is>
      </c>
      <c r="E10824" t="inlineStr">
        <is>
          <t>NORDANSTIG</t>
        </is>
      </c>
      <c r="F10824" t="inlineStr">
        <is>
          <t>Holmen skog AB</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22812-2024</t>
        </is>
      </c>
      <c r="B10825" s="1" t="n">
        <v>45448</v>
      </c>
      <c r="C10825" s="1" t="n">
        <v>45587</v>
      </c>
      <c r="D10825" t="inlineStr">
        <is>
          <t>GÄVLEBORGS LÄN</t>
        </is>
      </c>
      <c r="E10825" t="inlineStr">
        <is>
          <t>HUDIKSVALL</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22824-2024</t>
        </is>
      </c>
      <c r="B10826" s="1" t="n">
        <v>45448</v>
      </c>
      <c r="C10826" s="1" t="n">
        <v>45587</v>
      </c>
      <c r="D10826" t="inlineStr">
        <is>
          <t>GÄVLEBORGS LÄN</t>
        </is>
      </c>
      <c r="E10826" t="inlineStr">
        <is>
          <t>OCKELBO</t>
        </is>
      </c>
      <c r="F10826" t="inlineStr">
        <is>
          <t>Bergvik skog väst AB</t>
        </is>
      </c>
      <c r="G10826" t="n">
        <v>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22747-2024</t>
        </is>
      </c>
      <c r="B10827" s="1" t="n">
        <v>45448</v>
      </c>
      <c r="C10827" s="1" t="n">
        <v>45587</v>
      </c>
      <c r="D10827" t="inlineStr">
        <is>
          <t>GÄVLEBORGS LÄN</t>
        </is>
      </c>
      <c r="E10827" t="inlineStr">
        <is>
          <t>HUDIKSVALL</t>
        </is>
      </c>
      <c r="F10827" t="inlineStr">
        <is>
          <t>Holmen skog AB</t>
        </is>
      </c>
      <c r="G10827" t="n">
        <v>12.7</v>
      </c>
      <c r="H10827" t="n">
        <v>0</v>
      </c>
      <c r="I10827" t="n">
        <v>0</v>
      </c>
      <c r="J10827" t="n">
        <v>0</v>
      </c>
      <c r="K10827" t="n">
        <v>0</v>
      </c>
      <c r="L10827" t="n">
        <v>0</v>
      </c>
      <c r="M10827" t="n">
        <v>0</v>
      </c>
      <c r="N10827" t="n">
        <v>0</v>
      </c>
      <c r="O10827" t="n">
        <v>0</v>
      </c>
      <c r="P10827" t="n">
        <v>0</v>
      </c>
      <c r="Q10827" t="n">
        <v>0</v>
      </c>
      <c r="R10827" s="2" t="inlineStr"/>
      <c r="U10827">
        <f>HYPERLINK("https://klasma.github.io/Logging_2184/knärot/A 22747-2024 karta knärot.png", "A 22747-2024")</f>
        <v/>
      </c>
      <c r="V10827">
        <f>HYPERLINK("https://klasma.github.io/Logging_2184/klagomål/A 22747-2024 FSC-klagomål.docx", "A 22747-2024")</f>
        <v/>
      </c>
      <c r="W10827">
        <f>HYPERLINK("https://klasma.github.io/Logging_2184/klagomålsmail/A 22747-2024 FSC-klagomål mail.docx", "A 22747-2024")</f>
        <v/>
      </c>
      <c r="X10827">
        <f>HYPERLINK("https://klasma.github.io/Logging_2184/tillsyn/A 22747-2024 tillsynsbegäran.docx", "A 22747-2024")</f>
        <v/>
      </c>
      <c r="Y10827">
        <f>HYPERLINK("https://klasma.github.io/Logging_2184/tillsynsmail/A 22747-2024 tillsynsbegäran mail.docx", "A 22747-2024")</f>
        <v/>
      </c>
    </row>
    <row r="10828" ht="15" customHeight="1">
      <c r="A10828" t="inlineStr">
        <is>
          <t>A 22709-2024</t>
        </is>
      </c>
      <c r="B10828" s="1" t="n">
        <v>45448</v>
      </c>
      <c r="C10828" s="1" t="n">
        <v>45587</v>
      </c>
      <c r="D10828" t="inlineStr">
        <is>
          <t>GÄVLEBORGS LÄN</t>
        </is>
      </c>
      <c r="E10828" t="inlineStr">
        <is>
          <t>HUDIKSVALL</t>
        </is>
      </c>
      <c r="G10828" t="n">
        <v>8.300000000000001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22713-2024</t>
        </is>
      </c>
      <c r="B10829" s="1" t="n">
        <v>45448</v>
      </c>
      <c r="C10829" s="1" t="n">
        <v>45587</v>
      </c>
      <c r="D10829" t="inlineStr">
        <is>
          <t>GÄVLEBORGS LÄN</t>
        </is>
      </c>
      <c r="E10829" t="inlineStr">
        <is>
          <t>LJUSDAL</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22821-2024</t>
        </is>
      </c>
      <c r="B10830" s="1" t="n">
        <v>45448</v>
      </c>
      <c r="C10830" s="1" t="n">
        <v>45587</v>
      </c>
      <c r="D10830" t="inlineStr">
        <is>
          <t>GÄVLEBORGS LÄN</t>
        </is>
      </c>
      <c r="E10830" t="inlineStr">
        <is>
          <t>OCKELBO</t>
        </is>
      </c>
      <c r="F10830" t="inlineStr">
        <is>
          <t>Bergvik skog väst AB</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22825-2024</t>
        </is>
      </c>
      <c r="B10831" s="1" t="n">
        <v>45448</v>
      </c>
      <c r="C10831" s="1" t="n">
        <v>45587</v>
      </c>
      <c r="D10831" t="inlineStr">
        <is>
          <t>GÄVLEBORGS LÄN</t>
        </is>
      </c>
      <c r="E10831" t="inlineStr">
        <is>
          <t>BOLLNÄS</t>
        </is>
      </c>
      <c r="G10831" t="n">
        <v>2.8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22869-2024</t>
        </is>
      </c>
      <c r="B10832" s="1" t="n">
        <v>45448</v>
      </c>
      <c r="C10832" s="1" t="n">
        <v>45587</v>
      </c>
      <c r="D10832" t="inlineStr">
        <is>
          <t>GÄVLEBORGS LÄN</t>
        </is>
      </c>
      <c r="E10832" t="inlineStr">
        <is>
          <t>HUDIKSVALL</t>
        </is>
      </c>
      <c r="F10832" t="inlineStr">
        <is>
          <t>Holmen skog AB</t>
        </is>
      </c>
      <c r="G10832" t="n">
        <v>5.7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22877-2024</t>
        </is>
      </c>
      <c r="B10833" s="1" t="n">
        <v>45448</v>
      </c>
      <c r="C10833" s="1" t="n">
        <v>45587</v>
      </c>
      <c r="D10833" t="inlineStr">
        <is>
          <t>GÄVLEBORGS LÄN</t>
        </is>
      </c>
      <c r="E10833" t="inlineStr">
        <is>
          <t>BOLLNÄS</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22704-2024</t>
        </is>
      </c>
      <c r="B10834" s="1" t="n">
        <v>45448</v>
      </c>
      <c r="C10834" s="1" t="n">
        <v>45587</v>
      </c>
      <c r="D10834" t="inlineStr">
        <is>
          <t>GÄVLEBORGS LÄN</t>
        </is>
      </c>
      <c r="E10834" t="inlineStr">
        <is>
          <t>NORDANSTIG</t>
        </is>
      </c>
      <c r="F10834" t="inlineStr">
        <is>
          <t>Holmen skog AB</t>
        </is>
      </c>
      <c r="G10834" t="n">
        <v>8.1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22716-2024</t>
        </is>
      </c>
      <c r="B10835" s="1" t="n">
        <v>45448</v>
      </c>
      <c r="C10835" s="1" t="n">
        <v>45587</v>
      </c>
      <c r="D10835" t="inlineStr">
        <is>
          <t>GÄVLEBORGS LÄN</t>
        </is>
      </c>
      <c r="E10835" t="inlineStr">
        <is>
          <t>LJUSDAL</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22727-2024</t>
        </is>
      </c>
      <c r="B10836" s="1" t="n">
        <v>45448</v>
      </c>
      <c r="C10836" s="1" t="n">
        <v>45587</v>
      </c>
      <c r="D10836" t="inlineStr">
        <is>
          <t>GÄVLEBORGS LÄN</t>
        </is>
      </c>
      <c r="E10836" t="inlineStr">
        <is>
          <t>HUDIKSVALL</t>
        </is>
      </c>
      <c r="F10836" t="inlineStr">
        <is>
          <t>Holmen skog AB</t>
        </is>
      </c>
      <c r="G10836" t="n">
        <v>8.699999999999999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22760-2024</t>
        </is>
      </c>
      <c r="B10837" s="1" t="n">
        <v>45448</v>
      </c>
      <c r="C10837" s="1" t="n">
        <v>45587</v>
      </c>
      <c r="D10837" t="inlineStr">
        <is>
          <t>GÄVLEBORGS LÄN</t>
        </is>
      </c>
      <c r="E10837" t="inlineStr">
        <is>
          <t>LJUSDAL</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22785-2024</t>
        </is>
      </c>
      <c r="B10838" s="1" t="n">
        <v>45448</v>
      </c>
      <c r="C10838" s="1" t="n">
        <v>45587</v>
      </c>
      <c r="D10838" t="inlineStr">
        <is>
          <t>GÄVLEBORGS LÄN</t>
        </is>
      </c>
      <c r="E10838" t="inlineStr">
        <is>
          <t>HUDIKSVALL</t>
        </is>
      </c>
      <c r="G10838" t="n">
        <v>10.9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22790-2024</t>
        </is>
      </c>
      <c r="B10839" s="1" t="n">
        <v>45448</v>
      </c>
      <c r="C10839" s="1" t="n">
        <v>45587</v>
      </c>
      <c r="D10839" t="inlineStr">
        <is>
          <t>GÄVLEBORGS LÄN</t>
        </is>
      </c>
      <c r="E10839" t="inlineStr">
        <is>
          <t>LJUSDAL</t>
        </is>
      </c>
      <c r="F10839" t="inlineStr">
        <is>
          <t>Sveaskog</t>
        </is>
      </c>
      <c r="G10839" t="n">
        <v>4.2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22842-2024</t>
        </is>
      </c>
      <c r="B10840" s="1" t="n">
        <v>45448</v>
      </c>
      <c r="C10840" s="1" t="n">
        <v>45587</v>
      </c>
      <c r="D10840" t="inlineStr">
        <is>
          <t>GÄVLEBORGS LÄN</t>
        </is>
      </c>
      <c r="E10840" t="inlineStr">
        <is>
          <t>NORDANSTIG</t>
        </is>
      </c>
      <c r="F10840" t="inlineStr">
        <is>
          <t>Holmen skog AB</t>
        </is>
      </c>
      <c r="G10840" t="n">
        <v>3.8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22858-2024</t>
        </is>
      </c>
      <c r="B10841" s="1" t="n">
        <v>45448</v>
      </c>
      <c r="C10841" s="1" t="n">
        <v>45587</v>
      </c>
      <c r="D10841" t="inlineStr">
        <is>
          <t>GÄVLEBORGS LÄN</t>
        </is>
      </c>
      <c r="E10841" t="inlineStr">
        <is>
          <t>GÄVLE</t>
        </is>
      </c>
      <c r="G10841" t="n">
        <v>3.9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22724-2024</t>
        </is>
      </c>
      <c r="B10842" s="1" t="n">
        <v>45448</v>
      </c>
      <c r="C10842" s="1" t="n">
        <v>45587</v>
      </c>
      <c r="D10842" t="inlineStr">
        <is>
          <t>GÄVLEBORGS LÄN</t>
        </is>
      </c>
      <c r="E10842" t="inlineStr">
        <is>
          <t>LJUSDAL</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22741-2024</t>
        </is>
      </c>
      <c r="B10843" s="1" t="n">
        <v>45448</v>
      </c>
      <c r="C10843" s="1" t="n">
        <v>45587</v>
      </c>
      <c r="D10843" t="inlineStr">
        <is>
          <t>GÄVLEBORGS LÄN</t>
        </is>
      </c>
      <c r="E10843" t="inlineStr">
        <is>
          <t>OVANÅKER</t>
        </is>
      </c>
      <c r="F10843" t="inlineStr">
        <is>
          <t>Bergvik skog väst AB</t>
        </is>
      </c>
      <c r="G10843" t="n">
        <v>18.7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22777-2024</t>
        </is>
      </c>
      <c r="B10844" s="1" t="n">
        <v>45448</v>
      </c>
      <c r="C10844" s="1" t="n">
        <v>45587</v>
      </c>
      <c r="D10844" t="inlineStr">
        <is>
          <t>GÄVLEBORGS LÄN</t>
        </is>
      </c>
      <c r="E10844" t="inlineStr">
        <is>
          <t>NORDANSTIG</t>
        </is>
      </c>
      <c r="F10844" t="inlineStr">
        <is>
          <t>Holmen skog AB</t>
        </is>
      </c>
      <c r="G10844" t="n">
        <v>5.9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22786-2024</t>
        </is>
      </c>
      <c r="B10845" s="1" t="n">
        <v>45448</v>
      </c>
      <c r="C10845" s="1" t="n">
        <v>45587</v>
      </c>
      <c r="D10845" t="inlineStr">
        <is>
          <t>GÄVLEBORGS LÄN</t>
        </is>
      </c>
      <c r="E10845" t="inlineStr">
        <is>
          <t>LJUSDAL</t>
        </is>
      </c>
      <c r="F10845" t="inlineStr">
        <is>
          <t>Sveaskog</t>
        </is>
      </c>
      <c r="G10845" t="n">
        <v>4.2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22819-2024</t>
        </is>
      </c>
      <c r="B10846" s="1" t="n">
        <v>45448</v>
      </c>
      <c r="C10846" s="1" t="n">
        <v>45587</v>
      </c>
      <c r="D10846" t="inlineStr">
        <is>
          <t>GÄVLEBORGS LÄN</t>
        </is>
      </c>
      <c r="E10846" t="inlineStr">
        <is>
          <t>HUDIKSVALL</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22823-2024</t>
        </is>
      </c>
      <c r="B10847" s="1" t="n">
        <v>45448</v>
      </c>
      <c r="C10847" s="1" t="n">
        <v>45587</v>
      </c>
      <c r="D10847" t="inlineStr">
        <is>
          <t>GÄVLEBORGS LÄN</t>
        </is>
      </c>
      <c r="E10847" t="inlineStr">
        <is>
          <t>HUDIKSVALL</t>
        </is>
      </c>
      <c r="F10847" t="inlineStr">
        <is>
          <t>Holmen skog AB</t>
        </is>
      </c>
      <c r="G10847" t="n">
        <v>14.9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22835-2024</t>
        </is>
      </c>
      <c r="B10848" s="1" t="n">
        <v>45448</v>
      </c>
      <c r="C10848" s="1" t="n">
        <v>45587</v>
      </c>
      <c r="D10848" t="inlineStr">
        <is>
          <t>GÄVLEBORGS LÄN</t>
        </is>
      </c>
      <c r="E10848" t="inlineStr">
        <is>
          <t>BOLLNÄS</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22976-2024</t>
        </is>
      </c>
      <c r="B10849" s="1" t="n">
        <v>45449</v>
      </c>
      <c r="C10849" s="1" t="n">
        <v>45587</v>
      </c>
      <c r="D10849" t="inlineStr">
        <is>
          <t>GÄVLEBORGS LÄN</t>
        </is>
      </c>
      <c r="E10849" t="inlineStr">
        <is>
          <t>HUDIKSVALL</t>
        </is>
      </c>
      <c r="F10849" t="inlineStr">
        <is>
          <t>Holmen skog AB</t>
        </is>
      </c>
      <c r="G10849" t="n">
        <v>5.9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22975-2024</t>
        </is>
      </c>
      <c r="B10850" s="1" t="n">
        <v>45449</v>
      </c>
      <c r="C10850" s="1" t="n">
        <v>45587</v>
      </c>
      <c r="D10850" t="inlineStr">
        <is>
          <t>GÄVLEBORGS LÄN</t>
        </is>
      </c>
      <c r="E10850" t="inlineStr">
        <is>
          <t>HUDIKSVALL</t>
        </is>
      </c>
      <c r="F10850" t="inlineStr">
        <is>
          <t>Holmen skog AB</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22977-2024</t>
        </is>
      </c>
      <c r="B10851" s="1" t="n">
        <v>45449</v>
      </c>
      <c r="C10851" s="1" t="n">
        <v>45587</v>
      </c>
      <c r="D10851" t="inlineStr">
        <is>
          <t>GÄVLEBORGS LÄN</t>
        </is>
      </c>
      <c r="E10851" t="inlineStr">
        <is>
          <t>HUDIKSVALL</t>
        </is>
      </c>
      <c r="F10851" t="inlineStr">
        <is>
          <t>Holmen skog AB</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23002-2024</t>
        </is>
      </c>
      <c r="B10852" s="1" t="n">
        <v>45450</v>
      </c>
      <c r="C10852" s="1" t="n">
        <v>45587</v>
      </c>
      <c r="D10852" t="inlineStr">
        <is>
          <t>GÄVLEBORGS LÄN</t>
        </is>
      </c>
      <c r="E10852" t="inlineStr">
        <is>
          <t>SANDVIKEN</t>
        </is>
      </c>
      <c r="G10852" t="n">
        <v>15.6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23006-2024</t>
        </is>
      </c>
      <c r="B10853" s="1" t="n">
        <v>45450</v>
      </c>
      <c r="C10853" s="1" t="n">
        <v>45587</v>
      </c>
      <c r="D10853" t="inlineStr">
        <is>
          <t>GÄVLEBORGS LÄN</t>
        </is>
      </c>
      <c r="E10853" t="inlineStr">
        <is>
          <t>SANDVIKEN</t>
        </is>
      </c>
      <c r="G10853" t="n">
        <v>4.1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23040-2024</t>
        </is>
      </c>
      <c r="B10854" s="1" t="n">
        <v>45450</v>
      </c>
      <c r="C10854" s="1" t="n">
        <v>45587</v>
      </c>
      <c r="D10854" t="inlineStr">
        <is>
          <t>GÄVLEBORGS LÄN</t>
        </is>
      </c>
      <c r="E10854" t="inlineStr">
        <is>
          <t>OVANÅKER</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23139-2024</t>
        </is>
      </c>
      <c r="B10855" s="1" t="n">
        <v>45450</v>
      </c>
      <c r="C10855" s="1" t="n">
        <v>45587</v>
      </c>
      <c r="D10855" t="inlineStr">
        <is>
          <t>GÄVLEBORGS LÄN</t>
        </is>
      </c>
      <c r="E10855" t="inlineStr">
        <is>
          <t>LJUSDAL</t>
        </is>
      </c>
      <c r="F10855" t="inlineStr">
        <is>
          <t>Holmen skog AB</t>
        </is>
      </c>
      <c r="G10855" t="n">
        <v>10.7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23038-2024</t>
        </is>
      </c>
      <c r="B10856" s="1" t="n">
        <v>45450</v>
      </c>
      <c r="C10856" s="1" t="n">
        <v>45587</v>
      </c>
      <c r="D10856" t="inlineStr">
        <is>
          <t>GÄVLEBORGS LÄN</t>
        </is>
      </c>
      <c r="E10856" t="inlineStr">
        <is>
          <t>OVANÅKER</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23162-2024</t>
        </is>
      </c>
      <c r="B10857" s="1" t="n">
        <v>45450</v>
      </c>
      <c r="C10857" s="1" t="n">
        <v>45587</v>
      </c>
      <c r="D10857" t="inlineStr">
        <is>
          <t>GÄVLEBORGS LÄN</t>
        </is>
      </c>
      <c r="E10857" t="inlineStr">
        <is>
          <t>LJUSDAL</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23072-2024</t>
        </is>
      </c>
      <c r="B10858" s="1" t="n">
        <v>45450</v>
      </c>
      <c r="C10858" s="1" t="n">
        <v>45587</v>
      </c>
      <c r="D10858" t="inlineStr">
        <is>
          <t>GÄVLEBORGS LÄN</t>
        </is>
      </c>
      <c r="E10858" t="inlineStr">
        <is>
          <t>OCKELBO</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23118-2024</t>
        </is>
      </c>
      <c r="B10859" s="1" t="n">
        <v>45450</v>
      </c>
      <c r="C10859" s="1" t="n">
        <v>45587</v>
      </c>
      <c r="D10859" t="inlineStr">
        <is>
          <t>GÄVLEBORGS LÄN</t>
        </is>
      </c>
      <c r="E10859" t="inlineStr">
        <is>
          <t>BOLLNÄS</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23163-2024</t>
        </is>
      </c>
      <c r="B10860" s="1" t="n">
        <v>45450</v>
      </c>
      <c r="C10860" s="1" t="n">
        <v>45587</v>
      </c>
      <c r="D10860" t="inlineStr">
        <is>
          <t>GÄVLEBORGS LÄN</t>
        </is>
      </c>
      <c r="E10860" t="inlineStr">
        <is>
          <t>SÖDERHAMN</t>
        </is>
      </c>
      <c r="G10860" t="n">
        <v>12.9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23161-2024</t>
        </is>
      </c>
      <c r="B10861" s="1" t="n">
        <v>45450</v>
      </c>
      <c r="C10861" s="1" t="n">
        <v>45587</v>
      </c>
      <c r="D10861" t="inlineStr">
        <is>
          <t>GÄVLEBORGS LÄN</t>
        </is>
      </c>
      <c r="E10861" t="inlineStr">
        <is>
          <t>LJUSDAL</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23200-2024</t>
        </is>
      </c>
      <c r="B10862" s="1" t="n">
        <v>45452</v>
      </c>
      <c r="C10862" s="1" t="n">
        <v>45587</v>
      </c>
      <c r="D10862" t="inlineStr">
        <is>
          <t>GÄVLEBORGS LÄN</t>
        </is>
      </c>
      <c r="E10862" t="inlineStr">
        <is>
          <t>SANDVIKEN</t>
        </is>
      </c>
      <c r="G10862" t="n">
        <v>4.8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23229-2024</t>
        </is>
      </c>
      <c r="B10863" s="1" t="n">
        <v>45453</v>
      </c>
      <c r="C10863" s="1" t="n">
        <v>45587</v>
      </c>
      <c r="D10863" t="inlineStr">
        <is>
          <t>GÄVLEBORGS LÄN</t>
        </is>
      </c>
      <c r="E10863" t="inlineStr">
        <is>
          <t>SÖDERHAMN</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23211-2024</t>
        </is>
      </c>
      <c r="B10864" s="1" t="n">
        <v>45452</v>
      </c>
      <c r="C10864" s="1" t="n">
        <v>45587</v>
      </c>
      <c r="D10864" t="inlineStr">
        <is>
          <t>GÄVLEBORGS LÄN</t>
        </is>
      </c>
      <c r="E10864" t="inlineStr">
        <is>
          <t>BOLLNÄS</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23227-2024</t>
        </is>
      </c>
      <c r="B10865" s="1" t="n">
        <v>45452</v>
      </c>
      <c r="C10865" s="1" t="n">
        <v>45587</v>
      </c>
      <c r="D10865" t="inlineStr">
        <is>
          <t>GÄVLEBORGS LÄN</t>
        </is>
      </c>
      <c r="E10865" t="inlineStr">
        <is>
          <t>SANDVIKEN</t>
        </is>
      </c>
      <c r="G10865" t="n">
        <v>2.3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23228-2024</t>
        </is>
      </c>
      <c r="B10866" s="1" t="n">
        <v>45453</v>
      </c>
      <c r="C10866" s="1" t="n">
        <v>45587</v>
      </c>
      <c r="D10866" t="inlineStr">
        <is>
          <t>GÄVLEBORGS LÄN</t>
        </is>
      </c>
      <c r="E10866" t="inlineStr">
        <is>
          <t>SÖDERHAMN</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23226-2024</t>
        </is>
      </c>
      <c r="B10867" s="1" t="n">
        <v>45453</v>
      </c>
      <c r="C10867" s="1" t="n">
        <v>45587</v>
      </c>
      <c r="D10867" t="inlineStr">
        <is>
          <t>GÄVLEBORGS LÄN</t>
        </is>
      </c>
      <c r="E10867" t="inlineStr">
        <is>
          <t>SANDVIKEN</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23230-2024</t>
        </is>
      </c>
      <c r="B10868" s="1" t="n">
        <v>45453</v>
      </c>
      <c r="C10868" s="1" t="n">
        <v>45587</v>
      </c>
      <c r="D10868" t="inlineStr">
        <is>
          <t>GÄVLEBORGS LÄN</t>
        </is>
      </c>
      <c r="E10868" t="inlineStr">
        <is>
          <t>SÖDERHAMN</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23251-2024</t>
        </is>
      </c>
      <c r="B10869" s="1" t="n">
        <v>45453</v>
      </c>
      <c r="C10869" s="1" t="n">
        <v>45587</v>
      </c>
      <c r="D10869" t="inlineStr">
        <is>
          <t>GÄVLEBORGS LÄN</t>
        </is>
      </c>
      <c r="E10869" t="inlineStr">
        <is>
          <t>NORDANSTIG</t>
        </is>
      </c>
      <c r="F10869" t="inlineStr">
        <is>
          <t>Holmen skog AB</t>
        </is>
      </c>
      <c r="G10869" t="n">
        <v>14.4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23255-2024</t>
        </is>
      </c>
      <c r="B10870" s="1" t="n">
        <v>45453</v>
      </c>
      <c r="C10870" s="1" t="n">
        <v>45587</v>
      </c>
      <c r="D10870" t="inlineStr">
        <is>
          <t>GÄVLEBORGS LÄN</t>
        </is>
      </c>
      <c r="E10870" t="inlineStr">
        <is>
          <t>OCKELBO</t>
        </is>
      </c>
      <c r="G10870" t="n">
        <v>4.5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23236-2024</t>
        </is>
      </c>
      <c r="B10871" s="1" t="n">
        <v>45453</v>
      </c>
      <c r="C10871" s="1" t="n">
        <v>45587</v>
      </c>
      <c r="D10871" t="inlineStr">
        <is>
          <t>GÄVLEBORGS LÄN</t>
        </is>
      </c>
      <c r="E10871" t="inlineStr">
        <is>
          <t>HUDIKSVALL</t>
        </is>
      </c>
      <c r="F10871" t="inlineStr">
        <is>
          <t>Sveaskog</t>
        </is>
      </c>
      <c r="G10871" t="n">
        <v>20.9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23276-2024</t>
        </is>
      </c>
      <c r="B10872" s="1" t="n">
        <v>45453</v>
      </c>
      <c r="C10872" s="1" t="n">
        <v>45587</v>
      </c>
      <c r="D10872" t="inlineStr">
        <is>
          <t>GÄVLEBORGS LÄN</t>
        </is>
      </c>
      <c r="E10872" t="inlineStr">
        <is>
          <t>NORDANSTIG</t>
        </is>
      </c>
      <c r="G10872" t="n">
        <v>0.3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23289-2024</t>
        </is>
      </c>
      <c r="B10873" s="1" t="n">
        <v>45453</v>
      </c>
      <c r="C10873" s="1" t="n">
        <v>45587</v>
      </c>
      <c r="D10873" t="inlineStr">
        <is>
          <t>GÄVLEBORGS LÄN</t>
        </is>
      </c>
      <c r="E10873" t="inlineStr">
        <is>
          <t>SANDVIKEN</t>
        </is>
      </c>
      <c r="F10873" t="inlineStr">
        <is>
          <t>Kyrkan</t>
        </is>
      </c>
      <c r="G10873" t="n">
        <v>3.8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23324-2024</t>
        </is>
      </c>
      <c r="B10874" s="1" t="n">
        <v>45453</v>
      </c>
      <c r="C10874" s="1" t="n">
        <v>45587</v>
      </c>
      <c r="D10874" t="inlineStr">
        <is>
          <t>GÄVLEBORGS LÄN</t>
        </is>
      </c>
      <c r="E10874" t="inlineStr">
        <is>
          <t>GÄVLE</t>
        </is>
      </c>
      <c r="G10874" t="n">
        <v>3.7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23348-2024</t>
        </is>
      </c>
      <c r="B10875" s="1" t="n">
        <v>45453</v>
      </c>
      <c r="C10875" s="1" t="n">
        <v>45587</v>
      </c>
      <c r="D10875" t="inlineStr">
        <is>
          <t>GÄVLEBORGS LÄN</t>
        </is>
      </c>
      <c r="E10875" t="inlineStr">
        <is>
          <t>SÖDERHAMN</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23376-2024</t>
        </is>
      </c>
      <c r="B10876" s="1" t="n">
        <v>45453</v>
      </c>
      <c r="C10876" s="1" t="n">
        <v>45587</v>
      </c>
      <c r="D10876" t="inlineStr">
        <is>
          <t>GÄVLEBORGS LÄN</t>
        </is>
      </c>
      <c r="E10876" t="inlineStr">
        <is>
          <t>HOFORS</t>
        </is>
      </c>
      <c r="F10876" t="inlineStr">
        <is>
          <t>Sveaskog</t>
        </is>
      </c>
      <c r="G10876" t="n">
        <v>10.8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23374-2024</t>
        </is>
      </c>
      <c r="B10877" s="1" t="n">
        <v>45453</v>
      </c>
      <c r="C10877" s="1" t="n">
        <v>45587</v>
      </c>
      <c r="D10877" t="inlineStr">
        <is>
          <t>GÄVLEBORGS LÄN</t>
        </is>
      </c>
      <c r="E10877" t="inlineStr">
        <is>
          <t>LJUSDAL</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23526-2024</t>
        </is>
      </c>
      <c r="B10878" s="1" t="n">
        <v>45454</v>
      </c>
      <c r="C10878" s="1" t="n">
        <v>45587</v>
      </c>
      <c r="D10878" t="inlineStr">
        <is>
          <t>GÄVLEBORGS LÄN</t>
        </is>
      </c>
      <c r="E10878" t="inlineStr">
        <is>
          <t>LJUSDAL</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23442-2024</t>
        </is>
      </c>
      <c r="B10879" s="1" t="n">
        <v>45453</v>
      </c>
      <c r="C10879" s="1" t="n">
        <v>45587</v>
      </c>
      <c r="D10879" t="inlineStr">
        <is>
          <t>GÄVLEBORGS LÄN</t>
        </is>
      </c>
      <c r="E10879" t="inlineStr">
        <is>
          <t>OVANÅKER</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23394-2024</t>
        </is>
      </c>
      <c r="B10880" s="1" t="n">
        <v>45453</v>
      </c>
      <c r="C10880" s="1" t="n">
        <v>45587</v>
      </c>
      <c r="D10880" t="inlineStr">
        <is>
          <t>GÄVLEBORGS LÄN</t>
        </is>
      </c>
      <c r="E10880" t="inlineStr">
        <is>
          <t>LJUSDAL</t>
        </is>
      </c>
      <c r="G10880" t="n">
        <v>3.3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23365-2024</t>
        </is>
      </c>
      <c r="B10881" s="1" t="n">
        <v>45453</v>
      </c>
      <c r="C10881" s="1" t="n">
        <v>45587</v>
      </c>
      <c r="D10881" t="inlineStr">
        <is>
          <t>GÄVLEBORGS LÄN</t>
        </is>
      </c>
      <c r="E10881" t="inlineStr">
        <is>
          <t>BOLLNÄS</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23296-2024</t>
        </is>
      </c>
      <c r="B10882" s="1" t="n">
        <v>45453</v>
      </c>
      <c r="C10882" s="1" t="n">
        <v>45587</v>
      </c>
      <c r="D10882" t="inlineStr">
        <is>
          <t>GÄVLEBORGS LÄN</t>
        </is>
      </c>
      <c r="E10882" t="inlineStr">
        <is>
          <t>HUDIKSVALL</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23284-2024</t>
        </is>
      </c>
      <c r="B10883" s="1" t="n">
        <v>45453</v>
      </c>
      <c r="C10883" s="1" t="n">
        <v>45587</v>
      </c>
      <c r="D10883" t="inlineStr">
        <is>
          <t>GÄVLEBORGS LÄN</t>
        </is>
      </c>
      <c r="E10883" t="inlineStr">
        <is>
          <t>LJUSDAL</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23440-2024</t>
        </is>
      </c>
      <c r="B10884" s="1" t="n">
        <v>45453</v>
      </c>
      <c r="C10884" s="1" t="n">
        <v>45587</v>
      </c>
      <c r="D10884" t="inlineStr">
        <is>
          <t>GÄVLEBORGS LÄN</t>
        </is>
      </c>
      <c r="E10884" t="inlineStr">
        <is>
          <t>BOLLNÄS</t>
        </is>
      </c>
      <c r="F10884" t="inlineStr">
        <is>
          <t>Bergvik skog väst AB</t>
        </is>
      </c>
      <c r="G10884" t="n">
        <v>3.7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23416-2024</t>
        </is>
      </c>
      <c r="B10885" s="1" t="n">
        <v>45453</v>
      </c>
      <c r="C10885" s="1" t="n">
        <v>45587</v>
      </c>
      <c r="D10885" t="inlineStr">
        <is>
          <t>GÄVLEBORGS LÄN</t>
        </is>
      </c>
      <c r="E10885" t="inlineStr">
        <is>
          <t>BOLLNÄS</t>
        </is>
      </c>
      <c r="F10885" t="inlineStr">
        <is>
          <t>Bergvik skog väst AB</t>
        </is>
      </c>
      <c r="G10885" t="n">
        <v>5.5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23386-2024</t>
        </is>
      </c>
      <c r="B10886" s="1" t="n">
        <v>45453</v>
      </c>
      <c r="C10886" s="1" t="n">
        <v>45587</v>
      </c>
      <c r="D10886" t="inlineStr">
        <is>
          <t>GÄVLEBORGS LÄN</t>
        </is>
      </c>
      <c r="E10886" t="inlineStr">
        <is>
          <t>LJUSDAL</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23447-2024</t>
        </is>
      </c>
      <c r="B10887" s="1" t="n">
        <v>45453</v>
      </c>
      <c r="C10887" s="1" t="n">
        <v>45587</v>
      </c>
      <c r="D10887" t="inlineStr">
        <is>
          <t>GÄVLEBORGS LÄN</t>
        </is>
      </c>
      <c r="E10887" t="inlineStr">
        <is>
          <t>OVANÅKER</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23499-2024</t>
        </is>
      </c>
      <c r="B10888" s="1" t="n">
        <v>45453</v>
      </c>
      <c r="C10888" s="1" t="n">
        <v>45587</v>
      </c>
      <c r="D10888" t="inlineStr">
        <is>
          <t>GÄVLEBORGS LÄN</t>
        </is>
      </c>
      <c r="E10888" t="inlineStr">
        <is>
          <t>OVANÅKER</t>
        </is>
      </c>
      <c r="G10888" t="n">
        <v>2.8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23519-2024</t>
        </is>
      </c>
      <c r="B10889" s="1" t="n">
        <v>45454</v>
      </c>
      <c r="C10889" s="1" t="n">
        <v>45587</v>
      </c>
      <c r="D10889" t="inlineStr">
        <is>
          <t>GÄVLEBORGS LÄN</t>
        </is>
      </c>
      <c r="E10889" t="inlineStr">
        <is>
          <t>LJUSDAL</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23441-2024</t>
        </is>
      </c>
      <c r="B10890" s="1" t="n">
        <v>45453</v>
      </c>
      <c r="C10890" s="1" t="n">
        <v>45587</v>
      </c>
      <c r="D10890" t="inlineStr">
        <is>
          <t>GÄVLEBORGS LÄN</t>
        </is>
      </c>
      <c r="E10890" t="inlineStr">
        <is>
          <t>SANDVIKEN</t>
        </is>
      </c>
      <c r="G10890" t="n">
        <v>8.4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23449-2024</t>
        </is>
      </c>
      <c r="B10891" s="1" t="n">
        <v>45453</v>
      </c>
      <c r="C10891" s="1" t="n">
        <v>45587</v>
      </c>
      <c r="D10891" t="inlineStr">
        <is>
          <t>GÄVLEBORGS LÄN</t>
        </is>
      </c>
      <c r="E10891" t="inlineStr">
        <is>
          <t>HUDIKSVALL</t>
        </is>
      </c>
      <c r="F10891" t="inlineStr">
        <is>
          <t>Holmen skog AB</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23404-2024</t>
        </is>
      </c>
      <c r="B10892" s="1" t="n">
        <v>45453</v>
      </c>
      <c r="C10892" s="1" t="n">
        <v>45587</v>
      </c>
      <c r="D10892" t="inlineStr">
        <is>
          <t>GÄVLEBORGS LÄN</t>
        </is>
      </c>
      <c r="E10892" t="inlineStr">
        <is>
          <t>BOLLNÄS</t>
        </is>
      </c>
      <c r="G10892" t="n">
        <v>5.1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23375-2024</t>
        </is>
      </c>
      <c r="B10893" s="1" t="n">
        <v>45453</v>
      </c>
      <c r="C10893" s="1" t="n">
        <v>45587</v>
      </c>
      <c r="D10893" t="inlineStr">
        <is>
          <t>GÄVLEBORGS LÄN</t>
        </is>
      </c>
      <c r="E10893" t="inlineStr">
        <is>
          <t>BOLLNÄS</t>
        </is>
      </c>
      <c r="G10893" t="n">
        <v>3.5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23355-2024</t>
        </is>
      </c>
      <c r="B10894" s="1" t="n">
        <v>45453</v>
      </c>
      <c r="C10894" s="1" t="n">
        <v>45587</v>
      </c>
      <c r="D10894" t="inlineStr">
        <is>
          <t>GÄVLEBORGS LÄN</t>
        </is>
      </c>
      <c r="E10894" t="inlineStr">
        <is>
          <t>HOFORS</t>
        </is>
      </c>
      <c r="F10894" t="inlineStr">
        <is>
          <t>Sveaskog</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23347-2024</t>
        </is>
      </c>
      <c r="B10895" s="1" t="n">
        <v>45453</v>
      </c>
      <c r="C10895" s="1" t="n">
        <v>45587</v>
      </c>
      <c r="D10895" t="inlineStr">
        <is>
          <t>GÄVLEBORGS LÄN</t>
        </is>
      </c>
      <c r="E10895" t="inlineStr">
        <is>
          <t>SÖDERHAMN</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23335-2024</t>
        </is>
      </c>
      <c r="B10896" s="1" t="n">
        <v>45453</v>
      </c>
      <c r="C10896" s="1" t="n">
        <v>45587</v>
      </c>
      <c r="D10896" t="inlineStr">
        <is>
          <t>GÄVLEBORGS LÄN</t>
        </is>
      </c>
      <c r="E10896" t="inlineStr">
        <is>
          <t>BOLLNÄS</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23310-2024</t>
        </is>
      </c>
      <c r="B10897" s="1" t="n">
        <v>45453</v>
      </c>
      <c r="C10897" s="1" t="n">
        <v>45587</v>
      </c>
      <c r="D10897" t="inlineStr">
        <is>
          <t>GÄVLEBORGS LÄN</t>
        </is>
      </c>
      <c r="E10897" t="inlineStr">
        <is>
          <t>GÄVLE</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23587-2024</t>
        </is>
      </c>
      <c r="B10898" s="1" t="n">
        <v>45454</v>
      </c>
      <c r="C10898" s="1" t="n">
        <v>45587</v>
      </c>
      <c r="D10898" t="inlineStr">
        <is>
          <t>GÄVLEBORGS LÄN</t>
        </is>
      </c>
      <c r="E10898" t="inlineStr">
        <is>
          <t>GÄVLE</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23603-2024</t>
        </is>
      </c>
      <c r="B10899" s="1" t="n">
        <v>45454</v>
      </c>
      <c r="C10899" s="1" t="n">
        <v>45587</v>
      </c>
      <c r="D10899" t="inlineStr">
        <is>
          <t>GÄVLEBORGS LÄN</t>
        </is>
      </c>
      <c r="E10899" t="inlineStr">
        <is>
          <t>HUDIKSVALL</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23582-2024</t>
        </is>
      </c>
      <c r="B10900" s="1" t="n">
        <v>45454</v>
      </c>
      <c r="C10900" s="1" t="n">
        <v>45587</v>
      </c>
      <c r="D10900" t="inlineStr">
        <is>
          <t>GÄVLEBORGS LÄN</t>
        </is>
      </c>
      <c r="E10900" t="inlineStr">
        <is>
          <t>OVANÅKER</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23643-2024</t>
        </is>
      </c>
      <c r="B10901" s="1" t="n">
        <v>45454</v>
      </c>
      <c r="C10901" s="1" t="n">
        <v>45587</v>
      </c>
      <c r="D10901" t="inlineStr">
        <is>
          <t>GÄVLEBORGS LÄN</t>
        </is>
      </c>
      <c r="E10901" t="inlineStr">
        <is>
          <t>GÄVLE</t>
        </is>
      </c>
      <c r="G10901" t="n">
        <v>4.5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23593-2024</t>
        </is>
      </c>
      <c r="B10902" s="1" t="n">
        <v>45454</v>
      </c>
      <c r="C10902" s="1" t="n">
        <v>45587</v>
      </c>
      <c r="D10902" t="inlineStr">
        <is>
          <t>GÄVLEBORGS LÄN</t>
        </is>
      </c>
      <c r="E10902" t="inlineStr">
        <is>
          <t>OVANÅKER</t>
        </is>
      </c>
      <c r="G10902" t="n">
        <v>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23638-2024</t>
        </is>
      </c>
      <c r="B10903" s="1" t="n">
        <v>45454</v>
      </c>
      <c r="C10903" s="1" t="n">
        <v>45587</v>
      </c>
      <c r="D10903" t="inlineStr">
        <is>
          <t>GÄVLEBORGS LÄN</t>
        </is>
      </c>
      <c r="E10903" t="inlineStr">
        <is>
          <t>GÄVLE</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23604-2024</t>
        </is>
      </c>
      <c r="B10904" s="1" t="n">
        <v>45454</v>
      </c>
      <c r="C10904" s="1" t="n">
        <v>45587</v>
      </c>
      <c r="D10904" t="inlineStr">
        <is>
          <t>GÄVLEBORGS LÄN</t>
        </is>
      </c>
      <c r="E10904" t="inlineStr">
        <is>
          <t>OVANÅKER</t>
        </is>
      </c>
      <c r="G10904" t="n">
        <v>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23588-2024</t>
        </is>
      </c>
      <c r="B10905" s="1" t="n">
        <v>45454</v>
      </c>
      <c r="C10905" s="1" t="n">
        <v>45587</v>
      </c>
      <c r="D10905" t="inlineStr">
        <is>
          <t>GÄVLEBORGS LÄN</t>
        </is>
      </c>
      <c r="E10905" t="inlineStr">
        <is>
          <t>OVANÅKER</t>
        </is>
      </c>
      <c r="G10905" t="n">
        <v>6.7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23758-2024</t>
        </is>
      </c>
      <c r="B10906" s="1" t="n">
        <v>45455</v>
      </c>
      <c r="C10906" s="1" t="n">
        <v>45587</v>
      </c>
      <c r="D10906" t="inlineStr">
        <is>
          <t>GÄVLEBORGS LÄN</t>
        </is>
      </c>
      <c r="E10906" t="inlineStr">
        <is>
          <t>SANDVIKEN</t>
        </is>
      </c>
      <c r="F10906" t="inlineStr">
        <is>
          <t>Kyrkan</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23766-2024</t>
        </is>
      </c>
      <c r="B10907" s="1" t="n">
        <v>45455</v>
      </c>
      <c r="C10907" s="1" t="n">
        <v>45587</v>
      </c>
      <c r="D10907" t="inlineStr">
        <is>
          <t>GÄVLEBORGS LÄN</t>
        </is>
      </c>
      <c r="E10907" t="inlineStr">
        <is>
          <t>OCKELBO</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23770-2024</t>
        </is>
      </c>
      <c r="B10908" s="1" t="n">
        <v>45455</v>
      </c>
      <c r="C10908" s="1" t="n">
        <v>45587</v>
      </c>
      <c r="D10908" t="inlineStr">
        <is>
          <t>GÄVLEBORGS LÄN</t>
        </is>
      </c>
      <c r="E10908" t="inlineStr">
        <is>
          <t>NORDANSTIG</t>
        </is>
      </c>
      <c r="F10908" t="inlineStr">
        <is>
          <t>Holmen skog AB</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23772-2024</t>
        </is>
      </c>
      <c r="B10909" s="1" t="n">
        <v>45455</v>
      </c>
      <c r="C10909" s="1" t="n">
        <v>45587</v>
      </c>
      <c r="D10909" t="inlineStr">
        <is>
          <t>GÄVLEBORGS LÄN</t>
        </is>
      </c>
      <c r="E10909" t="inlineStr">
        <is>
          <t>OCKELBO</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23780-2024</t>
        </is>
      </c>
      <c r="B10910" s="1" t="n">
        <v>45455</v>
      </c>
      <c r="C10910" s="1" t="n">
        <v>45587</v>
      </c>
      <c r="D10910" t="inlineStr">
        <is>
          <t>GÄVLEBORGS LÄN</t>
        </is>
      </c>
      <c r="E10910" t="inlineStr">
        <is>
          <t>OCKELBO</t>
        </is>
      </c>
      <c r="G10910" t="n">
        <v>3.2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23767-2024</t>
        </is>
      </c>
      <c r="B10911" s="1" t="n">
        <v>45455</v>
      </c>
      <c r="C10911" s="1" t="n">
        <v>45587</v>
      </c>
      <c r="D10911" t="inlineStr">
        <is>
          <t>GÄVLEBORGS LÄN</t>
        </is>
      </c>
      <c r="E10911" t="inlineStr">
        <is>
          <t>OCKELBO</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23771-2024</t>
        </is>
      </c>
      <c r="B10912" s="1" t="n">
        <v>45455</v>
      </c>
      <c r="C10912" s="1" t="n">
        <v>45587</v>
      </c>
      <c r="D10912" t="inlineStr">
        <is>
          <t>GÄVLEBORGS LÄN</t>
        </is>
      </c>
      <c r="E10912" t="inlineStr">
        <is>
          <t>OCKELBO</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23792-2024</t>
        </is>
      </c>
      <c r="B10913" s="1" t="n">
        <v>45455</v>
      </c>
      <c r="C10913" s="1" t="n">
        <v>45587</v>
      </c>
      <c r="D10913" t="inlineStr">
        <is>
          <t>GÄVLEBORGS LÄN</t>
        </is>
      </c>
      <c r="E10913" t="inlineStr">
        <is>
          <t>OVANÅKER</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23809-2024</t>
        </is>
      </c>
      <c r="B10914" s="1" t="n">
        <v>45455</v>
      </c>
      <c r="C10914" s="1" t="n">
        <v>45587</v>
      </c>
      <c r="D10914" t="inlineStr">
        <is>
          <t>GÄVLEBORGS LÄN</t>
        </is>
      </c>
      <c r="E10914" t="inlineStr">
        <is>
          <t>BOLLNÄS</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23796-2024</t>
        </is>
      </c>
      <c r="B10915" s="1" t="n">
        <v>45455</v>
      </c>
      <c r="C10915" s="1" t="n">
        <v>45587</v>
      </c>
      <c r="D10915" t="inlineStr">
        <is>
          <t>GÄVLEBORGS LÄN</t>
        </is>
      </c>
      <c r="E10915" t="inlineStr">
        <is>
          <t>BOLLNÄS</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23769-2024</t>
        </is>
      </c>
      <c r="B10916" s="1" t="n">
        <v>45455</v>
      </c>
      <c r="C10916" s="1" t="n">
        <v>45587</v>
      </c>
      <c r="D10916" t="inlineStr">
        <is>
          <t>GÄVLEBORGS LÄN</t>
        </is>
      </c>
      <c r="E10916" t="inlineStr">
        <is>
          <t>OCKELBO</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23958-2024</t>
        </is>
      </c>
      <c r="B10917" s="1" t="n">
        <v>45456</v>
      </c>
      <c r="C10917" s="1" t="n">
        <v>45587</v>
      </c>
      <c r="D10917" t="inlineStr">
        <is>
          <t>GÄVLEBORGS LÄN</t>
        </is>
      </c>
      <c r="E10917" t="inlineStr">
        <is>
          <t>OVANÅKER</t>
        </is>
      </c>
      <c r="G10917" t="n">
        <v>7.1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23963-2024</t>
        </is>
      </c>
      <c r="B10918" s="1" t="n">
        <v>45456</v>
      </c>
      <c r="C10918" s="1" t="n">
        <v>45587</v>
      </c>
      <c r="D10918" t="inlineStr">
        <is>
          <t>GÄVLEBORGS LÄN</t>
        </is>
      </c>
      <c r="E10918" t="inlineStr">
        <is>
          <t>NORDANSTIG</t>
        </is>
      </c>
      <c r="F10918" t="inlineStr">
        <is>
          <t>SCA</t>
        </is>
      </c>
      <c r="G10918" t="n">
        <v>2.8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23959-2024</t>
        </is>
      </c>
      <c r="B10919" s="1" t="n">
        <v>45456</v>
      </c>
      <c r="C10919" s="1" t="n">
        <v>45587</v>
      </c>
      <c r="D10919" t="inlineStr">
        <is>
          <t>GÄVLEBORGS LÄN</t>
        </is>
      </c>
      <c r="E10919" t="inlineStr">
        <is>
          <t>OVANÅKER</t>
        </is>
      </c>
      <c r="G10919" t="n">
        <v>19.2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23815-2024</t>
        </is>
      </c>
      <c r="B10920" s="1" t="n">
        <v>45455</v>
      </c>
      <c r="C10920" s="1" t="n">
        <v>45587</v>
      </c>
      <c r="D10920" t="inlineStr">
        <is>
          <t>GÄVLEBORGS LÄN</t>
        </is>
      </c>
      <c r="E10920" t="inlineStr">
        <is>
          <t>LJUSDAL</t>
        </is>
      </c>
      <c r="F10920" t="inlineStr">
        <is>
          <t>Allmännings- och besparingsskogar</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23853-2024</t>
        </is>
      </c>
      <c r="B10921" s="1" t="n">
        <v>45455</v>
      </c>
      <c r="C10921" s="1" t="n">
        <v>45587</v>
      </c>
      <c r="D10921" t="inlineStr">
        <is>
          <t>GÄVLEBORGS LÄN</t>
        </is>
      </c>
      <c r="E10921" t="inlineStr">
        <is>
          <t>HUDIKSVALL</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23829-2024</t>
        </is>
      </c>
      <c r="B10922" s="1" t="n">
        <v>45455</v>
      </c>
      <c r="C10922" s="1" t="n">
        <v>45587</v>
      </c>
      <c r="D10922" t="inlineStr">
        <is>
          <t>GÄVLEBORGS LÄN</t>
        </is>
      </c>
      <c r="E10922" t="inlineStr">
        <is>
          <t>LJUSDAL</t>
        </is>
      </c>
      <c r="F10922" t="inlineStr">
        <is>
          <t>Allmännings- och besparingsskogar</t>
        </is>
      </c>
      <c r="G10922" t="n">
        <v>6.1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23825-2024</t>
        </is>
      </c>
      <c r="B10923" s="1" t="n">
        <v>45455</v>
      </c>
      <c r="C10923" s="1" t="n">
        <v>45587</v>
      </c>
      <c r="D10923" t="inlineStr">
        <is>
          <t>GÄVLEBORGS LÄN</t>
        </is>
      </c>
      <c r="E10923" t="inlineStr">
        <is>
          <t>LJUSDAL</t>
        </is>
      </c>
      <c r="F10923" t="inlineStr">
        <is>
          <t>Allmännings- och besparingsskogar</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23926-2024</t>
        </is>
      </c>
      <c r="B10924" s="1" t="n">
        <v>45456</v>
      </c>
      <c r="C10924" s="1" t="n">
        <v>45587</v>
      </c>
      <c r="D10924" t="inlineStr">
        <is>
          <t>GÄVLEBORGS LÄN</t>
        </is>
      </c>
      <c r="E10924" t="inlineStr">
        <is>
          <t>SÖDERHAMN</t>
        </is>
      </c>
      <c r="G10924" t="n">
        <v>6.7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23872-2024</t>
        </is>
      </c>
      <c r="B10925" s="1" t="n">
        <v>45455</v>
      </c>
      <c r="C10925" s="1" t="n">
        <v>45587</v>
      </c>
      <c r="D10925" t="inlineStr">
        <is>
          <t>GÄVLEBORGS LÄN</t>
        </is>
      </c>
      <c r="E10925" t="inlineStr">
        <is>
          <t>HUDIKSVALL</t>
        </is>
      </c>
      <c r="G10925" t="n">
        <v>3.5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23928-2024</t>
        </is>
      </c>
      <c r="B10926" s="1" t="n">
        <v>45456</v>
      </c>
      <c r="C10926" s="1" t="n">
        <v>45587</v>
      </c>
      <c r="D10926" t="inlineStr">
        <is>
          <t>GÄVLEBORGS LÄN</t>
        </is>
      </c>
      <c r="E10926" t="inlineStr">
        <is>
          <t>LJUSDAL</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23891-2024</t>
        </is>
      </c>
      <c r="B10927" s="1" t="n">
        <v>45455</v>
      </c>
      <c r="C10927" s="1" t="n">
        <v>45587</v>
      </c>
      <c r="D10927" t="inlineStr">
        <is>
          <t>GÄVLEBORGS LÄN</t>
        </is>
      </c>
      <c r="E10927" t="inlineStr">
        <is>
          <t>HOFORS</t>
        </is>
      </c>
      <c r="F10927" t="inlineStr">
        <is>
          <t>Sveaskog</t>
        </is>
      </c>
      <c r="G10927" t="n">
        <v>3.3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23883-2024</t>
        </is>
      </c>
      <c r="B10928" s="1" t="n">
        <v>45455</v>
      </c>
      <c r="C10928" s="1" t="n">
        <v>45587</v>
      </c>
      <c r="D10928" t="inlineStr">
        <is>
          <t>GÄVLEBORGS LÄN</t>
        </is>
      </c>
      <c r="E10928" t="inlineStr">
        <is>
          <t>GÄVLE</t>
        </is>
      </c>
      <c r="G10928" t="n">
        <v>4.9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24047-2024</t>
        </is>
      </c>
      <c r="B10929" s="1" t="n">
        <v>45456</v>
      </c>
      <c r="C10929" s="1" t="n">
        <v>45587</v>
      </c>
      <c r="D10929" t="inlineStr">
        <is>
          <t>GÄVLEBORGS LÄN</t>
        </is>
      </c>
      <c r="E10929" t="inlineStr">
        <is>
          <t>OVANÅKER</t>
        </is>
      </c>
      <c r="G10929" t="n">
        <v>0.3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24064-2024</t>
        </is>
      </c>
      <c r="B10930" s="1" t="n">
        <v>45456</v>
      </c>
      <c r="C10930" s="1" t="n">
        <v>45587</v>
      </c>
      <c r="D10930" t="inlineStr">
        <is>
          <t>GÄVLEBORGS LÄN</t>
        </is>
      </c>
      <c r="E10930" t="inlineStr">
        <is>
          <t>OVANÅKER</t>
        </is>
      </c>
      <c r="F10930" t="inlineStr">
        <is>
          <t>Bergvik skog väst AB</t>
        </is>
      </c>
      <c r="G10930" t="n">
        <v>6.8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24084-2024</t>
        </is>
      </c>
      <c r="B10931" s="1" t="n">
        <v>45456</v>
      </c>
      <c r="C10931" s="1" t="n">
        <v>45587</v>
      </c>
      <c r="D10931" t="inlineStr">
        <is>
          <t>GÄVLEBORGS LÄN</t>
        </is>
      </c>
      <c r="E10931" t="inlineStr">
        <is>
          <t>OVANÅKER</t>
        </is>
      </c>
      <c r="F10931" t="inlineStr">
        <is>
          <t>Bergvik skog väst AB</t>
        </is>
      </c>
      <c r="G10931" t="n">
        <v>4.6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24032-2024</t>
        </is>
      </c>
      <c r="B10932" s="1" t="n">
        <v>45456</v>
      </c>
      <c r="C10932" s="1" t="n">
        <v>45587</v>
      </c>
      <c r="D10932" t="inlineStr">
        <is>
          <t>GÄVLEBORGS LÄN</t>
        </is>
      </c>
      <c r="E10932" t="inlineStr">
        <is>
          <t>OVANÅKER</t>
        </is>
      </c>
      <c r="F10932" t="inlineStr">
        <is>
          <t>Bergvik skog väst AB</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24056-2024</t>
        </is>
      </c>
      <c r="B10933" s="1" t="n">
        <v>45456</v>
      </c>
      <c r="C10933" s="1" t="n">
        <v>45587</v>
      </c>
      <c r="D10933" t="inlineStr">
        <is>
          <t>GÄVLEBORGS LÄN</t>
        </is>
      </c>
      <c r="E10933" t="inlineStr">
        <is>
          <t>OVANÅKER</t>
        </is>
      </c>
      <c r="F10933" t="inlineStr">
        <is>
          <t>Bergvik skog väst AB</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24069-2024</t>
        </is>
      </c>
      <c r="B10934" s="1" t="n">
        <v>45456</v>
      </c>
      <c r="C10934" s="1" t="n">
        <v>45587</v>
      </c>
      <c r="D10934" t="inlineStr">
        <is>
          <t>GÄVLEBORGS LÄN</t>
        </is>
      </c>
      <c r="E10934" t="inlineStr">
        <is>
          <t>OVANÅKER</t>
        </is>
      </c>
      <c r="F10934" t="inlineStr">
        <is>
          <t>Bergvik skog väst AB</t>
        </is>
      </c>
      <c r="G10934" t="n">
        <v>3.6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23975-2024</t>
        </is>
      </c>
      <c r="B10935" s="1" t="n">
        <v>45456</v>
      </c>
      <c r="C10935" s="1" t="n">
        <v>45587</v>
      </c>
      <c r="D10935" t="inlineStr">
        <is>
          <t>GÄVLEBORGS LÄN</t>
        </is>
      </c>
      <c r="E10935" t="inlineStr">
        <is>
          <t>BOLLNÄS</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24008-2024</t>
        </is>
      </c>
      <c r="B10936" s="1" t="n">
        <v>45456</v>
      </c>
      <c r="C10936" s="1" t="n">
        <v>45587</v>
      </c>
      <c r="D10936" t="inlineStr">
        <is>
          <t>GÄVLEBORGS LÄN</t>
        </is>
      </c>
      <c r="E10936" t="inlineStr">
        <is>
          <t>HOFORS</t>
        </is>
      </c>
      <c r="F10936" t="inlineStr">
        <is>
          <t>Sveaskog</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24033-2024</t>
        </is>
      </c>
      <c r="B10937" s="1" t="n">
        <v>45456</v>
      </c>
      <c r="C10937" s="1" t="n">
        <v>45587</v>
      </c>
      <c r="D10937" t="inlineStr">
        <is>
          <t>GÄVLEBORGS LÄN</t>
        </is>
      </c>
      <c r="E10937" t="inlineStr">
        <is>
          <t>HUDIKSVALL</t>
        </is>
      </c>
      <c r="F10937" t="inlineStr">
        <is>
          <t>Holmen skog AB</t>
        </is>
      </c>
      <c r="G10937" t="n">
        <v>22.8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24074-2024</t>
        </is>
      </c>
      <c r="B10938" s="1" t="n">
        <v>45456</v>
      </c>
      <c r="C10938" s="1" t="n">
        <v>45587</v>
      </c>
      <c r="D10938" t="inlineStr">
        <is>
          <t>GÄVLEBORGS LÄN</t>
        </is>
      </c>
      <c r="E10938" t="inlineStr">
        <is>
          <t>OVANÅKER</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24086-2024</t>
        </is>
      </c>
      <c r="B10939" s="1" t="n">
        <v>45456</v>
      </c>
      <c r="C10939" s="1" t="n">
        <v>45587</v>
      </c>
      <c r="D10939" t="inlineStr">
        <is>
          <t>GÄVLEBORGS LÄN</t>
        </is>
      </c>
      <c r="E10939" t="inlineStr">
        <is>
          <t>HUDIKSVALL</t>
        </is>
      </c>
      <c r="F10939" t="inlineStr">
        <is>
          <t>Holmen skog AB</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24134-2024</t>
        </is>
      </c>
      <c r="B10940" s="1" t="n">
        <v>45456</v>
      </c>
      <c r="C10940" s="1" t="n">
        <v>45587</v>
      </c>
      <c r="D10940" t="inlineStr">
        <is>
          <t>GÄVLEBORGS LÄN</t>
        </is>
      </c>
      <c r="E10940" t="inlineStr">
        <is>
          <t>OVANÅKER</t>
        </is>
      </c>
      <c r="F10940" t="inlineStr">
        <is>
          <t>Bergvik skog väst AB</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24137-2024</t>
        </is>
      </c>
      <c r="B10941" s="1" t="n">
        <v>45456</v>
      </c>
      <c r="C10941" s="1" t="n">
        <v>45587</v>
      </c>
      <c r="D10941" t="inlineStr">
        <is>
          <t>GÄVLEBORGS LÄN</t>
        </is>
      </c>
      <c r="E10941" t="inlineStr">
        <is>
          <t>OVANÅKER</t>
        </is>
      </c>
      <c r="F10941" t="inlineStr">
        <is>
          <t>Bergvik skog väst AB</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24141-2024</t>
        </is>
      </c>
      <c r="B10942" s="1" t="n">
        <v>45456</v>
      </c>
      <c r="C10942" s="1" t="n">
        <v>45587</v>
      </c>
      <c r="D10942" t="inlineStr">
        <is>
          <t>GÄVLEBORGS LÄN</t>
        </is>
      </c>
      <c r="E10942" t="inlineStr">
        <is>
          <t>GÄVLE</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24178-2024</t>
        </is>
      </c>
      <c r="B10943" s="1" t="n">
        <v>45456</v>
      </c>
      <c r="C10943" s="1" t="n">
        <v>45587</v>
      </c>
      <c r="D10943" t="inlineStr">
        <is>
          <t>GÄVLEBORGS LÄN</t>
        </is>
      </c>
      <c r="E10943" t="inlineStr">
        <is>
          <t>NORDANSTIG</t>
        </is>
      </c>
      <c r="G10943" t="n">
        <v>3.2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24067-2024</t>
        </is>
      </c>
      <c r="B10944" s="1" t="n">
        <v>45456</v>
      </c>
      <c r="C10944" s="1" t="n">
        <v>45587</v>
      </c>
      <c r="D10944" t="inlineStr">
        <is>
          <t>GÄVLEBORGS LÄN</t>
        </is>
      </c>
      <c r="E10944" t="inlineStr">
        <is>
          <t>OVANÅKER</t>
        </is>
      </c>
      <c r="F10944" t="inlineStr">
        <is>
          <t>Bergvik skog väst AB</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24075-2024</t>
        </is>
      </c>
      <c r="B10945" s="1" t="n">
        <v>45456</v>
      </c>
      <c r="C10945" s="1" t="n">
        <v>45587</v>
      </c>
      <c r="D10945" t="inlineStr">
        <is>
          <t>GÄVLEBORGS LÄN</t>
        </is>
      </c>
      <c r="E10945" t="inlineStr">
        <is>
          <t>OVANÅKER</t>
        </is>
      </c>
      <c r="F10945" t="inlineStr">
        <is>
          <t>Bergvik skog väst AB</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24079-2024</t>
        </is>
      </c>
      <c r="B10946" s="1" t="n">
        <v>45456</v>
      </c>
      <c r="C10946" s="1" t="n">
        <v>45587</v>
      </c>
      <c r="D10946" t="inlineStr">
        <is>
          <t>GÄVLEBORGS LÄN</t>
        </is>
      </c>
      <c r="E10946" t="inlineStr">
        <is>
          <t>OVANÅKER</t>
        </is>
      </c>
      <c r="F10946" t="inlineStr">
        <is>
          <t>Bergvik skog väst AB</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24119-2024</t>
        </is>
      </c>
      <c r="B10947" s="1" t="n">
        <v>45456</v>
      </c>
      <c r="C10947" s="1" t="n">
        <v>45587</v>
      </c>
      <c r="D10947" t="inlineStr">
        <is>
          <t>GÄVLEBORGS LÄN</t>
        </is>
      </c>
      <c r="E10947" t="inlineStr">
        <is>
          <t>HUDIKSVALL</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24159-2024</t>
        </is>
      </c>
      <c r="B10948" s="1" t="n">
        <v>45456</v>
      </c>
      <c r="C10948" s="1" t="n">
        <v>45587</v>
      </c>
      <c r="D10948" t="inlineStr">
        <is>
          <t>GÄVLEBORGS LÄN</t>
        </is>
      </c>
      <c r="E10948" t="inlineStr">
        <is>
          <t>LJUSDAL</t>
        </is>
      </c>
      <c r="G10948" t="n">
        <v>6.1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24176-2024</t>
        </is>
      </c>
      <c r="B10949" s="1" t="n">
        <v>45456</v>
      </c>
      <c r="C10949" s="1" t="n">
        <v>45587</v>
      </c>
      <c r="D10949" t="inlineStr">
        <is>
          <t>GÄVLEBORGS LÄN</t>
        </is>
      </c>
      <c r="E10949" t="inlineStr">
        <is>
          <t>NORDANSTIG</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24294-2024</t>
        </is>
      </c>
      <c r="B10950" s="1" t="n">
        <v>45457</v>
      </c>
      <c r="C10950" s="1" t="n">
        <v>45587</v>
      </c>
      <c r="D10950" t="inlineStr">
        <is>
          <t>GÄVLEBORGS LÄN</t>
        </is>
      </c>
      <c r="E10950" t="inlineStr">
        <is>
          <t>OVANÅKER</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24322-2024</t>
        </is>
      </c>
      <c r="B10951" s="1" t="n">
        <v>45457</v>
      </c>
      <c r="C10951" s="1" t="n">
        <v>45587</v>
      </c>
      <c r="D10951" t="inlineStr">
        <is>
          <t>GÄVLEBORGS LÄN</t>
        </is>
      </c>
      <c r="E10951" t="inlineStr">
        <is>
          <t>OVANÅKER</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24326-2024</t>
        </is>
      </c>
      <c r="B10952" s="1" t="n">
        <v>45457</v>
      </c>
      <c r="C10952" s="1" t="n">
        <v>45587</v>
      </c>
      <c r="D10952" t="inlineStr">
        <is>
          <t>GÄVLEBORGS LÄN</t>
        </is>
      </c>
      <c r="E10952" t="inlineStr">
        <is>
          <t>OVANÅKER</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24330-2024</t>
        </is>
      </c>
      <c r="B10953" s="1" t="n">
        <v>45457</v>
      </c>
      <c r="C10953" s="1" t="n">
        <v>45587</v>
      </c>
      <c r="D10953" t="inlineStr">
        <is>
          <t>GÄVLEBORGS LÄN</t>
        </is>
      </c>
      <c r="E10953" t="inlineStr">
        <is>
          <t>BOLLNÄS</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24220-2024</t>
        </is>
      </c>
      <c r="B10954" s="1" t="n">
        <v>45457</v>
      </c>
      <c r="C10954" s="1" t="n">
        <v>45587</v>
      </c>
      <c r="D10954" t="inlineStr">
        <is>
          <t>GÄVLEBORGS LÄN</t>
        </is>
      </c>
      <c r="E10954" t="inlineStr">
        <is>
          <t>HUDIKSVALL</t>
        </is>
      </c>
      <c r="F10954" t="inlineStr">
        <is>
          <t>Holmen skog AB</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24213-2024</t>
        </is>
      </c>
      <c r="B10955" s="1" t="n">
        <v>45457</v>
      </c>
      <c r="C10955" s="1" t="n">
        <v>45587</v>
      </c>
      <c r="D10955" t="inlineStr">
        <is>
          <t>GÄVLEBORGS LÄN</t>
        </is>
      </c>
      <c r="E10955" t="inlineStr">
        <is>
          <t>BOLLNÄS</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24374-2024</t>
        </is>
      </c>
      <c r="B10956" s="1" t="n">
        <v>45457</v>
      </c>
      <c r="C10956" s="1" t="n">
        <v>45587</v>
      </c>
      <c r="D10956" t="inlineStr">
        <is>
          <t>GÄVLEBORGS LÄN</t>
        </is>
      </c>
      <c r="E10956" t="inlineStr">
        <is>
          <t>NORDANSTIG</t>
        </is>
      </c>
      <c r="F10956" t="inlineStr">
        <is>
          <t>Holmen skog AB</t>
        </is>
      </c>
      <c r="G10956" t="n">
        <v>5.4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24285-2024</t>
        </is>
      </c>
      <c r="B10957" s="1" t="n">
        <v>45457</v>
      </c>
      <c r="C10957" s="1" t="n">
        <v>45587</v>
      </c>
      <c r="D10957" t="inlineStr">
        <is>
          <t>GÄVLEBORGS LÄN</t>
        </is>
      </c>
      <c r="E10957" t="inlineStr">
        <is>
          <t>HUDIKSVALL</t>
        </is>
      </c>
      <c r="F10957" t="inlineStr">
        <is>
          <t>Holmen skog AB</t>
        </is>
      </c>
      <c r="G10957" t="n">
        <v>5.3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24289-2024</t>
        </is>
      </c>
      <c r="B10958" s="1" t="n">
        <v>45457</v>
      </c>
      <c r="C10958" s="1" t="n">
        <v>45587</v>
      </c>
      <c r="D10958" t="inlineStr">
        <is>
          <t>GÄVLEBORGS LÄN</t>
        </is>
      </c>
      <c r="E10958" t="inlineStr">
        <is>
          <t>BOLLNÄS</t>
        </is>
      </c>
      <c r="G10958" t="n">
        <v>10.8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24293-2024</t>
        </is>
      </c>
      <c r="B10959" s="1" t="n">
        <v>45457</v>
      </c>
      <c r="C10959" s="1" t="n">
        <v>45587</v>
      </c>
      <c r="D10959" t="inlineStr">
        <is>
          <t>GÄVLEBORGS LÄN</t>
        </is>
      </c>
      <c r="E10959" t="inlineStr">
        <is>
          <t>OVANÅKER</t>
        </is>
      </c>
      <c r="G10959" t="n">
        <v>3.8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24325-2024</t>
        </is>
      </c>
      <c r="B10960" s="1" t="n">
        <v>45457</v>
      </c>
      <c r="C10960" s="1" t="n">
        <v>45587</v>
      </c>
      <c r="D10960" t="inlineStr">
        <is>
          <t>GÄVLEBORGS LÄN</t>
        </is>
      </c>
      <c r="E10960" t="inlineStr">
        <is>
          <t>BOLLNÄS</t>
        </is>
      </c>
      <c r="F10960" t="inlineStr">
        <is>
          <t>Bergvik skog väst AB</t>
        </is>
      </c>
      <c r="G10960" t="n">
        <v>5.4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24329-2024</t>
        </is>
      </c>
      <c r="B10961" s="1" t="n">
        <v>45457</v>
      </c>
      <c r="C10961" s="1" t="n">
        <v>45587</v>
      </c>
      <c r="D10961" t="inlineStr">
        <is>
          <t>GÄVLEBORGS LÄN</t>
        </is>
      </c>
      <c r="E10961" t="inlineStr">
        <is>
          <t>HUDIKSVALL</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24236-2024</t>
        </is>
      </c>
      <c r="B10962" s="1" t="n">
        <v>45457</v>
      </c>
      <c r="C10962" s="1" t="n">
        <v>45587</v>
      </c>
      <c r="D10962" t="inlineStr">
        <is>
          <t>GÄVLEBORGS LÄN</t>
        </is>
      </c>
      <c r="E10962" t="inlineStr">
        <is>
          <t>HUDIKSVALL</t>
        </is>
      </c>
      <c r="F10962" t="inlineStr">
        <is>
          <t>Holmen skog AB</t>
        </is>
      </c>
      <c r="G10962" t="n">
        <v>3.2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24272-2024</t>
        </is>
      </c>
      <c r="B10963" s="1" t="n">
        <v>45457</v>
      </c>
      <c r="C10963" s="1" t="n">
        <v>45587</v>
      </c>
      <c r="D10963" t="inlineStr">
        <is>
          <t>GÄVLEBORGS LÄN</t>
        </is>
      </c>
      <c r="E10963" t="inlineStr">
        <is>
          <t>LJUSDAL</t>
        </is>
      </c>
      <c r="F10963" t="inlineStr">
        <is>
          <t>Holmen skog AB</t>
        </is>
      </c>
      <c r="G10963" t="n">
        <v>6.1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24304-2024</t>
        </is>
      </c>
      <c r="B10964" s="1" t="n">
        <v>45457</v>
      </c>
      <c r="C10964" s="1" t="n">
        <v>45587</v>
      </c>
      <c r="D10964" t="inlineStr">
        <is>
          <t>GÄVLEBORGS LÄN</t>
        </is>
      </c>
      <c r="E10964" t="inlineStr">
        <is>
          <t>SANDVIKEN</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24312-2024</t>
        </is>
      </c>
      <c r="B10965" s="1" t="n">
        <v>45457</v>
      </c>
      <c r="C10965" s="1" t="n">
        <v>45587</v>
      </c>
      <c r="D10965" t="inlineStr">
        <is>
          <t>GÄVLEBORGS LÄN</t>
        </is>
      </c>
      <c r="E10965" t="inlineStr">
        <is>
          <t>BOLLNÄS</t>
        </is>
      </c>
      <c r="F10965" t="inlineStr">
        <is>
          <t>Bergvik skog väst AB</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24320-2024</t>
        </is>
      </c>
      <c r="B10966" s="1" t="n">
        <v>45457</v>
      </c>
      <c r="C10966" s="1" t="n">
        <v>45587</v>
      </c>
      <c r="D10966" t="inlineStr">
        <is>
          <t>GÄVLEBORGS LÄN</t>
        </is>
      </c>
      <c r="E10966" t="inlineStr">
        <is>
          <t>BOLLNÄS</t>
        </is>
      </c>
      <c r="F10966" t="inlineStr">
        <is>
          <t>Bergvik skog väst AB</t>
        </is>
      </c>
      <c r="G10966" t="n">
        <v>6.3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24328-2024</t>
        </is>
      </c>
      <c r="B10967" s="1" t="n">
        <v>45457</v>
      </c>
      <c r="C10967" s="1" t="n">
        <v>45587</v>
      </c>
      <c r="D10967" t="inlineStr">
        <is>
          <t>GÄVLEBORGS LÄN</t>
        </is>
      </c>
      <c r="E10967" t="inlineStr">
        <is>
          <t>BOLLNÄS</t>
        </is>
      </c>
      <c r="G10967" t="n">
        <v>5.1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24332-2024</t>
        </is>
      </c>
      <c r="B10968" s="1" t="n">
        <v>45457</v>
      </c>
      <c r="C10968" s="1" t="n">
        <v>45587</v>
      </c>
      <c r="D10968" t="inlineStr">
        <is>
          <t>GÄVLEBORGS LÄN</t>
        </is>
      </c>
      <c r="E10968" t="inlineStr">
        <is>
          <t>BOLLNÄS</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24271-2024</t>
        </is>
      </c>
      <c r="B10969" s="1" t="n">
        <v>45457</v>
      </c>
      <c r="C10969" s="1" t="n">
        <v>45587</v>
      </c>
      <c r="D10969" t="inlineStr">
        <is>
          <t>GÄVLEBORGS LÄN</t>
        </is>
      </c>
      <c r="E10969" t="inlineStr">
        <is>
          <t>LJUSDAL</t>
        </is>
      </c>
      <c r="G10969" t="n">
        <v>5.8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24327-2024</t>
        </is>
      </c>
      <c r="B10970" s="1" t="n">
        <v>45457</v>
      </c>
      <c r="C10970" s="1" t="n">
        <v>45587</v>
      </c>
      <c r="D10970" t="inlineStr">
        <is>
          <t>GÄVLEBORGS LÄN</t>
        </is>
      </c>
      <c r="E10970" t="inlineStr">
        <is>
          <t>BOLLNÄS</t>
        </is>
      </c>
      <c r="F10970" t="inlineStr">
        <is>
          <t>Bergvik skog väst AB</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24741-2024</t>
        </is>
      </c>
      <c r="B10971" s="1" t="n">
        <v>45460</v>
      </c>
      <c r="C10971" s="1" t="n">
        <v>45587</v>
      </c>
      <c r="D10971" t="inlineStr">
        <is>
          <t>GÄVLEBORGS LÄN</t>
        </is>
      </c>
      <c r="E10971" t="inlineStr">
        <is>
          <t>BOLLNÄS</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24769-2024</t>
        </is>
      </c>
      <c r="B10972" s="1" t="n">
        <v>45460</v>
      </c>
      <c r="C10972" s="1" t="n">
        <v>45587</v>
      </c>
      <c r="D10972" t="inlineStr">
        <is>
          <t>GÄVLEBORGS LÄN</t>
        </is>
      </c>
      <c r="E10972" t="inlineStr">
        <is>
          <t>SANDVIKEN</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24728-2024</t>
        </is>
      </c>
      <c r="B10973" s="1" t="n">
        <v>45460</v>
      </c>
      <c r="C10973" s="1" t="n">
        <v>45587</v>
      </c>
      <c r="D10973" t="inlineStr">
        <is>
          <t>GÄVLEBORGS LÄN</t>
        </is>
      </c>
      <c r="E10973" t="inlineStr">
        <is>
          <t>OVANÅKER</t>
        </is>
      </c>
      <c r="G10973" t="n">
        <v>3.5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24764-2024</t>
        </is>
      </c>
      <c r="B10974" s="1" t="n">
        <v>45460</v>
      </c>
      <c r="C10974" s="1" t="n">
        <v>45587</v>
      </c>
      <c r="D10974" t="inlineStr">
        <is>
          <t>GÄVLEBORGS LÄN</t>
        </is>
      </c>
      <c r="E10974" t="inlineStr">
        <is>
          <t>SANDVIKEN</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24671-2024</t>
        </is>
      </c>
      <c r="B10975" s="1" t="n">
        <v>45460</v>
      </c>
      <c r="C10975" s="1" t="n">
        <v>45587</v>
      </c>
      <c r="D10975" t="inlineStr">
        <is>
          <t>GÄVLEBORGS LÄN</t>
        </is>
      </c>
      <c r="E10975" t="inlineStr">
        <is>
          <t>OVANÅKER</t>
        </is>
      </c>
      <c r="G10975" t="n">
        <v>3.3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24691-2024</t>
        </is>
      </c>
      <c r="B10976" s="1" t="n">
        <v>45460</v>
      </c>
      <c r="C10976" s="1" t="n">
        <v>45587</v>
      </c>
      <c r="D10976" t="inlineStr">
        <is>
          <t>GÄVLEBORGS LÄN</t>
        </is>
      </c>
      <c r="E10976" t="inlineStr">
        <is>
          <t>LJUSDAL</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24725-2024</t>
        </is>
      </c>
      <c r="B10977" s="1" t="n">
        <v>45460</v>
      </c>
      <c r="C10977" s="1" t="n">
        <v>45587</v>
      </c>
      <c r="D10977" t="inlineStr">
        <is>
          <t>GÄVLEBORGS LÄN</t>
        </is>
      </c>
      <c r="E10977" t="inlineStr">
        <is>
          <t>OVANÅKER</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24771-2024</t>
        </is>
      </c>
      <c r="B10978" s="1" t="n">
        <v>45460</v>
      </c>
      <c r="C10978" s="1" t="n">
        <v>45587</v>
      </c>
      <c r="D10978" t="inlineStr">
        <is>
          <t>GÄVLEBORGS LÄN</t>
        </is>
      </c>
      <c r="E10978" t="inlineStr">
        <is>
          <t>OCKELBO</t>
        </is>
      </c>
      <c r="G10978" t="n">
        <v>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24648-2024</t>
        </is>
      </c>
      <c r="B10979" s="1" t="n">
        <v>45460</v>
      </c>
      <c r="C10979" s="1" t="n">
        <v>45587</v>
      </c>
      <c r="D10979" t="inlineStr">
        <is>
          <t>GÄVLEBORGS LÄN</t>
        </is>
      </c>
      <c r="E10979" t="inlineStr">
        <is>
          <t>OCKELBO</t>
        </is>
      </c>
      <c r="G10979" t="n">
        <v>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24551-2024</t>
        </is>
      </c>
      <c r="B10980" s="1" t="n">
        <v>45460</v>
      </c>
      <c r="C10980" s="1" t="n">
        <v>45587</v>
      </c>
      <c r="D10980" t="inlineStr">
        <is>
          <t>GÄVLEBORGS LÄN</t>
        </is>
      </c>
      <c r="E10980" t="inlineStr">
        <is>
          <t>BOLLNÄS</t>
        </is>
      </c>
      <c r="G10980" t="n">
        <v>6.8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24512-2024</t>
        </is>
      </c>
      <c r="B10981" s="1" t="n">
        <v>45460</v>
      </c>
      <c r="C10981" s="1" t="n">
        <v>45587</v>
      </c>
      <c r="D10981" t="inlineStr">
        <is>
          <t>GÄVLEBORGS LÄN</t>
        </is>
      </c>
      <c r="E10981" t="inlineStr">
        <is>
          <t>LJUSDAL</t>
        </is>
      </c>
      <c r="G10981" t="n">
        <v>13.7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24775-2024</t>
        </is>
      </c>
      <c r="B10982" s="1" t="n">
        <v>45460</v>
      </c>
      <c r="C10982" s="1" t="n">
        <v>45587</v>
      </c>
      <c r="D10982" t="inlineStr">
        <is>
          <t>GÄVLEBORGS LÄN</t>
        </is>
      </c>
      <c r="E10982" t="inlineStr">
        <is>
          <t>LJUSDAL</t>
        </is>
      </c>
      <c r="G10982" t="n">
        <v>7.5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24667-2024</t>
        </is>
      </c>
      <c r="B10983" s="1" t="n">
        <v>45460</v>
      </c>
      <c r="C10983" s="1" t="n">
        <v>45587</v>
      </c>
      <c r="D10983" t="inlineStr">
        <is>
          <t>GÄVLEBORGS LÄN</t>
        </is>
      </c>
      <c r="E10983" t="inlineStr">
        <is>
          <t>LJUSDAL</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24659-2024</t>
        </is>
      </c>
      <c r="B10984" s="1" t="n">
        <v>45460</v>
      </c>
      <c r="C10984" s="1" t="n">
        <v>45587</v>
      </c>
      <c r="D10984" t="inlineStr">
        <is>
          <t>GÄVLEBORGS LÄN</t>
        </is>
      </c>
      <c r="E10984" t="inlineStr">
        <is>
          <t>LJUSDAL</t>
        </is>
      </c>
      <c r="G10984" t="n">
        <v>8.199999999999999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24655-2024</t>
        </is>
      </c>
      <c r="B10985" s="1" t="n">
        <v>45460</v>
      </c>
      <c r="C10985" s="1" t="n">
        <v>45587</v>
      </c>
      <c r="D10985" t="inlineStr">
        <is>
          <t>GÄVLEBORGS LÄN</t>
        </is>
      </c>
      <c r="E10985" t="inlineStr">
        <is>
          <t>LJUSDAL</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24665-2024</t>
        </is>
      </c>
      <c r="B10986" s="1" t="n">
        <v>45460</v>
      </c>
      <c r="C10986" s="1" t="n">
        <v>45587</v>
      </c>
      <c r="D10986" t="inlineStr">
        <is>
          <t>GÄVLEBORGS LÄN</t>
        </is>
      </c>
      <c r="E10986" t="inlineStr">
        <is>
          <t>LJUSDAL</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24662-2024</t>
        </is>
      </c>
      <c r="B10987" s="1" t="n">
        <v>45460</v>
      </c>
      <c r="C10987" s="1" t="n">
        <v>45587</v>
      </c>
      <c r="D10987" t="inlineStr">
        <is>
          <t>GÄVLEBORGS LÄN</t>
        </is>
      </c>
      <c r="E10987" t="inlineStr">
        <is>
          <t>LJUSDAL</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24742-2024</t>
        </is>
      </c>
      <c r="B10988" s="1" t="n">
        <v>45460</v>
      </c>
      <c r="C10988" s="1" t="n">
        <v>45587</v>
      </c>
      <c r="D10988" t="inlineStr">
        <is>
          <t>GÄVLEBORGS LÄN</t>
        </is>
      </c>
      <c r="E10988" t="inlineStr">
        <is>
          <t>BOLLNÄS</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24698-2024</t>
        </is>
      </c>
      <c r="B10989" s="1" t="n">
        <v>45460</v>
      </c>
      <c r="C10989" s="1" t="n">
        <v>45587</v>
      </c>
      <c r="D10989" t="inlineStr">
        <is>
          <t>GÄVLEBORGS LÄN</t>
        </is>
      </c>
      <c r="E10989" t="inlineStr">
        <is>
          <t>BOLLNÄS</t>
        </is>
      </c>
      <c r="G10989" t="n">
        <v>3.1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25003-2024</t>
        </is>
      </c>
      <c r="B10990" s="1" t="n">
        <v>45461</v>
      </c>
      <c r="C10990" s="1" t="n">
        <v>45587</v>
      </c>
      <c r="D10990" t="inlineStr">
        <is>
          <t>GÄVLEBORGS LÄN</t>
        </is>
      </c>
      <c r="E10990" t="inlineStr">
        <is>
          <t>OVANÅKER</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24971-2024</t>
        </is>
      </c>
      <c r="B10991" s="1" t="n">
        <v>45461</v>
      </c>
      <c r="C10991" s="1" t="n">
        <v>45587</v>
      </c>
      <c r="D10991" t="inlineStr">
        <is>
          <t>GÄVLEBORGS LÄN</t>
        </is>
      </c>
      <c r="E10991" t="inlineStr">
        <is>
          <t>OVANÅKER</t>
        </is>
      </c>
      <c r="F10991" t="inlineStr">
        <is>
          <t>Bergvik skog väst AB</t>
        </is>
      </c>
      <c r="G10991" t="n">
        <v>4.9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24918-2024</t>
        </is>
      </c>
      <c r="B10992" s="1" t="n">
        <v>45461</v>
      </c>
      <c r="C10992" s="1" t="n">
        <v>45587</v>
      </c>
      <c r="D10992" t="inlineStr">
        <is>
          <t>GÄVLEBORGS LÄN</t>
        </is>
      </c>
      <c r="E10992" t="inlineStr">
        <is>
          <t>LJUSDAL</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24910-2024</t>
        </is>
      </c>
      <c r="B10993" s="1" t="n">
        <v>45461</v>
      </c>
      <c r="C10993" s="1" t="n">
        <v>45587</v>
      </c>
      <c r="D10993" t="inlineStr">
        <is>
          <t>GÄVLEBORGS LÄN</t>
        </is>
      </c>
      <c r="E10993" t="inlineStr">
        <is>
          <t>SÖDERHAMN</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24882-2024</t>
        </is>
      </c>
      <c r="B10994" s="1" t="n">
        <v>45461</v>
      </c>
      <c r="C10994" s="1" t="n">
        <v>45587</v>
      </c>
      <c r="D10994" t="inlineStr">
        <is>
          <t>GÄVLEBORGS LÄN</t>
        </is>
      </c>
      <c r="E10994" t="inlineStr">
        <is>
          <t>NORDANSTIG</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24838-2024</t>
        </is>
      </c>
      <c r="B10995" s="1" t="n">
        <v>45461</v>
      </c>
      <c r="C10995" s="1" t="n">
        <v>45587</v>
      </c>
      <c r="D10995" t="inlineStr">
        <is>
          <t>GÄVLEBORGS LÄN</t>
        </is>
      </c>
      <c r="E10995" t="inlineStr">
        <is>
          <t>LJUSDAL</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24834-2024</t>
        </is>
      </c>
      <c r="B10996" s="1" t="n">
        <v>45461</v>
      </c>
      <c r="C10996" s="1" t="n">
        <v>45587</v>
      </c>
      <c r="D10996" t="inlineStr">
        <is>
          <t>GÄVLEBORGS LÄN</t>
        </is>
      </c>
      <c r="E10996" t="inlineStr">
        <is>
          <t>HUDIKSVALL</t>
        </is>
      </c>
      <c r="F10996" t="inlineStr">
        <is>
          <t>Holmen skog AB</t>
        </is>
      </c>
      <c r="G10996" t="n">
        <v>3.4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24942-2024</t>
        </is>
      </c>
      <c r="B10997" s="1" t="n">
        <v>45461</v>
      </c>
      <c r="C10997" s="1" t="n">
        <v>45587</v>
      </c>
      <c r="D10997" t="inlineStr">
        <is>
          <t>GÄVLEBORGS LÄN</t>
        </is>
      </c>
      <c r="E10997" t="inlineStr">
        <is>
          <t>HUDIKSVALL</t>
        </is>
      </c>
      <c r="F10997" t="inlineStr">
        <is>
          <t>Holmen skog AB</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24954-2024</t>
        </is>
      </c>
      <c r="B10998" s="1" t="n">
        <v>45461</v>
      </c>
      <c r="C10998" s="1" t="n">
        <v>45587</v>
      </c>
      <c r="D10998" t="inlineStr">
        <is>
          <t>GÄVLEBORGS LÄN</t>
        </is>
      </c>
      <c r="E10998" t="inlineStr">
        <is>
          <t>OVANÅKER</t>
        </is>
      </c>
      <c r="F10998" t="inlineStr">
        <is>
          <t>Bergvik skog väst AB</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24835-2024</t>
        </is>
      </c>
      <c r="B10999" s="1" t="n">
        <v>45461</v>
      </c>
      <c r="C10999" s="1" t="n">
        <v>45587</v>
      </c>
      <c r="D10999" t="inlineStr">
        <is>
          <t>GÄVLEBORGS LÄN</t>
        </is>
      </c>
      <c r="E10999" t="inlineStr">
        <is>
          <t>OVANÅKER</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24994-2024</t>
        </is>
      </c>
      <c r="B11000" s="1" t="n">
        <v>45461</v>
      </c>
      <c r="C11000" s="1" t="n">
        <v>45587</v>
      </c>
      <c r="D11000" t="inlineStr">
        <is>
          <t>GÄVLEBORGS LÄN</t>
        </is>
      </c>
      <c r="E11000" t="inlineStr">
        <is>
          <t>BOLLNÄS</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24933-2024</t>
        </is>
      </c>
      <c r="B11001" s="1" t="n">
        <v>45461</v>
      </c>
      <c r="C11001" s="1" t="n">
        <v>45587</v>
      </c>
      <c r="D11001" t="inlineStr">
        <is>
          <t>GÄVLEBORGS LÄN</t>
        </is>
      </c>
      <c r="E11001" t="inlineStr">
        <is>
          <t>SÖDERHAMN</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24852-2024</t>
        </is>
      </c>
      <c r="B11002" s="1" t="n">
        <v>45461</v>
      </c>
      <c r="C11002" s="1" t="n">
        <v>45587</v>
      </c>
      <c r="D11002" t="inlineStr">
        <is>
          <t>GÄVLEBORGS LÄN</t>
        </is>
      </c>
      <c r="E11002" t="inlineStr">
        <is>
          <t>HUDIKSVALL</t>
        </is>
      </c>
      <c r="F11002" t="inlineStr">
        <is>
          <t>Holmen skog AB</t>
        </is>
      </c>
      <c r="G11002" t="n">
        <v>19.2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24848-2024</t>
        </is>
      </c>
      <c r="B11003" s="1" t="n">
        <v>45461</v>
      </c>
      <c r="C11003" s="1" t="n">
        <v>45587</v>
      </c>
      <c r="D11003" t="inlineStr">
        <is>
          <t>GÄVLEBORGS LÄN</t>
        </is>
      </c>
      <c r="E11003" t="inlineStr">
        <is>
          <t>HUDIKSVALL</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24911-2024</t>
        </is>
      </c>
      <c r="B11004" s="1" t="n">
        <v>45461</v>
      </c>
      <c r="C11004" s="1" t="n">
        <v>45587</v>
      </c>
      <c r="D11004" t="inlineStr">
        <is>
          <t>GÄVLEBORGS LÄN</t>
        </is>
      </c>
      <c r="E11004" t="inlineStr">
        <is>
          <t>LJUSDAL</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24923-2024</t>
        </is>
      </c>
      <c r="B11005" s="1" t="n">
        <v>45461</v>
      </c>
      <c r="C11005" s="1" t="n">
        <v>45587</v>
      </c>
      <c r="D11005" t="inlineStr">
        <is>
          <t>GÄVLEBORGS LÄN</t>
        </is>
      </c>
      <c r="E11005" t="inlineStr">
        <is>
          <t>HUDIKSVALL</t>
        </is>
      </c>
      <c r="F11005" t="inlineStr">
        <is>
          <t>Holmen skog AB</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24992-2024</t>
        </is>
      </c>
      <c r="B11006" s="1" t="n">
        <v>45461</v>
      </c>
      <c r="C11006" s="1" t="n">
        <v>45587</v>
      </c>
      <c r="D11006" t="inlineStr">
        <is>
          <t>GÄVLEBORGS LÄN</t>
        </is>
      </c>
      <c r="E11006" t="inlineStr">
        <is>
          <t>BOLLNÄS</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25004-2024</t>
        </is>
      </c>
      <c r="B11007" s="1" t="n">
        <v>45461</v>
      </c>
      <c r="C11007" s="1" t="n">
        <v>45587</v>
      </c>
      <c r="D11007" t="inlineStr">
        <is>
          <t>GÄVLEBORGS LÄN</t>
        </is>
      </c>
      <c r="E11007" t="inlineStr">
        <is>
          <t>OCKELBO</t>
        </is>
      </c>
      <c r="G11007" t="n">
        <v>10.8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25343-2024</t>
        </is>
      </c>
      <c r="B11008" s="1" t="n">
        <v>45463</v>
      </c>
      <c r="C11008" s="1" t="n">
        <v>45587</v>
      </c>
      <c r="D11008" t="inlineStr">
        <is>
          <t>GÄVLEBORGS LÄN</t>
        </is>
      </c>
      <c r="E11008" t="inlineStr">
        <is>
          <t>OCKELBO</t>
        </is>
      </c>
      <c r="G11008" t="n">
        <v>3.1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25237-2024</t>
        </is>
      </c>
      <c r="B11009" s="1" t="n">
        <v>45462</v>
      </c>
      <c r="C11009" s="1" t="n">
        <v>45587</v>
      </c>
      <c r="D11009" t="inlineStr">
        <is>
          <t>GÄVLEBORGS LÄN</t>
        </is>
      </c>
      <c r="E11009" t="inlineStr">
        <is>
          <t>HUDIKSVALL</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25233-2024</t>
        </is>
      </c>
      <c r="B11010" s="1" t="n">
        <v>45462</v>
      </c>
      <c r="C11010" s="1" t="n">
        <v>45587</v>
      </c>
      <c r="D11010" t="inlineStr">
        <is>
          <t>GÄVLEBORGS LÄN</t>
        </is>
      </c>
      <c r="E11010" t="inlineStr">
        <is>
          <t>HUDIKSVALL</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25173-2024</t>
        </is>
      </c>
      <c r="B11011" s="1" t="n">
        <v>45462</v>
      </c>
      <c r="C11011" s="1" t="n">
        <v>45587</v>
      </c>
      <c r="D11011" t="inlineStr">
        <is>
          <t>GÄVLEBORGS LÄN</t>
        </is>
      </c>
      <c r="E11011" t="inlineStr">
        <is>
          <t>HUDIKSVALL</t>
        </is>
      </c>
      <c r="F11011" t="inlineStr">
        <is>
          <t>Holmen skog AB</t>
        </is>
      </c>
      <c r="G11011" t="n">
        <v>7.4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25297-2024</t>
        </is>
      </c>
      <c r="B11012" s="1" t="n">
        <v>45462</v>
      </c>
      <c r="C11012" s="1" t="n">
        <v>45587</v>
      </c>
      <c r="D11012" t="inlineStr">
        <is>
          <t>GÄVLEBORGS LÄN</t>
        </is>
      </c>
      <c r="E11012" t="inlineStr">
        <is>
          <t>OVANÅKER</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25293-2024</t>
        </is>
      </c>
      <c r="B11013" s="1" t="n">
        <v>45462</v>
      </c>
      <c r="C11013" s="1" t="n">
        <v>45587</v>
      </c>
      <c r="D11013" t="inlineStr">
        <is>
          <t>GÄVLEBORGS LÄN</t>
        </is>
      </c>
      <c r="E11013" t="inlineStr">
        <is>
          <t>OVANÅKER</t>
        </is>
      </c>
      <c r="G11013" t="n">
        <v>4.3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25273-2024</t>
        </is>
      </c>
      <c r="B11014" s="1" t="n">
        <v>45462</v>
      </c>
      <c r="C11014" s="1" t="n">
        <v>45587</v>
      </c>
      <c r="D11014" t="inlineStr">
        <is>
          <t>GÄVLEBORGS LÄN</t>
        </is>
      </c>
      <c r="E11014" t="inlineStr">
        <is>
          <t>NORDANSTIG</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25208-2024</t>
        </is>
      </c>
      <c r="B11015" s="1" t="n">
        <v>45462</v>
      </c>
      <c r="C11015" s="1" t="n">
        <v>45587</v>
      </c>
      <c r="D11015" t="inlineStr">
        <is>
          <t>GÄVLEBORGS LÄN</t>
        </is>
      </c>
      <c r="E11015" t="inlineStr">
        <is>
          <t>LJUSDAL</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25204-2024</t>
        </is>
      </c>
      <c r="B11016" s="1" t="n">
        <v>45462</v>
      </c>
      <c r="C11016" s="1" t="n">
        <v>45587</v>
      </c>
      <c r="D11016" t="inlineStr">
        <is>
          <t>GÄVLEBORGS LÄN</t>
        </is>
      </c>
      <c r="E11016" t="inlineStr">
        <is>
          <t>LJUSDAL</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25093-2024</t>
        </is>
      </c>
      <c r="B11017" s="1" t="n">
        <v>45462</v>
      </c>
      <c r="C11017" s="1" t="n">
        <v>45587</v>
      </c>
      <c r="D11017" t="inlineStr">
        <is>
          <t>GÄVLEBORGS LÄN</t>
        </is>
      </c>
      <c r="E11017" t="inlineStr">
        <is>
          <t>LJUSDAL</t>
        </is>
      </c>
      <c r="F11017" t="inlineStr">
        <is>
          <t>Bergvik skog väst AB</t>
        </is>
      </c>
      <c r="G11017" t="n">
        <v>10.6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25056-2024</t>
        </is>
      </c>
      <c r="B11018" s="1" t="n">
        <v>45462</v>
      </c>
      <c r="C11018" s="1" t="n">
        <v>45587</v>
      </c>
      <c r="D11018" t="inlineStr">
        <is>
          <t>GÄVLEBORGS LÄN</t>
        </is>
      </c>
      <c r="E11018" t="inlineStr">
        <is>
          <t>HUDIKSVALL</t>
        </is>
      </c>
      <c r="G11018" t="n">
        <v>14.3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25299-2024</t>
        </is>
      </c>
      <c r="B11019" s="1" t="n">
        <v>45462</v>
      </c>
      <c r="C11019" s="1" t="n">
        <v>45587</v>
      </c>
      <c r="D11019" t="inlineStr">
        <is>
          <t>GÄVLEBORGS LÄN</t>
        </is>
      </c>
      <c r="E11019" t="inlineStr">
        <is>
          <t>OVANÅKER</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25271-2024</t>
        </is>
      </c>
      <c r="B11020" s="1" t="n">
        <v>45462</v>
      </c>
      <c r="C11020" s="1" t="n">
        <v>45587</v>
      </c>
      <c r="D11020" t="inlineStr">
        <is>
          <t>GÄVLEBORGS LÄN</t>
        </is>
      </c>
      <c r="E11020" t="inlineStr">
        <is>
          <t>NORDANSTIG</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25266-2024</t>
        </is>
      </c>
      <c r="B11021" s="1" t="n">
        <v>45462</v>
      </c>
      <c r="C11021" s="1" t="n">
        <v>45587</v>
      </c>
      <c r="D11021" t="inlineStr">
        <is>
          <t>GÄVLEBORGS LÄN</t>
        </is>
      </c>
      <c r="E11021" t="inlineStr">
        <is>
          <t>GÄVLE</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25250-2024</t>
        </is>
      </c>
      <c r="B11022" s="1" t="n">
        <v>45462</v>
      </c>
      <c r="C11022" s="1" t="n">
        <v>45587</v>
      </c>
      <c r="D11022" t="inlineStr">
        <is>
          <t>GÄVLEBORGS LÄN</t>
        </is>
      </c>
      <c r="E11022" t="inlineStr">
        <is>
          <t>OVANÅKER</t>
        </is>
      </c>
      <c r="F11022" t="inlineStr">
        <is>
          <t>Bergvik skog öst AB</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25182-2024</t>
        </is>
      </c>
      <c r="B11023" s="1" t="n">
        <v>45462</v>
      </c>
      <c r="C11023" s="1" t="n">
        <v>45587</v>
      </c>
      <c r="D11023" t="inlineStr">
        <is>
          <t>GÄVLEBORGS LÄN</t>
        </is>
      </c>
      <c r="E11023" t="inlineStr">
        <is>
          <t>HUDIKSVALL</t>
        </is>
      </c>
      <c r="F11023" t="inlineStr">
        <is>
          <t>Holmen skog AB</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25154-2024</t>
        </is>
      </c>
      <c r="B11024" s="1" t="n">
        <v>45462</v>
      </c>
      <c r="C11024" s="1" t="n">
        <v>45587</v>
      </c>
      <c r="D11024" t="inlineStr">
        <is>
          <t>GÄVLEBORGS LÄN</t>
        </is>
      </c>
      <c r="E11024" t="inlineStr">
        <is>
          <t>NORDANSTIG</t>
        </is>
      </c>
      <c r="F11024" t="inlineStr">
        <is>
          <t>Holmen skog AB</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25091-2024</t>
        </is>
      </c>
      <c r="B11025" s="1" t="n">
        <v>45462</v>
      </c>
      <c r="C11025" s="1" t="n">
        <v>45587</v>
      </c>
      <c r="D11025" t="inlineStr">
        <is>
          <t>GÄVLEBORGS LÄN</t>
        </is>
      </c>
      <c r="E11025" t="inlineStr">
        <is>
          <t>LJUSDAL</t>
        </is>
      </c>
      <c r="F11025" t="inlineStr">
        <is>
          <t>Bergvik skog väst AB</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25328-2024</t>
        </is>
      </c>
      <c r="B11026" s="1" t="n">
        <v>45462</v>
      </c>
      <c r="C11026" s="1" t="n">
        <v>45587</v>
      </c>
      <c r="D11026" t="inlineStr">
        <is>
          <t>GÄVLEBORGS LÄN</t>
        </is>
      </c>
      <c r="E11026" t="inlineStr">
        <is>
          <t>LJUSDAL</t>
        </is>
      </c>
      <c r="F11026" t="inlineStr">
        <is>
          <t>Sveaskog</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25276-2024</t>
        </is>
      </c>
      <c r="B11027" s="1" t="n">
        <v>45462</v>
      </c>
      <c r="C11027" s="1" t="n">
        <v>45587</v>
      </c>
      <c r="D11027" t="inlineStr">
        <is>
          <t>GÄVLEBORGS LÄN</t>
        </is>
      </c>
      <c r="E11027" t="inlineStr">
        <is>
          <t>GÄVLE</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25268-2024</t>
        </is>
      </c>
      <c r="B11028" s="1" t="n">
        <v>45462</v>
      </c>
      <c r="C11028" s="1" t="n">
        <v>45587</v>
      </c>
      <c r="D11028" t="inlineStr">
        <is>
          <t>GÄVLEBORGS LÄN</t>
        </is>
      </c>
      <c r="E11028" t="inlineStr">
        <is>
          <t>HUDIKSVALL</t>
        </is>
      </c>
      <c r="F11028" t="inlineStr">
        <is>
          <t>Holmen skog AB</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25255-2024</t>
        </is>
      </c>
      <c r="B11029" s="1" t="n">
        <v>45462</v>
      </c>
      <c r="C11029" s="1" t="n">
        <v>45587</v>
      </c>
      <c r="D11029" t="inlineStr">
        <is>
          <t>GÄVLEBORGS LÄN</t>
        </is>
      </c>
      <c r="E11029" t="inlineStr">
        <is>
          <t>HUDIKSVALL</t>
        </is>
      </c>
      <c r="F11029" t="inlineStr">
        <is>
          <t>Holmen skog AB</t>
        </is>
      </c>
      <c r="G11029" t="n">
        <v>3.1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25235-2024</t>
        </is>
      </c>
      <c r="B11030" s="1" t="n">
        <v>45462</v>
      </c>
      <c r="C11030" s="1" t="n">
        <v>45587</v>
      </c>
      <c r="D11030" t="inlineStr">
        <is>
          <t>GÄVLEBORGS LÄN</t>
        </is>
      </c>
      <c r="E11030" t="inlineStr">
        <is>
          <t>GÄVLE</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25345-2024</t>
        </is>
      </c>
      <c r="B11031" s="1" t="n">
        <v>45463</v>
      </c>
      <c r="C11031" s="1" t="n">
        <v>45587</v>
      </c>
      <c r="D11031" t="inlineStr">
        <is>
          <t>GÄVLEBORGS LÄN</t>
        </is>
      </c>
      <c r="E11031" t="inlineStr">
        <is>
          <t>OVANÅKER</t>
        </is>
      </c>
      <c r="G11031" t="n">
        <v>2.1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25199-2024</t>
        </is>
      </c>
      <c r="B11032" s="1" t="n">
        <v>45462</v>
      </c>
      <c r="C11032" s="1" t="n">
        <v>45587</v>
      </c>
      <c r="D11032" t="inlineStr">
        <is>
          <t>GÄVLEBORGS LÄN</t>
        </is>
      </c>
      <c r="E11032" t="inlineStr">
        <is>
          <t>LJUSDAL</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25398-2024</t>
        </is>
      </c>
      <c r="B11033" s="1" t="n">
        <v>45463</v>
      </c>
      <c r="C11033" s="1" t="n">
        <v>45587</v>
      </c>
      <c r="D11033" t="inlineStr">
        <is>
          <t>GÄVLEBORGS LÄN</t>
        </is>
      </c>
      <c r="E11033" t="inlineStr">
        <is>
          <t>OCKELBO</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25648-2024</t>
        </is>
      </c>
      <c r="B11034" s="1" t="n">
        <v>45463</v>
      </c>
      <c r="C11034" s="1" t="n">
        <v>45587</v>
      </c>
      <c r="D11034" t="inlineStr">
        <is>
          <t>GÄVLEBORGS LÄN</t>
        </is>
      </c>
      <c r="E11034" t="inlineStr">
        <is>
          <t>HUDIKSVALL</t>
        </is>
      </c>
      <c r="F11034" t="inlineStr">
        <is>
          <t>Sveaskog</t>
        </is>
      </c>
      <c r="G11034" t="n">
        <v>4.7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25724-2024</t>
        </is>
      </c>
      <c r="B11035" s="1" t="n">
        <v>45464</v>
      </c>
      <c r="C11035" s="1" t="n">
        <v>45587</v>
      </c>
      <c r="D11035" t="inlineStr">
        <is>
          <t>GÄVLEBORGS LÄN</t>
        </is>
      </c>
      <c r="E11035" t="inlineStr">
        <is>
          <t>NORDANSTIG</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25622-2024</t>
        </is>
      </c>
      <c r="B11036" s="1" t="n">
        <v>45463</v>
      </c>
      <c r="C11036" s="1" t="n">
        <v>45587</v>
      </c>
      <c r="D11036" t="inlineStr">
        <is>
          <t>GÄVLEBORGS LÄN</t>
        </is>
      </c>
      <c r="E11036" t="inlineStr">
        <is>
          <t>SANDVIKEN</t>
        </is>
      </c>
      <c r="G11036" t="n">
        <v>13.6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25596-2024</t>
        </is>
      </c>
      <c r="B11037" s="1" t="n">
        <v>45463</v>
      </c>
      <c r="C11037" s="1" t="n">
        <v>45587</v>
      </c>
      <c r="D11037" t="inlineStr">
        <is>
          <t>GÄVLEBORGS LÄN</t>
        </is>
      </c>
      <c r="E11037" t="inlineStr">
        <is>
          <t>HUDIKSVALL</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25570-2024</t>
        </is>
      </c>
      <c r="B11038" s="1" t="n">
        <v>45463</v>
      </c>
      <c r="C11038" s="1" t="n">
        <v>45587</v>
      </c>
      <c r="D11038" t="inlineStr">
        <is>
          <t>GÄVLEBORGS LÄN</t>
        </is>
      </c>
      <c r="E11038" t="inlineStr">
        <is>
          <t>LJUSDAL</t>
        </is>
      </c>
      <c r="F11038" t="inlineStr">
        <is>
          <t>Sveaskog</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25723-2024</t>
        </is>
      </c>
      <c r="B11039" s="1" t="n">
        <v>45464</v>
      </c>
      <c r="C11039" s="1" t="n">
        <v>45587</v>
      </c>
      <c r="D11039" t="inlineStr">
        <is>
          <t>GÄVLEBORGS LÄN</t>
        </is>
      </c>
      <c r="E11039" t="inlineStr">
        <is>
          <t>NORDANSTIG</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25823-2024</t>
        </is>
      </c>
      <c r="B11040" s="1" t="n">
        <v>45463</v>
      </c>
      <c r="C11040" s="1" t="n">
        <v>45587</v>
      </c>
      <c r="D11040" t="inlineStr">
        <is>
          <t>GÄVLEBORGS LÄN</t>
        </is>
      </c>
      <c r="E11040" t="inlineStr">
        <is>
          <t>OVANÅKER</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25655-2024</t>
        </is>
      </c>
      <c r="B11041" s="1" t="n">
        <v>45463</v>
      </c>
      <c r="C11041" s="1" t="n">
        <v>45587</v>
      </c>
      <c r="D11041" t="inlineStr">
        <is>
          <t>GÄVLEBORGS LÄN</t>
        </is>
      </c>
      <c r="E11041" t="inlineStr">
        <is>
          <t>GÄVLE</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25647-2024</t>
        </is>
      </c>
      <c r="B11042" s="1" t="n">
        <v>45463</v>
      </c>
      <c r="C11042" s="1" t="n">
        <v>45587</v>
      </c>
      <c r="D11042" t="inlineStr">
        <is>
          <t>GÄVLEBORGS LÄN</t>
        </is>
      </c>
      <c r="E11042" t="inlineStr">
        <is>
          <t>HUDIKSVALL</t>
        </is>
      </c>
      <c r="F11042" t="inlineStr">
        <is>
          <t>Sveaskog</t>
        </is>
      </c>
      <c r="G11042" t="n">
        <v>7.7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25527-2024</t>
        </is>
      </c>
      <c r="B11043" s="1" t="n">
        <v>45463</v>
      </c>
      <c r="C11043" s="1" t="n">
        <v>45587</v>
      </c>
      <c r="D11043" t="inlineStr">
        <is>
          <t>GÄVLEBORGS LÄN</t>
        </is>
      </c>
      <c r="E11043" t="inlineStr">
        <is>
          <t>BOLLNÄS</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25523-2024</t>
        </is>
      </c>
      <c r="B11044" s="1" t="n">
        <v>45463</v>
      </c>
      <c r="C11044" s="1" t="n">
        <v>45587</v>
      </c>
      <c r="D11044" t="inlineStr">
        <is>
          <t>GÄVLEBORGS LÄN</t>
        </is>
      </c>
      <c r="E11044" t="inlineStr">
        <is>
          <t>BOLLNÄS</t>
        </is>
      </c>
      <c r="G11044" t="n">
        <v>4.6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25725-2024</t>
        </is>
      </c>
      <c r="B11045" s="1" t="n">
        <v>45464</v>
      </c>
      <c r="C11045" s="1" t="n">
        <v>45587</v>
      </c>
      <c r="D11045" t="inlineStr">
        <is>
          <t>GÄVLEBORGS LÄN</t>
        </is>
      </c>
      <c r="E11045" t="inlineStr">
        <is>
          <t>NORDANSTIG</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25649-2024</t>
        </is>
      </c>
      <c r="B11046" s="1" t="n">
        <v>45463</v>
      </c>
      <c r="C11046" s="1" t="n">
        <v>45587</v>
      </c>
      <c r="D11046" t="inlineStr">
        <is>
          <t>GÄVLEBORGS LÄN</t>
        </is>
      </c>
      <c r="E11046" t="inlineStr">
        <is>
          <t>HUDIKSVALL</t>
        </is>
      </c>
      <c r="F11046" t="inlineStr">
        <is>
          <t>Sveaskog</t>
        </is>
      </c>
      <c r="G11046" t="n">
        <v>3.7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25593-2024</t>
        </is>
      </c>
      <c r="B11047" s="1" t="n">
        <v>45463</v>
      </c>
      <c r="C11047" s="1" t="n">
        <v>45587</v>
      </c>
      <c r="D11047" t="inlineStr">
        <is>
          <t>GÄVLEBORGS LÄN</t>
        </is>
      </c>
      <c r="E11047" t="inlineStr">
        <is>
          <t>GÄVLE</t>
        </is>
      </c>
      <c r="F11047" t="inlineStr">
        <is>
          <t>Bergvik skog öst AB</t>
        </is>
      </c>
      <c r="G11047" t="n">
        <v>0.4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25529-2024</t>
        </is>
      </c>
      <c r="B11048" s="1" t="n">
        <v>45463</v>
      </c>
      <c r="C11048" s="1" t="n">
        <v>45587</v>
      </c>
      <c r="D11048" t="inlineStr">
        <is>
          <t>GÄVLEBORGS LÄN</t>
        </is>
      </c>
      <c r="E11048" t="inlineStr">
        <is>
          <t>OVANÅKER</t>
        </is>
      </c>
      <c r="G11048" t="n">
        <v>3.2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25476-2024</t>
        </is>
      </c>
      <c r="B11049" s="1" t="n">
        <v>45463</v>
      </c>
      <c r="C11049" s="1" t="n">
        <v>45587</v>
      </c>
      <c r="D11049" t="inlineStr">
        <is>
          <t>GÄVLEBORGS LÄN</t>
        </is>
      </c>
      <c r="E11049" t="inlineStr">
        <is>
          <t>HOFORS</t>
        </is>
      </c>
      <c r="F11049" t="inlineStr">
        <is>
          <t>Sveaskog</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25472-2024</t>
        </is>
      </c>
      <c r="B11050" s="1" t="n">
        <v>45463</v>
      </c>
      <c r="C11050" s="1" t="n">
        <v>45587</v>
      </c>
      <c r="D11050" t="inlineStr">
        <is>
          <t>GÄVLEBORGS LÄN</t>
        </is>
      </c>
      <c r="E11050" t="inlineStr">
        <is>
          <t>SANDVIKEN</t>
        </is>
      </c>
      <c r="F11050" t="inlineStr">
        <is>
          <t>Sveaskog</t>
        </is>
      </c>
      <c r="G11050" t="n">
        <v>3.3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25556-2024</t>
        </is>
      </c>
      <c r="B11051" s="1" t="n">
        <v>45463</v>
      </c>
      <c r="C11051" s="1" t="n">
        <v>45587</v>
      </c>
      <c r="D11051" t="inlineStr">
        <is>
          <t>GÄVLEBORGS LÄN</t>
        </is>
      </c>
      <c r="E11051" t="inlineStr">
        <is>
          <t>LJUSDAL</t>
        </is>
      </c>
      <c r="F11051" t="inlineStr">
        <is>
          <t>Sveaskog</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25544-2024</t>
        </is>
      </c>
      <c r="B11052" s="1" t="n">
        <v>45463</v>
      </c>
      <c r="C11052" s="1" t="n">
        <v>45587</v>
      </c>
      <c r="D11052" t="inlineStr">
        <is>
          <t>GÄVLEBORGS LÄN</t>
        </is>
      </c>
      <c r="E11052" t="inlineStr">
        <is>
          <t>SANDVIKEN</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25831-2024</t>
        </is>
      </c>
      <c r="B11053" s="1" t="n">
        <v>45463</v>
      </c>
      <c r="C11053" s="1" t="n">
        <v>45587</v>
      </c>
      <c r="D11053" t="inlineStr">
        <is>
          <t>GÄVLEBORGS LÄN</t>
        </is>
      </c>
      <c r="E11053" t="inlineStr">
        <is>
          <t>OVANÅKER</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25474-2024</t>
        </is>
      </c>
      <c r="B11054" s="1" t="n">
        <v>45463</v>
      </c>
      <c r="C11054" s="1" t="n">
        <v>45587</v>
      </c>
      <c r="D11054" t="inlineStr">
        <is>
          <t>GÄVLEBORGS LÄN</t>
        </is>
      </c>
      <c r="E11054" t="inlineStr">
        <is>
          <t>HOFORS</t>
        </is>
      </c>
      <c r="F11054" t="inlineStr">
        <is>
          <t>Sveaskog</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25454-2024</t>
        </is>
      </c>
      <c r="B11055" s="1" t="n">
        <v>45463</v>
      </c>
      <c r="C11055" s="1" t="n">
        <v>45587</v>
      </c>
      <c r="D11055" t="inlineStr">
        <is>
          <t>GÄVLEBORGS LÄN</t>
        </is>
      </c>
      <c r="E11055" t="inlineStr">
        <is>
          <t>HUDIKSVALL</t>
        </is>
      </c>
      <c r="F11055" t="inlineStr">
        <is>
          <t>Holmen skog AB</t>
        </is>
      </c>
      <c r="G11055" t="n">
        <v>14.1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25411-2024</t>
        </is>
      </c>
      <c r="B11056" s="1" t="n">
        <v>45463</v>
      </c>
      <c r="C11056" s="1" t="n">
        <v>45587</v>
      </c>
      <c r="D11056" t="inlineStr">
        <is>
          <t>GÄVLEBORGS LÄN</t>
        </is>
      </c>
      <c r="E11056" t="inlineStr">
        <is>
          <t>OVANÅKER</t>
        </is>
      </c>
      <c r="F11056" t="inlineStr">
        <is>
          <t>Bergvik skog öst AB</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25402-2024</t>
        </is>
      </c>
      <c r="B11057" s="1" t="n">
        <v>45463</v>
      </c>
      <c r="C11057" s="1" t="n">
        <v>45587</v>
      </c>
      <c r="D11057" t="inlineStr">
        <is>
          <t>GÄVLEBORGS LÄN</t>
        </is>
      </c>
      <c r="E11057" t="inlineStr">
        <is>
          <t>NORDANSTIG</t>
        </is>
      </c>
      <c r="F11057" t="inlineStr">
        <is>
          <t>Holmen skog AB</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25477-2024</t>
        </is>
      </c>
      <c r="B11058" s="1" t="n">
        <v>45463</v>
      </c>
      <c r="C11058" s="1" t="n">
        <v>45587</v>
      </c>
      <c r="D11058" t="inlineStr">
        <is>
          <t>GÄVLEBORGS LÄN</t>
        </is>
      </c>
      <c r="E11058" t="inlineStr">
        <is>
          <t>HOFORS</t>
        </is>
      </c>
      <c r="F11058" t="inlineStr">
        <is>
          <t>Sveaskog</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25465-2024</t>
        </is>
      </c>
      <c r="B11059" s="1" t="n">
        <v>45463</v>
      </c>
      <c r="C11059" s="1" t="n">
        <v>45587</v>
      </c>
      <c r="D11059" t="inlineStr">
        <is>
          <t>GÄVLEBORGS LÄN</t>
        </is>
      </c>
      <c r="E11059" t="inlineStr">
        <is>
          <t>HOFORS</t>
        </is>
      </c>
      <c r="F11059" t="inlineStr">
        <is>
          <t>Sveaskog</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25461-2024</t>
        </is>
      </c>
      <c r="B11060" s="1" t="n">
        <v>45463</v>
      </c>
      <c r="C11060" s="1" t="n">
        <v>45587</v>
      </c>
      <c r="D11060" t="inlineStr">
        <is>
          <t>GÄVLEBORGS LÄN</t>
        </is>
      </c>
      <c r="E11060" t="inlineStr">
        <is>
          <t>LJUSDAL</t>
        </is>
      </c>
      <c r="G11060" t="n">
        <v>11.4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25782-2024</t>
        </is>
      </c>
      <c r="B11061" s="1" t="n">
        <v>45466</v>
      </c>
      <c r="C11061" s="1" t="n">
        <v>45587</v>
      </c>
      <c r="D11061" t="inlineStr">
        <is>
          <t>GÄVLEBORGS LÄN</t>
        </is>
      </c>
      <c r="E11061" t="inlineStr">
        <is>
          <t>NORDANSTIG</t>
        </is>
      </c>
      <c r="G11061" t="n">
        <v>6.5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25828-2024</t>
        </is>
      </c>
      <c r="B11062" s="1" t="n">
        <v>45467</v>
      </c>
      <c r="C11062" s="1" t="n">
        <v>45587</v>
      </c>
      <c r="D11062" t="inlineStr">
        <is>
          <t>GÄVLEBORGS LÄN</t>
        </is>
      </c>
      <c r="E11062" t="inlineStr">
        <is>
          <t>SANDVIKEN</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25829-2024</t>
        </is>
      </c>
      <c r="B11063" s="1" t="n">
        <v>45467</v>
      </c>
      <c r="C11063" s="1" t="n">
        <v>45587</v>
      </c>
      <c r="D11063" t="inlineStr">
        <is>
          <t>GÄVLEBORGS LÄN</t>
        </is>
      </c>
      <c r="E11063" t="inlineStr">
        <is>
          <t>GÄVLE</t>
        </is>
      </c>
      <c r="F11063" t="inlineStr">
        <is>
          <t>Bergvik skog öst AB</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25793-2024</t>
        </is>
      </c>
      <c r="B11064" s="1" t="n">
        <v>45467</v>
      </c>
      <c r="C11064" s="1" t="n">
        <v>45587</v>
      </c>
      <c r="D11064" t="inlineStr">
        <is>
          <t>GÄVLEBORGS LÄN</t>
        </is>
      </c>
      <c r="E11064" t="inlineStr">
        <is>
          <t>LJUSDAL</t>
        </is>
      </c>
      <c r="G11064" t="n">
        <v>5.7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25844-2024</t>
        </is>
      </c>
      <c r="B11065" s="1" t="n">
        <v>45467</v>
      </c>
      <c r="C11065" s="1" t="n">
        <v>45587</v>
      </c>
      <c r="D11065" t="inlineStr">
        <is>
          <t>GÄVLEBORGS LÄN</t>
        </is>
      </c>
      <c r="E11065" t="inlineStr">
        <is>
          <t>HUDIKSVALL</t>
        </is>
      </c>
      <c r="F11065" t="inlineStr">
        <is>
          <t>Holmen skog AB</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25837-2024</t>
        </is>
      </c>
      <c r="B11066" s="1" t="n">
        <v>45467</v>
      </c>
      <c r="C11066" s="1" t="n">
        <v>45587</v>
      </c>
      <c r="D11066" t="inlineStr">
        <is>
          <t>GÄVLEBORGS LÄN</t>
        </is>
      </c>
      <c r="E11066" t="inlineStr">
        <is>
          <t>SANDVIKEN</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25857-2024</t>
        </is>
      </c>
      <c r="B11067" s="1" t="n">
        <v>45467</v>
      </c>
      <c r="C11067" s="1" t="n">
        <v>45587</v>
      </c>
      <c r="D11067" t="inlineStr">
        <is>
          <t>GÄVLEBORGS LÄN</t>
        </is>
      </c>
      <c r="E11067" t="inlineStr">
        <is>
          <t>GÄVLE</t>
        </is>
      </c>
      <c r="F11067" t="inlineStr">
        <is>
          <t>Bergvik skog öst AB</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25910-2024</t>
        </is>
      </c>
      <c r="B11068" s="1" t="n">
        <v>45467</v>
      </c>
      <c r="C11068" s="1" t="n">
        <v>45587</v>
      </c>
      <c r="D11068" t="inlineStr">
        <is>
          <t>GÄVLEBORGS LÄN</t>
        </is>
      </c>
      <c r="E11068" t="inlineStr">
        <is>
          <t>BOLLNÄS</t>
        </is>
      </c>
      <c r="G11068" t="n">
        <v>8.1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25900-2024</t>
        </is>
      </c>
      <c r="B11069" s="1" t="n">
        <v>45467</v>
      </c>
      <c r="C11069" s="1" t="n">
        <v>45587</v>
      </c>
      <c r="D11069" t="inlineStr">
        <is>
          <t>GÄVLEBORGS LÄN</t>
        </is>
      </c>
      <c r="E11069" t="inlineStr">
        <is>
          <t>SÖDERHAMN</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25904-2024</t>
        </is>
      </c>
      <c r="B11070" s="1" t="n">
        <v>45467</v>
      </c>
      <c r="C11070" s="1" t="n">
        <v>45587</v>
      </c>
      <c r="D11070" t="inlineStr">
        <is>
          <t>GÄVLEBORGS LÄN</t>
        </is>
      </c>
      <c r="E11070" t="inlineStr">
        <is>
          <t>SÖDERHAMN</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25962-2024</t>
        </is>
      </c>
      <c r="B11071" s="1" t="n">
        <v>45467</v>
      </c>
      <c r="C11071" s="1" t="n">
        <v>45587</v>
      </c>
      <c r="D11071" t="inlineStr">
        <is>
          <t>GÄVLEBORGS LÄN</t>
        </is>
      </c>
      <c r="E11071" t="inlineStr">
        <is>
          <t>NORDANSTIG</t>
        </is>
      </c>
      <c r="G11071" t="n">
        <v>6.8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26028-2024</t>
        </is>
      </c>
      <c r="B11072" s="1" t="n">
        <v>45468</v>
      </c>
      <c r="C11072" s="1" t="n">
        <v>45587</v>
      </c>
      <c r="D11072" t="inlineStr">
        <is>
          <t>GÄVLEBORGS LÄN</t>
        </is>
      </c>
      <c r="E11072" t="inlineStr">
        <is>
          <t>OVANÅKER</t>
        </is>
      </c>
      <c r="G11072" t="n">
        <v>5.4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26027-2024</t>
        </is>
      </c>
      <c r="B11073" s="1" t="n">
        <v>45468</v>
      </c>
      <c r="C11073" s="1" t="n">
        <v>45587</v>
      </c>
      <c r="D11073" t="inlineStr">
        <is>
          <t>GÄVLEBORGS LÄN</t>
        </is>
      </c>
      <c r="E11073" t="inlineStr">
        <is>
          <t>OVANÅKER</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26306-2024</t>
        </is>
      </c>
      <c r="B11074" s="1" t="n">
        <v>45469</v>
      </c>
      <c r="C11074" s="1" t="n">
        <v>45587</v>
      </c>
      <c r="D11074" t="inlineStr">
        <is>
          <t>GÄVLEBORGS LÄN</t>
        </is>
      </c>
      <c r="E11074" t="inlineStr">
        <is>
          <t>HOFORS</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26307-2024</t>
        </is>
      </c>
      <c r="B11075" s="1" t="n">
        <v>45469</v>
      </c>
      <c r="C11075" s="1" t="n">
        <v>45587</v>
      </c>
      <c r="D11075" t="inlineStr">
        <is>
          <t>GÄVLEBORGS LÄN</t>
        </is>
      </c>
      <c r="E11075" t="inlineStr">
        <is>
          <t>HOFORS</t>
        </is>
      </c>
      <c r="G11075" t="n">
        <v>4.2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26246-2024</t>
        </is>
      </c>
      <c r="B11076" s="1" t="n">
        <v>45468</v>
      </c>
      <c r="C11076" s="1" t="n">
        <v>45587</v>
      </c>
      <c r="D11076" t="inlineStr">
        <is>
          <t>GÄVLEBORGS LÄN</t>
        </is>
      </c>
      <c r="E11076" t="inlineStr">
        <is>
          <t>BOLLNÄS</t>
        </is>
      </c>
      <c r="G11076" t="n">
        <v>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26485-2024</t>
        </is>
      </c>
      <c r="B11077" s="1" t="n">
        <v>45468</v>
      </c>
      <c r="C11077" s="1" t="n">
        <v>45587</v>
      </c>
      <c r="D11077" t="inlineStr">
        <is>
          <t>GÄVLEBORGS LÄN</t>
        </is>
      </c>
      <c r="E11077" t="inlineStr">
        <is>
          <t>LJUSDAL</t>
        </is>
      </c>
      <c r="G11077" t="n">
        <v>5.3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26289-2024</t>
        </is>
      </c>
      <c r="B11078" s="1" t="n">
        <v>45468</v>
      </c>
      <c r="C11078" s="1" t="n">
        <v>45587</v>
      </c>
      <c r="D11078" t="inlineStr">
        <is>
          <t>GÄVLEBORGS LÄN</t>
        </is>
      </c>
      <c r="E11078" t="inlineStr">
        <is>
          <t>GÄVLE</t>
        </is>
      </c>
      <c r="F11078" t="inlineStr">
        <is>
          <t>Bergvik skog väst AB</t>
        </is>
      </c>
      <c r="G11078" t="n">
        <v>4.2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26191-2024</t>
        </is>
      </c>
      <c r="B11079" s="1" t="n">
        <v>45468</v>
      </c>
      <c r="C11079" s="1" t="n">
        <v>45587</v>
      </c>
      <c r="D11079" t="inlineStr">
        <is>
          <t>GÄVLEBORGS LÄN</t>
        </is>
      </c>
      <c r="E11079" t="inlineStr">
        <is>
          <t>HUDIKSVALL</t>
        </is>
      </c>
      <c r="G11079" t="n">
        <v>6.9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26269-2024</t>
        </is>
      </c>
      <c r="B11080" s="1" t="n">
        <v>45468</v>
      </c>
      <c r="C11080" s="1" t="n">
        <v>45587</v>
      </c>
      <c r="D11080" t="inlineStr">
        <is>
          <t>GÄVLEBORGS LÄN</t>
        </is>
      </c>
      <c r="E11080" t="inlineStr">
        <is>
          <t>BOLLNÄS</t>
        </is>
      </c>
      <c r="F11080" t="inlineStr">
        <is>
          <t>Bergvik skog väst AB</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26193-2024</t>
        </is>
      </c>
      <c r="B11081" s="1" t="n">
        <v>45468</v>
      </c>
      <c r="C11081" s="1" t="n">
        <v>45587</v>
      </c>
      <c r="D11081" t="inlineStr">
        <is>
          <t>GÄVLEBORGS LÄN</t>
        </is>
      </c>
      <c r="E11081" t="inlineStr">
        <is>
          <t>HUDIKSVALL</t>
        </is>
      </c>
      <c r="G11081" t="n">
        <v>11.3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26149-2024</t>
        </is>
      </c>
      <c r="B11082" s="1" t="n">
        <v>45468</v>
      </c>
      <c r="C11082" s="1" t="n">
        <v>45587</v>
      </c>
      <c r="D11082" t="inlineStr">
        <is>
          <t>GÄVLEBORGS LÄN</t>
        </is>
      </c>
      <c r="E11082" t="inlineStr">
        <is>
          <t>SANDVIKEN</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26136-2024</t>
        </is>
      </c>
      <c r="B11083" s="1" t="n">
        <v>45468</v>
      </c>
      <c r="C11083" s="1" t="n">
        <v>45587</v>
      </c>
      <c r="D11083" t="inlineStr">
        <is>
          <t>GÄVLEBORGS LÄN</t>
        </is>
      </c>
      <c r="E11083" t="inlineStr">
        <is>
          <t>GÄVLE</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26130-2024</t>
        </is>
      </c>
      <c r="B11084" s="1" t="n">
        <v>45468</v>
      </c>
      <c r="C11084" s="1" t="n">
        <v>45587</v>
      </c>
      <c r="D11084" t="inlineStr">
        <is>
          <t>GÄVLEBORGS LÄN</t>
        </is>
      </c>
      <c r="E11084" t="inlineStr">
        <is>
          <t>LJUSDAL</t>
        </is>
      </c>
      <c r="G11084" t="n">
        <v>11.7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26119-2024</t>
        </is>
      </c>
      <c r="B11085" s="1" t="n">
        <v>45468</v>
      </c>
      <c r="C11085" s="1" t="n">
        <v>45587</v>
      </c>
      <c r="D11085" t="inlineStr">
        <is>
          <t>GÄVLEBORGS LÄN</t>
        </is>
      </c>
      <c r="E11085" t="inlineStr">
        <is>
          <t>OCKELBO</t>
        </is>
      </c>
      <c r="F11085" t="inlineStr">
        <is>
          <t>Bergvik skog väst AB</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26114-2024</t>
        </is>
      </c>
      <c r="B11086" s="1" t="n">
        <v>45468</v>
      </c>
      <c r="C11086" s="1" t="n">
        <v>45587</v>
      </c>
      <c r="D11086" t="inlineStr">
        <is>
          <t>GÄVLEBORGS LÄN</t>
        </is>
      </c>
      <c r="E11086" t="inlineStr">
        <is>
          <t>LJUSDAL</t>
        </is>
      </c>
      <c r="G11086" t="n">
        <v>22.6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26135-2024</t>
        </is>
      </c>
      <c r="B11087" s="1" t="n">
        <v>45468</v>
      </c>
      <c r="C11087" s="1" t="n">
        <v>45587</v>
      </c>
      <c r="D11087" t="inlineStr">
        <is>
          <t>GÄVLEBORGS LÄN</t>
        </is>
      </c>
      <c r="E11087" t="inlineStr">
        <is>
          <t>LJUSDAL</t>
        </is>
      </c>
      <c r="G11087" t="n">
        <v>7.5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26131-2024</t>
        </is>
      </c>
      <c r="B11088" s="1" t="n">
        <v>45468</v>
      </c>
      <c r="C11088" s="1" t="n">
        <v>45587</v>
      </c>
      <c r="D11088" t="inlineStr">
        <is>
          <t>GÄVLEBORGS LÄN</t>
        </is>
      </c>
      <c r="E11088" t="inlineStr">
        <is>
          <t>GÄVLE</t>
        </is>
      </c>
      <c r="F11088" t="inlineStr">
        <is>
          <t>Bergvik skog väst AB</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26111-2024</t>
        </is>
      </c>
      <c r="B11089" s="1" t="n">
        <v>45468</v>
      </c>
      <c r="C11089" s="1" t="n">
        <v>45587</v>
      </c>
      <c r="D11089" t="inlineStr">
        <is>
          <t>GÄVLEBORGS LÄN</t>
        </is>
      </c>
      <c r="E11089" t="inlineStr">
        <is>
          <t>GÄVLE</t>
        </is>
      </c>
      <c r="G11089" t="n">
        <v>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26106-2024</t>
        </is>
      </c>
      <c r="B11090" s="1" t="n">
        <v>45468</v>
      </c>
      <c r="C11090" s="1" t="n">
        <v>45587</v>
      </c>
      <c r="D11090" t="inlineStr">
        <is>
          <t>GÄVLEBORGS LÄN</t>
        </is>
      </c>
      <c r="E11090" t="inlineStr">
        <is>
          <t>LJUSDAL</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26092-2024</t>
        </is>
      </c>
      <c r="B11091" s="1" t="n">
        <v>45468</v>
      </c>
      <c r="C11091" s="1" t="n">
        <v>45587</v>
      </c>
      <c r="D11091" t="inlineStr">
        <is>
          <t>GÄVLEBORGS LÄN</t>
        </is>
      </c>
      <c r="E11091" t="inlineStr">
        <is>
          <t>OCKELBO</t>
        </is>
      </c>
      <c r="F11091" t="inlineStr">
        <is>
          <t>Bergvik skog väst AB</t>
        </is>
      </c>
      <c r="G11091" t="n">
        <v>4.7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26078-2024</t>
        </is>
      </c>
      <c r="B11092" s="1" t="n">
        <v>45468</v>
      </c>
      <c r="C11092" s="1" t="n">
        <v>45587</v>
      </c>
      <c r="D11092" t="inlineStr">
        <is>
          <t>GÄVLEBORGS LÄN</t>
        </is>
      </c>
      <c r="E11092" t="inlineStr">
        <is>
          <t>LJUSDAL</t>
        </is>
      </c>
      <c r="G11092" t="n">
        <v>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26054-2024</t>
        </is>
      </c>
      <c r="B11093" s="1" t="n">
        <v>45468</v>
      </c>
      <c r="C11093" s="1" t="n">
        <v>45587</v>
      </c>
      <c r="D11093" t="inlineStr">
        <is>
          <t>GÄVLEBORGS LÄN</t>
        </is>
      </c>
      <c r="E11093" t="inlineStr">
        <is>
          <t>BOLLNÄS</t>
        </is>
      </c>
      <c r="F11093" t="inlineStr">
        <is>
          <t>Bergvik skog väst AB</t>
        </is>
      </c>
      <c r="G11093" t="n">
        <v>3.5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26039-2024</t>
        </is>
      </c>
      <c r="B11094" s="1" t="n">
        <v>45468</v>
      </c>
      <c r="C11094" s="1" t="n">
        <v>45587</v>
      </c>
      <c r="D11094" t="inlineStr">
        <is>
          <t>GÄVLEBORGS LÄN</t>
        </is>
      </c>
      <c r="E11094" t="inlineStr">
        <is>
          <t>BOLLNÄS</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26040-2024</t>
        </is>
      </c>
      <c r="B11095" s="1" t="n">
        <v>45468</v>
      </c>
      <c r="C11095" s="1" t="n">
        <v>45587</v>
      </c>
      <c r="D11095" t="inlineStr">
        <is>
          <t>GÄVLEBORGS LÄN</t>
        </is>
      </c>
      <c r="E11095" t="inlineStr">
        <is>
          <t>BOLLNÄS</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26308-2024</t>
        </is>
      </c>
      <c r="B11096" s="1" t="n">
        <v>45469</v>
      </c>
      <c r="C11096" s="1" t="n">
        <v>45587</v>
      </c>
      <c r="D11096" t="inlineStr">
        <is>
          <t>GÄVLEBORGS LÄN</t>
        </is>
      </c>
      <c r="E11096" t="inlineStr">
        <is>
          <t>HOFORS</t>
        </is>
      </c>
      <c r="G11096" t="n">
        <v>5.3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26211-2024</t>
        </is>
      </c>
      <c r="B11097" s="1" t="n">
        <v>45468</v>
      </c>
      <c r="C11097" s="1" t="n">
        <v>45587</v>
      </c>
      <c r="D11097" t="inlineStr">
        <is>
          <t>GÄVLEBORGS LÄN</t>
        </is>
      </c>
      <c r="E11097" t="inlineStr">
        <is>
          <t>BOLLNÄS</t>
        </is>
      </c>
      <c r="F11097" t="inlineStr">
        <is>
          <t>Bergvik skog väst AB</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26196-2024</t>
        </is>
      </c>
      <c r="B11098" s="1" t="n">
        <v>45468</v>
      </c>
      <c r="C11098" s="1" t="n">
        <v>45587</v>
      </c>
      <c r="D11098" t="inlineStr">
        <is>
          <t>GÄVLEBORGS LÄN</t>
        </is>
      </c>
      <c r="E11098" t="inlineStr">
        <is>
          <t>HUDIKSVALL</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26133-2024</t>
        </is>
      </c>
      <c r="B11099" s="1" t="n">
        <v>45468</v>
      </c>
      <c r="C11099" s="1" t="n">
        <v>45587</v>
      </c>
      <c r="D11099" t="inlineStr">
        <is>
          <t>GÄVLEBORGS LÄN</t>
        </is>
      </c>
      <c r="E11099" t="inlineStr">
        <is>
          <t>LJUSDAL</t>
        </is>
      </c>
      <c r="G11099" t="n">
        <v>30.2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26129-2024</t>
        </is>
      </c>
      <c r="B11100" s="1" t="n">
        <v>45468</v>
      </c>
      <c r="C11100" s="1" t="n">
        <v>45587</v>
      </c>
      <c r="D11100" t="inlineStr">
        <is>
          <t>GÄVLEBORGS LÄN</t>
        </is>
      </c>
      <c r="E11100" t="inlineStr">
        <is>
          <t>GÄVLE</t>
        </is>
      </c>
      <c r="F11100" t="inlineStr">
        <is>
          <t>Bergvik skog väst AB</t>
        </is>
      </c>
      <c r="G11100" t="n">
        <v>9.9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26104-2024</t>
        </is>
      </c>
      <c r="B11101" s="1" t="n">
        <v>45468</v>
      </c>
      <c r="C11101" s="1" t="n">
        <v>45587</v>
      </c>
      <c r="D11101" t="inlineStr">
        <is>
          <t>GÄVLEBORGS LÄN</t>
        </is>
      </c>
      <c r="E11101" t="inlineStr">
        <is>
          <t>OCKELBO</t>
        </is>
      </c>
      <c r="F11101" t="inlineStr">
        <is>
          <t>Bergvik skog väst AB</t>
        </is>
      </c>
      <c r="G11101" t="n">
        <v>3.8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26085-2024</t>
        </is>
      </c>
      <c r="B11102" s="1" t="n">
        <v>45468</v>
      </c>
      <c r="C11102" s="1" t="n">
        <v>45587</v>
      </c>
      <c r="D11102" t="inlineStr">
        <is>
          <t>GÄVLEBORGS LÄN</t>
        </is>
      </c>
      <c r="E11102" t="inlineStr">
        <is>
          <t>OCKELBO</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26073-2024</t>
        </is>
      </c>
      <c r="B11103" s="1" t="n">
        <v>45468</v>
      </c>
      <c r="C11103" s="1" t="n">
        <v>45587</v>
      </c>
      <c r="D11103" t="inlineStr">
        <is>
          <t>GÄVLEBORGS LÄN</t>
        </is>
      </c>
      <c r="E11103" t="inlineStr">
        <is>
          <t>LJUSDAL</t>
        </is>
      </c>
      <c r="G11103" t="n">
        <v>5.9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26041-2024</t>
        </is>
      </c>
      <c r="B11104" s="1" t="n">
        <v>45468</v>
      </c>
      <c r="C11104" s="1" t="n">
        <v>45587</v>
      </c>
      <c r="D11104" t="inlineStr">
        <is>
          <t>GÄVLEBORGS LÄN</t>
        </is>
      </c>
      <c r="E11104" t="inlineStr">
        <is>
          <t>BOLLNÄS</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26075-2024</t>
        </is>
      </c>
      <c r="B11105" s="1" t="n">
        <v>45468</v>
      </c>
      <c r="C11105" s="1" t="n">
        <v>45587</v>
      </c>
      <c r="D11105" t="inlineStr">
        <is>
          <t>GÄVLEBORGS LÄN</t>
        </is>
      </c>
      <c r="E11105" t="inlineStr">
        <is>
          <t>BOLLNÄS</t>
        </is>
      </c>
      <c r="F11105" t="inlineStr">
        <is>
          <t>Bergvik skog väst AB</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26038-2024</t>
        </is>
      </c>
      <c r="B11106" s="1" t="n">
        <v>45468</v>
      </c>
      <c r="C11106" s="1" t="n">
        <v>45587</v>
      </c>
      <c r="D11106" t="inlineStr">
        <is>
          <t>GÄVLEBORGS LÄN</t>
        </is>
      </c>
      <c r="E11106" t="inlineStr">
        <is>
          <t>BOLLNÄS</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26367-2024</t>
        </is>
      </c>
      <c r="B11107" s="1" t="n">
        <v>45469</v>
      </c>
      <c r="C11107" s="1" t="n">
        <v>45587</v>
      </c>
      <c r="D11107" t="inlineStr">
        <is>
          <t>GÄVLEBORGS LÄN</t>
        </is>
      </c>
      <c r="E11107" t="inlineStr">
        <is>
          <t>OCKELBO</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26416-2024</t>
        </is>
      </c>
      <c r="B11108" s="1" t="n">
        <v>45469</v>
      </c>
      <c r="C11108" s="1" t="n">
        <v>45587</v>
      </c>
      <c r="D11108" t="inlineStr">
        <is>
          <t>GÄVLEBORGS LÄN</t>
        </is>
      </c>
      <c r="E11108" t="inlineStr">
        <is>
          <t>BOLLNÄS</t>
        </is>
      </c>
      <c r="F11108" t="inlineStr">
        <is>
          <t>Sveaskog</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26437-2024</t>
        </is>
      </c>
      <c r="B11109" s="1" t="n">
        <v>45469</v>
      </c>
      <c r="C11109" s="1" t="n">
        <v>45587</v>
      </c>
      <c r="D11109" t="inlineStr">
        <is>
          <t>GÄVLEBORGS LÄN</t>
        </is>
      </c>
      <c r="E11109" t="inlineStr">
        <is>
          <t>BOLLNÄS</t>
        </is>
      </c>
      <c r="F11109" t="inlineStr">
        <is>
          <t>Bergvik skog väst AB</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26441-2024</t>
        </is>
      </c>
      <c r="B11110" s="1" t="n">
        <v>45469</v>
      </c>
      <c r="C11110" s="1" t="n">
        <v>45587</v>
      </c>
      <c r="D11110" t="inlineStr">
        <is>
          <t>GÄVLEBORGS LÄN</t>
        </is>
      </c>
      <c r="E11110" t="inlineStr">
        <is>
          <t>BOLLNÄS</t>
        </is>
      </c>
      <c r="F11110" t="inlineStr">
        <is>
          <t>Bergvik skog väst AB</t>
        </is>
      </c>
      <c r="G11110" t="n">
        <v>3.4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26339-2024</t>
        </is>
      </c>
      <c r="B11111" s="1" t="n">
        <v>45469</v>
      </c>
      <c r="C11111" s="1" t="n">
        <v>45587</v>
      </c>
      <c r="D11111" t="inlineStr">
        <is>
          <t>GÄVLEBORGS LÄN</t>
        </is>
      </c>
      <c r="E11111" t="inlineStr">
        <is>
          <t>NORDANSTIG</t>
        </is>
      </c>
      <c r="F11111" t="inlineStr">
        <is>
          <t>Holmen skog AB</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26384-2024</t>
        </is>
      </c>
      <c r="B11112" s="1" t="n">
        <v>45469</v>
      </c>
      <c r="C11112" s="1" t="n">
        <v>45587</v>
      </c>
      <c r="D11112" t="inlineStr">
        <is>
          <t>GÄVLEBORGS LÄN</t>
        </is>
      </c>
      <c r="E11112" t="inlineStr">
        <is>
          <t>LJUSDAL</t>
        </is>
      </c>
      <c r="F11112" t="inlineStr">
        <is>
          <t>Sveaskog</t>
        </is>
      </c>
      <c r="G11112" t="n">
        <v>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26422-2024</t>
        </is>
      </c>
      <c r="B11113" s="1" t="n">
        <v>45469</v>
      </c>
      <c r="C11113" s="1" t="n">
        <v>45587</v>
      </c>
      <c r="D11113" t="inlineStr">
        <is>
          <t>GÄVLEBORGS LÄN</t>
        </is>
      </c>
      <c r="E11113" t="inlineStr">
        <is>
          <t>LJUSDAL</t>
        </is>
      </c>
      <c r="F11113" t="inlineStr">
        <is>
          <t>Sveaskog</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26502-2024</t>
        </is>
      </c>
      <c r="B11114" s="1" t="n">
        <v>45469</v>
      </c>
      <c r="C11114" s="1" t="n">
        <v>45587</v>
      </c>
      <c r="D11114" t="inlineStr">
        <is>
          <t>GÄVLEBORGS LÄN</t>
        </is>
      </c>
      <c r="E11114" t="inlineStr">
        <is>
          <t>BOLLNÄS</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26448-2024</t>
        </is>
      </c>
      <c r="B11115" s="1" t="n">
        <v>45469</v>
      </c>
      <c r="C11115" s="1" t="n">
        <v>45587</v>
      </c>
      <c r="D11115" t="inlineStr">
        <is>
          <t>GÄVLEBORGS LÄN</t>
        </is>
      </c>
      <c r="E11115" t="inlineStr">
        <is>
          <t>OCKELBO</t>
        </is>
      </c>
      <c r="F11115" t="inlineStr">
        <is>
          <t>Bergvik skog väst AB</t>
        </is>
      </c>
      <c r="G11115" t="n">
        <v>4.5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26618-2024</t>
        </is>
      </c>
      <c r="B11116" s="1" t="n">
        <v>45469</v>
      </c>
      <c r="C11116" s="1" t="n">
        <v>45587</v>
      </c>
      <c r="D11116" t="inlineStr">
        <is>
          <t>GÄVLEBORGS LÄN</t>
        </is>
      </c>
      <c r="E11116" t="inlineStr">
        <is>
          <t>HUDIKSVALL</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26474-2024</t>
        </is>
      </c>
      <c r="B11117" s="1" t="n">
        <v>45469</v>
      </c>
      <c r="C11117" s="1" t="n">
        <v>45587</v>
      </c>
      <c r="D11117" t="inlineStr">
        <is>
          <t>GÄVLEBORGS LÄN</t>
        </is>
      </c>
      <c r="E11117" t="inlineStr">
        <is>
          <t>BOLLNÄS</t>
        </is>
      </c>
      <c r="F11117" t="inlineStr">
        <is>
          <t>Bergvik skog väst AB</t>
        </is>
      </c>
      <c r="G11117" t="n">
        <v>15.4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26631-2024</t>
        </is>
      </c>
      <c r="B11118" s="1" t="n">
        <v>45469</v>
      </c>
      <c r="C11118" s="1" t="n">
        <v>45587</v>
      </c>
      <c r="D11118" t="inlineStr">
        <is>
          <t>GÄVLEBORGS LÄN</t>
        </is>
      </c>
      <c r="E11118" t="inlineStr">
        <is>
          <t>LJUSDAL</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26547-2024</t>
        </is>
      </c>
      <c r="B11119" s="1" t="n">
        <v>45469</v>
      </c>
      <c r="C11119" s="1" t="n">
        <v>45587</v>
      </c>
      <c r="D11119" t="inlineStr">
        <is>
          <t>GÄVLEBORGS LÄN</t>
        </is>
      </c>
      <c r="E11119" t="inlineStr">
        <is>
          <t>HUDIKSVALL</t>
        </is>
      </c>
      <c r="F11119" t="inlineStr">
        <is>
          <t>Holmen skog AB</t>
        </is>
      </c>
      <c r="G11119" t="n">
        <v>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26503-2024</t>
        </is>
      </c>
      <c r="B11120" s="1" t="n">
        <v>45469</v>
      </c>
      <c r="C11120" s="1" t="n">
        <v>45587</v>
      </c>
      <c r="D11120" t="inlineStr">
        <is>
          <t>GÄVLEBORGS LÄN</t>
        </is>
      </c>
      <c r="E11120" t="inlineStr">
        <is>
          <t>BOLLNÄS</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26413-2024</t>
        </is>
      </c>
      <c r="B11121" s="1" t="n">
        <v>45469</v>
      </c>
      <c r="C11121" s="1" t="n">
        <v>45587</v>
      </c>
      <c r="D11121" t="inlineStr">
        <is>
          <t>GÄVLEBORGS LÄN</t>
        </is>
      </c>
      <c r="E11121" t="inlineStr">
        <is>
          <t>BOLLNÄS</t>
        </is>
      </c>
      <c r="F11121" t="inlineStr">
        <is>
          <t>Bergvik skog väst AB</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26409-2024</t>
        </is>
      </c>
      <c r="B11122" s="1" t="n">
        <v>45469</v>
      </c>
      <c r="C11122" s="1" t="n">
        <v>45587</v>
      </c>
      <c r="D11122" t="inlineStr">
        <is>
          <t>GÄVLEBORGS LÄN</t>
        </is>
      </c>
      <c r="E11122" t="inlineStr">
        <is>
          <t>BOLLNÄS</t>
        </is>
      </c>
      <c r="F11122" t="inlineStr">
        <is>
          <t>Sveaskog</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26396-2024</t>
        </is>
      </c>
      <c r="B11123" s="1" t="n">
        <v>45469</v>
      </c>
      <c r="C11123" s="1" t="n">
        <v>45587</v>
      </c>
      <c r="D11123" t="inlineStr">
        <is>
          <t>GÄVLEBORGS LÄN</t>
        </is>
      </c>
      <c r="E11123" t="inlineStr">
        <is>
          <t>HUDIKSVALL</t>
        </is>
      </c>
      <c r="F11123" t="inlineStr">
        <is>
          <t>Holmen skog AB</t>
        </is>
      </c>
      <c r="G11123" t="n">
        <v>8.6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26387-2024</t>
        </is>
      </c>
      <c r="B11124" s="1" t="n">
        <v>45469</v>
      </c>
      <c r="C11124" s="1" t="n">
        <v>45587</v>
      </c>
      <c r="D11124" t="inlineStr">
        <is>
          <t>GÄVLEBORGS LÄN</t>
        </is>
      </c>
      <c r="E11124" t="inlineStr">
        <is>
          <t>LJUSDAL</t>
        </is>
      </c>
      <c r="F11124" t="inlineStr">
        <is>
          <t>Sveaskog</t>
        </is>
      </c>
      <c r="G11124" t="n">
        <v>3.3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26633-2024</t>
        </is>
      </c>
      <c r="B11125" s="1" t="n">
        <v>45469</v>
      </c>
      <c r="C11125" s="1" t="n">
        <v>45587</v>
      </c>
      <c r="D11125" t="inlineStr">
        <is>
          <t>GÄVLEBORGS LÄN</t>
        </is>
      </c>
      <c r="E11125" t="inlineStr">
        <is>
          <t>LJUSDAL</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26440-2024</t>
        </is>
      </c>
      <c r="B11126" s="1" t="n">
        <v>45469</v>
      </c>
      <c r="C11126" s="1" t="n">
        <v>45587</v>
      </c>
      <c r="D11126" t="inlineStr">
        <is>
          <t>GÄVLEBORGS LÄN</t>
        </is>
      </c>
      <c r="E11126" t="inlineStr">
        <is>
          <t>BOLLNÄS</t>
        </is>
      </c>
      <c r="F11126" t="inlineStr">
        <is>
          <t>Bergvik skog väst AB</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26346-2024</t>
        </is>
      </c>
      <c r="B11127" s="1" t="n">
        <v>45469</v>
      </c>
      <c r="C11127" s="1" t="n">
        <v>45587</v>
      </c>
      <c r="D11127" t="inlineStr">
        <is>
          <t>GÄVLEBORGS LÄN</t>
        </is>
      </c>
      <c r="E11127" t="inlineStr">
        <is>
          <t>NORDANSTIG</t>
        </is>
      </c>
      <c r="F11127" t="inlineStr">
        <is>
          <t>Holmen skog AB</t>
        </is>
      </c>
      <c r="G11127" t="n">
        <v>6.4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26335-2024</t>
        </is>
      </c>
      <c r="B11128" s="1" t="n">
        <v>45469</v>
      </c>
      <c r="C11128" s="1" t="n">
        <v>45587</v>
      </c>
      <c r="D11128" t="inlineStr">
        <is>
          <t>GÄVLEBORGS LÄN</t>
        </is>
      </c>
      <c r="E11128" t="inlineStr">
        <is>
          <t>GÄVLE</t>
        </is>
      </c>
      <c r="F11128" t="inlineStr">
        <is>
          <t>Bergvik skog väst AB</t>
        </is>
      </c>
      <c r="G11128" t="n">
        <v>3.2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26331-2024</t>
        </is>
      </c>
      <c r="B11129" s="1" t="n">
        <v>45469</v>
      </c>
      <c r="C11129" s="1" t="n">
        <v>45587</v>
      </c>
      <c r="D11129" t="inlineStr">
        <is>
          <t>GÄVLEBORGS LÄN</t>
        </is>
      </c>
      <c r="E11129" t="inlineStr">
        <is>
          <t>BOLLNÄS</t>
        </is>
      </c>
      <c r="F11129" t="inlineStr">
        <is>
          <t>Bergvik skog väst AB</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26632-2024</t>
        </is>
      </c>
      <c r="B11130" s="1" t="n">
        <v>45469</v>
      </c>
      <c r="C11130" s="1" t="n">
        <v>45587</v>
      </c>
      <c r="D11130" t="inlineStr">
        <is>
          <t>GÄVLEBORGS LÄN</t>
        </is>
      </c>
      <c r="E11130" t="inlineStr">
        <is>
          <t>LJUSDAL</t>
        </is>
      </c>
      <c r="G11130" t="n">
        <v>8.5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26922-2024</t>
        </is>
      </c>
      <c r="B11131" s="1" t="n">
        <v>45471</v>
      </c>
      <c r="C11131" s="1" t="n">
        <v>45587</v>
      </c>
      <c r="D11131" t="inlineStr">
        <is>
          <t>GÄVLEBORGS LÄN</t>
        </is>
      </c>
      <c r="E11131" t="inlineStr">
        <is>
          <t>BOLLNÄS</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26915-2024</t>
        </is>
      </c>
      <c r="B11132" s="1" t="n">
        <v>45470</v>
      </c>
      <c r="C11132" s="1" t="n">
        <v>45587</v>
      </c>
      <c r="D11132" t="inlineStr">
        <is>
          <t>GÄVLEBORGS LÄN</t>
        </is>
      </c>
      <c r="E11132" t="inlineStr">
        <is>
          <t>LJUSDAL</t>
        </is>
      </c>
      <c r="F11132" t="inlineStr">
        <is>
          <t>Naturvårdsverket</t>
        </is>
      </c>
      <c r="G11132" t="n">
        <v>11.3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26874-2024</t>
        </is>
      </c>
      <c r="B11133" s="1" t="n">
        <v>45470</v>
      </c>
      <c r="C11133" s="1" t="n">
        <v>45587</v>
      </c>
      <c r="D11133" t="inlineStr">
        <is>
          <t>GÄVLEBORGS LÄN</t>
        </is>
      </c>
      <c r="E11133" t="inlineStr">
        <is>
          <t>LJUSDAL</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26814-2024</t>
        </is>
      </c>
      <c r="B11134" s="1" t="n">
        <v>45470</v>
      </c>
      <c r="C11134" s="1" t="n">
        <v>45587</v>
      </c>
      <c r="D11134" t="inlineStr">
        <is>
          <t>GÄVLEBORGS LÄN</t>
        </is>
      </c>
      <c r="E11134" t="inlineStr">
        <is>
          <t>OVANÅKER</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26916-2024</t>
        </is>
      </c>
      <c r="B11135" s="1" t="n">
        <v>45470</v>
      </c>
      <c r="C11135" s="1" t="n">
        <v>45587</v>
      </c>
      <c r="D11135" t="inlineStr">
        <is>
          <t>GÄVLEBORGS LÄN</t>
        </is>
      </c>
      <c r="E11135" t="inlineStr">
        <is>
          <t>LJUSDAL</t>
        </is>
      </c>
      <c r="F11135" t="inlineStr">
        <is>
          <t>Naturvårdsverket</t>
        </is>
      </c>
      <c r="G11135" t="n">
        <v>2.9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26832-2024</t>
        </is>
      </c>
      <c r="B11136" s="1" t="n">
        <v>45470</v>
      </c>
      <c r="C11136" s="1" t="n">
        <v>45587</v>
      </c>
      <c r="D11136" t="inlineStr">
        <is>
          <t>GÄVLEBORGS LÄN</t>
        </is>
      </c>
      <c r="E11136" t="inlineStr">
        <is>
          <t>SÖDERHAMN</t>
        </is>
      </c>
      <c r="F11136" t="inlineStr">
        <is>
          <t>Bergvik skog väst AB</t>
        </is>
      </c>
      <c r="G11136" t="n">
        <v>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26824-2024</t>
        </is>
      </c>
      <c r="B11137" s="1" t="n">
        <v>45470</v>
      </c>
      <c r="C11137" s="1" t="n">
        <v>45587</v>
      </c>
      <c r="D11137" t="inlineStr">
        <is>
          <t>GÄVLEBORGS LÄN</t>
        </is>
      </c>
      <c r="E11137" t="inlineStr">
        <is>
          <t>LJUSDAL</t>
        </is>
      </c>
      <c r="F11137" t="inlineStr">
        <is>
          <t>Kommuner</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26735-2024</t>
        </is>
      </c>
      <c r="B11138" s="1" t="n">
        <v>45470</v>
      </c>
      <c r="C11138" s="1" t="n">
        <v>45587</v>
      </c>
      <c r="D11138" t="inlineStr">
        <is>
          <t>GÄVLEBORGS LÄN</t>
        </is>
      </c>
      <c r="E11138" t="inlineStr">
        <is>
          <t>OVANÅKER</t>
        </is>
      </c>
      <c r="F11138" t="inlineStr">
        <is>
          <t>Bergvik skog väst AB</t>
        </is>
      </c>
      <c r="G11138" t="n">
        <v>2.8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26722-2024</t>
        </is>
      </c>
      <c r="B11139" s="1" t="n">
        <v>45470</v>
      </c>
      <c r="C11139" s="1" t="n">
        <v>45587</v>
      </c>
      <c r="D11139" t="inlineStr">
        <is>
          <t>GÄVLEBORGS LÄN</t>
        </is>
      </c>
      <c r="E11139" t="inlineStr">
        <is>
          <t>LJUSDAL</t>
        </is>
      </c>
      <c r="F11139" t="inlineStr">
        <is>
          <t>Bergvik skog väst AB</t>
        </is>
      </c>
      <c r="G11139" t="n">
        <v>3.5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26693-2024</t>
        </is>
      </c>
      <c r="B11140" s="1" t="n">
        <v>45470</v>
      </c>
      <c r="C11140" s="1" t="n">
        <v>45587</v>
      </c>
      <c r="D11140" t="inlineStr">
        <is>
          <t>GÄVLEBORGS LÄN</t>
        </is>
      </c>
      <c r="E11140" t="inlineStr">
        <is>
          <t>SÖDERHAMN</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26871-2024</t>
        </is>
      </c>
      <c r="B11141" s="1" t="n">
        <v>45470</v>
      </c>
      <c r="C11141" s="1" t="n">
        <v>45587</v>
      </c>
      <c r="D11141" t="inlineStr">
        <is>
          <t>GÄVLEBORGS LÄN</t>
        </is>
      </c>
      <c r="E11141" t="inlineStr">
        <is>
          <t>SÖDERHAMN</t>
        </is>
      </c>
      <c r="G11141" t="n">
        <v>4.8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26839-2024</t>
        </is>
      </c>
      <c r="B11142" s="1" t="n">
        <v>45470</v>
      </c>
      <c r="C11142" s="1" t="n">
        <v>45587</v>
      </c>
      <c r="D11142" t="inlineStr">
        <is>
          <t>GÄVLEBORGS LÄN</t>
        </is>
      </c>
      <c r="E11142" t="inlineStr">
        <is>
          <t>SÖDERHAMN</t>
        </is>
      </c>
      <c r="F11142" t="inlineStr">
        <is>
          <t>Bergvik skog väst AB</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26767-2024</t>
        </is>
      </c>
      <c r="B11143" s="1" t="n">
        <v>45470</v>
      </c>
      <c r="C11143" s="1" t="n">
        <v>45587</v>
      </c>
      <c r="D11143" t="inlineStr">
        <is>
          <t>GÄVLEBORGS LÄN</t>
        </is>
      </c>
      <c r="E11143" t="inlineStr">
        <is>
          <t>OVANÅKER</t>
        </is>
      </c>
      <c r="F11143" t="inlineStr">
        <is>
          <t>Bergvik skog väst AB</t>
        </is>
      </c>
      <c r="G11143" t="n">
        <v>11.8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26744-2024</t>
        </is>
      </c>
      <c r="B11144" s="1" t="n">
        <v>45470</v>
      </c>
      <c r="C11144" s="1" t="n">
        <v>45587</v>
      </c>
      <c r="D11144" t="inlineStr">
        <is>
          <t>GÄVLEBORGS LÄN</t>
        </is>
      </c>
      <c r="E11144" t="inlineStr">
        <is>
          <t>OVANÅKER</t>
        </is>
      </c>
      <c r="F11144" t="inlineStr">
        <is>
          <t>Bergvik skog väst AB</t>
        </is>
      </c>
      <c r="G11144" t="n">
        <v>4.7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26721-2024</t>
        </is>
      </c>
      <c r="B11145" s="1" t="n">
        <v>45470</v>
      </c>
      <c r="C11145" s="1" t="n">
        <v>45587</v>
      </c>
      <c r="D11145" t="inlineStr">
        <is>
          <t>GÄVLEBORGS LÄN</t>
        </is>
      </c>
      <c r="E11145" t="inlineStr">
        <is>
          <t>LJUSDAL</t>
        </is>
      </c>
      <c r="F11145" t="inlineStr">
        <is>
          <t>Bergvik skog väst AB</t>
        </is>
      </c>
      <c r="G11145" t="n">
        <v>0.4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26681-2024</t>
        </is>
      </c>
      <c r="B11146" s="1" t="n">
        <v>45470</v>
      </c>
      <c r="C11146" s="1" t="n">
        <v>45587</v>
      </c>
      <c r="D11146" t="inlineStr">
        <is>
          <t>GÄVLEBORGS LÄN</t>
        </is>
      </c>
      <c r="E11146" t="inlineStr">
        <is>
          <t>LJUSDAL</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26889-2024</t>
        </is>
      </c>
      <c r="B11147" s="1" t="n">
        <v>45470</v>
      </c>
      <c r="C11147" s="1" t="n">
        <v>45587</v>
      </c>
      <c r="D11147" t="inlineStr">
        <is>
          <t>GÄVLEBORGS LÄN</t>
        </is>
      </c>
      <c r="E11147" t="inlineStr">
        <is>
          <t>LJUSDAL</t>
        </is>
      </c>
      <c r="G11147" t="n">
        <v>5.7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26849-2024</t>
        </is>
      </c>
      <c r="B11148" s="1" t="n">
        <v>45470</v>
      </c>
      <c r="C11148" s="1" t="n">
        <v>45587</v>
      </c>
      <c r="D11148" t="inlineStr">
        <is>
          <t>GÄVLEBORGS LÄN</t>
        </is>
      </c>
      <c r="E11148" t="inlineStr">
        <is>
          <t>LJUSDAL</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26829-2024</t>
        </is>
      </c>
      <c r="B11149" s="1" t="n">
        <v>45470</v>
      </c>
      <c r="C11149" s="1" t="n">
        <v>45587</v>
      </c>
      <c r="D11149" t="inlineStr">
        <is>
          <t>GÄVLEBORGS LÄN</t>
        </is>
      </c>
      <c r="E11149" t="inlineStr">
        <is>
          <t>OVANÅKER</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26821-2024</t>
        </is>
      </c>
      <c r="B11150" s="1" t="n">
        <v>45470</v>
      </c>
      <c r="C11150" s="1" t="n">
        <v>45587</v>
      </c>
      <c r="D11150" t="inlineStr">
        <is>
          <t>GÄVLEBORGS LÄN</t>
        </is>
      </c>
      <c r="E11150" t="inlineStr">
        <is>
          <t>SÖDERHAMN</t>
        </is>
      </c>
      <c r="F11150" t="inlineStr">
        <is>
          <t>Bergvik skog väst AB</t>
        </is>
      </c>
      <c r="G11150" t="n">
        <v>7.9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27037-2024</t>
        </is>
      </c>
      <c r="B11151" s="1" t="n">
        <v>45471</v>
      </c>
      <c r="C11151" s="1" t="n">
        <v>45587</v>
      </c>
      <c r="D11151" t="inlineStr">
        <is>
          <t>GÄVLEBORGS LÄN</t>
        </is>
      </c>
      <c r="E11151" t="inlineStr">
        <is>
          <t>BOLLNÄS</t>
        </is>
      </c>
      <c r="F11151" t="inlineStr">
        <is>
          <t>Sveaskog</t>
        </is>
      </c>
      <c r="G11151" t="n">
        <v>6.3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27050-2024</t>
        </is>
      </c>
      <c r="B11152" s="1" t="n">
        <v>45471</v>
      </c>
      <c r="C11152" s="1" t="n">
        <v>45587</v>
      </c>
      <c r="D11152" t="inlineStr">
        <is>
          <t>GÄVLEBORGS LÄN</t>
        </is>
      </c>
      <c r="E11152" t="inlineStr">
        <is>
          <t>SÖDERHAMN</t>
        </is>
      </c>
      <c r="F11152" t="inlineStr">
        <is>
          <t>Kommuner</t>
        </is>
      </c>
      <c r="G11152" t="n">
        <v>10.8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26985-2024</t>
        </is>
      </c>
      <c r="B11153" s="1" t="n">
        <v>45471</v>
      </c>
      <c r="C11153" s="1" t="n">
        <v>45587</v>
      </c>
      <c r="D11153" t="inlineStr">
        <is>
          <t>GÄVLEBORGS LÄN</t>
        </is>
      </c>
      <c r="E11153" t="inlineStr">
        <is>
          <t>OCKELBO</t>
        </is>
      </c>
      <c r="F11153" t="inlineStr">
        <is>
          <t>Bergvik skog väst AB</t>
        </is>
      </c>
      <c r="G11153" t="n">
        <v>4.1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26989-2024</t>
        </is>
      </c>
      <c r="B11154" s="1" t="n">
        <v>45471</v>
      </c>
      <c r="C11154" s="1" t="n">
        <v>45587</v>
      </c>
      <c r="D11154" t="inlineStr">
        <is>
          <t>GÄVLEBORGS LÄN</t>
        </is>
      </c>
      <c r="E11154" t="inlineStr">
        <is>
          <t>OCKELBO</t>
        </is>
      </c>
      <c r="F11154" t="inlineStr">
        <is>
          <t>Bergvik skog väst AB</t>
        </is>
      </c>
      <c r="G11154" t="n">
        <v>6.5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27015-2024</t>
        </is>
      </c>
      <c r="B11155" s="1" t="n">
        <v>45471</v>
      </c>
      <c r="C11155" s="1" t="n">
        <v>45587</v>
      </c>
      <c r="D11155" t="inlineStr">
        <is>
          <t>GÄVLEBORGS LÄN</t>
        </is>
      </c>
      <c r="E11155" t="inlineStr">
        <is>
          <t>BOLLNÄS</t>
        </is>
      </c>
      <c r="F11155" t="inlineStr">
        <is>
          <t>Sveaskog</t>
        </is>
      </c>
      <c r="G11155" t="n">
        <v>4.2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27152-2024</t>
        </is>
      </c>
      <c r="B11156" s="1" t="n">
        <v>45471</v>
      </c>
      <c r="C11156" s="1" t="n">
        <v>45587</v>
      </c>
      <c r="D11156" t="inlineStr">
        <is>
          <t>GÄVLEBORGS LÄN</t>
        </is>
      </c>
      <c r="E11156" t="inlineStr">
        <is>
          <t>BOLLNÄS</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27202-2024</t>
        </is>
      </c>
      <c r="B11157" s="1" t="n">
        <v>45471</v>
      </c>
      <c r="C11157" s="1" t="n">
        <v>45587</v>
      </c>
      <c r="D11157" t="inlineStr">
        <is>
          <t>GÄVLEBORGS LÄN</t>
        </is>
      </c>
      <c r="E11157" t="inlineStr">
        <is>
          <t>BOLLNÄS</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27207-2024</t>
        </is>
      </c>
      <c r="B11158" s="1" t="n">
        <v>45471</v>
      </c>
      <c r="C11158" s="1" t="n">
        <v>45587</v>
      </c>
      <c r="D11158" t="inlineStr">
        <is>
          <t>GÄVLEBORGS LÄN</t>
        </is>
      </c>
      <c r="E11158" t="inlineStr">
        <is>
          <t>HUDIKSVALL</t>
        </is>
      </c>
      <c r="G11158" t="n">
        <v>11.1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27215-2024</t>
        </is>
      </c>
      <c r="B11159" s="1" t="n">
        <v>45471</v>
      </c>
      <c r="C11159" s="1" t="n">
        <v>45587</v>
      </c>
      <c r="D11159" t="inlineStr">
        <is>
          <t>GÄVLEBORGS LÄN</t>
        </is>
      </c>
      <c r="E11159" t="inlineStr">
        <is>
          <t>OVANÅKER</t>
        </is>
      </c>
      <c r="G11159" t="n">
        <v>4.5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27216-2024</t>
        </is>
      </c>
      <c r="B11160" s="1" t="n">
        <v>45471</v>
      </c>
      <c r="C11160" s="1" t="n">
        <v>45587</v>
      </c>
      <c r="D11160" t="inlineStr">
        <is>
          <t>GÄVLEBORGS LÄN</t>
        </is>
      </c>
      <c r="E11160" t="inlineStr">
        <is>
          <t>LJUSDAL</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27220-2024</t>
        </is>
      </c>
      <c r="B11161" s="1" t="n">
        <v>45471</v>
      </c>
      <c r="C11161" s="1" t="n">
        <v>45587</v>
      </c>
      <c r="D11161" t="inlineStr">
        <is>
          <t>GÄVLEBORGS LÄN</t>
        </is>
      </c>
      <c r="E11161" t="inlineStr">
        <is>
          <t>LJUSDAL</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27223-2024</t>
        </is>
      </c>
      <c r="B11162" s="1" t="n">
        <v>45471</v>
      </c>
      <c r="C11162" s="1" t="n">
        <v>45587</v>
      </c>
      <c r="D11162" t="inlineStr">
        <is>
          <t>GÄVLEBORGS LÄN</t>
        </is>
      </c>
      <c r="E11162" t="inlineStr">
        <is>
          <t>BOLLNÄS</t>
        </is>
      </c>
      <c r="F11162" t="inlineStr">
        <is>
          <t>Bergvik skog väst AB</t>
        </is>
      </c>
      <c r="G11162" t="n">
        <v>3.8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26984-2024</t>
        </is>
      </c>
      <c r="B11163" s="1" t="n">
        <v>45471</v>
      </c>
      <c r="C11163" s="1" t="n">
        <v>45587</v>
      </c>
      <c r="D11163" t="inlineStr">
        <is>
          <t>GÄVLEBORGS LÄN</t>
        </is>
      </c>
      <c r="E11163" t="inlineStr">
        <is>
          <t>OVANÅKER</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27331-2024</t>
        </is>
      </c>
      <c r="B11164" s="1" t="n">
        <v>45472</v>
      </c>
      <c r="C11164" s="1" t="n">
        <v>45587</v>
      </c>
      <c r="D11164" t="inlineStr">
        <is>
          <t>GÄVLEBORGS LÄN</t>
        </is>
      </c>
      <c r="E11164" t="inlineStr">
        <is>
          <t>HUDIKSVALL</t>
        </is>
      </c>
      <c r="F11164" t="inlineStr">
        <is>
          <t>Holmen skog AB</t>
        </is>
      </c>
      <c r="G11164" t="n">
        <v>5.7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27418-2024</t>
        </is>
      </c>
      <c r="B11165" s="1" t="n">
        <v>45474</v>
      </c>
      <c r="C11165" s="1" t="n">
        <v>45587</v>
      </c>
      <c r="D11165" t="inlineStr">
        <is>
          <t>GÄVLEBORGS LÄN</t>
        </is>
      </c>
      <c r="E11165" t="inlineStr">
        <is>
          <t>HUDIKSVALL</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27422-2024</t>
        </is>
      </c>
      <c r="B11166" s="1" t="n">
        <v>45474</v>
      </c>
      <c r="C11166" s="1" t="n">
        <v>45587</v>
      </c>
      <c r="D11166" t="inlineStr">
        <is>
          <t>GÄVLEBORGS LÄN</t>
        </is>
      </c>
      <c r="E11166" t="inlineStr">
        <is>
          <t>OVANÅKER</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27480-2024</t>
        </is>
      </c>
      <c r="B11167" s="1" t="n">
        <v>45474</v>
      </c>
      <c r="C11167" s="1" t="n">
        <v>45587</v>
      </c>
      <c r="D11167" t="inlineStr">
        <is>
          <t>GÄVLEBORGS LÄN</t>
        </is>
      </c>
      <c r="E11167" t="inlineStr">
        <is>
          <t>SANDVIKEN</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27528-2024</t>
        </is>
      </c>
      <c r="B11168" s="1" t="n">
        <v>45474</v>
      </c>
      <c r="C11168" s="1" t="n">
        <v>45587</v>
      </c>
      <c r="D11168" t="inlineStr">
        <is>
          <t>GÄVLEBORGS LÄN</t>
        </is>
      </c>
      <c r="E11168" t="inlineStr">
        <is>
          <t>BOLLNÄS</t>
        </is>
      </c>
      <c r="G11168" t="n">
        <v>3.4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27401-2024</t>
        </is>
      </c>
      <c r="B11169" s="1" t="n">
        <v>45474</v>
      </c>
      <c r="C11169" s="1" t="n">
        <v>45587</v>
      </c>
      <c r="D11169" t="inlineStr">
        <is>
          <t>GÄVLEBORGS LÄN</t>
        </is>
      </c>
      <c r="E11169" t="inlineStr">
        <is>
          <t>LJUSDAL</t>
        </is>
      </c>
      <c r="F11169" t="inlineStr">
        <is>
          <t>Bergvik skog väst AB</t>
        </is>
      </c>
      <c r="G11169" t="n">
        <v>2.2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27477-2024</t>
        </is>
      </c>
      <c r="B11170" s="1" t="n">
        <v>45474</v>
      </c>
      <c r="C11170" s="1" t="n">
        <v>45587</v>
      </c>
      <c r="D11170" t="inlineStr">
        <is>
          <t>GÄVLEBORGS LÄN</t>
        </is>
      </c>
      <c r="E11170" t="inlineStr">
        <is>
          <t>HUDIKSVALL</t>
        </is>
      </c>
      <c r="F11170" t="inlineStr">
        <is>
          <t>Holmen skog AB</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27412-2024</t>
        </is>
      </c>
      <c r="B11171" s="1" t="n">
        <v>45474</v>
      </c>
      <c r="C11171" s="1" t="n">
        <v>45587</v>
      </c>
      <c r="D11171" t="inlineStr">
        <is>
          <t>GÄVLEBORGS LÄN</t>
        </is>
      </c>
      <c r="E11171" t="inlineStr">
        <is>
          <t>HUDIKSVALL</t>
        </is>
      </c>
      <c r="G11171" t="n">
        <v>10</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27450-2024</t>
        </is>
      </c>
      <c r="B11172" s="1" t="n">
        <v>45474</v>
      </c>
      <c r="C11172" s="1" t="n">
        <v>45587</v>
      </c>
      <c r="D11172" t="inlineStr">
        <is>
          <t>GÄVLEBORGS LÄN</t>
        </is>
      </c>
      <c r="E11172" t="inlineStr">
        <is>
          <t>LJUSDAL</t>
        </is>
      </c>
      <c r="G11172" t="n">
        <v>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27467-2024</t>
        </is>
      </c>
      <c r="B11173" s="1" t="n">
        <v>45474</v>
      </c>
      <c r="C11173" s="1" t="n">
        <v>45587</v>
      </c>
      <c r="D11173" t="inlineStr">
        <is>
          <t>GÄVLEBORGS LÄN</t>
        </is>
      </c>
      <c r="E11173" t="inlineStr">
        <is>
          <t>HUDIKSVALL</t>
        </is>
      </c>
      <c r="F11173" t="inlineStr">
        <is>
          <t>Holmen skog AB</t>
        </is>
      </c>
      <c r="G11173" t="n">
        <v>8.6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27479-2024</t>
        </is>
      </c>
      <c r="B11174" s="1" t="n">
        <v>45474</v>
      </c>
      <c r="C11174" s="1" t="n">
        <v>45587</v>
      </c>
      <c r="D11174" t="inlineStr">
        <is>
          <t>GÄVLEBORGS LÄN</t>
        </is>
      </c>
      <c r="E11174" t="inlineStr">
        <is>
          <t>SANDVIKEN</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27555-2024</t>
        </is>
      </c>
      <c r="B11175" s="1" t="n">
        <v>45474</v>
      </c>
      <c r="C11175" s="1" t="n">
        <v>45587</v>
      </c>
      <c r="D11175" t="inlineStr">
        <is>
          <t>GÄVLEBORGS LÄN</t>
        </is>
      </c>
      <c r="E11175" t="inlineStr">
        <is>
          <t>SANDVIKEN</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27571-2024</t>
        </is>
      </c>
      <c r="B11176" s="1" t="n">
        <v>45474</v>
      </c>
      <c r="C11176" s="1" t="n">
        <v>45587</v>
      </c>
      <c r="D11176" t="inlineStr">
        <is>
          <t>GÄVLEBORGS LÄN</t>
        </is>
      </c>
      <c r="E11176" t="inlineStr">
        <is>
          <t>HUDIKSVALL</t>
        </is>
      </c>
      <c r="F11176" t="inlineStr">
        <is>
          <t>Holmen skog AB</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27441-2024</t>
        </is>
      </c>
      <c r="B11177" s="1" t="n">
        <v>45474</v>
      </c>
      <c r="C11177" s="1" t="n">
        <v>45587</v>
      </c>
      <c r="D11177" t="inlineStr">
        <is>
          <t>GÄVLEBORGS LÄN</t>
        </is>
      </c>
      <c r="E11177" t="inlineStr">
        <is>
          <t>SÖDERHAMN</t>
        </is>
      </c>
      <c r="F11177" t="inlineStr">
        <is>
          <t>Bergvik skog väst AB</t>
        </is>
      </c>
      <c r="G11177" t="n">
        <v>8.6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27453-2024</t>
        </is>
      </c>
      <c r="B11178" s="1" t="n">
        <v>45474</v>
      </c>
      <c r="C11178" s="1" t="n">
        <v>45587</v>
      </c>
      <c r="D11178" t="inlineStr">
        <is>
          <t>GÄVLEBORGS LÄN</t>
        </is>
      </c>
      <c r="E11178" t="inlineStr">
        <is>
          <t>OCKELBO</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27482-2024</t>
        </is>
      </c>
      <c r="B11179" s="1" t="n">
        <v>45474</v>
      </c>
      <c r="C11179" s="1" t="n">
        <v>45587</v>
      </c>
      <c r="D11179" t="inlineStr">
        <is>
          <t>GÄVLEBORGS LÄN</t>
        </is>
      </c>
      <c r="E11179" t="inlineStr">
        <is>
          <t>BOLLNÄS</t>
        </is>
      </c>
      <c r="G11179" t="n">
        <v>5.2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27612-2024</t>
        </is>
      </c>
      <c r="B11180" s="1" t="n">
        <v>45474</v>
      </c>
      <c r="C11180" s="1" t="n">
        <v>45587</v>
      </c>
      <c r="D11180" t="inlineStr">
        <is>
          <t>GÄVLEBORGS LÄN</t>
        </is>
      </c>
      <c r="E11180" t="inlineStr">
        <is>
          <t>BOLLNÄS</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27620-2024</t>
        </is>
      </c>
      <c r="B11181" s="1" t="n">
        <v>45474</v>
      </c>
      <c r="C11181" s="1" t="n">
        <v>45587</v>
      </c>
      <c r="D11181" t="inlineStr">
        <is>
          <t>GÄVLEBORGS LÄN</t>
        </is>
      </c>
      <c r="E11181" t="inlineStr">
        <is>
          <t>HUDIKSVALL</t>
        </is>
      </c>
      <c r="F11181" t="inlineStr">
        <is>
          <t>Holmen skog AB</t>
        </is>
      </c>
      <c r="G11181" t="n">
        <v>11.7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27626-2024</t>
        </is>
      </c>
      <c r="B11182" s="1" t="n">
        <v>45475</v>
      </c>
      <c r="C11182" s="1" t="n">
        <v>45587</v>
      </c>
      <c r="D11182" t="inlineStr">
        <is>
          <t>GÄVLEBORGS LÄN</t>
        </is>
      </c>
      <c r="E11182" t="inlineStr">
        <is>
          <t>BOLLNÄS</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27545-2024</t>
        </is>
      </c>
      <c r="B11183" s="1" t="n">
        <v>45474</v>
      </c>
      <c r="C11183" s="1" t="n">
        <v>45587</v>
      </c>
      <c r="D11183" t="inlineStr">
        <is>
          <t>GÄVLEBORGS LÄN</t>
        </is>
      </c>
      <c r="E11183" t="inlineStr">
        <is>
          <t>HUDIKSVALL</t>
        </is>
      </c>
      <c r="G11183" t="n">
        <v>9.300000000000001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27601-2024</t>
        </is>
      </c>
      <c r="B11184" s="1" t="n">
        <v>45474</v>
      </c>
      <c r="C11184" s="1" t="n">
        <v>45587</v>
      </c>
      <c r="D11184" t="inlineStr">
        <is>
          <t>GÄVLEBORGS LÄN</t>
        </is>
      </c>
      <c r="E11184" t="inlineStr">
        <is>
          <t>OVANÅKER</t>
        </is>
      </c>
      <c r="G11184" t="n">
        <v>6.2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27723-2024</t>
        </is>
      </c>
      <c r="B11185" s="1" t="n">
        <v>45475</v>
      </c>
      <c r="C11185" s="1" t="n">
        <v>45587</v>
      </c>
      <c r="D11185" t="inlineStr">
        <is>
          <t>GÄVLEBORGS LÄN</t>
        </is>
      </c>
      <c r="E11185" t="inlineStr">
        <is>
          <t>LJUSDAL</t>
        </is>
      </c>
      <c r="G11185" t="n">
        <v>3.7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27731-2024</t>
        </is>
      </c>
      <c r="B11186" s="1" t="n">
        <v>45475</v>
      </c>
      <c r="C11186" s="1" t="n">
        <v>45587</v>
      </c>
      <c r="D11186" t="inlineStr">
        <is>
          <t>GÄVLEBORGS LÄN</t>
        </is>
      </c>
      <c r="E11186" t="inlineStr">
        <is>
          <t>HOFORS</t>
        </is>
      </c>
      <c r="F11186" t="inlineStr">
        <is>
          <t>Bergvik skog öst AB</t>
        </is>
      </c>
      <c r="G11186" t="n">
        <v>4.5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27867-2024</t>
        </is>
      </c>
      <c r="B11187" s="1" t="n">
        <v>45475</v>
      </c>
      <c r="C11187" s="1" t="n">
        <v>45587</v>
      </c>
      <c r="D11187" t="inlineStr">
        <is>
          <t>GÄVLEBORGS LÄN</t>
        </is>
      </c>
      <c r="E11187" t="inlineStr">
        <is>
          <t>LJUSDAL</t>
        </is>
      </c>
      <c r="F11187" t="inlineStr">
        <is>
          <t>Allmännings- och besparingsskogar</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27842-2024</t>
        </is>
      </c>
      <c r="B11188" s="1" t="n">
        <v>45475</v>
      </c>
      <c r="C11188" s="1" t="n">
        <v>45587</v>
      </c>
      <c r="D11188" t="inlineStr">
        <is>
          <t>GÄVLEBORGS LÄN</t>
        </is>
      </c>
      <c r="E11188" t="inlineStr">
        <is>
          <t>BOLLNÄS</t>
        </is>
      </c>
      <c r="G11188" t="n">
        <v>5.2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27822-2024</t>
        </is>
      </c>
      <c r="B11189" s="1" t="n">
        <v>45475</v>
      </c>
      <c r="C11189" s="1" t="n">
        <v>45587</v>
      </c>
      <c r="D11189" t="inlineStr">
        <is>
          <t>GÄVLEBORGS LÄN</t>
        </is>
      </c>
      <c r="E11189" t="inlineStr">
        <is>
          <t>SÖDERHAMN</t>
        </is>
      </c>
      <c r="G11189" t="n">
        <v>4.6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27738-2024</t>
        </is>
      </c>
      <c r="B11190" s="1" t="n">
        <v>45475</v>
      </c>
      <c r="C11190" s="1" t="n">
        <v>45587</v>
      </c>
      <c r="D11190" t="inlineStr">
        <is>
          <t>GÄVLEBORGS LÄN</t>
        </is>
      </c>
      <c r="E11190" t="inlineStr">
        <is>
          <t>HOFORS</t>
        </is>
      </c>
      <c r="F11190" t="inlineStr">
        <is>
          <t>Bergvik skog öst AB</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27734-2024</t>
        </is>
      </c>
      <c r="B11191" s="1" t="n">
        <v>45475</v>
      </c>
      <c r="C11191" s="1" t="n">
        <v>45587</v>
      </c>
      <c r="D11191" t="inlineStr">
        <is>
          <t>GÄVLEBORGS LÄN</t>
        </is>
      </c>
      <c r="E11191" t="inlineStr">
        <is>
          <t>HOFORS</t>
        </is>
      </c>
      <c r="F11191" t="inlineStr">
        <is>
          <t>Bergvik skog öst AB</t>
        </is>
      </c>
      <c r="G11191" t="n">
        <v>7.2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27732-2024</t>
        </is>
      </c>
      <c r="B11192" s="1" t="n">
        <v>45475</v>
      </c>
      <c r="C11192" s="1" t="n">
        <v>45587</v>
      </c>
      <c r="D11192" t="inlineStr">
        <is>
          <t>GÄVLEBORGS LÄN</t>
        </is>
      </c>
      <c r="E11192" t="inlineStr">
        <is>
          <t>BOLLNÄS</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27788-2024</t>
        </is>
      </c>
      <c r="B11193" s="1" t="n">
        <v>45475</v>
      </c>
      <c r="C11193" s="1" t="n">
        <v>45587</v>
      </c>
      <c r="D11193" t="inlineStr">
        <is>
          <t>GÄVLEBORGS LÄN</t>
        </is>
      </c>
      <c r="E11193" t="inlineStr">
        <is>
          <t>BOLLNÄS</t>
        </is>
      </c>
      <c r="G11193" t="n">
        <v>3.8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27804-2024</t>
        </is>
      </c>
      <c r="B11194" s="1" t="n">
        <v>45475</v>
      </c>
      <c r="C11194" s="1" t="n">
        <v>45587</v>
      </c>
      <c r="D11194" t="inlineStr">
        <is>
          <t>GÄVLEBORGS LÄN</t>
        </is>
      </c>
      <c r="E11194" t="inlineStr">
        <is>
          <t>BOLLNÄS</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27808-2024</t>
        </is>
      </c>
      <c r="B11195" s="1" t="n">
        <v>45475</v>
      </c>
      <c r="C11195" s="1" t="n">
        <v>45587</v>
      </c>
      <c r="D11195" t="inlineStr">
        <is>
          <t>GÄVLEBORGS LÄN</t>
        </is>
      </c>
      <c r="E11195" t="inlineStr">
        <is>
          <t>GÄVLE</t>
        </is>
      </c>
      <c r="F11195" t="inlineStr">
        <is>
          <t>Bergvik skog öst AB</t>
        </is>
      </c>
      <c r="G11195" t="n">
        <v>8.9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27828-2024</t>
        </is>
      </c>
      <c r="B11196" s="1" t="n">
        <v>45475</v>
      </c>
      <c r="C11196" s="1" t="n">
        <v>45587</v>
      </c>
      <c r="D11196" t="inlineStr">
        <is>
          <t>GÄVLEBORGS LÄN</t>
        </is>
      </c>
      <c r="E11196" t="inlineStr">
        <is>
          <t>SÖDERHAMN</t>
        </is>
      </c>
      <c r="G11196" t="n">
        <v>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27872-2024</t>
        </is>
      </c>
      <c r="B11197" s="1" t="n">
        <v>45475</v>
      </c>
      <c r="C11197" s="1" t="n">
        <v>45587</v>
      </c>
      <c r="D11197" t="inlineStr">
        <is>
          <t>GÄVLEBORGS LÄN</t>
        </is>
      </c>
      <c r="E11197" t="inlineStr">
        <is>
          <t>SANDVIKEN</t>
        </is>
      </c>
      <c r="G11197" t="n">
        <v>2.8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27880-2024</t>
        </is>
      </c>
      <c r="B11198" s="1" t="n">
        <v>45475</v>
      </c>
      <c r="C11198" s="1" t="n">
        <v>45587</v>
      </c>
      <c r="D11198" t="inlineStr">
        <is>
          <t>GÄVLEBORGS LÄN</t>
        </is>
      </c>
      <c r="E11198" t="inlineStr">
        <is>
          <t>HOFORS</t>
        </is>
      </c>
      <c r="G11198" t="n">
        <v>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27805-2024</t>
        </is>
      </c>
      <c r="B11199" s="1" t="n">
        <v>45475</v>
      </c>
      <c r="C11199" s="1" t="n">
        <v>45587</v>
      </c>
      <c r="D11199" t="inlineStr">
        <is>
          <t>GÄVLEBORGS LÄN</t>
        </is>
      </c>
      <c r="E11199" t="inlineStr">
        <is>
          <t>GÄVLE</t>
        </is>
      </c>
      <c r="F11199" t="inlineStr">
        <is>
          <t>Bergvik skog öst AB</t>
        </is>
      </c>
      <c r="G11199" t="n">
        <v>15.9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27801-2024</t>
        </is>
      </c>
      <c r="B11200" s="1" t="n">
        <v>45475</v>
      </c>
      <c r="C11200" s="1" t="n">
        <v>45587</v>
      </c>
      <c r="D11200" t="inlineStr">
        <is>
          <t>GÄVLEBORGS LÄN</t>
        </is>
      </c>
      <c r="E11200" t="inlineStr">
        <is>
          <t>GÄVLE</t>
        </is>
      </c>
      <c r="F11200" t="inlineStr">
        <is>
          <t>Bergvik skog öst AB</t>
        </is>
      </c>
      <c r="G11200" t="n">
        <v>23.1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27793-2024</t>
        </is>
      </c>
      <c r="B11201" s="1" t="n">
        <v>45475</v>
      </c>
      <c r="C11201" s="1" t="n">
        <v>45587</v>
      </c>
      <c r="D11201" t="inlineStr">
        <is>
          <t>GÄVLEBORGS LÄN</t>
        </is>
      </c>
      <c r="E11201" t="inlineStr">
        <is>
          <t>GÄVLE</t>
        </is>
      </c>
      <c r="F11201" t="inlineStr">
        <is>
          <t>Bergvik skog öst AB</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27757-2024</t>
        </is>
      </c>
      <c r="B11202" s="1" t="n">
        <v>45475</v>
      </c>
      <c r="C11202" s="1" t="n">
        <v>45587</v>
      </c>
      <c r="D11202" t="inlineStr">
        <is>
          <t>GÄVLEBORGS LÄN</t>
        </is>
      </c>
      <c r="E11202" t="inlineStr">
        <is>
          <t>HUDIKSVALL</t>
        </is>
      </c>
      <c r="F11202" t="inlineStr">
        <is>
          <t>Holmen skog AB</t>
        </is>
      </c>
      <c r="G11202" t="n">
        <v>14.2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27787-2024</t>
        </is>
      </c>
      <c r="B11203" s="1" t="n">
        <v>45475</v>
      </c>
      <c r="C11203" s="1" t="n">
        <v>45587</v>
      </c>
      <c r="D11203" t="inlineStr">
        <is>
          <t>GÄVLEBORGS LÄN</t>
        </is>
      </c>
      <c r="E11203" t="inlineStr">
        <is>
          <t>GÄVLE</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27835-2024</t>
        </is>
      </c>
      <c r="B11204" s="1" t="n">
        <v>45475</v>
      </c>
      <c r="C11204" s="1" t="n">
        <v>45587</v>
      </c>
      <c r="D11204" t="inlineStr">
        <is>
          <t>GÄVLEBORGS LÄN</t>
        </is>
      </c>
      <c r="E11204" t="inlineStr">
        <is>
          <t>SÖDERHAMN</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27847-2024</t>
        </is>
      </c>
      <c r="B11205" s="1" t="n">
        <v>45475</v>
      </c>
      <c r="C11205" s="1" t="n">
        <v>45587</v>
      </c>
      <c r="D11205" t="inlineStr">
        <is>
          <t>GÄVLEBORGS LÄN</t>
        </is>
      </c>
      <c r="E11205" t="inlineStr">
        <is>
          <t>LJUSDAL</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28070-2024</t>
        </is>
      </c>
      <c r="B11206" s="1" t="n">
        <v>45476</v>
      </c>
      <c r="C11206" s="1" t="n">
        <v>45587</v>
      </c>
      <c r="D11206" t="inlineStr">
        <is>
          <t>GÄVLEBORGS LÄN</t>
        </is>
      </c>
      <c r="E11206" t="inlineStr">
        <is>
          <t>SÖDERHAMN</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28094-2024</t>
        </is>
      </c>
      <c r="B11207" s="1" t="n">
        <v>45476</v>
      </c>
      <c r="C11207" s="1" t="n">
        <v>45587</v>
      </c>
      <c r="D11207" t="inlineStr">
        <is>
          <t>GÄVLEBORGS LÄN</t>
        </is>
      </c>
      <c r="E11207" t="inlineStr">
        <is>
          <t>BOLLNÄS</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28018-2024</t>
        </is>
      </c>
      <c r="B11208" s="1" t="n">
        <v>45476</v>
      </c>
      <c r="C11208" s="1" t="n">
        <v>45587</v>
      </c>
      <c r="D11208" t="inlineStr">
        <is>
          <t>GÄVLEBORGS LÄN</t>
        </is>
      </c>
      <c r="E11208" t="inlineStr">
        <is>
          <t>HOFORS</t>
        </is>
      </c>
      <c r="G11208" t="n">
        <v>7.9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28176-2024</t>
        </is>
      </c>
      <c r="B11209" s="1" t="n">
        <v>45477</v>
      </c>
      <c r="C11209" s="1" t="n">
        <v>45587</v>
      </c>
      <c r="D11209" t="inlineStr">
        <is>
          <t>GÄVLEBORGS LÄN</t>
        </is>
      </c>
      <c r="E11209" t="inlineStr">
        <is>
          <t>NORDANSTIG</t>
        </is>
      </c>
      <c r="G11209" t="n">
        <v>2.7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28156-2024</t>
        </is>
      </c>
      <c r="B11210" s="1" t="n">
        <v>45476</v>
      </c>
      <c r="C11210" s="1" t="n">
        <v>45587</v>
      </c>
      <c r="D11210" t="inlineStr">
        <is>
          <t>GÄVLEBORGS LÄN</t>
        </is>
      </c>
      <c r="E11210" t="inlineStr">
        <is>
          <t>NORDANSTIG</t>
        </is>
      </c>
      <c r="G11210" t="n">
        <v>15.3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28133-2024</t>
        </is>
      </c>
      <c r="B11211" s="1" t="n">
        <v>45476</v>
      </c>
      <c r="C11211" s="1" t="n">
        <v>45587</v>
      </c>
      <c r="D11211" t="inlineStr">
        <is>
          <t>GÄVLEBORGS LÄN</t>
        </is>
      </c>
      <c r="E11211" t="inlineStr">
        <is>
          <t>HOFORS</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28105-2024</t>
        </is>
      </c>
      <c r="B11212" s="1" t="n">
        <v>45476</v>
      </c>
      <c r="C11212" s="1" t="n">
        <v>45587</v>
      </c>
      <c r="D11212" t="inlineStr">
        <is>
          <t>GÄVLEBORGS LÄN</t>
        </is>
      </c>
      <c r="E11212" t="inlineStr">
        <is>
          <t>OCKELBO</t>
        </is>
      </c>
      <c r="G11212" t="n">
        <v>18.8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28097-2024</t>
        </is>
      </c>
      <c r="B11213" s="1" t="n">
        <v>45476</v>
      </c>
      <c r="C11213" s="1" t="n">
        <v>45587</v>
      </c>
      <c r="D11213" t="inlineStr">
        <is>
          <t>GÄVLEBORGS LÄN</t>
        </is>
      </c>
      <c r="E11213" t="inlineStr">
        <is>
          <t>BOLLNÄS</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28081-2024</t>
        </is>
      </c>
      <c r="B11214" s="1" t="n">
        <v>45476</v>
      </c>
      <c r="C11214" s="1" t="n">
        <v>45587</v>
      </c>
      <c r="D11214" t="inlineStr">
        <is>
          <t>GÄVLEBORGS LÄN</t>
        </is>
      </c>
      <c r="E11214" t="inlineStr">
        <is>
          <t>BOLLNÄS</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28002-2024</t>
        </is>
      </c>
      <c r="B11215" s="1" t="n">
        <v>45476</v>
      </c>
      <c r="C11215" s="1" t="n">
        <v>45587</v>
      </c>
      <c r="D11215" t="inlineStr">
        <is>
          <t>GÄVLEBORGS LÄN</t>
        </is>
      </c>
      <c r="E11215" t="inlineStr">
        <is>
          <t>SANDVIKEN</t>
        </is>
      </c>
      <c r="F11215" t="inlineStr">
        <is>
          <t>Kommuner</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28080-2024</t>
        </is>
      </c>
      <c r="B11216" s="1" t="n">
        <v>45476</v>
      </c>
      <c r="C11216" s="1" t="n">
        <v>45587</v>
      </c>
      <c r="D11216" t="inlineStr">
        <is>
          <t>GÄVLEBORGS LÄN</t>
        </is>
      </c>
      <c r="E11216" t="inlineStr">
        <is>
          <t>BOLLNÄS</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28076-2024</t>
        </is>
      </c>
      <c r="B11217" s="1" t="n">
        <v>45476</v>
      </c>
      <c r="C11217" s="1" t="n">
        <v>45587</v>
      </c>
      <c r="D11217" t="inlineStr">
        <is>
          <t>GÄVLEBORGS LÄN</t>
        </is>
      </c>
      <c r="E11217" t="inlineStr">
        <is>
          <t>BOLLNÄS</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28024-2024</t>
        </is>
      </c>
      <c r="B11218" s="1" t="n">
        <v>45476</v>
      </c>
      <c r="C11218" s="1" t="n">
        <v>45587</v>
      </c>
      <c r="D11218" t="inlineStr">
        <is>
          <t>GÄVLEBORGS LÄN</t>
        </is>
      </c>
      <c r="E11218" t="inlineStr">
        <is>
          <t>LJUSDAL</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28000-2024</t>
        </is>
      </c>
      <c r="B11219" s="1" t="n">
        <v>45476</v>
      </c>
      <c r="C11219" s="1" t="n">
        <v>45587</v>
      </c>
      <c r="D11219" t="inlineStr">
        <is>
          <t>GÄVLEBORGS LÄN</t>
        </is>
      </c>
      <c r="E11219" t="inlineStr">
        <is>
          <t>LJUSDAL</t>
        </is>
      </c>
      <c r="F11219" t="inlineStr">
        <is>
          <t>Allmännings- och besparingsskogar</t>
        </is>
      </c>
      <c r="G11219" t="n">
        <v>4.2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28091-2024</t>
        </is>
      </c>
      <c r="B11220" s="1" t="n">
        <v>45476</v>
      </c>
      <c r="C11220" s="1" t="n">
        <v>45587</v>
      </c>
      <c r="D11220" t="inlineStr">
        <is>
          <t>GÄVLEBORGS LÄN</t>
        </is>
      </c>
      <c r="E11220" t="inlineStr">
        <is>
          <t>BOLLNÄS</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28083-2024</t>
        </is>
      </c>
      <c r="B11221" s="1" t="n">
        <v>45476</v>
      </c>
      <c r="C11221" s="1" t="n">
        <v>45587</v>
      </c>
      <c r="D11221" t="inlineStr">
        <is>
          <t>GÄVLEBORGS LÄN</t>
        </is>
      </c>
      <c r="E11221" t="inlineStr">
        <is>
          <t>BOLLNÄS</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28023-2024</t>
        </is>
      </c>
      <c r="B11222" s="1" t="n">
        <v>45476</v>
      </c>
      <c r="C11222" s="1" t="n">
        <v>45587</v>
      </c>
      <c r="D11222" t="inlineStr">
        <is>
          <t>GÄVLEBORGS LÄN</t>
        </is>
      </c>
      <c r="E11222" t="inlineStr">
        <is>
          <t>HOFORS</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28003-2024</t>
        </is>
      </c>
      <c r="B11223" s="1" t="n">
        <v>45476</v>
      </c>
      <c r="C11223" s="1" t="n">
        <v>45587</v>
      </c>
      <c r="D11223" t="inlineStr">
        <is>
          <t>GÄVLEBORGS LÄN</t>
        </is>
      </c>
      <c r="E11223" t="inlineStr">
        <is>
          <t>LJUSDAL</t>
        </is>
      </c>
      <c r="F11223" t="inlineStr">
        <is>
          <t>Allmännings- och besparingsskogar</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27987-2024</t>
        </is>
      </c>
      <c r="B11224" s="1" t="n">
        <v>45476</v>
      </c>
      <c r="C11224" s="1" t="n">
        <v>45587</v>
      </c>
      <c r="D11224" t="inlineStr">
        <is>
          <t>GÄVLEBORGS LÄN</t>
        </is>
      </c>
      <c r="E11224" t="inlineStr">
        <is>
          <t>SANDVIKEN</t>
        </is>
      </c>
      <c r="F11224" t="inlineStr">
        <is>
          <t>Kommuner</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27971-2024</t>
        </is>
      </c>
      <c r="B11225" s="1" t="n">
        <v>45476</v>
      </c>
      <c r="C11225" s="1" t="n">
        <v>45587</v>
      </c>
      <c r="D11225" t="inlineStr">
        <is>
          <t>GÄVLEBORGS LÄN</t>
        </is>
      </c>
      <c r="E11225" t="inlineStr">
        <is>
          <t>OVANÅKER</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27955-2024</t>
        </is>
      </c>
      <c r="B11226" s="1" t="n">
        <v>45476</v>
      </c>
      <c r="C11226" s="1" t="n">
        <v>45587</v>
      </c>
      <c r="D11226" t="inlineStr">
        <is>
          <t>GÄVLEBORGS LÄN</t>
        </is>
      </c>
      <c r="E11226" t="inlineStr">
        <is>
          <t>HUDIKSVALL</t>
        </is>
      </c>
      <c r="F11226" t="inlineStr">
        <is>
          <t>Holmen skog AB</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27956-2024</t>
        </is>
      </c>
      <c r="B11227" s="1" t="n">
        <v>45476</v>
      </c>
      <c r="C11227" s="1" t="n">
        <v>45587</v>
      </c>
      <c r="D11227" t="inlineStr">
        <is>
          <t>GÄVLEBORGS LÄN</t>
        </is>
      </c>
      <c r="E11227" t="inlineStr">
        <is>
          <t>HUDIKSVALL</t>
        </is>
      </c>
      <c r="F11227" t="inlineStr">
        <is>
          <t>Holmen skog AB</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28021-2024</t>
        </is>
      </c>
      <c r="B11228" s="1" t="n">
        <v>45476</v>
      </c>
      <c r="C11228" s="1" t="n">
        <v>45587</v>
      </c>
      <c r="D11228" t="inlineStr">
        <is>
          <t>GÄVLEBORGS LÄN</t>
        </is>
      </c>
      <c r="E11228" t="inlineStr">
        <is>
          <t>HOFORS</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28001-2024</t>
        </is>
      </c>
      <c r="B11229" s="1" t="n">
        <v>45476</v>
      </c>
      <c r="C11229" s="1" t="n">
        <v>45587</v>
      </c>
      <c r="D11229" t="inlineStr">
        <is>
          <t>GÄVLEBORGS LÄN</t>
        </is>
      </c>
      <c r="E11229" t="inlineStr">
        <is>
          <t>OVANÅKER</t>
        </is>
      </c>
      <c r="F11229" t="inlineStr">
        <is>
          <t>Bergvik skog väst AB</t>
        </is>
      </c>
      <c r="G11229" t="n">
        <v>22.9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27969-2024</t>
        </is>
      </c>
      <c r="B11230" s="1" t="n">
        <v>45476</v>
      </c>
      <c r="C11230" s="1" t="n">
        <v>45587</v>
      </c>
      <c r="D11230" t="inlineStr">
        <is>
          <t>GÄVLEBORGS LÄN</t>
        </is>
      </c>
      <c r="E11230" t="inlineStr">
        <is>
          <t>SANDVIKEN</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28381-2024</t>
        </is>
      </c>
      <c r="B11231" s="1" t="n">
        <v>45477</v>
      </c>
      <c r="C11231" s="1" t="n">
        <v>45587</v>
      </c>
      <c r="D11231" t="inlineStr">
        <is>
          <t>GÄVLEBORGS LÄN</t>
        </is>
      </c>
      <c r="E11231" t="inlineStr">
        <is>
          <t>SÖDERHAMN</t>
        </is>
      </c>
      <c r="G11231" t="n">
        <v>4.5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28369-2024</t>
        </is>
      </c>
      <c r="B11232" s="1" t="n">
        <v>45477</v>
      </c>
      <c r="C11232" s="1" t="n">
        <v>45587</v>
      </c>
      <c r="D11232" t="inlineStr">
        <is>
          <t>GÄVLEBORGS LÄN</t>
        </is>
      </c>
      <c r="E11232" t="inlineStr">
        <is>
          <t>SÖDERHAMN</t>
        </is>
      </c>
      <c r="G11232" t="n">
        <v>4.2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28448-2024</t>
        </is>
      </c>
      <c r="B11233" s="1" t="n">
        <v>45477</v>
      </c>
      <c r="C11233" s="1" t="n">
        <v>45587</v>
      </c>
      <c r="D11233" t="inlineStr">
        <is>
          <t>GÄVLEBORGS LÄN</t>
        </is>
      </c>
      <c r="E11233" t="inlineStr">
        <is>
          <t>OVANÅKER</t>
        </is>
      </c>
      <c r="G11233" t="n">
        <v>3.8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28391-2024</t>
        </is>
      </c>
      <c r="B11234" s="1" t="n">
        <v>45477</v>
      </c>
      <c r="C11234" s="1" t="n">
        <v>45587</v>
      </c>
      <c r="D11234" t="inlineStr">
        <is>
          <t>GÄVLEBORGS LÄN</t>
        </is>
      </c>
      <c r="E11234" t="inlineStr">
        <is>
          <t>HOFORS</t>
        </is>
      </c>
      <c r="F11234" t="inlineStr">
        <is>
          <t>Sveaskog</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28371-2024</t>
        </is>
      </c>
      <c r="B11235" s="1" t="n">
        <v>45477</v>
      </c>
      <c r="C11235" s="1" t="n">
        <v>45587</v>
      </c>
      <c r="D11235" t="inlineStr">
        <is>
          <t>GÄVLEBORGS LÄN</t>
        </is>
      </c>
      <c r="E11235" t="inlineStr">
        <is>
          <t>OVANÅKER</t>
        </is>
      </c>
      <c r="G11235" t="n">
        <v>13.9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28367-2024</t>
        </is>
      </c>
      <c r="B11236" s="1" t="n">
        <v>45477</v>
      </c>
      <c r="C11236" s="1" t="n">
        <v>45587</v>
      </c>
      <c r="D11236" t="inlineStr">
        <is>
          <t>GÄVLEBORGS LÄN</t>
        </is>
      </c>
      <c r="E11236" t="inlineStr">
        <is>
          <t>HUDIKSVALL</t>
        </is>
      </c>
      <c r="F11236" t="inlineStr">
        <is>
          <t>Holmen skog AB</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28445-2024</t>
        </is>
      </c>
      <c r="B11237" s="1" t="n">
        <v>45477</v>
      </c>
      <c r="C11237" s="1" t="n">
        <v>45587</v>
      </c>
      <c r="D11237" t="inlineStr">
        <is>
          <t>GÄVLEBORGS LÄN</t>
        </is>
      </c>
      <c r="E11237" t="inlineStr">
        <is>
          <t>OVANÅKER</t>
        </is>
      </c>
      <c r="G11237" t="n">
        <v>9.5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28441-2024</t>
        </is>
      </c>
      <c r="B11238" s="1" t="n">
        <v>45477</v>
      </c>
      <c r="C11238" s="1" t="n">
        <v>45587</v>
      </c>
      <c r="D11238" t="inlineStr">
        <is>
          <t>GÄVLEBORGS LÄN</t>
        </is>
      </c>
      <c r="E11238" t="inlineStr">
        <is>
          <t>BOLLNÄS</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28437-2024</t>
        </is>
      </c>
      <c r="B11239" s="1" t="n">
        <v>45477</v>
      </c>
      <c r="C11239" s="1" t="n">
        <v>45587</v>
      </c>
      <c r="D11239" t="inlineStr">
        <is>
          <t>GÄVLEBORGS LÄN</t>
        </is>
      </c>
      <c r="E11239" t="inlineStr">
        <is>
          <t>BOLLNÄS</t>
        </is>
      </c>
      <c r="G11239" t="n">
        <v>5.5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28343-2024</t>
        </is>
      </c>
      <c r="B11240" s="1" t="n">
        <v>45477</v>
      </c>
      <c r="C11240" s="1" t="n">
        <v>45587</v>
      </c>
      <c r="D11240" t="inlineStr">
        <is>
          <t>GÄVLEBORGS LÄN</t>
        </is>
      </c>
      <c r="E11240" t="inlineStr">
        <is>
          <t>BOLLNÄS</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28206-2024</t>
        </is>
      </c>
      <c r="B11241" s="1" t="n">
        <v>45477</v>
      </c>
      <c r="C11241" s="1" t="n">
        <v>45587</v>
      </c>
      <c r="D11241" t="inlineStr">
        <is>
          <t>GÄVLEBORGS LÄN</t>
        </is>
      </c>
      <c r="E11241" t="inlineStr">
        <is>
          <t>SANDVIKEN</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28345-2024</t>
        </is>
      </c>
      <c r="B11242" s="1" t="n">
        <v>45477</v>
      </c>
      <c r="C11242" s="1" t="n">
        <v>45587</v>
      </c>
      <c r="D11242" t="inlineStr">
        <is>
          <t>GÄVLEBORGS LÄN</t>
        </is>
      </c>
      <c r="E11242" t="inlineStr">
        <is>
          <t>BOLLNÄS</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28450-2024</t>
        </is>
      </c>
      <c r="B11243" s="1" t="n">
        <v>45477</v>
      </c>
      <c r="C11243" s="1" t="n">
        <v>45587</v>
      </c>
      <c r="D11243" t="inlineStr">
        <is>
          <t>GÄVLEBORGS LÄN</t>
        </is>
      </c>
      <c r="E11243" t="inlineStr">
        <is>
          <t>OVANÅKER</t>
        </is>
      </c>
      <c r="G11243" t="n">
        <v>4.9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28446-2024</t>
        </is>
      </c>
      <c r="B11244" s="1" t="n">
        <v>45477</v>
      </c>
      <c r="C11244" s="1" t="n">
        <v>45587</v>
      </c>
      <c r="D11244" t="inlineStr">
        <is>
          <t>GÄVLEBORGS LÄN</t>
        </is>
      </c>
      <c r="E11244" t="inlineStr">
        <is>
          <t>OVANÅKER</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28213-2024</t>
        </is>
      </c>
      <c r="B11245" s="1" t="n">
        <v>45477</v>
      </c>
      <c r="C11245" s="1" t="n">
        <v>45587</v>
      </c>
      <c r="D11245" t="inlineStr">
        <is>
          <t>GÄVLEBORGS LÄN</t>
        </is>
      </c>
      <c r="E11245" t="inlineStr">
        <is>
          <t>BOLLNÄS</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28492-2024</t>
        </is>
      </c>
      <c r="B11246" s="1" t="n">
        <v>45477</v>
      </c>
      <c r="C11246" s="1" t="n">
        <v>45587</v>
      </c>
      <c r="D11246" t="inlineStr">
        <is>
          <t>GÄVLEBORGS LÄN</t>
        </is>
      </c>
      <c r="E11246" t="inlineStr">
        <is>
          <t>OCKELBO</t>
        </is>
      </c>
      <c r="G11246" t="n">
        <v>5.3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28340-2024</t>
        </is>
      </c>
      <c r="B11247" s="1" t="n">
        <v>45477</v>
      </c>
      <c r="C11247" s="1" t="n">
        <v>45587</v>
      </c>
      <c r="D11247" t="inlineStr">
        <is>
          <t>GÄVLEBORGS LÄN</t>
        </is>
      </c>
      <c r="E11247" t="inlineStr">
        <is>
          <t>SÖDERHAMN</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28296-2024</t>
        </is>
      </c>
      <c r="B11248" s="1" t="n">
        <v>45477</v>
      </c>
      <c r="C11248" s="1" t="n">
        <v>45587</v>
      </c>
      <c r="D11248" t="inlineStr">
        <is>
          <t>GÄVLEBORGS LÄN</t>
        </is>
      </c>
      <c r="E11248" t="inlineStr">
        <is>
          <t>HUDIKSVALL</t>
        </is>
      </c>
      <c r="F11248" t="inlineStr">
        <is>
          <t>Holmen skog AB</t>
        </is>
      </c>
      <c r="G11248" t="n">
        <v>3.9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28231-2024</t>
        </is>
      </c>
      <c r="B11249" s="1" t="n">
        <v>45477</v>
      </c>
      <c r="C11249" s="1" t="n">
        <v>45587</v>
      </c>
      <c r="D11249" t="inlineStr">
        <is>
          <t>GÄVLEBORGS LÄN</t>
        </is>
      </c>
      <c r="E11249" t="inlineStr">
        <is>
          <t>OCKELBO</t>
        </is>
      </c>
      <c r="F11249" t="inlineStr">
        <is>
          <t>Bergvik skog väst AB</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28523-2024</t>
        </is>
      </c>
      <c r="B11250" s="1" t="n">
        <v>45478</v>
      </c>
      <c r="C11250" s="1" t="n">
        <v>45587</v>
      </c>
      <c r="D11250" t="inlineStr">
        <is>
          <t>GÄVLEBORGS LÄN</t>
        </is>
      </c>
      <c r="E11250" t="inlineStr">
        <is>
          <t>SANDVIKEN</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28587-2024</t>
        </is>
      </c>
      <c r="B11251" s="1" t="n">
        <v>45478</v>
      </c>
      <c r="C11251" s="1" t="n">
        <v>45587</v>
      </c>
      <c r="D11251" t="inlineStr">
        <is>
          <t>GÄVLEBORGS LÄN</t>
        </is>
      </c>
      <c r="E11251" t="inlineStr">
        <is>
          <t>NORDANSTIG</t>
        </is>
      </c>
      <c r="G11251" t="n">
        <v>26.3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28534-2024</t>
        </is>
      </c>
      <c r="B11252" s="1" t="n">
        <v>45478</v>
      </c>
      <c r="C11252" s="1" t="n">
        <v>45587</v>
      </c>
      <c r="D11252" t="inlineStr">
        <is>
          <t>GÄVLEBORGS LÄN</t>
        </is>
      </c>
      <c r="E11252" t="inlineStr">
        <is>
          <t>HOFORS</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28516-2024</t>
        </is>
      </c>
      <c r="B11253" s="1" t="n">
        <v>45478</v>
      </c>
      <c r="C11253" s="1" t="n">
        <v>45587</v>
      </c>
      <c r="D11253" t="inlineStr">
        <is>
          <t>GÄVLEBORGS LÄN</t>
        </is>
      </c>
      <c r="E11253" t="inlineStr">
        <is>
          <t>SANDVIKEN</t>
        </is>
      </c>
      <c r="G11253" t="n">
        <v>9.5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28525-2024</t>
        </is>
      </c>
      <c r="B11254" s="1" t="n">
        <v>45478</v>
      </c>
      <c r="C11254" s="1" t="n">
        <v>45587</v>
      </c>
      <c r="D11254" t="inlineStr">
        <is>
          <t>GÄVLEBORGS LÄN</t>
        </is>
      </c>
      <c r="E11254" t="inlineStr">
        <is>
          <t>OCKELBO</t>
        </is>
      </c>
      <c r="G11254" t="n">
        <v>4.8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28524-2024</t>
        </is>
      </c>
      <c r="B11255" s="1" t="n">
        <v>45478</v>
      </c>
      <c r="C11255" s="1" t="n">
        <v>45587</v>
      </c>
      <c r="D11255" t="inlineStr">
        <is>
          <t>GÄVLEBORGS LÄN</t>
        </is>
      </c>
      <c r="E11255" t="inlineStr">
        <is>
          <t>LJUSDAL</t>
        </is>
      </c>
      <c r="F11255" t="inlineStr">
        <is>
          <t>Allmännings- och besparingsskogar</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28532-2024</t>
        </is>
      </c>
      <c r="B11256" s="1" t="n">
        <v>45478</v>
      </c>
      <c r="C11256" s="1" t="n">
        <v>45587</v>
      </c>
      <c r="D11256" t="inlineStr">
        <is>
          <t>GÄVLEBORGS LÄN</t>
        </is>
      </c>
      <c r="E11256" t="inlineStr">
        <is>
          <t>SANDVIKEN</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28536-2024</t>
        </is>
      </c>
      <c r="B11257" s="1" t="n">
        <v>45478</v>
      </c>
      <c r="C11257" s="1" t="n">
        <v>45587</v>
      </c>
      <c r="D11257" t="inlineStr">
        <is>
          <t>GÄVLEBORGS LÄN</t>
        </is>
      </c>
      <c r="E11257" t="inlineStr">
        <is>
          <t>HOFORS</t>
        </is>
      </c>
      <c r="G11257" t="n">
        <v>3.5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28586-2024</t>
        </is>
      </c>
      <c r="B11258" s="1" t="n">
        <v>45478</v>
      </c>
      <c r="C11258" s="1" t="n">
        <v>45587</v>
      </c>
      <c r="D11258" t="inlineStr">
        <is>
          <t>GÄVLEBORGS LÄN</t>
        </is>
      </c>
      <c r="E11258" t="inlineStr">
        <is>
          <t>OCKELBO</t>
        </is>
      </c>
      <c r="F11258" t="inlineStr">
        <is>
          <t>Bergvik skog väst AB</t>
        </is>
      </c>
      <c r="G11258" t="n">
        <v>0.3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28744-2024</t>
        </is>
      </c>
      <c r="B11259" s="1" t="n">
        <v>45478</v>
      </c>
      <c r="C11259" s="1" t="n">
        <v>45587</v>
      </c>
      <c r="D11259" t="inlineStr">
        <is>
          <t>GÄVLEBORGS LÄN</t>
        </is>
      </c>
      <c r="E11259" t="inlineStr">
        <is>
          <t>OVANÅKER</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28853-2024</t>
        </is>
      </c>
      <c r="B11260" s="1" t="n">
        <v>45478</v>
      </c>
      <c r="C11260" s="1" t="n">
        <v>45587</v>
      </c>
      <c r="D11260" t="inlineStr">
        <is>
          <t>GÄVLEBORGS LÄN</t>
        </is>
      </c>
      <c r="E11260" t="inlineStr">
        <is>
          <t>HUDIKSVALL</t>
        </is>
      </c>
      <c r="F11260" t="inlineStr">
        <is>
          <t>Holmen skog AB</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28737-2024</t>
        </is>
      </c>
      <c r="B11261" s="1" t="n">
        <v>45478</v>
      </c>
      <c r="C11261" s="1" t="n">
        <v>45587</v>
      </c>
      <c r="D11261" t="inlineStr">
        <is>
          <t>GÄVLEBORGS LÄN</t>
        </is>
      </c>
      <c r="E11261" t="inlineStr">
        <is>
          <t>OCKELBO</t>
        </is>
      </c>
      <c r="F11261" t="inlineStr">
        <is>
          <t>Bergvik skog väst AB</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28584-2024</t>
        </is>
      </c>
      <c r="B11262" s="1" t="n">
        <v>45478</v>
      </c>
      <c r="C11262" s="1" t="n">
        <v>45587</v>
      </c>
      <c r="D11262" t="inlineStr">
        <is>
          <t>GÄVLEBORGS LÄN</t>
        </is>
      </c>
      <c r="E11262" t="inlineStr">
        <is>
          <t>OCKELBO</t>
        </is>
      </c>
      <c r="F11262" t="inlineStr">
        <is>
          <t>Bergvik skog väst AB</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28793-2024</t>
        </is>
      </c>
      <c r="B11263" s="1" t="n">
        <v>45478</v>
      </c>
      <c r="C11263" s="1" t="n">
        <v>45587</v>
      </c>
      <c r="D11263" t="inlineStr">
        <is>
          <t>GÄVLEBORGS LÄN</t>
        </is>
      </c>
      <c r="E11263" t="inlineStr">
        <is>
          <t>BOLLNÄS</t>
        </is>
      </c>
      <c r="F11263" t="inlineStr">
        <is>
          <t>Bergvik skog väst AB</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28801-2024</t>
        </is>
      </c>
      <c r="B11264" s="1" t="n">
        <v>45478</v>
      </c>
      <c r="C11264" s="1" t="n">
        <v>45587</v>
      </c>
      <c r="D11264" t="inlineStr">
        <is>
          <t>GÄVLEBORGS LÄN</t>
        </is>
      </c>
      <c r="E11264" t="inlineStr">
        <is>
          <t>BOLLNÄS</t>
        </is>
      </c>
      <c r="F11264" t="inlineStr">
        <is>
          <t>Bergvik skog väst AB</t>
        </is>
      </c>
      <c r="G11264" t="n">
        <v>5.2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28818-2024</t>
        </is>
      </c>
      <c r="B11265" s="1" t="n">
        <v>45478</v>
      </c>
      <c r="C11265" s="1" t="n">
        <v>45587</v>
      </c>
      <c r="D11265" t="inlineStr">
        <is>
          <t>GÄVLEBORGS LÄN</t>
        </is>
      </c>
      <c r="E11265" t="inlineStr">
        <is>
          <t>HUDIKSVALL</t>
        </is>
      </c>
      <c r="G11265" t="n">
        <v>4.3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28822-2024</t>
        </is>
      </c>
      <c r="B11266" s="1" t="n">
        <v>45478</v>
      </c>
      <c r="C11266" s="1" t="n">
        <v>45587</v>
      </c>
      <c r="D11266" t="inlineStr">
        <is>
          <t>GÄVLEBORGS LÄN</t>
        </is>
      </c>
      <c r="E11266" t="inlineStr">
        <is>
          <t>NORDANSTIG</t>
        </is>
      </c>
      <c r="G11266" t="n">
        <v>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28730-2024</t>
        </is>
      </c>
      <c r="B11267" s="1" t="n">
        <v>45478</v>
      </c>
      <c r="C11267" s="1" t="n">
        <v>45587</v>
      </c>
      <c r="D11267" t="inlineStr">
        <is>
          <t>GÄVLEBORGS LÄN</t>
        </is>
      </c>
      <c r="E11267" t="inlineStr">
        <is>
          <t>OCKELBO</t>
        </is>
      </c>
      <c r="F11267" t="inlineStr">
        <is>
          <t>Bergvik skog väst AB</t>
        </is>
      </c>
      <c r="G11267" t="n">
        <v>2.8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28754-2024</t>
        </is>
      </c>
      <c r="B11268" s="1" t="n">
        <v>45478</v>
      </c>
      <c r="C11268" s="1" t="n">
        <v>45587</v>
      </c>
      <c r="D11268" t="inlineStr">
        <is>
          <t>GÄVLEBORGS LÄN</t>
        </is>
      </c>
      <c r="E11268" t="inlineStr">
        <is>
          <t>LJUSDAL</t>
        </is>
      </c>
      <c r="F11268" t="inlineStr">
        <is>
          <t>Allmännings- och besparingsskogar</t>
        </is>
      </c>
      <c r="G11268" t="n">
        <v>7.4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28810-2024</t>
        </is>
      </c>
      <c r="B11269" s="1" t="n">
        <v>45478</v>
      </c>
      <c r="C11269" s="1" t="n">
        <v>45587</v>
      </c>
      <c r="D11269" t="inlineStr">
        <is>
          <t>GÄVLEBORGS LÄN</t>
        </is>
      </c>
      <c r="E11269" t="inlineStr">
        <is>
          <t>BOLLNÄS</t>
        </is>
      </c>
      <c r="F11269" t="inlineStr">
        <is>
          <t>Bergvik skog väst AB</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28593-2024</t>
        </is>
      </c>
      <c r="B11270" s="1" t="n">
        <v>45478</v>
      </c>
      <c r="C11270" s="1" t="n">
        <v>45587</v>
      </c>
      <c r="D11270" t="inlineStr">
        <is>
          <t>GÄVLEBORGS LÄN</t>
        </is>
      </c>
      <c r="E11270" t="inlineStr">
        <is>
          <t>GÄVLE</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28645-2024</t>
        </is>
      </c>
      <c r="B11271" s="1" t="n">
        <v>45478</v>
      </c>
      <c r="C11271" s="1" t="n">
        <v>45587</v>
      </c>
      <c r="D11271" t="inlineStr">
        <is>
          <t>GÄVLEBORGS LÄN</t>
        </is>
      </c>
      <c r="E11271" t="inlineStr">
        <is>
          <t>BOLLNÄS</t>
        </is>
      </c>
      <c r="F11271" t="inlineStr">
        <is>
          <t>Bergvik skog väst AB</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28658-2024</t>
        </is>
      </c>
      <c r="B11272" s="1" t="n">
        <v>45478</v>
      </c>
      <c r="C11272" s="1" t="n">
        <v>45587</v>
      </c>
      <c r="D11272" t="inlineStr">
        <is>
          <t>GÄVLEBORGS LÄN</t>
        </is>
      </c>
      <c r="E11272" t="inlineStr">
        <is>
          <t>BOLLNÄS</t>
        </is>
      </c>
      <c r="F11272" t="inlineStr">
        <is>
          <t>Bergvik skog väst AB</t>
        </is>
      </c>
      <c r="G11272" t="n">
        <v>0.4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28694-2024</t>
        </is>
      </c>
      <c r="B11273" s="1" t="n">
        <v>45478</v>
      </c>
      <c r="C11273" s="1" t="n">
        <v>45587</v>
      </c>
      <c r="D11273" t="inlineStr">
        <is>
          <t>GÄVLEBORGS LÄN</t>
        </is>
      </c>
      <c r="E11273" t="inlineStr">
        <is>
          <t>GÄVLE</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28759-2024</t>
        </is>
      </c>
      <c r="B11274" s="1" t="n">
        <v>45478</v>
      </c>
      <c r="C11274" s="1" t="n">
        <v>45587</v>
      </c>
      <c r="D11274" t="inlineStr">
        <is>
          <t>GÄVLEBORGS LÄN</t>
        </is>
      </c>
      <c r="E11274" t="inlineStr">
        <is>
          <t>SÖDERHAMN</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28795-2024</t>
        </is>
      </c>
      <c r="B11275" s="1" t="n">
        <v>45478</v>
      </c>
      <c r="C11275" s="1" t="n">
        <v>45587</v>
      </c>
      <c r="D11275" t="inlineStr">
        <is>
          <t>GÄVLEBORGS LÄN</t>
        </is>
      </c>
      <c r="E11275" t="inlineStr">
        <is>
          <t>BOLLNÄS</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28852-2024</t>
        </is>
      </c>
      <c r="B11276" s="1" t="n">
        <v>45478</v>
      </c>
      <c r="C11276" s="1" t="n">
        <v>45587</v>
      </c>
      <c r="D11276" t="inlineStr">
        <is>
          <t>GÄVLEBORGS LÄN</t>
        </is>
      </c>
      <c r="E11276" t="inlineStr">
        <is>
          <t>BOLLNÄS</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28897-2024</t>
        </is>
      </c>
      <c r="B11277" s="1" t="n">
        <v>45480</v>
      </c>
      <c r="C11277" s="1" t="n">
        <v>45587</v>
      </c>
      <c r="D11277" t="inlineStr">
        <is>
          <t>GÄVLEBORGS LÄN</t>
        </is>
      </c>
      <c r="E11277" t="inlineStr">
        <is>
          <t>SANDVIKEN</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29024-2024</t>
        </is>
      </c>
      <c r="B11278" s="1" t="n">
        <v>45481</v>
      </c>
      <c r="C11278" s="1" t="n">
        <v>45587</v>
      </c>
      <c r="D11278" t="inlineStr">
        <is>
          <t>GÄVLEBORGS LÄN</t>
        </is>
      </c>
      <c r="E11278" t="inlineStr">
        <is>
          <t>HUDIKSVALL</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29075-2024</t>
        </is>
      </c>
      <c r="B11279" s="1" t="n">
        <v>45481</v>
      </c>
      <c r="C11279" s="1" t="n">
        <v>45587</v>
      </c>
      <c r="D11279" t="inlineStr">
        <is>
          <t>GÄVLEBORGS LÄN</t>
        </is>
      </c>
      <c r="E11279" t="inlineStr">
        <is>
          <t>LJUSDAL</t>
        </is>
      </c>
      <c r="G11279" t="n">
        <v>2.7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29061-2024</t>
        </is>
      </c>
      <c r="B11280" s="1" t="n">
        <v>45481</v>
      </c>
      <c r="C11280" s="1" t="n">
        <v>45587</v>
      </c>
      <c r="D11280" t="inlineStr">
        <is>
          <t>GÄVLEBORGS LÄN</t>
        </is>
      </c>
      <c r="E11280" t="inlineStr">
        <is>
          <t>BOLLNÄS</t>
        </is>
      </c>
      <c r="F11280" t="inlineStr">
        <is>
          <t>Bergvik skog väst AB</t>
        </is>
      </c>
      <c r="G11280" t="n">
        <v>7.1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28965-2024</t>
        </is>
      </c>
      <c r="B11281" s="1" t="n">
        <v>45481</v>
      </c>
      <c r="C11281" s="1" t="n">
        <v>45587</v>
      </c>
      <c r="D11281" t="inlineStr">
        <is>
          <t>GÄVLEBORGS LÄN</t>
        </is>
      </c>
      <c r="E11281" t="inlineStr">
        <is>
          <t>OCKELBO</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29074-2024</t>
        </is>
      </c>
      <c r="B11282" s="1" t="n">
        <v>45481</v>
      </c>
      <c r="C11282" s="1" t="n">
        <v>45587</v>
      </c>
      <c r="D11282" t="inlineStr">
        <is>
          <t>GÄVLEBORGS LÄN</t>
        </is>
      </c>
      <c r="E11282" t="inlineStr">
        <is>
          <t>LJUSDAL</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29046-2024</t>
        </is>
      </c>
      <c r="B11283" s="1" t="n">
        <v>45481</v>
      </c>
      <c r="C11283" s="1" t="n">
        <v>45587</v>
      </c>
      <c r="D11283" t="inlineStr">
        <is>
          <t>GÄVLEBORGS LÄN</t>
        </is>
      </c>
      <c r="E11283" t="inlineStr">
        <is>
          <t>BOLLNÄS</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29005-2024</t>
        </is>
      </c>
      <c r="B11284" s="1" t="n">
        <v>45481</v>
      </c>
      <c r="C11284" s="1" t="n">
        <v>45587</v>
      </c>
      <c r="D11284" t="inlineStr">
        <is>
          <t>GÄVLEBORGS LÄN</t>
        </is>
      </c>
      <c r="E11284" t="inlineStr">
        <is>
          <t>OCKELBO</t>
        </is>
      </c>
      <c r="F11284" t="inlineStr">
        <is>
          <t>Bergvik skog väst AB</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28933-2024</t>
        </is>
      </c>
      <c r="B11285" s="1" t="n">
        <v>45481</v>
      </c>
      <c r="C11285" s="1" t="n">
        <v>45587</v>
      </c>
      <c r="D11285" t="inlineStr">
        <is>
          <t>GÄVLEBORGS LÄN</t>
        </is>
      </c>
      <c r="E11285" t="inlineStr">
        <is>
          <t>GÄVLE</t>
        </is>
      </c>
      <c r="F11285" t="inlineStr">
        <is>
          <t>Bergvik skog väst AB</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29025-2024</t>
        </is>
      </c>
      <c r="B11286" s="1" t="n">
        <v>45481</v>
      </c>
      <c r="C11286" s="1" t="n">
        <v>45587</v>
      </c>
      <c r="D11286" t="inlineStr">
        <is>
          <t>GÄVLEBORGS LÄN</t>
        </is>
      </c>
      <c r="E11286" t="inlineStr">
        <is>
          <t>GÄVLE</t>
        </is>
      </c>
      <c r="F11286" t="inlineStr">
        <is>
          <t>Bergvik skog väst AB</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29004-2024</t>
        </is>
      </c>
      <c r="B11287" s="1" t="n">
        <v>45481</v>
      </c>
      <c r="C11287" s="1" t="n">
        <v>45587</v>
      </c>
      <c r="D11287" t="inlineStr">
        <is>
          <t>GÄVLEBORGS LÄN</t>
        </is>
      </c>
      <c r="E11287" t="inlineStr">
        <is>
          <t>HUDIKSVALL</t>
        </is>
      </c>
      <c r="F11287" t="inlineStr">
        <is>
          <t>Holmen skog AB</t>
        </is>
      </c>
      <c r="G11287" t="n">
        <v>4.6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28966-2024</t>
        </is>
      </c>
      <c r="B11288" s="1" t="n">
        <v>45481</v>
      </c>
      <c r="C11288" s="1" t="n">
        <v>45587</v>
      </c>
      <c r="D11288" t="inlineStr">
        <is>
          <t>GÄVLEBORGS LÄN</t>
        </is>
      </c>
      <c r="E11288" t="inlineStr">
        <is>
          <t>OCKELBO</t>
        </is>
      </c>
      <c r="G11288" t="n">
        <v>5.7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28942-2024</t>
        </is>
      </c>
      <c r="B11289" s="1" t="n">
        <v>45481</v>
      </c>
      <c r="C11289" s="1" t="n">
        <v>45587</v>
      </c>
      <c r="D11289" t="inlineStr">
        <is>
          <t>GÄVLEBORGS LÄN</t>
        </is>
      </c>
      <c r="E11289" t="inlineStr">
        <is>
          <t>GÄVLE</t>
        </is>
      </c>
      <c r="F11289" t="inlineStr">
        <is>
          <t>Bergvik skog väst AB</t>
        </is>
      </c>
      <c r="G11289" t="n">
        <v>8</v>
      </c>
      <c r="H11289" t="n">
        <v>0</v>
      </c>
      <c r="I11289" t="n">
        <v>0</v>
      </c>
      <c r="J11289" t="n">
        <v>0</v>
      </c>
      <c r="K11289" t="n">
        <v>0</v>
      </c>
      <c r="L11289" t="n">
        <v>0</v>
      </c>
      <c r="M11289" t="n">
        <v>0</v>
      </c>
      <c r="N11289" t="n">
        <v>0</v>
      </c>
      <c r="O11289" t="n">
        <v>0</v>
      </c>
      <c r="P11289" t="n">
        <v>0</v>
      </c>
      <c r="Q11289" t="n">
        <v>0</v>
      </c>
      <c r="R11289" s="2" t="inlineStr"/>
      <c r="U11289">
        <f>HYPERLINK("https://klasma.github.io/Logging_2180/knärot/A 28942-2024 karta knärot.png", "A 28942-2024")</f>
        <v/>
      </c>
      <c r="V11289">
        <f>HYPERLINK("https://klasma.github.io/Logging_2180/klagomål/A 28942-2024 FSC-klagomål.docx", "A 28942-2024")</f>
        <v/>
      </c>
      <c r="W11289">
        <f>HYPERLINK("https://klasma.github.io/Logging_2180/klagomålsmail/A 28942-2024 FSC-klagomål mail.docx", "A 28942-2024")</f>
        <v/>
      </c>
      <c r="X11289">
        <f>HYPERLINK("https://klasma.github.io/Logging_2180/tillsyn/A 28942-2024 tillsynsbegäran.docx", "A 28942-2024")</f>
        <v/>
      </c>
      <c r="Y11289">
        <f>HYPERLINK("https://klasma.github.io/Logging_2180/tillsynsmail/A 28942-2024 tillsynsbegäran mail.docx", "A 28942-2024")</f>
        <v/>
      </c>
    </row>
    <row r="11290" ht="15" customHeight="1">
      <c r="A11290" t="inlineStr">
        <is>
          <t>A 28935-2024</t>
        </is>
      </c>
      <c r="B11290" s="1" t="n">
        <v>45481</v>
      </c>
      <c r="C11290" s="1" t="n">
        <v>45587</v>
      </c>
      <c r="D11290" t="inlineStr">
        <is>
          <t>GÄVLEBORGS LÄN</t>
        </is>
      </c>
      <c r="E11290" t="inlineStr">
        <is>
          <t>GÄVLE</t>
        </is>
      </c>
      <c r="F11290" t="inlineStr">
        <is>
          <t>Bergvik skog väst AB</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29134-2024</t>
        </is>
      </c>
      <c r="B11291" s="1" t="n">
        <v>45482</v>
      </c>
      <c r="C11291" s="1" t="n">
        <v>45587</v>
      </c>
      <c r="D11291" t="inlineStr">
        <is>
          <t>GÄVLEBORGS LÄN</t>
        </is>
      </c>
      <c r="E11291" t="inlineStr">
        <is>
          <t>SÖDERHAMN</t>
        </is>
      </c>
      <c r="F11291" t="inlineStr">
        <is>
          <t>Kommuner</t>
        </is>
      </c>
      <c r="G11291" t="n">
        <v>7.3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29219-2024</t>
        </is>
      </c>
      <c r="B11292" s="1" t="n">
        <v>45482</v>
      </c>
      <c r="C11292" s="1" t="n">
        <v>45587</v>
      </c>
      <c r="D11292" t="inlineStr">
        <is>
          <t>GÄVLEBORGS LÄN</t>
        </is>
      </c>
      <c r="E11292" t="inlineStr">
        <is>
          <t>BOLLNÄS</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29202-2024</t>
        </is>
      </c>
      <c r="B11293" s="1" t="n">
        <v>45482</v>
      </c>
      <c r="C11293" s="1" t="n">
        <v>45587</v>
      </c>
      <c r="D11293" t="inlineStr">
        <is>
          <t>GÄVLEBORGS LÄN</t>
        </is>
      </c>
      <c r="E11293" t="inlineStr">
        <is>
          <t>LJUSDAL</t>
        </is>
      </c>
      <c r="G11293" t="n">
        <v>3.3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29128-2024</t>
        </is>
      </c>
      <c r="B11294" s="1" t="n">
        <v>45482</v>
      </c>
      <c r="C11294" s="1" t="n">
        <v>45587</v>
      </c>
      <c r="D11294" t="inlineStr">
        <is>
          <t>GÄVLEBORGS LÄN</t>
        </is>
      </c>
      <c r="E11294" t="inlineStr">
        <is>
          <t>LJUSDAL</t>
        </is>
      </c>
      <c r="G11294" t="n">
        <v>5.8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29362-2024</t>
        </is>
      </c>
      <c r="B11295" s="1" t="n">
        <v>45483</v>
      </c>
      <c r="C11295" s="1" t="n">
        <v>45587</v>
      </c>
      <c r="D11295" t="inlineStr">
        <is>
          <t>GÄVLEBORGS LÄN</t>
        </is>
      </c>
      <c r="E11295" t="inlineStr">
        <is>
          <t>LJUSDAL</t>
        </is>
      </c>
      <c r="G11295" t="n">
        <v>5.5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29331-2024</t>
        </is>
      </c>
      <c r="B11296" s="1" t="n">
        <v>45483</v>
      </c>
      <c r="C11296" s="1" t="n">
        <v>45587</v>
      </c>
      <c r="D11296" t="inlineStr">
        <is>
          <t>GÄVLEBORGS LÄN</t>
        </is>
      </c>
      <c r="E11296" t="inlineStr">
        <is>
          <t>HUDIKSVALL</t>
        </is>
      </c>
      <c r="F11296" t="inlineStr">
        <is>
          <t>Holmen skog AB</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29314-2024</t>
        </is>
      </c>
      <c r="B11297" s="1" t="n">
        <v>45483</v>
      </c>
      <c r="C11297" s="1" t="n">
        <v>45587</v>
      </c>
      <c r="D11297" t="inlineStr">
        <is>
          <t>GÄVLEBORGS LÄN</t>
        </is>
      </c>
      <c r="E11297" t="inlineStr">
        <is>
          <t>LJUSDAL</t>
        </is>
      </c>
      <c r="G11297" t="n">
        <v>4.4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29310-2024</t>
        </is>
      </c>
      <c r="B11298" s="1" t="n">
        <v>45483</v>
      </c>
      <c r="C11298" s="1" t="n">
        <v>45587</v>
      </c>
      <c r="D11298" t="inlineStr">
        <is>
          <t>GÄVLEBORGS LÄN</t>
        </is>
      </c>
      <c r="E11298" t="inlineStr">
        <is>
          <t>BOLLNÄS</t>
        </is>
      </c>
      <c r="G11298" t="n">
        <v>4.6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29294-2024</t>
        </is>
      </c>
      <c r="B11299" s="1" t="n">
        <v>45483</v>
      </c>
      <c r="C11299" s="1" t="n">
        <v>45587</v>
      </c>
      <c r="D11299" t="inlineStr">
        <is>
          <t>GÄVLEBORGS LÄN</t>
        </is>
      </c>
      <c r="E11299" t="inlineStr">
        <is>
          <t>OVANÅKER</t>
        </is>
      </c>
      <c r="F11299" t="inlineStr">
        <is>
          <t>Bergvik skog väst AB</t>
        </is>
      </c>
      <c r="G11299" t="n">
        <v>15.6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29289-2024</t>
        </is>
      </c>
      <c r="B11300" s="1" t="n">
        <v>45483</v>
      </c>
      <c r="C11300" s="1" t="n">
        <v>45587</v>
      </c>
      <c r="D11300" t="inlineStr">
        <is>
          <t>GÄVLEBORGS LÄN</t>
        </is>
      </c>
      <c r="E11300" t="inlineStr">
        <is>
          <t>SANDVIKEN</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29284-2024</t>
        </is>
      </c>
      <c r="B11301" s="1" t="n">
        <v>45483</v>
      </c>
      <c r="C11301" s="1" t="n">
        <v>45587</v>
      </c>
      <c r="D11301" t="inlineStr">
        <is>
          <t>GÄVLEBORGS LÄN</t>
        </is>
      </c>
      <c r="E11301" t="inlineStr">
        <is>
          <t>SANDVIKEN</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29363-2024</t>
        </is>
      </c>
      <c r="B11302" s="1" t="n">
        <v>45483</v>
      </c>
      <c r="C11302" s="1" t="n">
        <v>45587</v>
      </c>
      <c r="D11302" t="inlineStr">
        <is>
          <t>GÄVLEBORGS LÄN</t>
        </is>
      </c>
      <c r="E11302" t="inlineStr">
        <is>
          <t>LJUSDAL</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29380-2024</t>
        </is>
      </c>
      <c r="B11303" s="1" t="n">
        <v>45483</v>
      </c>
      <c r="C11303" s="1" t="n">
        <v>45587</v>
      </c>
      <c r="D11303" t="inlineStr">
        <is>
          <t>GÄVLEBORGS LÄN</t>
        </is>
      </c>
      <c r="E11303" t="inlineStr">
        <is>
          <t>NORDANSTIG</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29297-2024</t>
        </is>
      </c>
      <c r="B11304" s="1" t="n">
        <v>45483</v>
      </c>
      <c r="C11304" s="1" t="n">
        <v>45587</v>
      </c>
      <c r="D11304" t="inlineStr">
        <is>
          <t>GÄVLEBORGS LÄN</t>
        </is>
      </c>
      <c r="E11304" t="inlineStr">
        <is>
          <t>SANDVIKEN</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29388-2024</t>
        </is>
      </c>
      <c r="B11305" s="1" t="n">
        <v>45483</v>
      </c>
      <c r="C11305" s="1" t="n">
        <v>45587</v>
      </c>
      <c r="D11305" t="inlineStr">
        <is>
          <t>GÄVLEBORGS LÄN</t>
        </is>
      </c>
      <c r="E11305" t="inlineStr">
        <is>
          <t>NORDANSTIG</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29337-2024</t>
        </is>
      </c>
      <c r="B11306" s="1" t="n">
        <v>45483</v>
      </c>
      <c r="C11306" s="1" t="n">
        <v>45587</v>
      </c>
      <c r="D11306" t="inlineStr">
        <is>
          <t>GÄVLEBORGS LÄN</t>
        </is>
      </c>
      <c r="E11306" t="inlineStr">
        <is>
          <t>HUDIKSVALL</t>
        </is>
      </c>
      <c r="F11306" t="inlineStr">
        <is>
          <t>Holmen skog AB</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29452-2024</t>
        </is>
      </c>
      <c r="B11307" s="1" t="n">
        <v>45484</v>
      </c>
      <c r="C11307" s="1" t="n">
        <v>45587</v>
      </c>
      <c r="D11307" t="inlineStr">
        <is>
          <t>GÄVLEBORGS LÄN</t>
        </is>
      </c>
      <c r="E11307" t="inlineStr">
        <is>
          <t>HUDIKSVALL</t>
        </is>
      </c>
      <c r="G11307" t="n">
        <v>7.3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29296-2024</t>
        </is>
      </c>
      <c r="B11308" s="1" t="n">
        <v>45483</v>
      </c>
      <c r="C11308" s="1" t="n">
        <v>45587</v>
      </c>
      <c r="D11308" t="inlineStr">
        <is>
          <t>GÄVLEBORGS LÄN</t>
        </is>
      </c>
      <c r="E11308" t="inlineStr">
        <is>
          <t>SANDVIKEN</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29500-2024</t>
        </is>
      </c>
      <c r="B11309" s="1" t="n">
        <v>45484</v>
      </c>
      <c r="C11309" s="1" t="n">
        <v>45587</v>
      </c>
      <c r="D11309" t="inlineStr">
        <is>
          <t>GÄVLEBORGS LÄN</t>
        </is>
      </c>
      <c r="E11309" t="inlineStr">
        <is>
          <t>NORDANSTIG</t>
        </is>
      </c>
      <c r="F11309" t="inlineStr">
        <is>
          <t>Holmen skog AB</t>
        </is>
      </c>
      <c r="G11309" t="n">
        <v>7.6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29532-2024</t>
        </is>
      </c>
      <c r="B11310" s="1" t="n">
        <v>45484</v>
      </c>
      <c r="C11310" s="1" t="n">
        <v>45587</v>
      </c>
      <c r="D11310" t="inlineStr">
        <is>
          <t>GÄVLEBORGS LÄN</t>
        </is>
      </c>
      <c r="E11310" t="inlineStr">
        <is>
          <t>NORDANSTIG</t>
        </is>
      </c>
      <c r="F11310" t="inlineStr">
        <is>
          <t>Holmen skog AB</t>
        </is>
      </c>
      <c r="G11310" t="n">
        <v>3.4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29553-2024</t>
        </is>
      </c>
      <c r="B11311" s="1" t="n">
        <v>45484</v>
      </c>
      <c r="C11311" s="1" t="n">
        <v>45587</v>
      </c>
      <c r="D11311" t="inlineStr">
        <is>
          <t>GÄVLEBORGS LÄN</t>
        </is>
      </c>
      <c r="E11311" t="inlineStr">
        <is>
          <t>LJUSDAL</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29548-2024</t>
        </is>
      </c>
      <c r="B11312" s="1" t="n">
        <v>45484</v>
      </c>
      <c r="C11312" s="1" t="n">
        <v>45587</v>
      </c>
      <c r="D11312" t="inlineStr">
        <is>
          <t>GÄVLEBORGS LÄN</t>
        </is>
      </c>
      <c r="E11312" t="inlineStr">
        <is>
          <t>LJUSDAL</t>
        </is>
      </c>
      <c r="G11312" t="n">
        <v>7.7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29567-2024</t>
        </is>
      </c>
      <c r="B11313" s="1" t="n">
        <v>45484</v>
      </c>
      <c r="C11313" s="1" t="n">
        <v>45587</v>
      </c>
      <c r="D11313" t="inlineStr">
        <is>
          <t>GÄVLEBORGS LÄN</t>
        </is>
      </c>
      <c r="E11313" t="inlineStr">
        <is>
          <t>OCKELBO</t>
        </is>
      </c>
      <c r="G11313" t="n">
        <v>3.7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29547-2024</t>
        </is>
      </c>
      <c r="B11314" s="1" t="n">
        <v>45484</v>
      </c>
      <c r="C11314" s="1" t="n">
        <v>45587</v>
      </c>
      <c r="D11314" t="inlineStr">
        <is>
          <t>GÄVLEBORGS LÄN</t>
        </is>
      </c>
      <c r="E11314" t="inlineStr">
        <is>
          <t>LJUSDAL</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29498-2024</t>
        </is>
      </c>
      <c r="B11315" s="1" t="n">
        <v>45484</v>
      </c>
      <c r="C11315" s="1" t="n">
        <v>45587</v>
      </c>
      <c r="D11315" t="inlineStr">
        <is>
          <t>GÄVLEBORGS LÄN</t>
        </is>
      </c>
      <c r="E11315" t="inlineStr">
        <is>
          <t>SÖDERHAMN</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29562-2024</t>
        </is>
      </c>
      <c r="B11316" s="1" t="n">
        <v>45484</v>
      </c>
      <c r="C11316" s="1" t="n">
        <v>45587</v>
      </c>
      <c r="D11316" t="inlineStr">
        <is>
          <t>GÄVLEBORGS LÄN</t>
        </is>
      </c>
      <c r="E11316" t="inlineStr">
        <is>
          <t>LJUSDAL</t>
        </is>
      </c>
      <c r="F11316" t="inlineStr">
        <is>
          <t>Bergvik skog väst AB</t>
        </is>
      </c>
      <c r="G11316" t="n">
        <v>6.4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29554-2024</t>
        </is>
      </c>
      <c r="B11317" s="1" t="n">
        <v>45484</v>
      </c>
      <c r="C11317" s="1" t="n">
        <v>45587</v>
      </c>
      <c r="D11317" t="inlineStr">
        <is>
          <t>GÄVLEBORGS LÄN</t>
        </is>
      </c>
      <c r="E11317" t="inlineStr">
        <is>
          <t>LJUSDAL</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29482-2024</t>
        </is>
      </c>
      <c r="B11318" s="1" t="n">
        <v>45484</v>
      </c>
      <c r="C11318" s="1" t="n">
        <v>45587</v>
      </c>
      <c r="D11318" t="inlineStr">
        <is>
          <t>GÄVLEBORGS LÄN</t>
        </is>
      </c>
      <c r="E11318" t="inlineStr">
        <is>
          <t>LJUSDAL</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29863-2024</t>
        </is>
      </c>
      <c r="B11319" s="1" t="n">
        <v>45486</v>
      </c>
      <c r="C11319" s="1" t="n">
        <v>45587</v>
      </c>
      <c r="D11319" t="inlineStr">
        <is>
          <t>GÄVLEBORGS LÄN</t>
        </is>
      </c>
      <c r="E11319" t="inlineStr">
        <is>
          <t>SÖDERHAMN</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29855-2024</t>
        </is>
      </c>
      <c r="B11320" s="1" t="n">
        <v>45485</v>
      </c>
      <c r="C11320" s="1" t="n">
        <v>45587</v>
      </c>
      <c r="D11320" t="inlineStr">
        <is>
          <t>GÄVLEBORGS LÄN</t>
        </is>
      </c>
      <c r="E11320" t="inlineStr">
        <is>
          <t>GÄVLE</t>
        </is>
      </c>
      <c r="F11320" t="inlineStr">
        <is>
          <t>Bergvik skog väst AB</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29835-2024</t>
        </is>
      </c>
      <c r="B11321" s="1" t="n">
        <v>45485</v>
      </c>
      <c r="C11321" s="1" t="n">
        <v>45587</v>
      </c>
      <c r="D11321" t="inlineStr">
        <is>
          <t>GÄVLEBORGS LÄN</t>
        </is>
      </c>
      <c r="E11321" t="inlineStr">
        <is>
          <t>OCKELBO</t>
        </is>
      </c>
      <c r="G11321" t="n">
        <v>10.2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29795-2024</t>
        </is>
      </c>
      <c r="B11322" s="1" t="n">
        <v>45485</v>
      </c>
      <c r="C11322" s="1" t="n">
        <v>45587</v>
      </c>
      <c r="D11322" t="inlineStr">
        <is>
          <t>GÄVLEBORGS LÄN</t>
        </is>
      </c>
      <c r="E11322" t="inlineStr">
        <is>
          <t>BOLLNÄS</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29742-2024</t>
        </is>
      </c>
      <c r="B11323" s="1" t="n">
        <v>45485</v>
      </c>
      <c r="C11323" s="1" t="n">
        <v>45587</v>
      </c>
      <c r="D11323" t="inlineStr">
        <is>
          <t>GÄVLEBORGS LÄN</t>
        </is>
      </c>
      <c r="E11323" t="inlineStr">
        <is>
          <t>BOLLNÄS</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29802-2024</t>
        </is>
      </c>
      <c r="B11324" s="1" t="n">
        <v>45485</v>
      </c>
      <c r="C11324" s="1" t="n">
        <v>45587</v>
      </c>
      <c r="D11324" t="inlineStr">
        <is>
          <t>GÄVLEBORGS LÄN</t>
        </is>
      </c>
      <c r="E11324" t="inlineStr">
        <is>
          <t>BOLLNÄS</t>
        </is>
      </c>
      <c r="F11324" t="inlineStr">
        <is>
          <t>Bergvik skog väst AB</t>
        </is>
      </c>
      <c r="G11324" t="n">
        <v>10.3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29763-2024</t>
        </is>
      </c>
      <c r="B11325" s="1" t="n">
        <v>45485</v>
      </c>
      <c r="C11325" s="1" t="n">
        <v>45587</v>
      </c>
      <c r="D11325" t="inlineStr">
        <is>
          <t>GÄVLEBORGS LÄN</t>
        </is>
      </c>
      <c r="E11325" t="inlineStr">
        <is>
          <t>SANDVIKEN</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29747-2024</t>
        </is>
      </c>
      <c r="B11326" s="1" t="n">
        <v>45485</v>
      </c>
      <c r="C11326" s="1" t="n">
        <v>45587</v>
      </c>
      <c r="D11326" t="inlineStr">
        <is>
          <t>GÄVLEBORGS LÄN</t>
        </is>
      </c>
      <c r="E11326" t="inlineStr">
        <is>
          <t>BOLLNÄS</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29700-2024</t>
        </is>
      </c>
      <c r="B11327" s="1" t="n">
        <v>45485</v>
      </c>
      <c r="C11327" s="1" t="n">
        <v>45587</v>
      </c>
      <c r="D11327" t="inlineStr">
        <is>
          <t>GÄVLEBORGS LÄN</t>
        </is>
      </c>
      <c r="E11327" t="inlineStr">
        <is>
          <t>BOLLNÄS</t>
        </is>
      </c>
      <c r="F11327" t="inlineStr">
        <is>
          <t>Bergvik skog väst AB</t>
        </is>
      </c>
      <c r="G11327" t="n">
        <v>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29720-2024</t>
        </is>
      </c>
      <c r="B11328" s="1" t="n">
        <v>45485</v>
      </c>
      <c r="C11328" s="1" t="n">
        <v>45587</v>
      </c>
      <c r="D11328" t="inlineStr">
        <is>
          <t>GÄVLEBORGS LÄN</t>
        </is>
      </c>
      <c r="E11328" t="inlineStr">
        <is>
          <t>BOLLNÄS</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29701-2024</t>
        </is>
      </c>
      <c r="B11329" s="1" t="n">
        <v>45485</v>
      </c>
      <c r="C11329" s="1" t="n">
        <v>45587</v>
      </c>
      <c r="D11329" t="inlineStr">
        <is>
          <t>GÄVLEBORGS LÄN</t>
        </is>
      </c>
      <c r="E11329" t="inlineStr">
        <is>
          <t>BOLLNÄS</t>
        </is>
      </c>
      <c r="F11329" t="inlineStr">
        <is>
          <t>Bergvik skog väst AB</t>
        </is>
      </c>
      <c r="G11329" t="n">
        <v>6.2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29713-2024</t>
        </is>
      </c>
      <c r="B11330" s="1" t="n">
        <v>45485</v>
      </c>
      <c r="C11330" s="1" t="n">
        <v>45587</v>
      </c>
      <c r="D11330" t="inlineStr">
        <is>
          <t>GÄVLEBORGS LÄN</t>
        </is>
      </c>
      <c r="E11330" t="inlineStr">
        <is>
          <t>SÖDERHAMN</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29796-2024</t>
        </is>
      </c>
      <c r="B11331" s="1" t="n">
        <v>45485</v>
      </c>
      <c r="C11331" s="1" t="n">
        <v>45587</v>
      </c>
      <c r="D11331" t="inlineStr">
        <is>
          <t>GÄVLEBORGS LÄN</t>
        </is>
      </c>
      <c r="E11331" t="inlineStr">
        <is>
          <t>BOLLNÄS</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29812-2024</t>
        </is>
      </c>
      <c r="B11332" s="1" t="n">
        <v>45485</v>
      </c>
      <c r="C11332" s="1" t="n">
        <v>45587</v>
      </c>
      <c r="D11332" t="inlineStr">
        <is>
          <t>GÄVLEBORGS LÄN</t>
        </is>
      </c>
      <c r="E11332" t="inlineStr">
        <is>
          <t>LJUSDAL</t>
        </is>
      </c>
      <c r="F11332" t="inlineStr">
        <is>
          <t>Allmännings- och besparingsskogar</t>
        </is>
      </c>
      <c r="G11332" t="n">
        <v>10.3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29821-2024</t>
        </is>
      </c>
      <c r="B11333" s="1" t="n">
        <v>45485</v>
      </c>
      <c r="C11333" s="1" t="n">
        <v>45587</v>
      </c>
      <c r="D11333" t="inlineStr">
        <is>
          <t>GÄVLEBORGS LÄN</t>
        </is>
      </c>
      <c r="E11333" t="inlineStr">
        <is>
          <t>SÖDERHAMN</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30104-2024</t>
        </is>
      </c>
      <c r="B11334" s="1" t="n">
        <v>45485</v>
      </c>
      <c r="C11334" s="1" t="n">
        <v>45587</v>
      </c>
      <c r="D11334" t="inlineStr">
        <is>
          <t>GÄVLEBORGS LÄN</t>
        </is>
      </c>
      <c r="E11334" t="inlineStr">
        <is>
          <t>GÄVLE</t>
        </is>
      </c>
      <c r="F11334" t="inlineStr">
        <is>
          <t>Bergvik skog väst AB</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29862-2024</t>
        </is>
      </c>
      <c r="B11335" s="1" t="n">
        <v>45486</v>
      </c>
      <c r="C11335" s="1" t="n">
        <v>45587</v>
      </c>
      <c r="D11335" t="inlineStr">
        <is>
          <t>GÄVLEBORGS LÄN</t>
        </is>
      </c>
      <c r="E11335" t="inlineStr">
        <is>
          <t>SÖDERHAMN</t>
        </is>
      </c>
      <c r="G11335" t="n">
        <v>3.4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29735-2024</t>
        </is>
      </c>
      <c r="B11336" s="1" t="n">
        <v>45485</v>
      </c>
      <c r="C11336" s="1" t="n">
        <v>45587</v>
      </c>
      <c r="D11336" t="inlineStr">
        <is>
          <t>GÄVLEBORGS LÄN</t>
        </is>
      </c>
      <c r="E11336" t="inlineStr">
        <is>
          <t>SÖDERHAMN</t>
        </is>
      </c>
      <c r="G11336" t="n">
        <v>20.4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29723-2024</t>
        </is>
      </c>
      <c r="B11337" s="1" t="n">
        <v>45485</v>
      </c>
      <c r="C11337" s="1" t="n">
        <v>45587</v>
      </c>
      <c r="D11337" t="inlineStr">
        <is>
          <t>GÄVLEBORGS LÄN</t>
        </is>
      </c>
      <c r="E11337" t="inlineStr">
        <is>
          <t>BOLLNÄS</t>
        </is>
      </c>
      <c r="G11337" t="n">
        <v>0.3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29715-2024</t>
        </is>
      </c>
      <c r="B11338" s="1" t="n">
        <v>45485</v>
      </c>
      <c r="C11338" s="1" t="n">
        <v>45587</v>
      </c>
      <c r="D11338" t="inlineStr">
        <is>
          <t>GÄVLEBORGS LÄN</t>
        </is>
      </c>
      <c r="E11338" t="inlineStr">
        <is>
          <t>BOLLNÄS</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29881-2024</t>
        </is>
      </c>
      <c r="B11339" s="1" t="n">
        <v>45486</v>
      </c>
      <c r="C11339" s="1" t="n">
        <v>45587</v>
      </c>
      <c r="D11339" t="inlineStr">
        <is>
          <t>GÄVLEBORGS LÄN</t>
        </is>
      </c>
      <c r="E11339" t="inlineStr">
        <is>
          <t>BOLLNÄS</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29884-2024</t>
        </is>
      </c>
      <c r="B11340" s="1" t="n">
        <v>45486</v>
      </c>
      <c r="C11340" s="1" t="n">
        <v>45587</v>
      </c>
      <c r="D11340" t="inlineStr">
        <is>
          <t>GÄVLEBORGS LÄN</t>
        </is>
      </c>
      <c r="E11340" t="inlineStr">
        <is>
          <t>GÄVLE</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29905-2024</t>
        </is>
      </c>
      <c r="B11341" s="1" t="n">
        <v>45487</v>
      </c>
      <c r="C11341" s="1" t="n">
        <v>45587</v>
      </c>
      <c r="D11341" t="inlineStr">
        <is>
          <t>GÄVLEBORGS LÄN</t>
        </is>
      </c>
      <c r="E11341" t="inlineStr">
        <is>
          <t>HUDIKSVALL</t>
        </is>
      </c>
      <c r="F11341" t="inlineStr">
        <is>
          <t>Holmen skog AB</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29909-2024</t>
        </is>
      </c>
      <c r="B11342" s="1" t="n">
        <v>45487</v>
      </c>
      <c r="C11342" s="1" t="n">
        <v>45587</v>
      </c>
      <c r="D11342" t="inlineStr">
        <is>
          <t>GÄVLEBORGS LÄN</t>
        </is>
      </c>
      <c r="E11342" t="inlineStr">
        <is>
          <t>NORDANSTIG</t>
        </is>
      </c>
      <c r="F11342" t="inlineStr">
        <is>
          <t>Holmen skog AB</t>
        </is>
      </c>
      <c r="G11342" t="n">
        <v>4.6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29904-2024</t>
        </is>
      </c>
      <c r="B11343" s="1" t="n">
        <v>45487</v>
      </c>
      <c r="C11343" s="1" t="n">
        <v>45587</v>
      </c>
      <c r="D11343" t="inlineStr">
        <is>
          <t>GÄVLEBORGS LÄN</t>
        </is>
      </c>
      <c r="E11343" t="inlineStr">
        <is>
          <t>HUDIKSVALL</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30018-2024</t>
        </is>
      </c>
      <c r="B11344" s="1" t="n">
        <v>45488</v>
      </c>
      <c r="C11344" s="1" t="n">
        <v>45587</v>
      </c>
      <c r="D11344" t="inlineStr">
        <is>
          <t>GÄVLEBORGS LÄN</t>
        </is>
      </c>
      <c r="E11344" t="inlineStr">
        <is>
          <t>NORDANSTIG</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29953-2024</t>
        </is>
      </c>
      <c r="B11345" s="1" t="n">
        <v>45488</v>
      </c>
      <c r="C11345" s="1" t="n">
        <v>45587</v>
      </c>
      <c r="D11345" t="inlineStr">
        <is>
          <t>GÄVLEBORGS LÄN</t>
        </is>
      </c>
      <c r="E11345" t="inlineStr">
        <is>
          <t>OCKELBO</t>
        </is>
      </c>
      <c r="G11345" t="n">
        <v>3.1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29998-2024</t>
        </is>
      </c>
      <c r="B11346" s="1" t="n">
        <v>45488</v>
      </c>
      <c r="C11346" s="1" t="n">
        <v>45587</v>
      </c>
      <c r="D11346" t="inlineStr">
        <is>
          <t>GÄVLEBORGS LÄN</t>
        </is>
      </c>
      <c r="E11346" t="inlineStr">
        <is>
          <t>HUDIKSVALL</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30007-2024</t>
        </is>
      </c>
      <c r="B11347" s="1" t="n">
        <v>45488</v>
      </c>
      <c r="C11347" s="1" t="n">
        <v>45587</v>
      </c>
      <c r="D11347" t="inlineStr">
        <is>
          <t>GÄVLEBORGS LÄN</t>
        </is>
      </c>
      <c r="E11347" t="inlineStr">
        <is>
          <t>HOFORS</t>
        </is>
      </c>
      <c r="F11347" t="inlineStr">
        <is>
          <t>Sveaskog</t>
        </is>
      </c>
      <c r="G11347" t="n">
        <v>11.5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29988-2024</t>
        </is>
      </c>
      <c r="B11348" s="1" t="n">
        <v>45488</v>
      </c>
      <c r="C11348" s="1" t="n">
        <v>45587</v>
      </c>
      <c r="D11348" t="inlineStr">
        <is>
          <t>GÄVLEBORGS LÄN</t>
        </is>
      </c>
      <c r="E11348" t="inlineStr">
        <is>
          <t>HUDIKSVALL</t>
        </is>
      </c>
      <c r="G11348" t="n">
        <v>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29928-2024</t>
        </is>
      </c>
      <c r="B11349" s="1" t="n">
        <v>45488</v>
      </c>
      <c r="C11349" s="1" t="n">
        <v>45587</v>
      </c>
      <c r="D11349" t="inlineStr">
        <is>
          <t>GÄVLEBORGS LÄN</t>
        </is>
      </c>
      <c r="E11349" t="inlineStr">
        <is>
          <t>SANDVIKEN</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29934-2024</t>
        </is>
      </c>
      <c r="B11350" s="1" t="n">
        <v>45488</v>
      </c>
      <c r="C11350" s="1" t="n">
        <v>45587</v>
      </c>
      <c r="D11350" t="inlineStr">
        <is>
          <t>GÄVLEBORGS LÄN</t>
        </is>
      </c>
      <c r="E11350" t="inlineStr">
        <is>
          <t>LJUSDAL</t>
        </is>
      </c>
      <c r="F11350" t="inlineStr">
        <is>
          <t>Bergvik skog väst AB</t>
        </is>
      </c>
      <c r="G11350" t="n">
        <v>13.9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29954-2024</t>
        </is>
      </c>
      <c r="B11351" s="1" t="n">
        <v>45488</v>
      </c>
      <c r="C11351" s="1" t="n">
        <v>45587</v>
      </c>
      <c r="D11351" t="inlineStr">
        <is>
          <t>GÄVLEBORGS LÄN</t>
        </is>
      </c>
      <c r="E11351" t="inlineStr">
        <is>
          <t>OCKELBO</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29927-2024</t>
        </is>
      </c>
      <c r="B11352" s="1" t="n">
        <v>45488</v>
      </c>
      <c r="C11352" s="1" t="n">
        <v>45587</v>
      </c>
      <c r="D11352" t="inlineStr">
        <is>
          <t>GÄVLEBORGS LÄN</t>
        </is>
      </c>
      <c r="E11352" t="inlineStr">
        <is>
          <t>GÄVLE</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29963-2024</t>
        </is>
      </c>
      <c r="B11353" s="1" t="n">
        <v>45488</v>
      </c>
      <c r="C11353" s="1" t="n">
        <v>45587</v>
      </c>
      <c r="D11353" t="inlineStr">
        <is>
          <t>GÄVLEBORGS LÄN</t>
        </is>
      </c>
      <c r="E11353" t="inlineStr">
        <is>
          <t>OCKELBO</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29968-2024</t>
        </is>
      </c>
      <c r="B11354" s="1" t="n">
        <v>45488</v>
      </c>
      <c r="C11354" s="1" t="n">
        <v>45587</v>
      </c>
      <c r="D11354" t="inlineStr">
        <is>
          <t>GÄVLEBORGS LÄN</t>
        </is>
      </c>
      <c r="E11354" t="inlineStr">
        <is>
          <t>OCKELBO</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30009-2024</t>
        </is>
      </c>
      <c r="B11355" s="1" t="n">
        <v>45488</v>
      </c>
      <c r="C11355" s="1" t="n">
        <v>45587</v>
      </c>
      <c r="D11355" t="inlineStr">
        <is>
          <t>GÄVLEBORGS LÄN</t>
        </is>
      </c>
      <c r="E11355" t="inlineStr">
        <is>
          <t>HOFORS</t>
        </is>
      </c>
      <c r="F11355" t="inlineStr">
        <is>
          <t>Sveaskog</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30078-2024</t>
        </is>
      </c>
      <c r="B11356" s="1" t="n">
        <v>45489</v>
      </c>
      <c r="C11356" s="1" t="n">
        <v>45587</v>
      </c>
      <c r="D11356" t="inlineStr">
        <is>
          <t>GÄVLEBORGS LÄN</t>
        </is>
      </c>
      <c r="E11356" t="inlineStr">
        <is>
          <t>NORDANSTIG</t>
        </is>
      </c>
      <c r="F11356" t="inlineStr">
        <is>
          <t>Holmen skog AB</t>
        </is>
      </c>
      <c r="G11356" t="n">
        <v>4.7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30132-2024</t>
        </is>
      </c>
      <c r="B11357" s="1" t="n">
        <v>45489</v>
      </c>
      <c r="C11357" s="1" t="n">
        <v>45587</v>
      </c>
      <c r="D11357" t="inlineStr">
        <is>
          <t>GÄVLEBORGS LÄN</t>
        </is>
      </c>
      <c r="E11357" t="inlineStr">
        <is>
          <t>BOLLNÄS</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30070-2024</t>
        </is>
      </c>
      <c r="B11358" s="1" t="n">
        <v>45489</v>
      </c>
      <c r="C11358" s="1" t="n">
        <v>45587</v>
      </c>
      <c r="D11358" t="inlineStr">
        <is>
          <t>GÄVLEBORGS LÄN</t>
        </is>
      </c>
      <c r="E11358" t="inlineStr">
        <is>
          <t>BOLLNÄS</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30071-2024</t>
        </is>
      </c>
      <c r="B11359" s="1" t="n">
        <v>45489</v>
      </c>
      <c r="C11359" s="1" t="n">
        <v>45587</v>
      </c>
      <c r="D11359" t="inlineStr">
        <is>
          <t>GÄVLEBORGS LÄN</t>
        </is>
      </c>
      <c r="E11359" t="inlineStr">
        <is>
          <t>BOLLNÄS</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30134-2024</t>
        </is>
      </c>
      <c r="B11360" s="1" t="n">
        <v>45489</v>
      </c>
      <c r="C11360" s="1" t="n">
        <v>45587</v>
      </c>
      <c r="D11360" t="inlineStr">
        <is>
          <t>GÄVLEBORGS LÄN</t>
        </is>
      </c>
      <c r="E11360" t="inlineStr">
        <is>
          <t>HUDIKSVALL</t>
        </is>
      </c>
      <c r="F11360" t="inlineStr">
        <is>
          <t>Holmen skog AB</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30130-2024</t>
        </is>
      </c>
      <c r="B11361" s="1" t="n">
        <v>45489</v>
      </c>
      <c r="C11361" s="1" t="n">
        <v>45587</v>
      </c>
      <c r="D11361" t="inlineStr">
        <is>
          <t>GÄVLEBORGS LÄN</t>
        </is>
      </c>
      <c r="E11361" t="inlineStr">
        <is>
          <t>NORDANSTIG</t>
        </is>
      </c>
      <c r="F11361" t="inlineStr">
        <is>
          <t>Holmen skog AB</t>
        </is>
      </c>
      <c r="G11361" t="n">
        <v>3.9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30077-2024</t>
        </is>
      </c>
      <c r="B11362" s="1" t="n">
        <v>45489</v>
      </c>
      <c r="C11362" s="1" t="n">
        <v>45587</v>
      </c>
      <c r="D11362" t="inlineStr">
        <is>
          <t>GÄVLEBORGS LÄN</t>
        </is>
      </c>
      <c r="E11362" t="inlineStr">
        <is>
          <t>SANDVIKEN</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30150-2024</t>
        </is>
      </c>
      <c r="B11363" s="1" t="n">
        <v>45489</v>
      </c>
      <c r="C11363" s="1" t="n">
        <v>45587</v>
      </c>
      <c r="D11363" t="inlineStr">
        <is>
          <t>GÄVLEBORGS LÄN</t>
        </is>
      </c>
      <c r="E11363" t="inlineStr">
        <is>
          <t>NORDANSTIG</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30116-2024</t>
        </is>
      </c>
      <c r="B11364" s="1" t="n">
        <v>45489</v>
      </c>
      <c r="C11364" s="1" t="n">
        <v>45587</v>
      </c>
      <c r="D11364" t="inlineStr">
        <is>
          <t>GÄVLEBORGS LÄN</t>
        </is>
      </c>
      <c r="E11364" t="inlineStr">
        <is>
          <t>HUDIKSVALL</t>
        </is>
      </c>
      <c r="F11364" t="inlineStr">
        <is>
          <t>Holmen skog AB</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30107-2024</t>
        </is>
      </c>
      <c r="B11365" s="1" t="n">
        <v>45489</v>
      </c>
      <c r="C11365" s="1" t="n">
        <v>45587</v>
      </c>
      <c r="D11365" t="inlineStr">
        <is>
          <t>GÄVLEBORGS LÄN</t>
        </is>
      </c>
      <c r="E11365" t="inlineStr">
        <is>
          <t>HUDIKSVALL</t>
        </is>
      </c>
      <c r="F11365" t="inlineStr">
        <is>
          <t>Holmen skog AB</t>
        </is>
      </c>
      <c r="G11365" t="n">
        <v>3.2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30083-2024</t>
        </is>
      </c>
      <c r="B11366" s="1" t="n">
        <v>45489</v>
      </c>
      <c r="C11366" s="1" t="n">
        <v>45587</v>
      </c>
      <c r="D11366" t="inlineStr">
        <is>
          <t>GÄVLEBORGS LÄN</t>
        </is>
      </c>
      <c r="E11366" t="inlineStr">
        <is>
          <t>HUDIKSVALL</t>
        </is>
      </c>
      <c r="F11366" t="inlineStr">
        <is>
          <t>Holmen skog AB</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30072-2024</t>
        </is>
      </c>
      <c r="B11367" s="1" t="n">
        <v>45489</v>
      </c>
      <c r="C11367" s="1" t="n">
        <v>45587</v>
      </c>
      <c r="D11367" t="inlineStr">
        <is>
          <t>GÄVLEBORGS LÄN</t>
        </is>
      </c>
      <c r="E11367" t="inlineStr">
        <is>
          <t>BOLLNÄS</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30216-2024</t>
        </is>
      </c>
      <c r="B11368" s="1" t="n">
        <v>45490</v>
      </c>
      <c r="C11368" s="1" t="n">
        <v>45587</v>
      </c>
      <c r="D11368" t="inlineStr">
        <is>
          <t>GÄVLEBORGS LÄN</t>
        </is>
      </c>
      <c r="E11368" t="inlineStr">
        <is>
          <t>BOLLNÄS</t>
        </is>
      </c>
      <c r="G11368" t="n">
        <v>4.2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30224-2024</t>
        </is>
      </c>
      <c r="B11369" s="1" t="n">
        <v>45490</v>
      </c>
      <c r="C11369" s="1" t="n">
        <v>45587</v>
      </c>
      <c r="D11369" t="inlineStr">
        <is>
          <t>GÄVLEBORGS LÄN</t>
        </is>
      </c>
      <c r="E11369" t="inlineStr">
        <is>
          <t>OVANÅKER</t>
        </is>
      </c>
      <c r="F11369" t="inlineStr">
        <is>
          <t>Bergvik skog väst AB</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30229-2024</t>
        </is>
      </c>
      <c r="B11370" s="1" t="n">
        <v>45490</v>
      </c>
      <c r="C11370" s="1" t="n">
        <v>45587</v>
      </c>
      <c r="D11370" t="inlineStr">
        <is>
          <t>GÄVLEBORGS LÄN</t>
        </is>
      </c>
      <c r="E11370" t="inlineStr">
        <is>
          <t>HOFORS</t>
        </is>
      </c>
      <c r="F11370" t="inlineStr">
        <is>
          <t>Sveaskog</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30247-2024</t>
        </is>
      </c>
      <c r="B11371" s="1" t="n">
        <v>45490</v>
      </c>
      <c r="C11371" s="1" t="n">
        <v>45587</v>
      </c>
      <c r="D11371" t="inlineStr">
        <is>
          <t>GÄVLEBORGS LÄN</t>
        </is>
      </c>
      <c r="E11371" t="inlineStr">
        <is>
          <t>OCKELBO</t>
        </is>
      </c>
      <c r="F11371" t="inlineStr">
        <is>
          <t>Bergvik skog väst AB</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30242-2024</t>
        </is>
      </c>
      <c r="B11372" s="1" t="n">
        <v>45490</v>
      </c>
      <c r="C11372" s="1" t="n">
        <v>45587</v>
      </c>
      <c r="D11372" t="inlineStr">
        <is>
          <t>GÄVLEBORGS LÄN</t>
        </is>
      </c>
      <c r="E11372" t="inlineStr">
        <is>
          <t>OCKELBO</t>
        </is>
      </c>
      <c r="F11372" t="inlineStr">
        <is>
          <t>Bergvik skog väst AB</t>
        </is>
      </c>
      <c r="G11372" t="n">
        <v>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30254-2024</t>
        </is>
      </c>
      <c r="B11373" s="1" t="n">
        <v>45490</v>
      </c>
      <c r="C11373" s="1" t="n">
        <v>45587</v>
      </c>
      <c r="D11373" t="inlineStr">
        <is>
          <t>GÄVLEBORGS LÄN</t>
        </is>
      </c>
      <c r="E11373" t="inlineStr">
        <is>
          <t>OVANÅKER</t>
        </is>
      </c>
      <c r="F11373" t="inlineStr">
        <is>
          <t>Bergvik skog väst AB</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30286-2024</t>
        </is>
      </c>
      <c r="B11374" s="1" t="n">
        <v>45490</v>
      </c>
      <c r="C11374" s="1" t="n">
        <v>45587</v>
      </c>
      <c r="D11374" t="inlineStr">
        <is>
          <t>GÄVLEBORGS LÄN</t>
        </is>
      </c>
      <c r="E11374" t="inlineStr">
        <is>
          <t>LJUSDAL</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30294-2024</t>
        </is>
      </c>
      <c r="B11375" s="1" t="n">
        <v>45490</v>
      </c>
      <c r="C11375" s="1" t="n">
        <v>45587</v>
      </c>
      <c r="D11375" t="inlineStr">
        <is>
          <t>GÄVLEBORGS LÄN</t>
        </is>
      </c>
      <c r="E11375" t="inlineStr">
        <is>
          <t>LJUSDAL</t>
        </is>
      </c>
      <c r="G11375" t="n">
        <v>3.5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30213-2024</t>
        </is>
      </c>
      <c r="B11376" s="1" t="n">
        <v>45490</v>
      </c>
      <c r="C11376" s="1" t="n">
        <v>45587</v>
      </c>
      <c r="D11376" t="inlineStr">
        <is>
          <t>GÄVLEBORGS LÄN</t>
        </is>
      </c>
      <c r="E11376" t="inlineStr">
        <is>
          <t>LJUSDAL</t>
        </is>
      </c>
      <c r="F11376" t="inlineStr">
        <is>
          <t>Allmännings- och besparingsskogar</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30262-2024</t>
        </is>
      </c>
      <c r="B11377" s="1" t="n">
        <v>45490</v>
      </c>
      <c r="C11377" s="1" t="n">
        <v>45587</v>
      </c>
      <c r="D11377" t="inlineStr">
        <is>
          <t>GÄVLEBORGS LÄN</t>
        </is>
      </c>
      <c r="E11377" t="inlineStr">
        <is>
          <t>LJUSDAL</t>
        </is>
      </c>
      <c r="F11377" t="inlineStr">
        <is>
          <t>Bergvik skog väst AB</t>
        </is>
      </c>
      <c r="G11377" t="n">
        <v>8.5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30296-2024</t>
        </is>
      </c>
      <c r="B11378" s="1" t="n">
        <v>45490</v>
      </c>
      <c r="C11378" s="1" t="n">
        <v>45587</v>
      </c>
      <c r="D11378" t="inlineStr">
        <is>
          <t>GÄVLEBORGS LÄN</t>
        </is>
      </c>
      <c r="E11378" t="inlineStr">
        <is>
          <t>LJUSDAL</t>
        </is>
      </c>
      <c r="G11378" t="n">
        <v>5.7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30292-2024</t>
        </is>
      </c>
      <c r="B11379" s="1" t="n">
        <v>45490</v>
      </c>
      <c r="C11379" s="1" t="n">
        <v>45587</v>
      </c>
      <c r="D11379" t="inlineStr">
        <is>
          <t>GÄVLEBORGS LÄN</t>
        </is>
      </c>
      <c r="E11379" t="inlineStr">
        <is>
          <t>LJUSDAL</t>
        </is>
      </c>
      <c r="G11379" t="n">
        <v>3.6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30187-2024</t>
        </is>
      </c>
      <c r="B11380" s="1" t="n">
        <v>45490</v>
      </c>
      <c r="C11380" s="1" t="n">
        <v>45587</v>
      </c>
      <c r="D11380" t="inlineStr">
        <is>
          <t>GÄVLEBORGS LÄN</t>
        </is>
      </c>
      <c r="E11380" t="inlineStr">
        <is>
          <t>BOLLNÄS</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30241-2024</t>
        </is>
      </c>
      <c r="B11381" s="1" t="n">
        <v>45490</v>
      </c>
      <c r="C11381" s="1" t="n">
        <v>45587</v>
      </c>
      <c r="D11381" t="inlineStr">
        <is>
          <t>GÄVLEBORGS LÄN</t>
        </is>
      </c>
      <c r="E11381" t="inlineStr">
        <is>
          <t>OVANÅKER</t>
        </is>
      </c>
      <c r="G11381" t="n">
        <v>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30245-2024</t>
        </is>
      </c>
      <c r="B11382" s="1" t="n">
        <v>45490</v>
      </c>
      <c r="C11382" s="1" t="n">
        <v>45587</v>
      </c>
      <c r="D11382" t="inlineStr">
        <is>
          <t>GÄVLEBORGS LÄN</t>
        </is>
      </c>
      <c r="E11382" t="inlineStr">
        <is>
          <t>OVANÅKER</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30257-2024</t>
        </is>
      </c>
      <c r="B11383" s="1" t="n">
        <v>45490</v>
      </c>
      <c r="C11383" s="1" t="n">
        <v>45587</v>
      </c>
      <c r="D11383" t="inlineStr">
        <is>
          <t>GÄVLEBORGS LÄN</t>
        </is>
      </c>
      <c r="E11383" t="inlineStr">
        <is>
          <t>OVANÅKER</t>
        </is>
      </c>
      <c r="F11383" t="inlineStr">
        <is>
          <t>Bergvik skog väst AB</t>
        </is>
      </c>
      <c r="G11383" t="n">
        <v>5.1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30269-2024</t>
        </is>
      </c>
      <c r="B11384" s="1" t="n">
        <v>45490</v>
      </c>
      <c r="C11384" s="1" t="n">
        <v>45587</v>
      </c>
      <c r="D11384" t="inlineStr">
        <is>
          <t>GÄVLEBORGS LÄN</t>
        </is>
      </c>
      <c r="E11384" t="inlineStr">
        <is>
          <t>OVANÅKER</t>
        </is>
      </c>
      <c r="F11384" t="inlineStr">
        <is>
          <t>Bergvik skog väst AB</t>
        </is>
      </c>
      <c r="G11384" t="n">
        <v>3.3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30199-2024</t>
        </is>
      </c>
      <c r="B11385" s="1" t="n">
        <v>45490</v>
      </c>
      <c r="C11385" s="1" t="n">
        <v>45587</v>
      </c>
      <c r="D11385" t="inlineStr">
        <is>
          <t>GÄVLEBORGS LÄN</t>
        </is>
      </c>
      <c r="E11385" t="inlineStr">
        <is>
          <t>OVANÅKER</t>
        </is>
      </c>
      <c r="F11385" t="inlineStr">
        <is>
          <t>Bergvik skog väst AB</t>
        </is>
      </c>
      <c r="G11385" t="n">
        <v>20.8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30190-2024</t>
        </is>
      </c>
      <c r="B11386" s="1" t="n">
        <v>45490</v>
      </c>
      <c r="C11386" s="1" t="n">
        <v>45587</v>
      </c>
      <c r="D11386" t="inlineStr">
        <is>
          <t>GÄVLEBORGS LÄN</t>
        </is>
      </c>
      <c r="E11386" t="inlineStr">
        <is>
          <t>BOLLNÄS</t>
        </is>
      </c>
      <c r="G11386" t="n">
        <v>8.4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30188-2024</t>
        </is>
      </c>
      <c r="B11387" s="1" t="n">
        <v>45490</v>
      </c>
      <c r="C11387" s="1" t="n">
        <v>45587</v>
      </c>
      <c r="D11387" t="inlineStr">
        <is>
          <t>GÄVLEBORGS LÄN</t>
        </is>
      </c>
      <c r="E11387" t="inlineStr">
        <is>
          <t>BOLLNÄS</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30408-2024</t>
        </is>
      </c>
      <c r="B11388" s="1" t="n">
        <v>45491</v>
      </c>
      <c r="C11388" s="1" t="n">
        <v>45587</v>
      </c>
      <c r="D11388" t="inlineStr">
        <is>
          <t>GÄVLEBORGS LÄN</t>
        </is>
      </c>
      <c r="E11388" t="inlineStr">
        <is>
          <t>HUDIKSVALL</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30359-2024</t>
        </is>
      </c>
      <c r="B11389" s="1" t="n">
        <v>45491</v>
      </c>
      <c r="C11389" s="1" t="n">
        <v>45587</v>
      </c>
      <c r="D11389" t="inlineStr">
        <is>
          <t>GÄVLEBORGS LÄN</t>
        </is>
      </c>
      <c r="E11389" t="inlineStr">
        <is>
          <t>SÖDERHAMN</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30382-2024</t>
        </is>
      </c>
      <c r="B11390" s="1" t="n">
        <v>45491</v>
      </c>
      <c r="C11390" s="1" t="n">
        <v>45587</v>
      </c>
      <c r="D11390" t="inlineStr">
        <is>
          <t>GÄVLEBORGS LÄN</t>
        </is>
      </c>
      <c r="E11390" t="inlineStr">
        <is>
          <t>LJUSDAL</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30496-2024</t>
        </is>
      </c>
      <c r="B11391" s="1" t="n">
        <v>45492</v>
      </c>
      <c r="C11391" s="1" t="n">
        <v>45587</v>
      </c>
      <c r="D11391" t="inlineStr">
        <is>
          <t>GÄVLEBORGS LÄN</t>
        </is>
      </c>
      <c r="E11391" t="inlineStr">
        <is>
          <t>SANDVIKEN</t>
        </is>
      </c>
      <c r="F11391" t="inlineStr">
        <is>
          <t>Sveaskog</t>
        </is>
      </c>
      <c r="G11391" t="n">
        <v>12.6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30559-2024</t>
        </is>
      </c>
      <c r="B11392" s="1" t="n">
        <v>45493</v>
      </c>
      <c r="C11392" s="1" t="n">
        <v>45587</v>
      </c>
      <c r="D11392" t="inlineStr">
        <is>
          <t>GÄVLEBORGS LÄN</t>
        </is>
      </c>
      <c r="E11392" t="inlineStr">
        <is>
          <t>SÖDERHAMN</t>
        </is>
      </c>
      <c r="G11392" t="n">
        <v>3.3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30565-2024</t>
        </is>
      </c>
      <c r="B11393" s="1" t="n">
        <v>45493</v>
      </c>
      <c r="C11393" s="1" t="n">
        <v>45587</v>
      </c>
      <c r="D11393" t="inlineStr">
        <is>
          <t>GÄVLEBORGS LÄN</t>
        </is>
      </c>
      <c r="E11393" t="inlineStr">
        <is>
          <t>OVANÅKER</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30561-2024</t>
        </is>
      </c>
      <c r="B11394" s="1" t="n">
        <v>45493</v>
      </c>
      <c r="C11394" s="1" t="n">
        <v>45587</v>
      </c>
      <c r="D11394" t="inlineStr">
        <is>
          <t>GÄVLEBORGS LÄN</t>
        </is>
      </c>
      <c r="E11394" t="inlineStr">
        <is>
          <t>BOLLNÄS</t>
        </is>
      </c>
      <c r="G11394" t="n">
        <v>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30557-2024</t>
        </is>
      </c>
      <c r="B11395" s="1" t="n">
        <v>45492</v>
      </c>
      <c r="C11395" s="1" t="n">
        <v>45587</v>
      </c>
      <c r="D11395" t="inlineStr">
        <is>
          <t>GÄVLEBORGS LÄN</t>
        </is>
      </c>
      <c r="E11395" t="inlineStr">
        <is>
          <t>SÖDERHAMN</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30566-2024</t>
        </is>
      </c>
      <c r="B11396" s="1" t="n">
        <v>45493</v>
      </c>
      <c r="C11396" s="1" t="n">
        <v>45587</v>
      </c>
      <c r="D11396" t="inlineStr">
        <is>
          <t>GÄVLEBORGS LÄN</t>
        </is>
      </c>
      <c r="E11396" t="inlineStr">
        <is>
          <t>OVANÅKER</t>
        </is>
      </c>
      <c r="G11396" t="n">
        <v>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30562-2024</t>
        </is>
      </c>
      <c r="B11397" s="1" t="n">
        <v>45493</v>
      </c>
      <c r="C11397" s="1" t="n">
        <v>45587</v>
      </c>
      <c r="D11397" t="inlineStr">
        <is>
          <t>GÄVLEBORGS LÄN</t>
        </is>
      </c>
      <c r="E11397" t="inlineStr">
        <is>
          <t>LJUSDAL</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30558-2024</t>
        </is>
      </c>
      <c r="B11398" s="1" t="n">
        <v>45493</v>
      </c>
      <c r="C11398" s="1" t="n">
        <v>45587</v>
      </c>
      <c r="D11398" t="inlineStr">
        <is>
          <t>GÄVLEBORGS LÄN</t>
        </is>
      </c>
      <c r="E11398" t="inlineStr">
        <is>
          <t>SÖDERHAMN</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30538-2024</t>
        </is>
      </c>
      <c r="B11399" s="1" t="n">
        <v>45492</v>
      </c>
      <c r="C11399" s="1" t="n">
        <v>45587</v>
      </c>
      <c r="D11399" t="inlineStr">
        <is>
          <t>GÄVLEBORGS LÄN</t>
        </is>
      </c>
      <c r="E11399" t="inlineStr">
        <is>
          <t>OCKELBO</t>
        </is>
      </c>
      <c r="F11399" t="inlineStr">
        <is>
          <t>Bergvik skog väst AB</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30492-2024</t>
        </is>
      </c>
      <c r="B11400" s="1" t="n">
        <v>45492</v>
      </c>
      <c r="C11400" s="1" t="n">
        <v>45587</v>
      </c>
      <c r="D11400" t="inlineStr">
        <is>
          <t>GÄVLEBORGS LÄN</t>
        </is>
      </c>
      <c r="E11400" t="inlineStr">
        <is>
          <t>OVANÅKER</t>
        </is>
      </c>
      <c r="F11400" t="inlineStr">
        <is>
          <t>Bergvik skog väst AB</t>
        </is>
      </c>
      <c r="G11400" t="n">
        <v>6.7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30536-2024</t>
        </is>
      </c>
      <c r="B11401" s="1" t="n">
        <v>45492</v>
      </c>
      <c r="C11401" s="1" t="n">
        <v>45587</v>
      </c>
      <c r="D11401" t="inlineStr">
        <is>
          <t>GÄVLEBORGS LÄN</t>
        </is>
      </c>
      <c r="E11401" t="inlineStr">
        <is>
          <t>OCKELBO</t>
        </is>
      </c>
      <c r="F11401" t="inlineStr">
        <is>
          <t>Bergvik skog väst AB</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30503-2024</t>
        </is>
      </c>
      <c r="B11402" s="1" t="n">
        <v>45492</v>
      </c>
      <c r="C11402" s="1" t="n">
        <v>45587</v>
      </c>
      <c r="D11402" t="inlineStr">
        <is>
          <t>GÄVLEBORGS LÄN</t>
        </is>
      </c>
      <c r="E11402" t="inlineStr">
        <is>
          <t>LJUSDAL</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30556-2024</t>
        </is>
      </c>
      <c r="B11403" s="1" t="n">
        <v>45493</v>
      </c>
      <c r="C11403" s="1" t="n">
        <v>45587</v>
      </c>
      <c r="D11403" t="inlineStr">
        <is>
          <t>GÄVLEBORGS LÄN</t>
        </is>
      </c>
      <c r="E11403" t="inlineStr">
        <is>
          <t>SÖDERHAMN</t>
        </is>
      </c>
      <c r="G11403" t="n">
        <v>2.6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30623-2024</t>
        </is>
      </c>
      <c r="B11404" s="1" t="n">
        <v>45495</v>
      </c>
      <c r="C11404" s="1" t="n">
        <v>45587</v>
      </c>
      <c r="D11404" t="inlineStr">
        <is>
          <t>GÄVLEBORGS LÄN</t>
        </is>
      </c>
      <c r="E11404" t="inlineStr">
        <is>
          <t>LJUSDAL</t>
        </is>
      </c>
      <c r="F11404" t="inlineStr">
        <is>
          <t>Allmännings- och besparingsskogar</t>
        </is>
      </c>
      <c r="G11404" t="n">
        <v>20.4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30734-2024</t>
        </is>
      </c>
      <c r="B11405" s="1" t="n">
        <v>45496</v>
      </c>
      <c r="C11405" s="1" t="n">
        <v>45587</v>
      </c>
      <c r="D11405" t="inlineStr">
        <is>
          <t>GÄVLEBORGS LÄN</t>
        </is>
      </c>
      <c r="E11405" t="inlineStr">
        <is>
          <t>NORDANSTIG</t>
        </is>
      </c>
      <c r="G11405" t="n">
        <v>3.7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30702-2024</t>
        </is>
      </c>
      <c r="B11406" s="1" t="n">
        <v>45496</v>
      </c>
      <c r="C11406" s="1" t="n">
        <v>45587</v>
      </c>
      <c r="D11406" t="inlineStr">
        <is>
          <t>GÄVLEBORGS LÄN</t>
        </is>
      </c>
      <c r="E11406" t="inlineStr">
        <is>
          <t>NORDANSTIG</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30698-2024</t>
        </is>
      </c>
      <c r="B11407" s="1" t="n">
        <v>45496</v>
      </c>
      <c r="C11407" s="1" t="n">
        <v>45587</v>
      </c>
      <c r="D11407" t="inlineStr">
        <is>
          <t>GÄVLEBORGS LÄN</t>
        </is>
      </c>
      <c r="E11407" t="inlineStr">
        <is>
          <t>HUDIKSVALL</t>
        </is>
      </c>
      <c r="G11407" t="n">
        <v>16.7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30782-2024</t>
        </is>
      </c>
      <c r="B11408" s="1" t="n">
        <v>45497</v>
      </c>
      <c r="C11408" s="1" t="n">
        <v>45587</v>
      </c>
      <c r="D11408" t="inlineStr">
        <is>
          <t>GÄVLEBORGS LÄN</t>
        </is>
      </c>
      <c r="E11408" t="inlineStr">
        <is>
          <t>LJUSDAL</t>
        </is>
      </c>
      <c r="F11408" t="inlineStr">
        <is>
          <t>SCA</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30778-2024</t>
        </is>
      </c>
      <c r="B11409" s="1" t="n">
        <v>45497</v>
      </c>
      <c r="C11409" s="1" t="n">
        <v>45587</v>
      </c>
      <c r="D11409" t="inlineStr">
        <is>
          <t>GÄVLEBORGS LÄN</t>
        </is>
      </c>
      <c r="E11409" t="inlineStr">
        <is>
          <t>LJUSDAL</t>
        </is>
      </c>
      <c r="F11409" t="inlineStr">
        <is>
          <t>SCA</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30740-2024</t>
        </is>
      </c>
      <c r="B11410" s="1" t="n">
        <v>45496</v>
      </c>
      <c r="C11410" s="1" t="n">
        <v>45587</v>
      </c>
      <c r="D11410" t="inlineStr">
        <is>
          <t>GÄVLEBORGS LÄN</t>
        </is>
      </c>
      <c r="E11410" t="inlineStr">
        <is>
          <t>SÖDERHAMN</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30704-2024</t>
        </is>
      </c>
      <c r="B11411" s="1" t="n">
        <v>45496</v>
      </c>
      <c r="C11411" s="1" t="n">
        <v>45587</v>
      </c>
      <c r="D11411" t="inlineStr">
        <is>
          <t>GÄVLEBORGS LÄN</t>
        </is>
      </c>
      <c r="E11411" t="inlineStr">
        <is>
          <t>NORDANSTIG</t>
        </is>
      </c>
      <c r="G11411" t="n">
        <v>4.8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30703-2024</t>
        </is>
      </c>
      <c r="B11412" s="1" t="n">
        <v>45496</v>
      </c>
      <c r="C11412" s="1" t="n">
        <v>45587</v>
      </c>
      <c r="D11412" t="inlineStr">
        <is>
          <t>GÄVLEBORGS LÄN</t>
        </is>
      </c>
      <c r="E11412" t="inlineStr">
        <is>
          <t>NORDANSTIG</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30695-2024</t>
        </is>
      </c>
      <c r="B11413" s="1" t="n">
        <v>45496</v>
      </c>
      <c r="C11413" s="1" t="n">
        <v>45587</v>
      </c>
      <c r="D11413" t="inlineStr">
        <is>
          <t>GÄVLEBORGS LÄN</t>
        </is>
      </c>
      <c r="E11413" t="inlineStr">
        <is>
          <t>OVANÅKER</t>
        </is>
      </c>
      <c r="F11413" t="inlineStr">
        <is>
          <t>Bergvik skog väst AB</t>
        </is>
      </c>
      <c r="G11413" t="n">
        <v>8.1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30741-2024</t>
        </is>
      </c>
      <c r="B11414" s="1" t="n">
        <v>45496</v>
      </c>
      <c r="C11414" s="1" t="n">
        <v>45587</v>
      </c>
      <c r="D11414" t="inlineStr">
        <is>
          <t>GÄVLEBORGS LÄN</t>
        </is>
      </c>
      <c r="E11414" t="inlineStr">
        <is>
          <t>NORDANSTIG</t>
        </is>
      </c>
      <c r="G11414" t="n">
        <v>4.6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30717-2024</t>
        </is>
      </c>
      <c r="B11415" s="1" t="n">
        <v>45496</v>
      </c>
      <c r="C11415" s="1" t="n">
        <v>45587</v>
      </c>
      <c r="D11415" t="inlineStr">
        <is>
          <t>GÄVLEBORGS LÄN</t>
        </is>
      </c>
      <c r="E11415" t="inlineStr">
        <is>
          <t>NORDANSTIG</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30701-2024</t>
        </is>
      </c>
      <c r="B11416" s="1" t="n">
        <v>45496</v>
      </c>
      <c r="C11416" s="1" t="n">
        <v>45587</v>
      </c>
      <c r="D11416" t="inlineStr">
        <is>
          <t>GÄVLEBORGS LÄN</t>
        </is>
      </c>
      <c r="E11416" t="inlineStr">
        <is>
          <t>HUDIKSVALL</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30697-2024</t>
        </is>
      </c>
      <c r="B11417" s="1" t="n">
        <v>45496</v>
      </c>
      <c r="C11417" s="1" t="n">
        <v>45587</v>
      </c>
      <c r="D11417" t="inlineStr">
        <is>
          <t>GÄVLEBORGS LÄN</t>
        </is>
      </c>
      <c r="E11417" t="inlineStr">
        <is>
          <t>HUDIKSVALL</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30841-2024</t>
        </is>
      </c>
      <c r="B11418" s="1" t="n">
        <v>45497</v>
      </c>
      <c r="C11418" s="1" t="n">
        <v>45587</v>
      </c>
      <c r="D11418" t="inlineStr">
        <is>
          <t>GÄVLEBORGS LÄN</t>
        </is>
      </c>
      <c r="E11418" t="inlineStr">
        <is>
          <t>LJUSDAL</t>
        </is>
      </c>
      <c r="F11418" t="inlineStr">
        <is>
          <t>Bergvik skog väst AB</t>
        </is>
      </c>
      <c r="G11418" t="n">
        <v>3.3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30842-2024</t>
        </is>
      </c>
      <c r="B11419" s="1" t="n">
        <v>45497</v>
      </c>
      <c r="C11419" s="1" t="n">
        <v>45587</v>
      </c>
      <c r="D11419" t="inlineStr">
        <is>
          <t>GÄVLEBORGS LÄN</t>
        </is>
      </c>
      <c r="E11419" t="inlineStr">
        <is>
          <t>NORDANSTIG</t>
        </is>
      </c>
      <c r="F11419" t="inlineStr">
        <is>
          <t>Holmen skog AB</t>
        </is>
      </c>
      <c r="G11419" t="n">
        <v>6.9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30818-2024</t>
        </is>
      </c>
      <c r="B11420" s="1" t="n">
        <v>45497</v>
      </c>
      <c r="C11420" s="1" t="n">
        <v>45587</v>
      </c>
      <c r="D11420" t="inlineStr">
        <is>
          <t>GÄVLEBORGS LÄN</t>
        </is>
      </c>
      <c r="E11420" t="inlineStr">
        <is>
          <t>LJUSDAL</t>
        </is>
      </c>
      <c r="F11420" t="inlineStr">
        <is>
          <t>Bergvik skog väst AB</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30802-2024</t>
        </is>
      </c>
      <c r="B11421" s="1" t="n">
        <v>45497</v>
      </c>
      <c r="C11421" s="1" t="n">
        <v>45587</v>
      </c>
      <c r="D11421" t="inlineStr">
        <is>
          <t>GÄVLEBORGS LÄN</t>
        </is>
      </c>
      <c r="E11421" t="inlineStr">
        <is>
          <t>OVANÅKER</t>
        </is>
      </c>
      <c r="F11421" t="inlineStr">
        <is>
          <t>Bergvik skog väst AB</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30798-2024</t>
        </is>
      </c>
      <c r="B11422" s="1" t="n">
        <v>45497</v>
      </c>
      <c r="C11422" s="1" t="n">
        <v>45587</v>
      </c>
      <c r="D11422" t="inlineStr">
        <is>
          <t>GÄVLEBORGS LÄN</t>
        </is>
      </c>
      <c r="E11422" t="inlineStr">
        <is>
          <t>OCKELBO</t>
        </is>
      </c>
      <c r="G11422" t="n">
        <v>8.699999999999999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30794-2024</t>
        </is>
      </c>
      <c r="B11423" s="1" t="n">
        <v>45497</v>
      </c>
      <c r="C11423" s="1" t="n">
        <v>45587</v>
      </c>
      <c r="D11423" t="inlineStr">
        <is>
          <t>GÄVLEBORGS LÄN</t>
        </is>
      </c>
      <c r="E11423" t="inlineStr">
        <is>
          <t>BOLLNÄS</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30793-2024</t>
        </is>
      </c>
      <c r="B11424" s="1" t="n">
        <v>45497</v>
      </c>
      <c r="C11424" s="1" t="n">
        <v>45587</v>
      </c>
      <c r="D11424" t="inlineStr">
        <is>
          <t>GÄVLEBORGS LÄN</t>
        </is>
      </c>
      <c r="E11424" t="inlineStr">
        <is>
          <t>BOLLNÄS</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30792-2024</t>
        </is>
      </c>
      <c r="B11425" s="1" t="n">
        <v>45497</v>
      </c>
      <c r="C11425" s="1" t="n">
        <v>45587</v>
      </c>
      <c r="D11425" t="inlineStr">
        <is>
          <t>GÄVLEBORGS LÄN</t>
        </is>
      </c>
      <c r="E11425" t="inlineStr">
        <is>
          <t>BOLLNÄS</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30872-2024</t>
        </is>
      </c>
      <c r="B11426" s="1" t="n">
        <v>45497</v>
      </c>
      <c r="C11426" s="1" t="n">
        <v>45587</v>
      </c>
      <c r="D11426" t="inlineStr">
        <is>
          <t>GÄVLEBORGS LÄN</t>
        </is>
      </c>
      <c r="E11426" t="inlineStr">
        <is>
          <t>BOLLNÄS</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30937-2024</t>
        </is>
      </c>
      <c r="B11427" s="1" t="n">
        <v>45498</v>
      </c>
      <c r="C11427" s="1" t="n">
        <v>45587</v>
      </c>
      <c r="D11427" t="inlineStr">
        <is>
          <t>GÄVLEBORGS LÄN</t>
        </is>
      </c>
      <c r="E11427" t="inlineStr">
        <is>
          <t>BOLLNÄS</t>
        </is>
      </c>
      <c r="G11427" t="n">
        <v>5.1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30879-2024</t>
        </is>
      </c>
      <c r="B11428" s="1" t="n">
        <v>45498</v>
      </c>
      <c r="C11428" s="1" t="n">
        <v>45587</v>
      </c>
      <c r="D11428" t="inlineStr">
        <is>
          <t>GÄVLEBORGS LÄN</t>
        </is>
      </c>
      <c r="E11428" t="inlineStr">
        <is>
          <t>NORDANSTIG</t>
        </is>
      </c>
      <c r="F11428" t="inlineStr">
        <is>
          <t>Holmen skog AB</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30919-2024</t>
        </is>
      </c>
      <c r="B11429" s="1" t="n">
        <v>45498</v>
      </c>
      <c r="C11429" s="1" t="n">
        <v>45587</v>
      </c>
      <c r="D11429" t="inlineStr">
        <is>
          <t>GÄVLEBORGS LÄN</t>
        </is>
      </c>
      <c r="E11429" t="inlineStr">
        <is>
          <t>OVANÅKER</t>
        </is>
      </c>
      <c r="F11429" t="inlineStr">
        <is>
          <t>Bergvik skog öst AB</t>
        </is>
      </c>
      <c r="G11429" t="n">
        <v>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30935-2024</t>
        </is>
      </c>
      <c r="B11430" s="1" t="n">
        <v>45498</v>
      </c>
      <c r="C11430" s="1" t="n">
        <v>45587</v>
      </c>
      <c r="D11430" t="inlineStr">
        <is>
          <t>GÄVLEBORGS LÄN</t>
        </is>
      </c>
      <c r="E11430" t="inlineStr">
        <is>
          <t>BOLLNÄS</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30939-2024</t>
        </is>
      </c>
      <c r="B11431" s="1" t="n">
        <v>45498</v>
      </c>
      <c r="C11431" s="1" t="n">
        <v>45587</v>
      </c>
      <c r="D11431" t="inlineStr">
        <is>
          <t>GÄVLEBORGS LÄN</t>
        </is>
      </c>
      <c r="E11431" t="inlineStr">
        <is>
          <t>BOLLNÄS</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30936-2024</t>
        </is>
      </c>
      <c r="B11432" s="1" t="n">
        <v>45498</v>
      </c>
      <c r="C11432" s="1" t="n">
        <v>45587</v>
      </c>
      <c r="D11432" t="inlineStr">
        <is>
          <t>GÄVLEBORGS LÄN</t>
        </is>
      </c>
      <c r="E11432" t="inlineStr">
        <is>
          <t>BOLLNÄS</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30938-2024</t>
        </is>
      </c>
      <c r="B11433" s="1" t="n">
        <v>45498</v>
      </c>
      <c r="C11433" s="1" t="n">
        <v>45587</v>
      </c>
      <c r="D11433" t="inlineStr">
        <is>
          <t>GÄVLEBORGS LÄN</t>
        </is>
      </c>
      <c r="E11433" t="inlineStr">
        <is>
          <t>BOLLNÄS</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30918-2024</t>
        </is>
      </c>
      <c r="B11434" s="1" t="n">
        <v>45498</v>
      </c>
      <c r="C11434" s="1" t="n">
        <v>45587</v>
      </c>
      <c r="D11434" t="inlineStr">
        <is>
          <t>GÄVLEBORGS LÄN</t>
        </is>
      </c>
      <c r="E11434" t="inlineStr">
        <is>
          <t>NORDANSTIG</t>
        </is>
      </c>
      <c r="G11434" t="n">
        <v>12.1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30906-2024</t>
        </is>
      </c>
      <c r="B11435" s="1" t="n">
        <v>45498</v>
      </c>
      <c r="C11435" s="1" t="n">
        <v>45587</v>
      </c>
      <c r="D11435" t="inlineStr">
        <is>
          <t>GÄVLEBORGS LÄN</t>
        </is>
      </c>
      <c r="E11435" t="inlineStr">
        <is>
          <t>OVANÅKER</t>
        </is>
      </c>
      <c r="F11435" t="inlineStr">
        <is>
          <t>Bergvik skog öst AB</t>
        </is>
      </c>
      <c r="G11435" t="n">
        <v>5.3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30948-2024</t>
        </is>
      </c>
      <c r="B11436" s="1" t="n">
        <v>45499</v>
      </c>
      <c r="C11436" s="1" t="n">
        <v>45587</v>
      </c>
      <c r="D11436" t="inlineStr">
        <is>
          <t>GÄVLEBORGS LÄN</t>
        </is>
      </c>
      <c r="E11436" t="inlineStr">
        <is>
          <t>NORDANSTIG</t>
        </is>
      </c>
      <c r="F11436" t="inlineStr">
        <is>
          <t>Holmen skog AB</t>
        </is>
      </c>
      <c r="G11436" t="n">
        <v>6.5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30959-2024</t>
        </is>
      </c>
      <c r="B11437" s="1" t="n">
        <v>45499</v>
      </c>
      <c r="C11437" s="1" t="n">
        <v>45587</v>
      </c>
      <c r="D11437" t="inlineStr">
        <is>
          <t>GÄVLEBORGS LÄN</t>
        </is>
      </c>
      <c r="E11437" t="inlineStr">
        <is>
          <t>SANDVIKEN</t>
        </is>
      </c>
      <c r="G11437" t="n">
        <v>5.5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30976-2024</t>
        </is>
      </c>
      <c r="B11438" s="1" t="n">
        <v>45499</v>
      </c>
      <c r="C11438" s="1" t="n">
        <v>45587</v>
      </c>
      <c r="D11438" t="inlineStr">
        <is>
          <t>GÄVLEBORGS LÄN</t>
        </is>
      </c>
      <c r="E11438" t="inlineStr">
        <is>
          <t>NORDANSTIG</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30980-2024</t>
        </is>
      </c>
      <c r="B11439" s="1" t="n">
        <v>45499</v>
      </c>
      <c r="C11439" s="1" t="n">
        <v>45587</v>
      </c>
      <c r="D11439" t="inlineStr">
        <is>
          <t>GÄVLEBORGS LÄN</t>
        </is>
      </c>
      <c r="E11439" t="inlineStr">
        <is>
          <t>NORDANSTIG</t>
        </is>
      </c>
      <c r="G11439" t="n">
        <v>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30975-2024</t>
        </is>
      </c>
      <c r="B11440" s="1" t="n">
        <v>45499</v>
      </c>
      <c r="C11440" s="1" t="n">
        <v>45587</v>
      </c>
      <c r="D11440" t="inlineStr">
        <is>
          <t>GÄVLEBORGS LÄN</t>
        </is>
      </c>
      <c r="E11440" t="inlineStr">
        <is>
          <t>NORDANSTIG</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30997-2024</t>
        </is>
      </c>
      <c r="B11441" s="1" t="n">
        <v>45499</v>
      </c>
      <c r="C11441" s="1" t="n">
        <v>45587</v>
      </c>
      <c r="D11441" t="inlineStr">
        <is>
          <t>GÄVLEBORGS LÄN</t>
        </is>
      </c>
      <c r="E11441" t="inlineStr">
        <is>
          <t>GÄVLE</t>
        </is>
      </c>
      <c r="F11441" t="inlineStr">
        <is>
          <t>Bergvik skog väst AB</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30983-2024</t>
        </is>
      </c>
      <c r="B11442" s="1" t="n">
        <v>45499</v>
      </c>
      <c r="C11442" s="1" t="n">
        <v>45587</v>
      </c>
      <c r="D11442" t="inlineStr">
        <is>
          <t>GÄVLEBORGS LÄN</t>
        </is>
      </c>
      <c r="E11442" t="inlineStr">
        <is>
          <t>HUDIKSVALL</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30953-2024</t>
        </is>
      </c>
      <c r="B11443" s="1" t="n">
        <v>45499</v>
      </c>
      <c r="C11443" s="1" t="n">
        <v>45587</v>
      </c>
      <c r="D11443" t="inlineStr">
        <is>
          <t>GÄVLEBORGS LÄN</t>
        </is>
      </c>
      <c r="E11443" t="inlineStr">
        <is>
          <t>SANDVIKEN</t>
        </is>
      </c>
      <c r="G11443" t="n">
        <v>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30957-2024</t>
        </is>
      </c>
      <c r="B11444" s="1" t="n">
        <v>45499</v>
      </c>
      <c r="C11444" s="1" t="n">
        <v>45587</v>
      </c>
      <c r="D11444" t="inlineStr">
        <is>
          <t>GÄVLEBORGS LÄN</t>
        </is>
      </c>
      <c r="E11444" t="inlineStr">
        <is>
          <t>SANDVIKEN</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30969-2024</t>
        </is>
      </c>
      <c r="B11445" s="1" t="n">
        <v>45499</v>
      </c>
      <c r="C11445" s="1" t="n">
        <v>45587</v>
      </c>
      <c r="D11445" t="inlineStr">
        <is>
          <t>GÄVLEBORGS LÄN</t>
        </is>
      </c>
      <c r="E11445" t="inlineStr">
        <is>
          <t>NORDANSTIG</t>
        </is>
      </c>
      <c r="F11445" t="inlineStr">
        <is>
          <t>Holmen skog AB</t>
        </is>
      </c>
      <c r="G11445" t="n">
        <v>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30981-2024</t>
        </is>
      </c>
      <c r="B11446" s="1" t="n">
        <v>45499</v>
      </c>
      <c r="C11446" s="1" t="n">
        <v>45587</v>
      </c>
      <c r="D11446" t="inlineStr">
        <is>
          <t>GÄVLEBORGS LÄN</t>
        </is>
      </c>
      <c r="E11446" t="inlineStr">
        <is>
          <t>HUDIKSVALL</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31002-2024</t>
        </is>
      </c>
      <c r="B11447" s="1" t="n">
        <v>45499</v>
      </c>
      <c r="C11447" s="1" t="n">
        <v>45587</v>
      </c>
      <c r="D11447" t="inlineStr">
        <is>
          <t>GÄVLEBORGS LÄN</t>
        </is>
      </c>
      <c r="E11447" t="inlineStr">
        <is>
          <t>NORDANSTIG</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30946-2024</t>
        </is>
      </c>
      <c r="B11448" s="1" t="n">
        <v>45499</v>
      </c>
      <c r="C11448" s="1" t="n">
        <v>45587</v>
      </c>
      <c r="D11448" t="inlineStr">
        <is>
          <t>GÄVLEBORGS LÄN</t>
        </is>
      </c>
      <c r="E11448" t="inlineStr">
        <is>
          <t>OVANÅKER</t>
        </is>
      </c>
      <c r="F11448" t="inlineStr">
        <is>
          <t>Bergvik skog öst AB</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30958-2024</t>
        </is>
      </c>
      <c r="B11449" s="1" t="n">
        <v>45499</v>
      </c>
      <c r="C11449" s="1" t="n">
        <v>45587</v>
      </c>
      <c r="D11449" t="inlineStr">
        <is>
          <t>GÄVLEBORGS LÄN</t>
        </is>
      </c>
      <c r="E11449" t="inlineStr">
        <is>
          <t>SANDVIKEN</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30974-2024</t>
        </is>
      </c>
      <c r="B11450" s="1" t="n">
        <v>45499</v>
      </c>
      <c r="C11450" s="1" t="n">
        <v>45587</v>
      </c>
      <c r="D11450" t="inlineStr">
        <is>
          <t>GÄVLEBORGS LÄN</t>
        </is>
      </c>
      <c r="E11450" t="inlineStr">
        <is>
          <t>NORDANSTIG</t>
        </is>
      </c>
      <c r="G11450" t="n">
        <v>16.4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30978-2024</t>
        </is>
      </c>
      <c r="B11451" s="1" t="n">
        <v>45499</v>
      </c>
      <c r="C11451" s="1" t="n">
        <v>45587</v>
      </c>
      <c r="D11451" t="inlineStr">
        <is>
          <t>GÄVLEBORGS LÄN</t>
        </is>
      </c>
      <c r="E11451" t="inlineStr">
        <is>
          <t>NORDANSTIG</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30982-2024</t>
        </is>
      </c>
      <c r="B11452" s="1" t="n">
        <v>45499</v>
      </c>
      <c r="C11452" s="1" t="n">
        <v>45587</v>
      </c>
      <c r="D11452" t="inlineStr">
        <is>
          <t>GÄVLEBORGS LÄN</t>
        </is>
      </c>
      <c r="E11452" t="inlineStr">
        <is>
          <t>HUDIKSVALL</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31011-2024</t>
        </is>
      </c>
      <c r="B11453" s="1" t="n">
        <v>45499</v>
      </c>
      <c r="C11453" s="1" t="n">
        <v>45587</v>
      </c>
      <c r="D11453" t="inlineStr">
        <is>
          <t>GÄVLEBORGS LÄN</t>
        </is>
      </c>
      <c r="E11453" t="inlineStr">
        <is>
          <t>LJUSDAL</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31022-2024</t>
        </is>
      </c>
      <c r="B11454" s="1" t="n">
        <v>45500</v>
      </c>
      <c r="C11454" s="1" t="n">
        <v>45587</v>
      </c>
      <c r="D11454" t="inlineStr">
        <is>
          <t>GÄVLEBORGS LÄN</t>
        </is>
      </c>
      <c r="E11454" t="inlineStr">
        <is>
          <t>BOLLNÄS</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31024-2024</t>
        </is>
      </c>
      <c r="B11455" s="1" t="n">
        <v>45500</v>
      </c>
      <c r="C11455" s="1" t="n">
        <v>45587</v>
      </c>
      <c r="D11455" t="inlineStr">
        <is>
          <t>GÄVLEBORGS LÄN</t>
        </is>
      </c>
      <c r="E11455" t="inlineStr">
        <is>
          <t>BOLLNÄS</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31023-2024</t>
        </is>
      </c>
      <c r="B11456" s="1" t="n">
        <v>45500</v>
      </c>
      <c r="C11456" s="1" t="n">
        <v>45587</v>
      </c>
      <c r="D11456" t="inlineStr">
        <is>
          <t>GÄVLEBORGS LÄN</t>
        </is>
      </c>
      <c r="E11456" t="inlineStr">
        <is>
          <t>BOLLNÄS</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31025-2024</t>
        </is>
      </c>
      <c r="B11457" s="1" t="n">
        <v>45500</v>
      </c>
      <c r="C11457" s="1" t="n">
        <v>45587</v>
      </c>
      <c r="D11457" t="inlineStr">
        <is>
          <t>GÄVLEBORGS LÄN</t>
        </is>
      </c>
      <c r="E11457" t="inlineStr">
        <is>
          <t>HUDIKSVALL</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31119-2024</t>
        </is>
      </c>
      <c r="B11458" s="1" t="n">
        <v>45502</v>
      </c>
      <c r="C11458" s="1" t="n">
        <v>45587</v>
      </c>
      <c r="D11458" t="inlineStr">
        <is>
          <t>GÄVLEBORGS LÄN</t>
        </is>
      </c>
      <c r="E11458" t="inlineStr">
        <is>
          <t>HUDIKSVALL</t>
        </is>
      </c>
      <c r="F11458" t="inlineStr">
        <is>
          <t>Holmen skog AB</t>
        </is>
      </c>
      <c r="G11458" t="n">
        <v>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31063-2024</t>
        </is>
      </c>
      <c r="B11459" s="1" t="n">
        <v>45502</v>
      </c>
      <c r="C11459" s="1" t="n">
        <v>45587</v>
      </c>
      <c r="D11459" t="inlineStr">
        <is>
          <t>GÄVLEBORGS LÄN</t>
        </is>
      </c>
      <c r="E11459" t="inlineStr">
        <is>
          <t>OVANÅKER</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31084-2024</t>
        </is>
      </c>
      <c r="B11460" s="1" t="n">
        <v>45502</v>
      </c>
      <c r="C11460" s="1" t="n">
        <v>45587</v>
      </c>
      <c r="D11460" t="inlineStr">
        <is>
          <t>GÄVLEBORGS LÄN</t>
        </is>
      </c>
      <c r="E11460" t="inlineStr">
        <is>
          <t>OVANÅKER</t>
        </is>
      </c>
      <c r="F11460" t="inlineStr">
        <is>
          <t>Bergvik skog öst AB</t>
        </is>
      </c>
      <c r="G11460" t="n">
        <v>6.7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31068-2024</t>
        </is>
      </c>
      <c r="B11461" s="1" t="n">
        <v>45502</v>
      </c>
      <c r="C11461" s="1" t="n">
        <v>45587</v>
      </c>
      <c r="D11461" t="inlineStr">
        <is>
          <t>GÄVLEBORGS LÄN</t>
        </is>
      </c>
      <c r="E11461" t="inlineStr">
        <is>
          <t>NORDANSTIG</t>
        </is>
      </c>
      <c r="F11461" t="inlineStr">
        <is>
          <t>Holmen skog AB</t>
        </is>
      </c>
      <c r="G11461" t="n">
        <v>4.6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31064-2024</t>
        </is>
      </c>
      <c r="B11462" s="1" t="n">
        <v>45502</v>
      </c>
      <c r="C11462" s="1" t="n">
        <v>45587</v>
      </c>
      <c r="D11462" t="inlineStr">
        <is>
          <t>GÄVLEBORGS LÄN</t>
        </is>
      </c>
      <c r="E11462" t="inlineStr">
        <is>
          <t>NORDANSTIG</t>
        </is>
      </c>
      <c r="G11462" t="n">
        <v>22.1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31052-2024</t>
        </is>
      </c>
      <c r="B11463" s="1" t="n">
        <v>45502</v>
      </c>
      <c r="C11463" s="1" t="n">
        <v>45587</v>
      </c>
      <c r="D11463" t="inlineStr">
        <is>
          <t>GÄVLEBORGS LÄN</t>
        </is>
      </c>
      <c r="E11463" t="inlineStr">
        <is>
          <t>OVANÅKER</t>
        </is>
      </c>
      <c r="F11463" t="inlineStr">
        <is>
          <t>Bergvik skog väst AB</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31117-2024</t>
        </is>
      </c>
      <c r="B11464" s="1" t="n">
        <v>45502</v>
      </c>
      <c r="C11464" s="1" t="n">
        <v>45587</v>
      </c>
      <c r="D11464" t="inlineStr">
        <is>
          <t>GÄVLEBORGS LÄN</t>
        </is>
      </c>
      <c r="E11464" t="inlineStr">
        <is>
          <t>HUDIKSVALL</t>
        </is>
      </c>
      <c r="F11464" t="inlineStr">
        <is>
          <t>Holmen skog AB</t>
        </is>
      </c>
      <c r="G11464" t="n">
        <v>10.9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31065-2024</t>
        </is>
      </c>
      <c r="B11465" s="1" t="n">
        <v>45502</v>
      </c>
      <c r="C11465" s="1" t="n">
        <v>45587</v>
      </c>
      <c r="D11465" t="inlineStr">
        <is>
          <t>GÄVLEBORGS LÄN</t>
        </is>
      </c>
      <c r="E11465" t="inlineStr">
        <is>
          <t>NORDANSTIG</t>
        </is>
      </c>
      <c r="G11465" t="n">
        <v>3.6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31169-2024</t>
        </is>
      </c>
      <c r="B11466" s="1" t="n">
        <v>45503</v>
      </c>
      <c r="C11466" s="1" t="n">
        <v>45587</v>
      </c>
      <c r="D11466" t="inlineStr">
        <is>
          <t>GÄVLEBORGS LÄN</t>
        </is>
      </c>
      <c r="E11466" t="inlineStr">
        <is>
          <t>SÖDERHAMN</t>
        </is>
      </c>
      <c r="F11466" t="inlineStr">
        <is>
          <t>Bergvik skog väst AB</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31166-2024</t>
        </is>
      </c>
      <c r="B11467" s="1" t="n">
        <v>45503</v>
      </c>
      <c r="C11467" s="1" t="n">
        <v>45587</v>
      </c>
      <c r="D11467" t="inlineStr">
        <is>
          <t>GÄVLEBORGS LÄN</t>
        </is>
      </c>
      <c r="E11467" t="inlineStr">
        <is>
          <t>SÖDERHAMN</t>
        </is>
      </c>
      <c r="F11467" t="inlineStr">
        <is>
          <t>Bergvik skog väst AB</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31175-2024</t>
        </is>
      </c>
      <c r="B11468" s="1" t="n">
        <v>45503</v>
      </c>
      <c r="C11468" s="1" t="n">
        <v>45587</v>
      </c>
      <c r="D11468" t="inlineStr">
        <is>
          <t>GÄVLEBORGS LÄN</t>
        </is>
      </c>
      <c r="E11468" t="inlineStr">
        <is>
          <t>OVANÅKER</t>
        </is>
      </c>
      <c r="F11468" t="inlineStr">
        <is>
          <t>Bergvik skog väst AB</t>
        </is>
      </c>
      <c r="G11468" t="n">
        <v>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31224-2024</t>
        </is>
      </c>
      <c r="B11469" s="1" t="n">
        <v>45503</v>
      </c>
      <c r="C11469" s="1" t="n">
        <v>45587</v>
      </c>
      <c r="D11469" t="inlineStr">
        <is>
          <t>GÄVLEBORGS LÄN</t>
        </is>
      </c>
      <c r="E11469" t="inlineStr">
        <is>
          <t>HUDIKSVALL</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31150-2024</t>
        </is>
      </c>
      <c r="B11470" s="1" t="n">
        <v>45503</v>
      </c>
      <c r="C11470" s="1" t="n">
        <v>45587</v>
      </c>
      <c r="D11470" t="inlineStr">
        <is>
          <t>GÄVLEBORGS LÄN</t>
        </is>
      </c>
      <c r="E11470" t="inlineStr">
        <is>
          <t>HUDIKSVALL</t>
        </is>
      </c>
      <c r="G11470" t="n">
        <v>9.5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31239-2024</t>
        </is>
      </c>
      <c r="B11471" s="1" t="n">
        <v>45503</v>
      </c>
      <c r="C11471" s="1" t="n">
        <v>45587</v>
      </c>
      <c r="D11471" t="inlineStr">
        <is>
          <t>GÄVLEBORGS LÄN</t>
        </is>
      </c>
      <c r="E11471" t="inlineStr">
        <is>
          <t>HUDIKSVALL</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31243-2024</t>
        </is>
      </c>
      <c r="B11472" s="1" t="n">
        <v>45503</v>
      </c>
      <c r="C11472" s="1" t="n">
        <v>45587</v>
      </c>
      <c r="D11472" t="inlineStr">
        <is>
          <t>GÄVLEBORGS LÄN</t>
        </is>
      </c>
      <c r="E11472" t="inlineStr">
        <is>
          <t>SANDVIKEN</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31286-2024</t>
        </is>
      </c>
      <c r="B11473" s="1" t="n">
        <v>45504</v>
      </c>
      <c r="C11473" s="1" t="n">
        <v>45587</v>
      </c>
      <c r="D11473" t="inlineStr">
        <is>
          <t>GÄVLEBORGS LÄN</t>
        </is>
      </c>
      <c r="E11473" t="inlineStr">
        <is>
          <t>LJUSDAL</t>
        </is>
      </c>
      <c r="G11473" t="n">
        <v>3.2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31298-2024</t>
        </is>
      </c>
      <c r="B11474" s="1" t="n">
        <v>45504</v>
      </c>
      <c r="C11474" s="1" t="n">
        <v>45587</v>
      </c>
      <c r="D11474" t="inlineStr">
        <is>
          <t>GÄVLEBORGS LÄN</t>
        </is>
      </c>
      <c r="E11474" t="inlineStr">
        <is>
          <t>OVANÅKER</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31319-2024</t>
        </is>
      </c>
      <c r="B11475" s="1" t="n">
        <v>45504</v>
      </c>
      <c r="C11475" s="1" t="n">
        <v>45587</v>
      </c>
      <c r="D11475" t="inlineStr">
        <is>
          <t>GÄVLEBORGS LÄN</t>
        </is>
      </c>
      <c r="E11475" t="inlineStr">
        <is>
          <t>LJUSDAL</t>
        </is>
      </c>
      <c r="F11475" t="inlineStr">
        <is>
          <t>Allmännings- och besparingsskogar</t>
        </is>
      </c>
      <c r="G11475" t="n">
        <v>31.4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31270-2024</t>
        </is>
      </c>
      <c r="B11476" s="1" t="n">
        <v>45504</v>
      </c>
      <c r="C11476" s="1" t="n">
        <v>45587</v>
      </c>
      <c r="D11476" t="inlineStr">
        <is>
          <t>GÄVLEBORGS LÄN</t>
        </is>
      </c>
      <c r="E11476" t="inlineStr">
        <is>
          <t>NORDANSTIG</t>
        </is>
      </c>
      <c r="G11476" t="n">
        <v>3.2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31287-2024</t>
        </is>
      </c>
      <c r="B11477" s="1" t="n">
        <v>45504</v>
      </c>
      <c r="C11477" s="1" t="n">
        <v>45587</v>
      </c>
      <c r="D11477" t="inlineStr">
        <is>
          <t>GÄVLEBORGS LÄN</t>
        </is>
      </c>
      <c r="E11477" t="inlineStr">
        <is>
          <t>LJUSDAL</t>
        </is>
      </c>
      <c r="G11477" t="n">
        <v>3.5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31296-2024</t>
        </is>
      </c>
      <c r="B11478" s="1" t="n">
        <v>45504</v>
      </c>
      <c r="C11478" s="1" t="n">
        <v>45587</v>
      </c>
      <c r="D11478" t="inlineStr">
        <is>
          <t>GÄVLEBORGS LÄN</t>
        </is>
      </c>
      <c r="E11478" t="inlineStr">
        <is>
          <t>OVANÅKER</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31284-2024</t>
        </is>
      </c>
      <c r="B11479" s="1" t="n">
        <v>45504</v>
      </c>
      <c r="C11479" s="1" t="n">
        <v>45587</v>
      </c>
      <c r="D11479" t="inlineStr">
        <is>
          <t>GÄVLEBORGS LÄN</t>
        </is>
      </c>
      <c r="E11479" t="inlineStr">
        <is>
          <t>GÄVLE</t>
        </is>
      </c>
      <c r="G11479" t="n">
        <v>21.2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31367-2024</t>
        </is>
      </c>
      <c r="B11480" s="1" t="n">
        <v>45505</v>
      </c>
      <c r="C11480" s="1" t="n">
        <v>45587</v>
      </c>
      <c r="D11480" t="inlineStr">
        <is>
          <t>GÄVLEBORGS LÄN</t>
        </is>
      </c>
      <c r="E11480" t="inlineStr">
        <is>
          <t>GÄVLE</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31370-2024</t>
        </is>
      </c>
      <c r="B11481" s="1" t="n">
        <v>45505</v>
      </c>
      <c r="C11481" s="1" t="n">
        <v>45587</v>
      </c>
      <c r="D11481" t="inlineStr">
        <is>
          <t>GÄVLEBORGS LÄN</t>
        </is>
      </c>
      <c r="E11481" t="inlineStr">
        <is>
          <t>LJUSDAL</t>
        </is>
      </c>
      <c r="G11481" t="n">
        <v>5.5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31444-2024</t>
        </is>
      </c>
      <c r="B11482" s="1" t="n">
        <v>45506</v>
      </c>
      <c r="C11482" s="1" t="n">
        <v>45587</v>
      </c>
      <c r="D11482" t="inlineStr">
        <is>
          <t>GÄVLEBORGS LÄN</t>
        </is>
      </c>
      <c r="E11482" t="inlineStr">
        <is>
          <t>HUDIKSVALL</t>
        </is>
      </c>
      <c r="G11482" t="n">
        <v>9.199999999999999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31443-2024</t>
        </is>
      </c>
      <c r="B11483" s="1" t="n">
        <v>45506</v>
      </c>
      <c r="C11483" s="1" t="n">
        <v>45587</v>
      </c>
      <c r="D11483" t="inlineStr">
        <is>
          <t>GÄVLEBORGS LÄN</t>
        </is>
      </c>
      <c r="E11483" t="inlineStr">
        <is>
          <t>HUDIKSVALL</t>
        </is>
      </c>
      <c r="G11483" t="n">
        <v>11.9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31415-2024</t>
        </is>
      </c>
      <c r="B11484" s="1" t="n">
        <v>45505</v>
      </c>
      <c r="C11484" s="1" t="n">
        <v>45587</v>
      </c>
      <c r="D11484" t="inlineStr">
        <is>
          <t>GÄVLEBORGS LÄN</t>
        </is>
      </c>
      <c r="E11484" t="inlineStr">
        <is>
          <t>LJUSDAL</t>
        </is>
      </c>
      <c r="F11484" t="inlineStr">
        <is>
          <t>Sveaskog</t>
        </is>
      </c>
      <c r="G11484" t="n">
        <v>4.7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31373-2024</t>
        </is>
      </c>
      <c r="B11485" s="1" t="n">
        <v>45505</v>
      </c>
      <c r="C11485" s="1" t="n">
        <v>45587</v>
      </c>
      <c r="D11485" t="inlineStr">
        <is>
          <t>GÄVLEBORGS LÄN</t>
        </is>
      </c>
      <c r="E11485" t="inlineStr">
        <is>
          <t>LJUSDAL</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31368-2024</t>
        </is>
      </c>
      <c r="B11486" s="1" t="n">
        <v>45505</v>
      </c>
      <c r="C11486" s="1" t="n">
        <v>45587</v>
      </c>
      <c r="D11486" t="inlineStr">
        <is>
          <t>GÄVLEBORGS LÄN</t>
        </is>
      </c>
      <c r="E11486" t="inlineStr">
        <is>
          <t>HUDIKSVALL</t>
        </is>
      </c>
      <c r="G11486" t="n">
        <v>7.4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31573-2024</t>
        </is>
      </c>
      <c r="B11487" s="1" t="n">
        <v>45506</v>
      </c>
      <c r="C11487" s="1" t="n">
        <v>45587</v>
      </c>
      <c r="D11487" t="inlineStr">
        <is>
          <t>GÄVLEBORGS LÄN</t>
        </is>
      </c>
      <c r="E11487" t="inlineStr">
        <is>
          <t>BOLLNÄS</t>
        </is>
      </c>
      <c r="F11487" t="inlineStr">
        <is>
          <t>Sveaskog</t>
        </is>
      </c>
      <c r="G11487" t="n">
        <v>10.8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31577-2024</t>
        </is>
      </c>
      <c r="B11488" s="1" t="n">
        <v>45506</v>
      </c>
      <c r="C11488" s="1" t="n">
        <v>45587</v>
      </c>
      <c r="D11488" t="inlineStr">
        <is>
          <t>GÄVLEBORGS LÄN</t>
        </is>
      </c>
      <c r="E11488" t="inlineStr">
        <is>
          <t>BOLLNÄS</t>
        </is>
      </c>
      <c r="F11488" t="inlineStr">
        <is>
          <t>Sveaskog</t>
        </is>
      </c>
      <c r="G11488" t="n">
        <v>32.9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31615-2024</t>
        </is>
      </c>
      <c r="B11489" s="1" t="n">
        <v>45506</v>
      </c>
      <c r="C11489" s="1" t="n">
        <v>45587</v>
      </c>
      <c r="D11489" t="inlineStr">
        <is>
          <t>GÄVLEBORGS LÄN</t>
        </is>
      </c>
      <c r="E11489" t="inlineStr">
        <is>
          <t>LJUSDAL</t>
        </is>
      </c>
      <c r="F11489" t="inlineStr">
        <is>
          <t>Sveaskog</t>
        </is>
      </c>
      <c r="G11489" t="n">
        <v>15.8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31571-2024</t>
        </is>
      </c>
      <c r="B11490" s="1" t="n">
        <v>45506</v>
      </c>
      <c r="C11490" s="1" t="n">
        <v>45587</v>
      </c>
      <c r="D11490" t="inlineStr">
        <is>
          <t>GÄVLEBORGS LÄN</t>
        </is>
      </c>
      <c r="E11490" t="inlineStr">
        <is>
          <t>NORDANSTIG</t>
        </is>
      </c>
      <c r="F11490" t="inlineStr">
        <is>
          <t>Holmen skog AB</t>
        </is>
      </c>
      <c r="G11490" t="n">
        <v>5.7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31572-2024</t>
        </is>
      </c>
      <c r="B11491" s="1" t="n">
        <v>45506</v>
      </c>
      <c r="C11491" s="1" t="n">
        <v>45587</v>
      </c>
      <c r="D11491" t="inlineStr">
        <is>
          <t>GÄVLEBORGS LÄN</t>
        </is>
      </c>
      <c r="E11491" t="inlineStr">
        <is>
          <t>BOLLNÄS</t>
        </is>
      </c>
      <c r="F11491" t="inlineStr">
        <is>
          <t>Sveaskog</t>
        </is>
      </c>
      <c r="G11491" t="n">
        <v>8.800000000000001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31627-2024</t>
        </is>
      </c>
      <c r="B11492" s="1" t="n">
        <v>45506</v>
      </c>
      <c r="C11492" s="1" t="n">
        <v>45587</v>
      </c>
      <c r="D11492" t="inlineStr">
        <is>
          <t>GÄVLEBORGS LÄN</t>
        </is>
      </c>
      <c r="E11492" t="inlineStr">
        <is>
          <t>LJUSDAL</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31610-2024</t>
        </is>
      </c>
      <c r="B11493" s="1" t="n">
        <v>45506</v>
      </c>
      <c r="C11493" s="1" t="n">
        <v>45587</v>
      </c>
      <c r="D11493" t="inlineStr">
        <is>
          <t>GÄVLEBORGS LÄN</t>
        </is>
      </c>
      <c r="E11493" t="inlineStr">
        <is>
          <t>BOLLNÄS</t>
        </is>
      </c>
      <c r="F11493" t="inlineStr">
        <is>
          <t>Sveaskog</t>
        </is>
      </c>
      <c r="G11493" t="n">
        <v>2.8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31645-2024</t>
        </is>
      </c>
      <c r="B11494" s="1" t="n">
        <v>45506</v>
      </c>
      <c r="C11494" s="1" t="n">
        <v>45587</v>
      </c>
      <c r="D11494" t="inlineStr">
        <is>
          <t>GÄVLEBORGS LÄN</t>
        </is>
      </c>
      <c r="E11494" t="inlineStr">
        <is>
          <t>HOFORS</t>
        </is>
      </c>
      <c r="F11494" t="inlineStr">
        <is>
          <t>Sveaskog</t>
        </is>
      </c>
      <c r="G11494" t="n">
        <v>11.1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31649-2024</t>
        </is>
      </c>
      <c r="B11495" s="1" t="n">
        <v>45506</v>
      </c>
      <c r="C11495" s="1" t="n">
        <v>45587</v>
      </c>
      <c r="D11495" t="inlineStr">
        <is>
          <t>GÄVLEBORGS LÄN</t>
        </is>
      </c>
      <c r="E11495" t="inlineStr">
        <is>
          <t>BOLLNÄS</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31626-2024</t>
        </is>
      </c>
      <c r="B11496" s="1" t="n">
        <v>45506</v>
      </c>
      <c r="C11496" s="1" t="n">
        <v>45587</v>
      </c>
      <c r="D11496" t="inlineStr">
        <is>
          <t>GÄVLEBORGS LÄN</t>
        </is>
      </c>
      <c r="E11496" t="inlineStr">
        <is>
          <t>LJUSDAL</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31673-2024</t>
        </is>
      </c>
      <c r="B11497" s="1" t="n">
        <v>45507</v>
      </c>
      <c r="C11497" s="1" t="n">
        <v>45587</v>
      </c>
      <c r="D11497" t="inlineStr">
        <is>
          <t>GÄVLEBORGS LÄN</t>
        </is>
      </c>
      <c r="E11497" t="inlineStr">
        <is>
          <t>LJUSDAL</t>
        </is>
      </c>
      <c r="F11497" t="inlineStr">
        <is>
          <t>SCA</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31646-2024</t>
        </is>
      </c>
      <c r="B11498" s="1" t="n">
        <v>45506</v>
      </c>
      <c r="C11498" s="1" t="n">
        <v>45587</v>
      </c>
      <c r="D11498" t="inlineStr">
        <is>
          <t>GÄVLEBORGS LÄN</t>
        </is>
      </c>
      <c r="E11498" t="inlineStr">
        <is>
          <t>SANDVIKEN</t>
        </is>
      </c>
      <c r="F11498" t="inlineStr">
        <is>
          <t>Sveaskog</t>
        </is>
      </c>
      <c r="G11498" t="n">
        <v>5.9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31644-2024</t>
        </is>
      </c>
      <c r="B11499" s="1" t="n">
        <v>45506</v>
      </c>
      <c r="C11499" s="1" t="n">
        <v>45587</v>
      </c>
      <c r="D11499" t="inlineStr">
        <is>
          <t>GÄVLEBORGS LÄN</t>
        </is>
      </c>
      <c r="E11499" t="inlineStr">
        <is>
          <t>BOLLNÄS</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31574-2024</t>
        </is>
      </c>
      <c r="B11500" s="1" t="n">
        <v>45506</v>
      </c>
      <c r="C11500" s="1" t="n">
        <v>45587</v>
      </c>
      <c r="D11500" t="inlineStr">
        <is>
          <t>GÄVLEBORGS LÄN</t>
        </is>
      </c>
      <c r="E11500" t="inlineStr">
        <is>
          <t>BOLLNÄS</t>
        </is>
      </c>
      <c r="F11500" t="inlineStr">
        <is>
          <t>Sveaskog</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31691-2024</t>
        </is>
      </c>
      <c r="B11501" s="1" t="n">
        <v>45507</v>
      </c>
      <c r="C11501" s="1" t="n">
        <v>45587</v>
      </c>
      <c r="D11501" t="inlineStr">
        <is>
          <t>GÄVLEBORGS LÄN</t>
        </is>
      </c>
      <c r="E11501" t="inlineStr">
        <is>
          <t>HUDIKSVALL</t>
        </is>
      </c>
      <c r="F11501" t="inlineStr">
        <is>
          <t>Holmen skog AB</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31701-2024</t>
        </is>
      </c>
      <c r="B11502" s="1" t="n">
        <v>45508</v>
      </c>
      <c r="C11502" s="1" t="n">
        <v>45587</v>
      </c>
      <c r="D11502" t="inlineStr">
        <is>
          <t>GÄVLEBORGS LÄN</t>
        </is>
      </c>
      <c r="E11502" t="inlineStr">
        <is>
          <t>HOFORS</t>
        </is>
      </c>
      <c r="G11502" t="n">
        <v>4.3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31707-2024</t>
        </is>
      </c>
      <c r="B11503" s="1" t="n">
        <v>45509</v>
      </c>
      <c r="C11503" s="1" t="n">
        <v>45587</v>
      </c>
      <c r="D11503" t="inlineStr">
        <is>
          <t>GÄVLEBORGS LÄN</t>
        </is>
      </c>
      <c r="E11503" t="inlineStr">
        <is>
          <t>HUDIKSVALL</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31805-2024</t>
        </is>
      </c>
      <c r="B11504" s="1" t="n">
        <v>45509</v>
      </c>
      <c r="C11504" s="1" t="n">
        <v>45587</v>
      </c>
      <c r="D11504" t="inlineStr">
        <is>
          <t>GÄVLEBORGS LÄN</t>
        </is>
      </c>
      <c r="E11504" t="inlineStr">
        <is>
          <t>SÖDERHAMN</t>
        </is>
      </c>
      <c r="G11504" t="n">
        <v>7.3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31723-2024</t>
        </is>
      </c>
      <c r="B11505" s="1" t="n">
        <v>45509</v>
      </c>
      <c r="C11505" s="1" t="n">
        <v>45587</v>
      </c>
      <c r="D11505" t="inlineStr">
        <is>
          <t>GÄVLEBORGS LÄN</t>
        </is>
      </c>
      <c r="E11505" t="inlineStr">
        <is>
          <t>NORDANSTIG</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31735-2024</t>
        </is>
      </c>
      <c r="B11506" s="1" t="n">
        <v>45509</v>
      </c>
      <c r="C11506" s="1" t="n">
        <v>45587</v>
      </c>
      <c r="D11506" t="inlineStr">
        <is>
          <t>GÄVLEBORGS LÄN</t>
        </is>
      </c>
      <c r="E11506" t="inlineStr">
        <is>
          <t>GÄVLE</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31755-2024</t>
        </is>
      </c>
      <c r="B11507" s="1" t="n">
        <v>45509</v>
      </c>
      <c r="C11507" s="1" t="n">
        <v>45587</v>
      </c>
      <c r="D11507" t="inlineStr">
        <is>
          <t>GÄVLEBORGS LÄN</t>
        </is>
      </c>
      <c r="E11507" t="inlineStr">
        <is>
          <t>BOLLNÄS</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31787-2024</t>
        </is>
      </c>
      <c r="B11508" s="1" t="n">
        <v>45509</v>
      </c>
      <c r="C11508" s="1" t="n">
        <v>45587</v>
      </c>
      <c r="D11508" t="inlineStr">
        <is>
          <t>GÄVLEBORGS LÄN</t>
        </is>
      </c>
      <c r="E11508" t="inlineStr">
        <is>
          <t>HUDIKSVALL</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31803-2024</t>
        </is>
      </c>
      <c r="B11509" s="1" t="n">
        <v>45509</v>
      </c>
      <c r="C11509" s="1" t="n">
        <v>45587</v>
      </c>
      <c r="D11509" t="inlineStr">
        <is>
          <t>GÄVLEBORGS LÄN</t>
        </is>
      </c>
      <c r="E11509" t="inlineStr">
        <is>
          <t>SÖDERHAMN</t>
        </is>
      </c>
      <c r="G11509" t="n">
        <v>3.4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31733-2024</t>
        </is>
      </c>
      <c r="B11510" s="1" t="n">
        <v>45509</v>
      </c>
      <c r="C11510" s="1" t="n">
        <v>45587</v>
      </c>
      <c r="D11510" t="inlineStr">
        <is>
          <t>GÄVLEBORGS LÄN</t>
        </is>
      </c>
      <c r="E11510" t="inlineStr">
        <is>
          <t>BOLLNÄS</t>
        </is>
      </c>
      <c r="G11510" t="n">
        <v>4.4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31760-2024</t>
        </is>
      </c>
      <c r="B11511" s="1" t="n">
        <v>45509</v>
      </c>
      <c r="C11511" s="1" t="n">
        <v>45587</v>
      </c>
      <c r="D11511" t="inlineStr">
        <is>
          <t>GÄVLEBORGS LÄN</t>
        </is>
      </c>
      <c r="E11511" t="inlineStr">
        <is>
          <t>LJUSDAL</t>
        </is>
      </c>
      <c r="F11511" t="inlineStr">
        <is>
          <t>Naturvårdsverket</t>
        </is>
      </c>
      <c r="G11511" t="n">
        <v>10</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31788-2024</t>
        </is>
      </c>
      <c r="B11512" s="1" t="n">
        <v>45509</v>
      </c>
      <c r="C11512" s="1" t="n">
        <v>45587</v>
      </c>
      <c r="D11512" t="inlineStr">
        <is>
          <t>GÄVLEBORGS LÄN</t>
        </is>
      </c>
      <c r="E11512" t="inlineStr">
        <is>
          <t>HUDIKSVALL</t>
        </is>
      </c>
      <c r="G11512" t="n">
        <v>5.4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31724-2024</t>
        </is>
      </c>
      <c r="B11513" s="1" t="n">
        <v>45509</v>
      </c>
      <c r="C11513" s="1" t="n">
        <v>45587</v>
      </c>
      <c r="D11513" t="inlineStr">
        <is>
          <t>GÄVLEBORGS LÄN</t>
        </is>
      </c>
      <c r="E11513" t="inlineStr">
        <is>
          <t>NORDANSTIG</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31714-2024</t>
        </is>
      </c>
      <c r="B11514" s="1" t="n">
        <v>45509</v>
      </c>
      <c r="C11514" s="1" t="n">
        <v>45587</v>
      </c>
      <c r="D11514" t="inlineStr">
        <is>
          <t>GÄVLEBORGS LÄN</t>
        </is>
      </c>
      <c r="E11514" t="inlineStr">
        <is>
          <t>BOLLNÄS</t>
        </is>
      </c>
      <c r="G11514" t="n">
        <v>6.8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31774-2024</t>
        </is>
      </c>
      <c r="B11515" s="1" t="n">
        <v>45509</v>
      </c>
      <c r="C11515" s="1" t="n">
        <v>45587</v>
      </c>
      <c r="D11515" t="inlineStr">
        <is>
          <t>GÄVLEBORGS LÄN</t>
        </is>
      </c>
      <c r="E11515" t="inlineStr">
        <is>
          <t>NORDANSTIG</t>
        </is>
      </c>
      <c r="G11515" t="n">
        <v>0.4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31742-2024</t>
        </is>
      </c>
      <c r="B11516" s="1" t="n">
        <v>45509</v>
      </c>
      <c r="C11516" s="1" t="n">
        <v>45587</v>
      </c>
      <c r="D11516" t="inlineStr">
        <is>
          <t>GÄVLEBORGS LÄN</t>
        </is>
      </c>
      <c r="E11516" t="inlineStr">
        <is>
          <t>SÖDERHAMN</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31875-2024</t>
        </is>
      </c>
      <c r="B11517" s="1" t="n">
        <v>45510</v>
      </c>
      <c r="C11517" s="1" t="n">
        <v>45587</v>
      </c>
      <c r="D11517" t="inlineStr">
        <is>
          <t>GÄVLEBORGS LÄN</t>
        </is>
      </c>
      <c r="E11517" t="inlineStr">
        <is>
          <t>HUDIKSVALL</t>
        </is>
      </c>
      <c r="G11517" t="n">
        <v>3.9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31906-2024</t>
        </is>
      </c>
      <c r="B11518" s="1" t="n">
        <v>45509</v>
      </c>
      <c r="C11518" s="1" t="n">
        <v>45587</v>
      </c>
      <c r="D11518" t="inlineStr">
        <is>
          <t>GÄVLEBORGS LÄN</t>
        </is>
      </c>
      <c r="E11518" t="inlineStr">
        <is>
          <t>HUDIKSVALL</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32036-2024</t>
        </is>
      </c>
      <c r="B11519" s="1" t="n">
        <v>45510</v>
      </c>
      <c r="C11519" s="1" t="n">
        <v>45587</v>
      </c>
      <c r="D11519" t="inlineStr">
        <is>
          <t>GÄVLEBORGS LÄN</t>
        </is>
      </c>
      <c r="E11519" t="inlineStr">
        <is>
          <t>HUDIKSVALL</t>
        </is>
      </c>
      <c r="F11519" t="inlineStr">
        <is>
          <t>Kommuner</t>
        </is>
      </c>
      <c r="G11519" t="n">
        <v>4.6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31922-2024</t>
        </is>
      </c>
      <c r="B11520" s="1" t="n">
        <v>45510</v>
      </c>
      <c r="C11520" s="1" t="n">
        <v>45587</v>
      </c>
      <c r="D11520" t="inlineStr">
        <is>
          <t>GÄVLEBORGS LÄN</t>
        </is>
      </c>
      <c r="E11520" t="inlineStr">
        <is>
          <t>BOLLNÄS</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32017-2024</t>
        </is>
      </c>
      <c r="B11521" s="1" t="n">
        <v>45510</v>
      </c>
      <c r="C11521" s="1" t="n">
        <v>45587</v>
      </c>
      <c r="D11521" t="inlineStr">
        <is>
          <t>GÄVLEBORGS LÄN</t>
        </is>
      </c>
      <c r="E11521" t="inlineStr">
        <is>
          <t>HUDIKSVALL</t>
        </is>
      </c>
      <c r="G11521" t="n">
        <v>3.3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32005-2024</t>
        </is>
      </c>
      <c r="B11522" s="1" t="n">
        <v>45510</v>
      </c>
      <c r="C11522" s="1" t="n">
        <v>45587</v>
      </c>
      <c r="D11522" t="inlineStr">
        <is>
          <t>GÄVLEBORGS LÄN</t>
        </is>
      </c>
      <c r="E11522" t="inlineStr">
        <is>
          <t>HUDIKSVALL</t>
        </is>
      </c>
      <c r="F11522" t="inlineStr">
        <is>
          <t>Kommuner</t>
        </is>
      </c>
      <c r="G11522" t="n">
        <v>3.5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32001-2024</t>
        </is>
      </c>
      <c r="B11523" s="1" t="n">
        <v>45510</v>
      </c>
      <c r="C11523" s="1" t="n">
        <v>45587</v>
      </c>
      <c r="D11523" t="inlineStr">
        <is>
          <t>GÄVLEBORGS LÄN</t>
        </is>
      </c>
      <c r="E11523" t="inlineStr">
        <is>
          <t>HUDIKSVALL</t>
        </is>
      </c>
      <c r="F11523" t="inlineStr">
        <is>
          <t>Kommuner</t>
        </is>
      </c>
      <c r="G11523" t="n">
        <v>5.7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31997-2024</t>
        </is>
      </c>
      <c r="B11524" s="1" t="n">
        <v>45510</v>
      </c>
      <c r="C11524" s="1" t="n">
        <v>45587</v>
      </c>
      <c r="D11524" t="inlineStr">
        <is>
          <t>GÄVLEBORGS LÄN</t>
        </is>
      </c>
      <c r="E11524" t="inlineStr">
        <is>
          <t>SANDVIKEN</t>
        </is>
      </c>
      <c r="G11524" t="n">
        <v>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31948-2024</t>
        </is>
      </c>
      <c r="B11525" s="1" t="n">
        <v>45510</v>
      </c>
      <c r="C11525" s="1" t="n">
        <v>45587</v>
      </c>
      <c r="D11525" t="inlineStr">
        <is>
          <t>GÄVLEBORGS LÄN</t>
        </is>
      </c>
      <c r="E11525" t="inlineStr">
        <is>
          <t>HUDIKSVALL</t>
        </is>
      </c>
      <c r="F11525" t="inlineStr">
        <is>
          <t>Holmen skog AB</t>
        </is>
      </c>
      <c r="G11525" t="n">
        <v>8.9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31935-2024</t>
        </is>
      </c>
      <c r="B11526" s="1" t="n">
        <v>45510</v>
      </c>
      <c r="C11526" s="1" t="n">
        <v>45587</v>
      </c>
      <c r="D11526" t="inlineStr">
        <is>
          <t>GÄVLEBORGS LÄN</t>
        </is>
      </c>
      <c r="E11526" t="inlineStr">
        <is>
          <t>SÖDERHAMN</t>
        </is>
      </c>
      <c r="F11526" t="inlineStr">
        <is>
          <t>Bergvik skog väst AB</t>
        </is>
      </c>
      <c r="G11526" t="n">
        <v>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32011-2024</t>
        </is>
      </c>
      <c r="B11527" s="1" t="n">
        <v>45510</v>
      </c>
      <c r="C11527" s="1" t="n">
        <v>45587</v>
      </c>
      <c r="D11527" t="inlineStr">
        <is>
          <t>GÄVLEBORGS LÄN</t>
        </is>
      </c>
      <c r="E11527" t="inlineStr">
        <is>
          <t>OCKELBO</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32007-2024</t>
        </is>
      </c>
      <c r="B11528" s="1" t="n">
        <v>45510</v>
      </c>
      <c r="C11528" s="1" t="n">
        <v>45587</v>
      </c>
      <c r="D11528" t="inlineStr">
        <is>
          <t>GÄVLEBORGS LÄN</t>
        </is>
      </c>
      <c r="E11528" t="inlineStr">
        <is>
          <t>HUDIKSVALL</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31938-2024</t>
        </is>
      </c>
      <c r="B11529" s="1" t="n">
        <v>45510</v>
      </c>
      <c r="C11529" s="1" t="n">
        <v>45587</v>
      </c>
      <c r="D11529" t="inlineStr">
        <is>
          <t>GÄVLEBORGS LÄN</t>
        </is>
      </c>
      <c r="E11529" t="inlineStr">
        <is>
          <t>SÖDERHAMN</t>
        </is>
      </c>
      <c r="F11529" t="inlineStr">
        <is>
          <t>Bergvik skog väst AB</t>
        </is>
      </c>
      <c r="G11529" t="n">
        <v>3.1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32018-2024</t>
        </is>
      </c>
      <c r="B11530" s="1" t="n">
        <v>45510</v>
      </c>
      <c r="C11530" s="1" t="n">
        <v>45587</v>
      </c>
      <c r="D11530" t="inlineStr">
        <is>
          <t>GÄVLEBORGS LÄN</t>
        </is>
      </c>
      <c r="E11530" t="inlineStr">
        <is>
          <t>HUDIKSVALL</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32002-2024</t>
        </is>
      </c>
      <c r="B11531" s="1" t="n">
        <v>45510</v>
      </c>
      <c r="C11531" s="1" t="n">
        <v>45587</v>
      </c>
      <c r="D11531" t="inlineStr">
        <is>
          <t>GÄVLEBORGS LÄN</t>
        </is>
      </c>
      <c r="E11531" t="inlineStr">
        <is>
          <t>SANDVIKEN</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31936-2024</t>
        </is>
      </c>
      <c r="B11532" s="1" t="n">
        <v>45510</v>
      </c>
      <c r="C11532" s="1" t="n">
        <v>45587</v>
      </c>
      <c r="D11532" t="inlineStr">
        <is>
          <t>GÄVLEBORGS LÄN</t>
        </is>
      </c>
      <c r="E11532" t="inlineStr">
        <is>
          <t>OCKELBO</t>
        </is>
      </c>
      <c r="F11532" t="inlineStr">
        <is>
          <t>Bergvik skog väst AB</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31916-2024</t>
        </is>
      </c>
      <c r="B11533" s="1" t="n">
        <v>45510</v>
      </c>
      <c r="C11533" s="1" t="n">
        <v>45587</v>
      </c>
      <c r="D11533" t="inlineStr">
        <is>
          <t>GÄVLEBORGS LÄN</t>
        </is>
      </c>
      <c r="E11533" t="inlineStr">
        <is>
          <t>SÖDERHAMN</t>
        </is>
      </c>
      <c r="F11533" t="inlineStr">
        <is>
          <t>Bergvik skog väst AB</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32091-2024</t>
        </is>
      </c>
      <c r="B11534" s="1" t="n">
        <v>45511</v>
      </c>
      <c r="C11534" s="1" t="n">
        <v>45587</v>
      </c>
      <c r="D11534" t="inlineStr">
        <is>
          <t>GÄVLEBORGS LÄN</t>
        </is>
      </c>
      <c r="E11534" t="inlineStr">
        <is>
          <t>OCKELBO</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32111-2024</t>
        </is>
      </c>
      <c r="B11535" s="1" t="n">
        <v>45511</v>
      </c>
      <c r="C11535" s="1" t="n">
        <v>45587</v>
      </c>
      <c r="D11535" t="inlineStr">
        <is>
          <t>GÄVLEBORGS LÄN</t>
        </is>
      </c>
      <c r="E11535" t="inlineStr">
        <is>
          <t>HUDIKSVALL</t>
        </is>
      </c>
      <c r="G11535" t="n">
        <v>13.4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32123-2024</t>
        </is>
      </c>
      <c r="B11536" s="1" t="n">
        <v>45511</v>
      </c>
      <c r="C11536" s="1" t="n">
        <v>45587</v>
      </c>
      <c r="D11536" t="inlineStr">
        <is>
          <t>GÄVLEBORGS LÄN</t>
        </is>
      </c>
      <c r="E11536" t="inlineStr">
        <is>
          <t>OCKELBO</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32143-2024</t>
        </is>
      </c>
      <c r="B11537" s="1" t="n">
        <v>45511</v>
      </c>
      <c r="C11537" s="1" t="n">
        <v>45587</v>
      </c>
      <c r="D11537" t="inlineStr">
        <is>
          <t>GÄVLEBORGS LÄN</t>
        </is>
      </c>
      <c r="E11537" t="inlineStr">
        <is>
          <t>GÄVLE</t>
        </is>
      </c>
      <c r="F11537" t="inlineStr">
        <is>
          <t>Bergvik skog väst AB</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32084-2024</t>
        </is>
      </c>
      <c r="B11538" s="1" t="n">
        <v>45511</v>
      </c>
      <c r="C11538" s="1" t="n">
        <v>45587</v>
      </c>
      <c r="D11538" t="inlineStr">
        <is>
          <t>GÄVLEBORGS LÄN</t>
        </is>
      </c>
      <c r="E11538" t="inlineStr">
        <is>
          <t>OCKELBO</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32092-2024</t>
        </is>
      </c>
      <c r="B11539" s="1" t="n">
        <v>45511</v>
      </c>
      <c r="C11539" s="1" t="n">
        <v>45587</v>
      </c>
      <c r="D11539" t="inlineStr">
        <is>
          <t>GÄVLEBORGS LÄN</t>
        </is>
      </c>
      <c r="E11539" t="inlineStr">
        <is>
          <t>OCKELBO</t>
        </is>
      </c>
      <c r="G11539" t="n">
        <v>4.7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32144-2024</t>
        </is>
      </c>
      <c r="B11540" s="1" t="n">
        <v>45511</v>
      </c>
      <c r="C11540" s="1" t="n">
        <v>45587</v>
      </c>
      <c r="D11540" t="inlineStr">
        <is>
          <t>GÄVLEBORGS LÄN</t>
        </is>
      </c>
      <c r="E11540" t="inlineStr">
        <is>
          <t>GÄVLE</t>
        </is>
      </c>
      <c r="F11540" t="inlineStr">
        <is>
          <t>Bergvik skog väst AB</t>
        </is>
      </c>
      <c r="G11540" t="n">
        <v>5.8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32164-2024</t>
        </is>
      </c>
      <c r="B11541" s="1" t="n">
        <v>45511</v>
      </c>
      <c r="C11541" s="1" t="n">
        <v>45587</v>
      </c>
      <c r="D11541" t="inlineStr">
        <is>
          <t>GÄVLEBORGS LÄN</t>
        </is>
      </c>
      <c r="E11541" t="inlineStr">
        <is>
          <t>LJUSDAL</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32249-2024</t>
        </is>
      </c>
      <c r="B11542" s="1" t="n">
        <v>45511</v>
      </c>
      <c r="C11542" s="1" t="n">
        <v>45587</v>
      </c>
      <c r="D11542" t="inlineStr">
        <is>
          <t>GÄVLEBORGS LÄN</t>
        </is>
      </c>
      <c r="E11542" t="inlineStr">
        <is>
          <t>LJUSDAL</t>
        </is>
      </c>
      <c r="F11542" t="inlineStr">
        <is>
          <t>SCA</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32169-2024</t>
        </is>
      </c>
      <c r="B11543" s="1" t="n">
        <v>45511</v>
      </c>
      <c r="C11543" s="1" t="n">
        <v>45587</v>
      </c>
      <c r="D11543" t="inlineStr">
        <is>
          <t>GÄVLEBORGS LÄN</t>
        </is>
      </c>
      <c r="E11543" t="inlineStr">
        <is>
          <t>BOLLNÄS</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32161-2024</t>
        </is>
      </c>
      <c r="B11544" s="1" t="n">
        <v>45511</v>
      </c>
      <c r="C11544" s="1" t="n">
        <v>45587</v>
      </c>
      <c r="D11544" t="inlineStr">
        <is>
          <t>GÄVLEBORGS LÄN</t>
        </is>
      </c>
      <c r="E11544" t="inlineStr">
        <is>
          <t>LJUSDAL</t>
        </is>
      </c>
      <c r="G11544" t="n">
        <v>5.3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32149-2024</t>
        </is>
      </c>
      <c r="B11545" s="1" t="n">
        <v>45511</v>
      </c>
      <c r="C11545" s="1" t="n">
        <v>45587</v>
      </c>
      <c r="D11545" t="inlineStr">
        <is>
          <t>GÄVLEBORGS LÄN</t>
        </is>
      </c>
      <c r="E11545" t="inlineStr">
        <is>
          <t>NORDANSTIG</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32109-2024</t>
        </is>
      </c>
      <c r="B11546" s="1" t="n">
        <v>45511</v>
      </c>
      <c r="C11546" s="1" t="n">
        <v>45587</v>
      </c>
      <c r="D11546" t="inlineStr">
        <is>
          <t>GÄVLEBORGS LÄN</t>
        </is>
      </c>
      <c r="E11546" t="inlineStr">
        <is>
          <t>HUDIKSVALL</t>
        </is>
      </c>
      <c r="G11546" t="n">
        <v>2.7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32284-2024</t>
        </is>
      </c>
      <c r="B11547" s="1" t="n">
        <v>45512</v>
      </c>
      <c r="C11547" s="1" t="n">
        <v>45587</v>
      </c>
      <c r="D11547" t="inlineStr">
        <is>
          <t>GÄVLEBORGS LÄN</t>
        </is>
      </c>
      <c r="E11547" t="inlineStr">
        <is>
          <t>GÄVLE</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32288-2024</t>
        </is>
      </c>
      <c r="B11548" s="1" t="n">
        <v>45512</v>
      </c>
      <c r="C11548" s="1" t="n">
        <v>45587</v>
      </c>
      <c r="D11548" t="inlineStr">
        <is>
          <t>GÄVLEBORGS LÄN</t>
        </is>
      </c>
      <c r="E11548" t="inlineStr">
        <is>
          <t>SANDVIKEN</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32274-2024</t>
        </is>
      </c>
      <c r="B11549" s="1" t="n">
        <v>45512</v>
      </c>
      <c r="C11549" s="1" t="n">
        <v>45587</v>
      </c>
      <c r="D11549" t="inlineStr">
        <is>
          <t>GÄVLEBORGS LÄN</t>
        </is>
      </c>
      <c r="E11549" t="inlineStr">
        <is>
          <t>OVANÅKER</t>
        </is>
      </c>
      <c r="F11549" t="inlineStr">
        <is>
          <t>Bergvik skog väst AB</t>
        </is>
      </c>
      <c r="G11549" t="n">
        <v>6.1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32278-2024</t>
        </is>
      </c>
      <c r="B11550" s="1" t="n">
        <v>45512</v>
      </c>
      <c r="C11550" s="1" t="n">
        <v>45587</v>
      </c>
      <c r="D11550" t="inlineStr">
        <is>
          <t>GÄVLEBORGS LÄN</t>
        </is>
      </c>
      <c r="E11550" t="inlineStr">
        <is>
          <t>HUDIKSVALL</t>
        </is>
      </c>
      <c r="F11550" t="inlineStr">
        <is>
          <t>Holmen skog AB</t>
        </is>
      </c>
      <c r="G11550" t="n">
        <v>7.4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32296-2024</t>
        </is>
      </c>
      <c r="B11551" s="1" t="n">
        <v>45512</v>
      </c>
      <c r="C11551" s="1" t="n">
        <v>45587</v>
      </c>
      <c r="D11551" t="inlineStr">
        <is>
          <t>GÄVLEBORGS LÄN</t>
        </is>
      </c>
      <c r="E11551" t="inlineStr">
        <is>
          <t>OVANÅKER</t>
        </is>
      </c>
      <c r="F11551" t="inlineStr">
        <is>
          <t>Bergvik skog väst AB</t>
        </is>
      </c>
      <c r="G11551" t="n">
        <v>4.4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32308-2024</t>
        </is>
      </c>
      <c r="B11552" s="1" t="n">
        <v>45512</v>
      </c>
      <c r="C11552" s="1" t="n">
        <v>45587</v>
      </c>
      <c r="D11552" t="inlineStr">
        <is>
          <t>GÄVLEBORGS LÄN</t>
        </is>
      </c>
      <c r="E11552" t="inlineStr">
        <is>
          <t>HUDIKSVALL</t>
        </is>
      </c>
      <c r="F11552" t="inlineStr">
        <is>
          <t>Holmen skog AB</t>
        </is>
      </c>
      <c r="G11552" t="n">
        <v>6.8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32414-2024</t>
        </is>
      </c>
      <c r="B11553" s="1" t="n">
        <v>45512</v>
      </c>
      <c r="C11553" s="1" t="n">
        <v>45587</v>
      </c>
      <c r="D11553" t="inlineStr">
        <is>
          <t>GÄVLEBORGS LÄN</t>
        </is>
      </c>
      <c r="E11553" t="inlineStr">
        <is>
          <t>HUDIKSVALL</t>
        </is>
      </c>
      <c r="F11553" t="inlineStr">
        <is>
          <t>Holmen skog AB</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32297-2024</t>
        </is>
      </c>
      <c r="B11554" s="1" t="n">
        <v>45512</v>
      </c>
      <c r="C11554" s="1" t="n">
        <v>45587</v>
      </c>
      <c r="D11554" t="inlineStr">
        <is>
          <t>GÄVLEBORGS LÄN</t>
        </is>
      </c>
      <c r="E11554" t="inlineStr">
        <is>
          <t>GÄVLE</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32293-2024</t>
        </is>
      </c>
      <c r="B11555" s="1" t="n">
        <v>45512</v>
      </c>
      <c r="C11555" s="1" t="n">
        <v>45587</v>
      </c>
      <c r="D11555" t="inlineStr">
        <is>
          <t>GÄVLEBORGS LÄN</t>
        </is>
      </c>
      <c r="E11555" t="inlineStr">
        <is>
          <t>SANDVIKEN</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32269-2024</t>
        </is>
      </c>
      <c r="B11556" s="1" t="n">
        <v>45512</v>
      </c>
      <c r="C11556" s="1" t="n">
        <v>45587</v>
      </c>
      <c r="D11556" t="inlineStr">
        <is>
          <t>GÄVLEBORGS LÄN</t>
        </is>
      </c>
      <c r="E11556" t="inlineStr">
        <is>
          <t>NORDANSTIG</t>
        </is>
      </c>
      <c r="F11556" t="inlineStr">
        <is>
          <t>Holmen skog AB</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32294-2024</t>
        </is>
      </c>
      <c r="B11557" s="1" t="n">
        <v>45512</v>
      </c>
      <c r="C11557" s="1" t="n">
        <v>45587</v>
      </c>
      <c r="D11557" t="inlineStr">
        <is>
          <t>GÄVLEBORGS LÄN</t>
        </is>
      </c>
      <c r="E11557" t="inlineStr">
        <is>
          <t>SANDVIKEN</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32306-2024</t>
        </is>
      </c>
      <c r="B11558" s="1" t="n">
        <v>45512</v>
      </c>
      <c r="C11558" s="1" t="n">
        <v>45587</v>
      </c>
      <c r="D11558" t="inlineStr">
        <is>
          <t>GÄVLEBORGS LÄN</t>
        </is>
      </c>
      <c r="E11558" t="inlineStr">
        <is>
          <t>GÄVLE</t>
        </is>
      </c>
      <c r="G11558" t="n">
        <v>4.4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32345-2024</t>
        </is>
      </c>
      <c r="B11559" s="1" t="n">
        <v>45512</v>
      </c>
      <c r="C11559" s="1" t="n">
        <v>45587</v>
      </c>
      <c r="D11559" t="inlineStr">
        <is>
          <t>GÄVLEBORGS LÄN</t>
        </is>
      </c>
      <c r="E11559" t="inlineStr">
        <is>
          <t>OVANÅKER</t>
        </is>
      </c>
      <c r="F11559" t="inlineStr">
        <is>
          <t>Bergvik skog väst AB</t>
        </is>
      </c>
      <c r="G11559" t="n">
        <v>3.2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32353-2024</t>
        </is>
      </c>
      <c r="B11560" s="1" t="n">
        <v>45512</v>
      </c>
      <c r="C11560" s="1" t="n">
        <v>45587</v>
      </c>
      <c r="D11560" t="inlineStr">
        <is>
          <t>GÄVLEBORGS LÄN</t>
        </is>
      </c>
      <c r="E11560" t="inlineStr">
        <is>
          <t>HUDIKSVALL</t>
        </is>
      </c>
      <c r="F11560" t="inlineStr">
        <is>
          <t>Holmen skog AB</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32357-2024</t>
        </is>
      </c>
      <c r="B11561" s="1" t="n">
        <v>45512</v>
      </c>
      <c r="C11561" s="1" t="n">
        <v>45587</v>
      </c>
      <c r="D11561" t="inlineStr">
        <is>
          <t>GÄVLEBORGS LÄN</t>
        </is>
      </c>
      <c r="E11561" t="inlineStr">
        <is>
          <t>LJUSDAL</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32402-2024</t>
        </is>
      </c>
      <c r="B11562" s="1" t="n">
        <v>45512</v>
      </c>
      <c r="C11562" s="1" t="n">
        <v>45587</v>
      </c>
      <c r="D11562" t="inlineStr">
        <is>
          <t>GÄVLEBORGS LÄN</t>
        </is>
      </c>
      <c r="E11562" t="inlineStr">
        <is>
          <t>HUDIKSVALL</t>
        </is>
      </c>
      <c r="F11562" t="inlineStr">
        <is>
          <t>Holmen skog AB</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32318-2024</t>
        </is>
      </c>
      <c r="B11563" s="1" t="n">
        <v>45512</v>
      </c>
      <c r="C11563" s="1" t="n">
        <v>45587</v>
      </c>
      <c r="D11563" t="inlineStr">
        <is>
          <t>GÄVLEBORGS LÄN</t>
        </is>
      </c>
      <c r="E11563" t="inlineStr">
        <is>
          <t>SANDVIKEN</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32342-2024</t>
        </is>
      </c>
      <c r="B11564" s="1" t="n">
        <v>45512</v>
      </c>
      <c r="C11564" s="1" t="n">
        <v>45587</v>
      </c>
      <c r="D11564" t="inlineStr">
        <is>
          <t>GÄVLEBORGS LÄN</t>
        </is>
      </c>
      <c r="E11564" t="inlineStr">
        <is>
          <t>HUDIKSVALL</t>
        </is>
      </c>
      <c r="F11564" t="inlineStr">
        <is>
          <t>Holmen skog AB</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32366-2024</t>
        </is>
      </c>
      <c r="B11565" s="1" t="n">
        <v>45512</v>
      </c>
      <c r="C11565" s="1" t="n">
        <v>45587</v>
      </c>
      <c r="D11565" t="inlineStr">
        <is>
          <t>GÄVLEBORGS LÄN</t>
        </is>
      </c>
      <c r="E11565" t="inlineStr">
        <is>
          <t>LJUSDAL</t>
        </is>
      </c>
      <c r="F11565" t="inlineStr">
        <is>
          <t>Allmännings- och besparingsskogar</t>
        </is>
      </c>
      <c r="G11565" t="n">
        <v>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32468-2024</t>
        </is>
      </c>
      <c r="B11566" s="1" t="n">
        <v>45513</v>
      </c>
      <c r="C11566" s="1" t="n">
        <v>45587</v>
      </c>
      <c r="D11566" t="inlineStr">
        <is>
          <t>GÄVLEBORGS LÄN</t>
        </is>
      </c>
      <c r="E11566" t="inlineStr">
        <is>
          <t>NORDANSTIG</t>
        </is>
      </c>
      <c r="F11566" t="inlineStr">
        <is>
          <t>SCA</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32412-2024</t>
        </is>
      </c>
      <c r="B11567" s="1" t="n">
        <v>45512</v>
      </c>
      <c r="C11567" s="1" t="n">
        <v>45587</v>
      </c>
      <c r="D11567" t="inlineStr">
        <is>
          <t>GÄVLEBORGS LÄN</t>
        </is>
      </c>
      <c r="E11567" t="inlineStr">
        <is>
          <t>HUDIKSVALL</t>
        </is>
      </c>
      <c r="F11567" t="inlineStr">
        <is>
          <t>Holmen skog AB</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32355-2024</t>
        </is>
      </c>
      <c r="B11568" s="1" t="n">
        <v>45512</v>
      </c>
      <c r="C11568" s="1" t="n">
        <v>45587</v>
      </c>
      <c r="D11568" t="inlineStr">
        <is>
          <t>GÄVLEBORGS LÄN</t>
        </is>
      </c>
      <c r="E11568" t="inlineStr">
        <is>
          <t>LJUSDAL</t>
        </is>
      </c>
      <c r="F11568" t="inlineStr">
        <is>
          <t>Holmen skog AB</t>
        </is>
      </c>
      <c r="G11568" t="n">
        <v>3.3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32328-2024</t>
        </is>
      </c>
      <c r="B11569" s="1" t="n">
        <v>45512</v>
      </c>
      <c r="C11569" s="1" t="n">
        <v>45587</v>
      </c>
      <c r="D11569" t="inlineStr">
        <is>
          <t>GÄVLEBORGS LÄN</t>
        </is>
      </c>
      <c r="E11569" t="inlineStr">
        <is>
          <t>GÄVLE</t>
        </is>
      </c>
      <c r="G11569" t="n">
        <v>3.1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32348-2024</t>
        </is>
      </c>
      <c r="B11570" s="1" t="n">
        <v>45512</v>
      </c>
      <c r="C11570" s="1" t="n">
        <v>45587</v>
      </c>
      <c r="D11570" t="inlineStr">
        <is>
          <t>GÄVLEBORGS LÄN</t>
        </is>
      </c>
      <c r="E11570" t="inlineStr">
        <is>
          <t>OVANÅKER</t>
        </is>
      </c>
      <c r="F11570" t="inlineStr">
        <is>
          <t>Bergvik skog väst AB</t>
        </is>
      </c>
      <c r="G11570" t="n">
        <v>3.1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32360-2024</t>
        </is>
      </c>
      <c r="B11571" s="1" t="n">
        <v>45512</v>
      </c>
      <c r="C11571" s="1" t="n">
        <v>45587</v>
      </c>
      <c r="D11571" t="inlineStr">
        <is>
          <t>GÄVLEBORGS LÄN</t>
        </is>
      </c>
      <c r="E11571" t="inlineStr">
        <is>
          <t>LJUSDAL</t>
        </is>
      </c>
      <c r="F11571" t="inlineStr">
        <is>
          <t>Sveaskog</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32376-2024</t>
        </is>
      </c>
      <c r="B11572" s="1" t="n">
        <v>45512</v>
      </c>
      <c r="C11572" s="1" t="n">
        <v>45587</v>
      </c>
      <c r="D11572" t="inlineStr">
        <is>
          <t>GÄVLEBORGS LÄN</t>
        </is>
      </c>
      <c r="E11572" t="inlineStr">
        <is>
          <t>HUDIKSVALL</t>
        </is>
      </c>
      <c r="F11572" t="inlineStr">
        <is>
          <t>Holmen skog AB</t>
        </is>
      </c>
      <c r="G11572" t="n">
        <v>6.7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32307-2024</t>
        </is>
      </c>
      <c r="B11573" s="1" t="n">
        <v>45512</v>
      </c>
      <c r="C11573" s="1" t="n">
        <v>45587</v>
      </c>
      <c r="D11573" t="inlineStr">
        <is>
          <t>GÄVLEBORGS LÄN</t>
        </is>
      </c>
      <c r="E11573" t="inlineStr">
        <is>
          <t>GÄVLE</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32291-2024</t>
        </is>
      </c>
      <c r="B11574" s="1" t="n">
        <v>45512</v>
      </c>
      <c r="C11574" s="1" t="n">
        <v>45587</v>
      </c>
      <c r="D11574" t="inlineStr">
        <is>
          <t>GÄVLEBORGS LÄN</t>
        </is>
      </c>
      <c r="E11574" t="inlineStr">
        <is>
          <t>SANDVIKEN</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32287-2024</t>
        </is>
      </c>
      <c r="B11575" s="1" t="n">
        <v>45512</v>
      </c>
      <c r="C11575" s="1" t="n">
        <v>45587</v>
      </c>
      <c r="D11575" t="inlineStr">
        <is>
          <t>GÄVLEBORGS LÄN</t>
        </is>
      </c>
      <c r="E11575" t="inlineStr">
        <is>
          <t>SANDVIKEN</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32461-2024</t>
        </is>
      </c>
      <c r="B11576" s="1" t="n">
        <v>45513</v>
      </c>
      <c r="C11576" s="1" t="n">
        <v>45587</v>
      </c>
      <c r="D11576" t="inlineStr">
        <is>
          <t>GÄVLEBORGS LÄN</t>
        </is>
      </c>
      <c r="E11576" t="inlineStr">
        <is>
          <t>GÄVLE</t>
        </is>
      </c>
      <c r="G11576" t="n">
        <v>12.7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32469-2024</t>
        </is>
      </c>
      <c r="B11577" s="1" t="n">
        <v>45513</v>
      </c>
      <c r="C11577" s="1" t="n">
        <v>45587</v>
      </c>
      <c r="D11577" t="inlineStr">
        <is>
          <t>GÄVLEBORGS LÄN</t>
        </is>
      </c>
      <c r="E11577" t="inlineStr">
        <is>
          <t>NORDANSTIG</t>
        </is>
      </c>
      <c r="F11577" t="inlineStr">
        <is>
          <t>SCA</t>
        </is>
      </c>
      <c r="G11577" t="n">
        <v>9.800000000000001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32631-2024</t>
        </is>
      </c>
      <c r="B11578" s="1" t="n">
        <v>45513</v>
      </c>
      <c r="C11578" s="1" t="n">
        <v>45587</v>
      </c>
      <c r="D11578" t="inlineStr">
        <is>
          <t>GÄVLEBORGS LÄN</t>
        </is>
      </c>
      <c r="E11578" t="inlineStr">
        <is>
          <t>HUDIKSVALL</t>
        </is>
      </c>
      <c r="F11578" t="inlineStr">
        <is>
          <t>Holmen skog AB</t>
        </is>
      </c>
      <c r="G11578" t="n">
        <v>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32480-2024</t>
        </is>
      </c>
      <c r="B11579" s="1" t="n">
        <v>45513</v>
      </c>
      <c r="C11579" s="1" t="n">
        <v>45587</v>
      </c>
      <c r="D11579" t="inlineStr">
        <is>
          <t>GÄVLEBORGS LÄN</t>
        </is>
      </c>
      <c r="E11579" t="inlineStr">
        <is>
          <t>LJUSDAL</t>
        </is>
      </c>
      <c r="F11579" t="inlineStr">
        <is>
          <t>Bergvik skog väst AB</t>
        </is>
      </c>
      <c r="G11579" t="n">
        <v>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32508-2024</t>
        </is>
      </c>
      <c r="B11580" s="1" t="n">
        <v>45513</v>
      </c>
      <c r="C11580" s="1" t="n">
        <v>45587</v>
      </c>
      <c r="D11580" t="inlineStr">
        <is>
          <t>GÄVLEBORGS LÄN</t>
        </is>
      </c>
      <c r="E11580" t="inlineStr">
        <is>
          <t>HUDIKSVALL</t>
        </is>
      </c>
      <c r="F11580" t="inlineStr">
        <is>
          <t>Holmen skog AB</t>
        </is>
      </c>
      <c r="G11580" t="n">
        <v>3.4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32482-2024</t>
        </is>
      </c>
      <c r="B11581" s="1" t="n">
        <v>45513</v>
      </c>
      <c r="C11581" s="1" t="n">
        <v>45587</v>
      </c>
      <c r="D11581" t="inlineStr">
        <is>
          <t>GÄVLEBORGS LÄN</t>
        </is>
      </c>
      <c r="E11581" t="inlineStr">
        <is>
          <t>OCKELBO</t>
        </is>
      </c>
      <c r="G11581" t="n">
        <v>2.8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32487-2024</t>
        </is>
      </c>
      <c r="B11582" s="1" t="n">
        <v>45513</v>
      </c>
      <c r="C11582" s="1" t="n">
        <v>45587</v>
      </c>
      <c r="D11582" t="inlineStr">
        <is>
          <t>GÄVLEBORGS LÄN</t>
        </is>
      </c>
      <c r="E11582" t="inlineStr">
        <is>
          <t>OCKELBO</t>
        </is>
      </c>
      <c r="G11582" t="n">
        <v>3.9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32632-2024</t>
        </is>
      </c>
      <c r="B11583" s="1" t="n">
        <v>45513</v>
      </c>
      <c r="C11583" s="1" t="n">
        <v>45587</v>
      </c>
      <c r="D11583" t="inlineStr">
        <is>
          <t>GÄVLEBORGS LÄN</t>
        </is>
      </c>
      <c r="E11583" t="inlineStr">
        <is>
          <t>HUDIKSVALL</t>
        </is>
      </c>
      <c r="F11583" t="inlineStr">
        <is>
          <t>Holmen skog AB</t>
        </is>
      </c>
      <c r="G11583" t="n">
        <v>6.6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32602-2024</t>
        </is>
      </c>
      <c r="B11584" s="1" t="n">
        <v>45513</v>
      </c>
      <c r="C11584" s="1" t="n">
        <v>45587</v>
      </c>
      <c r="D11584" t="inlineStr">
        <is>
          <t>GÄVLEBORGS LÄN</t>
        </is>
      </c>
      <c r="E11584" t="inlineStr">
        <is>
          <t>NORDANSTIG</t>
        </is>
      </c>
      <c r="F11584" t="inlineStr">
        <is>
          <t>Holmen skog AB</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32630-2024</t>
        </is>
      </c>
      <c r="B11585" s="1" t="n">
        <v>45513</v>
      </c>
      <c r="C11585" s="1" t="n">
        <v>45587</v>
      </c>
      <c r="D11585" t="inlineStr">
        <is>
          <t>GÄVLEBORGS LÄN</t>
        </is>
      </c>
      <c r="E11585" t="inlineStr">
        <is>
          <t>HUDIKSVALL</t>
        </is>
      </c>
      <c r="F11585" t="inlineStr">
        <is>
          <t>Holmen skog AB</t>
        </is>
      </c>
      <c r="G11585" t="n">
        <v>3.6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32579-2024</t>
        </is>
      </c>
      <c r="B11586" s="1" t="n">
        <v>45513</v>
      </c>
      <c r="C11586" s="1" t="n">
        <v>45587</v>
      </c>
      <c r="D11586" t="inlineStr">
        <is>
          <t>GÄVLEBORGS LÄN</t>
        </is>
      </c>
      <c r="E11586" t="inlineStr">
        <is>
          <t>LJUSDAL</t>
        </is>
      </c>
      <c r="F11586" t="inlineStr">
        <is>
          <t>Sveaskog</t>
        </is>
      </c>
      <c r="G11586" t="n">
        <v>33.7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32676-2024</t>
        </is>
      </c>
      <c r="B11587" s="1" t="n">
        <v>45514</v>
      </c>
      <c r="C11587" s="1" t="n">
        <v>45587</v>
      </c>
      <c r="D11587" t="inlineStr">
        <is>
          <t>GÄVLEBORGS LÄN</t>
        </is>
      </c>
      <c r="E11587" t="inlineStr">
        <is>
          <t>NORDANSTIG</t>
        </is>
      </c>
      <c r="F11587" t="inlineStr">
        <is>
          <t>SCA</t>
        </is>
      </c>
      <c r="G11587" t="n">
        <v>13.2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32686-2024</t>
        </is>
      </c>
      <c r="B11588" s="1" t="n">
        <v>45515</v>
      </c>
      <c r="C11588" s="1" t="n">
        <v>45587</v>
      </c>
      <c r="D11588" t="inlineStr">
        <is>
          <t>GÄVLEBORGS LÄN</t>
        </is>
      </c>
      <c r="E11588" t="inlineStr">
        <is>
          <t>OVANÅKER</t>
        </is>
      </c>
      <c r="G11588" t="n">
        <v>3.6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32682-2024</t>
        </is>
      </c>
      <c r="B11589" s="1" t="n">
        <v>45515</v>
      </c>
      <c r="C11589" s="1" t="n">
        <v>45587</v>
      </c>
      <c r="D11589" t="inlineStr">
        <is>
          <t>GÄVLEBORGS LÄN</t>
        </is>
      </c>
      <c r="E11589" t="inlineStr">
        <is>
          <t>OVANÅKER</t>
        </is>
      </c>
      <c r="G11589" t="n">
        <v>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32737-2024</t>
        </is>
      </c>
      <c r="B11590" s="1" t="n">
        <v>45516</v>
      </c>
      <c r="C11590" s="1" t="n">
        <v>45587</v>
      </c>
      <c r="D11590" t="inlineStr">
        <is>
          <t>GÄVLEBORGS LÄN</t>
        </is>
      </c>
      <c r="E11590" t="inlineStr">
        <is>
          <t>HUDIKSVALL</t>
        </is>
      </c>
      <c r="F11590" t="inlineStr">
        <is>
          <t>Holmen skog AB</t>
        </is>
      </c>
      <c r="G11590" t="n">
        <v>3.8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32710-2024</t>
        </is>
      </c>
      <c r="B11591" s="1" t="n">
        <v>45516</v>
      </c>
      <c r="C11591" s="1" t="n">
        <v>45587</v>
      </c>
      <c r="D11591" t="inlineStr">
        <is>
          <t>GÄVLEBORGS LÄN</t>
        </is>
      </c>
      <c r="E11591" t="inlineStr">
        <is>
          <t>HUDIKSVALL</t>
        </is>
      </c>
      <c r="F11591" t="inlineStr">
        <is>
          <t>Holmen skog AB</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32827-2024</t>
        </is>
      </c>
      <c r="B11592" s="1" t="n">
        <v>45516</v>
      </c>
      <c r="C11592" s="1" t="n">
        <v>45587</v>
      </c>
      <c r="D11592" t="inlineStr">
        <is>
          <t>GÄVLEBORGS LÄN</t>
        </is>
      </c>
      <c r="E11592" t="inlineStr">
        <is>
          <t>HOFORS</t>
        </is>
      </c>
      <c r="F11592" t="inlineStr">
        <is>
          <t>Sveaskog</t>
        </is>
      </c>
      <c r="G11592" t="n">
        <v>8.5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32704-2024</t>
        </is>
      </c>
      <c r="B11593" s="1" t="n">
        <v>45516</v>
      </c>
      <c r="C11593" s="1" t="n">
        <v>45587</v>
      </c>
      <c r="D11593" t="inlineStr">
        <is>
          <t>GÄVLEBORGS LÄN</t>
        </is>
      </c>
      <c r="E11593" t="inlineStr">
        <is>
          <t>OCKELBO</t>
        </is>
      </c>
      <c r="G11593" t="n">
        <v>3.7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32859-2024</t>
        </is>
      </c>
      <c r="B11594" s="1" t="n">
        <v>45516</v>
      </c>
      <c r="C11594" s="1" t="n">
        <v>45587</v>
      </c>
      <c r="D11594" t="inlineStr">
        <is>
          <t>GÄVLEBORGS LÄN</t>
        </is>
      </c>
      <c r="E11594" t="inlineStr">
        <is>
          <t>BOLLNÄS</t>
        </is>
      </c>
      <c r="F11594" t="inlineStr">
        <is>
          <t>Sveaskog</t>
        </is>
      </c>
      <c r="G11594" t="n">
        <v>0.3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32804-2024</t>
        </is>
      </c>
      <c r="B11595" s="1" t="n">
        <v>45516</v>
      </c>
      <c r="C11595" s="1" t="n">
        <v>45587</v>
      </c>
      <c r="D11595" t="inlineStr">
        <is>
          <t>GÄVLEBORGS LÄN</t>
        </is>
      </c>
      <c r="E11595" t="inlineStr">
        <is>
          <t>OVANÅKER</t>
        </is>
      </c>
      <c r="F11595" t="inlineStr">
        <is>
          <t>Bergvik skog öst AB</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32743-2024</t>
        </is>
      </c>
      <c r="B11596" s="1" t="n">
        <v>45516</v>
      </c>
      <c r="C11596" s="1" t="n">
        <v>45587</v>
      </c>
      <c r="D11596" t="inlineStr">
        <is>
          <t>GÄVLEBORGS LÄN</t>
        </is>
      </c>
      <c r="E11596" t="inlineStr">
        <is>
          <t>LJUSDAL</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33086-2024</t>
        </is>
      </c>
      <c r="B11597" s="1" t="n">
        <v>45517</v>
      </c>
      <c r="C11597" s="1" t="n">
        <v>45587</v>
      </c>
      <c r="D11597" t="inlineStr">
        <is>
          <t>GÄVLEBORGS LÄN</t>
        </is>
      </c>
      <c r="E11597" t="inlineStr">
        <is>
          <t>HUDIKSVALL</t>
        </is>
      </c>
      <c r="G11597" t="n">
        <v>4.4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33052-2024</t>
        </is>
      </c>
      <c r="B11598" s="1" t="n">
        <v>45517</v>
      </c>
      <c r="C11598" s="1" t="n">
        <v>45587</v>
      </c>
      <c r="D11598" t="inlineStr">
        <is>
          <t>GÄVLEBORGS LÄN</t>
        </is>
      </c>
      <c r="E11598" t="inlineStr">
        <is>
          <t>LJUSDAL</t>
        </is>
      </c>
      <c r="F11598" t="inlineStr">
        <is>
          <t>Allmännings- och besparingsskogar</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32974-2024</t>
        </is>
      </c>
      <c r="B11599" s="1" t="n">
        <v>45517</v>
      </c>
      <c r="C11599" s="1" t="n">
        <v>45587</v>
      </c>
      <c r="D11599" t="inlineStr">
        <is>
          <t>GÄVLEBORGS LÄN</t>
        </is>
      </c>
      <c r="E11599" t="inlineStr">
        <is>
          <t>NORDANSTIG</t>
        </is>
      </c>
      <c r="F11599" t="inlineStr">
        <is>
          <t>Holmen skog AB</t>
        </is>
      </c>
      <c r="G11599" t="n">
        <v>5.9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33025-2024</t>
        </is>
      </c>
      <c r="B11600" s="1" t="n">
        <v>45517</v>
      </c>
      <c r="C11600" s="1" t="n">
        <v>45587</v>
      </c>
      <c r="D11600" t="inlineStr">
        <is>
          <t>GÄVLEBORGS LÄN</t>
        </is>
      </c>
      <c r="E11600" t="inlineStr">
        <is>
          <t>OCKELBO</t>
        </is>
      </c>
      <c r="F11600" t="inlineStr">
        <is>
          <t>Bergvik skog väst AB</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32996-2024</t>
        </is>
      </c>
      <c r="B11601" s="1" t="n">
        <v>45517</v>
      </c>
      <c r="C11601" s="1" t="n">
        <v>45587</v>
      </c>
      <c r="D11601" t="inlineStr">
        <is>
          <t>GÄVLEBORGS LÄN</t>
        </is>
      </c>
      <c r="E11601" t="inlineStr">
        <is>
          <t>OVANÅKER</t>
        </is>
      </c>
      <c r="F11601" t="inlineStr">
        <is>
          <t>Bergvik skog väst AB</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33120-2024</t>
        </is>
      </c>
      <c r="B11602" s="1" t="n">
        <v>45517</v>
      </c>
      <c r="C11602" s="1" t="n">
        <v>45587</v>
      </c>
      <c r="D11602" t="inlineStr">
        <is>
          <t>GÄVLEBORGS LÄN</t>
        </is>
      </c>
      <c r="E11602" t="inlineStr">
        <is>
          <t>LJUSDAL</t>
        </is>
      </c>
      <c r="F11602" t="inlineStr">
        <is>
          <t>SCA</t>
        </is>
      </c>
      <c r="G11602" t="n">
        <v>0.4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33071-2024</t>
        </is>
      </c>
      <c r="B11603" s="1" t="n">
        <v>45517</v>
      </c>
      <c r="C11603" s="1" t="n">
        <v>45587</v>
      </c>
      <c r="D11603" t="inlineStr">
        <is>
          <t>GÄVLEBORGS LÄN</t>
        </is>
      </c>
      <c r="E11603" t="inlineStr">
        <is>
          <t>OCKELBO</t>
        </is>
      </c>
      <c r="F11603" t="inlineStr">
        <is>
          <t>Bergvik skog väst AB</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32945-2024</t>
        </is>
      </c>
      <c r="B11604" s="1" t="n">
        <v>45517</v>
      </c>
      <c r="C11604" s="1" t="n">
        <v>45587</v>
      </c>
      <c r="D11604" t="inlineStr">
        <is>
          <t>GÄVLEBORGS LÄN</t>
        </is>
      </c>
      <c r="E11604" t="inlineStr">
        <is>
          <t>HUDIKSVALL</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32969-2024</t>
        </is>
      </c>
      <c r="B11605" s="1" t="n">
        <v>45517</v>
      </c>
      <c r="C11605" s="1" t="n">
        <v>45587</v>
      </c>
      <c r="D11605" t="inlineStr">
        <is>
          <t>GÄVLEBORGS LÄN</t>
        </is>
      </c>
      <c r="E11605" t="inlineStr">
        <is>
          <t>OVANÅKER</t>
        </is>
      </c>
      <c r="F11605" t="inlineStr">
        <is>
          <t>Bergvik skog väst AB</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32959-2024</t>
        </is>
      </c>
      <c r="B11606" s="1" t="n">
        <v>45517</v>
      </c>
      <c r="C11606" s="1" t="n">
        <v>45587</v>
      </c>
      <c r="D11606" t="inlineStr">
        <is>
          <t>GÄVLEBORGS LÄN</t>
        </is>
      </c>
      <c r="E11606" t="inlineStr">
        <is>
          <t>HUDIKSVALL</t>
        </is>
      </c>
      <c r="F11606" t="inlineStr">
        <is>
          <t>Holmen skog AB</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32947-2024</t>
        </is>
      </c>
      <c r="B11607" s="1" t="n">
        <v>45517</v>
      </c>
      <c r="C11607" s="1" t="n">
        <v>45587</v>
      </c>
      <c r="D11607" t="inlineStr">
        <is>
          <t>GÄVLEBORGS LÄN</t>
        </is>
      </c>
      <c r="E11607" t="inlineStr">
        <is>
          <t>OVANÅKER</t>
        </is>
      </c>
      <c r="F11607" t="inlineStr">
        <is>
          <t>Bergvik skog väst AB</t>
        </is>
      </c>
      <c r="G11607" t="n">
        <v>11.9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33298-2024</t>
        </is>
      </c>
      <c r="B11608" s="1" t="n">
        <v>45519</v>
      </c>
      <c r="C11608" s="1" t="n">
        <v>45587</v>
      </c>
      <c r="D11608" t="inlineStr">
        <is>
          <t>GÄVLEBORGS LÄN</t>
        </is>
      </c>
      <c r="E11608" t="inlineStr">
        <is>
          <t>LJUSDAL</t>
        </is>
      </c>
      <c r="G11608" t="n">
        <v>5.6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33249-2024</t>
        </is>
      </c>
      <c r="B11609" s="1" t="n">
        <v>45518</v>
      </c>
      <c r="C11609" s="1" t="n">
        <v>45587</v>
      </c>
      <c r="D11609" t="inlineStr">
        <is>
          <t>GÄVLEBORGS LÄN</t>
        </is>
      </c>
      <c r="E11609" t="inlineStr">
        <is>
          <t>OVANÅKER</t>
        </is>
      </c>
      <c r="F11609" t="inlineStr">
        <is>
          <t>Bergvik skog öst AB</t>
        </is>
      </c>
      <c r="G11609" t="n">
        <v>6.7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33229-2024</t>
        </is>
      </c>
      <c r="B11610" s="1" t="n">
        <v>45518</v>
      </c>
      <c r="C11610" s="1" t="n">
        <v>45587</v>
      </c>
      <c r="D11610" t="inlineStr">
        <is>
          <t>GÄVLEBORGS LÄN</t>
        </is>
      </c>
      <c r="E11610" t="inlineStr">
        <is>
          <t>OCKELBO</t>
        </is>
      </c>
      <c r="F11610" t="inlineStr">
        <is>
          <t>Bergvik skog väst AB</t>
        </is>
      </c>
      <c r="G11610" t="n">
        <v>16.6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33157-2024</t>
        </is>
      </c>
      <c r="B11611" s="1" t="n">
        <v>45518</v>
      </c>
      <c r="C11611" s="1" t="n">
        <v>45587</v>
      </c>
      <c r="D11611" t="inlineStr">
        <is>
          <t>GÄVLEBORGS LÄN</t>
        </is>
      </c>
      <c r="E11611" t="inlineStr">
        <is>
          <t>SANDVIKEN</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33272-2024</t>
        </is>
      </c>
      <c r="B11612" s="1" t="n">
        <v>45518</v>
      </c>
      <c r="C11612" s="1" t="n">
        <v>45587</v>
      </c>
      <c r="D11612" t="inlineStr">
        <is>
          <t>GÄVLEBORGS LÄN</t>
        </is>
      </c>
      <c r="E11612" t="inlineStr">
        <is>
          <t>OVANÅKER</t>
        </is>
      </c>
      <c r="G11612" t="n">
        <v>3.9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33291-2024</t>
        </is>
      </c>
      <c r="B11613" s="1" t="n">
        <v>45518</v>
      </c>
      <c r="C11613" s="1" t="n">
        <v>45587</v>
      </c>
      <c r="D11613" t="inlineStr">
        <is>
          <t>GÄVLEBORGS LÄN</t>
        </is>
      </c>
      <c r="E11613" t="inlineStr">
        <is>
          <t>OCKELBO</t>
        </is>
      </c>
      <c r="G11613" t="n">
        <v>3.5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33324-2024</t>
        </is>
      </c>
      <c r="B11614" s="1" t="n">
        <v>45519</v>
      </c>
      <c r="C11614" s="1" t="n">
        <v>45587</v>
      </c>
      <c r="D11614" t="inlineStr">
        <is>
          <t>GÄVLEBORGS LÄN</t>
        </is>
      </c>
      <c r="E11614" t="inlineStr">
        <is>
          <t>NORDANSTIG</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33198-2024</t>
        </is>
      </c>
      <c r="B11615" s="1" t="n">
        <v>45518</v>
      </c>
      <c r="C11615" s="1" t="n">
        <v>45587</v>
      </c>
      <c r="D11615" t="inlineStr">
        <is>
          <t>GÄVLEBORGS LÄN</t>
        </is>
      </c>
      <c r="E11615" t="inlineStr">
        <is>
          <t>OVANÅKER</t>
        </is>
      </c>
      <c r="G11615" t="n">
        <v>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33137-2024</t>
        </is>
      </c>
      <c r="B11616" s="1" t="n">
        <v>45518</v>
      </c>
      <c r="C11616" s="1" t="n">
        <v>45587</v>
      </c>
      <c r="D11616" t="inlineStr">
        <is>
          <t>GÄVLEBORGS LÄN</t>
        </is>
      </c>
      <c r="E11616" t="inlineStr">
        <is>
          <t>HUDIKSVALL</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33292-2024</t>
        </is>
      </c>
      <c r="B11617" s="1" t="n">
        <v>45518</v>
      </c>
      <c r="C11617" s="1" t="n">
        <v>45587</v>
      </c>
      <c r="D11617" t="inlineStr">
        <is>
          <t>GÄVLEBORGS LÄN</t>
        </is>
      </c>
      <c r="E11617" t="inlineStr">
        <is>
          <t>OCKELBO</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33223-2024</t>
        </is>
      </c>
      <c r="B11618" s="1" t="n">
        <v>45518</v>
      </c>
      <c r="C11618" s="1" t="n">
        <v>45587</v>
      </c>
      <c r="D11618" t="inlineStr">
        <is>
          <t>GÄVLEBORGS LÄN</t>
        </is>
      </c>
      <c r="E11618" t="inlineStr">
        <is>
          <t>GÄVLE</t>
        </is>
      </c>
      <c r="F11618" t="inlineStr">
        <is>
          <t>Bergvik skog väst AB</t>
        </is>
      </c>
      <c r="G11618" t="n">
        <v>4.6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33199-2024</t>
        </is>
      </c>
      <c r="B11619" s="1" t="n">
        <v>45518</v>
      </c>
      <c r="C11619" s="1" t="n">
        <v>45587</v>
      </c>
      <c r="D11619" t="inlineStr">
        <is>
          <t>GÄVLEBORGS LÄN</t>
        </is>
      </c>
      <c r="E11619" t="inlineStr">
        <is>
          <t>LJUSDAL</t>
        </is>
      </c>
      <c r="F11619" t="inlineStr">
        <is>
          <t>Bergvik skog väst AB</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33163-2024</t>
        </is>
      </c>
      <c r="B11620" s="1" t="n">
        <v>45518</v>
      </c>
      <c r="C11620" s="1" t="n">
        <v>45587</v>
      </c>
      <c r="D11620" t="inlineStr">
        <is>
          <t>GÄVLEBORGS LÄN</t>
        </is>
      </c>
      <c r="E11620" t="inlineStr">
        <is>
          <t>OCKELBO</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33297-2024</t>
        </is>
      </c>
      <c r="B11621" s="1" t="n">
        <v>45519</v>
      </c>
      <c r="C11621" s="1" t="n">
        <v>45587</v>
      </c>
      <c r="D11621" t="inlineStr">
        <is>
          <t>GÄVLEBORGS LÄN</t>
        </is>
      </c>
      <c r="E11621" t="inlineStr">
        <is>
          <t>LJUSDAL</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33131-2024</t>
        </is>
      </c>
      <c r="B11622" s="1" t="n">
        <v>45518</v>
      </c>
      <c r="C11622" s="1" t="n">
        <v>45587</v>
      </c>
      <c r="D11622" t="inlineStr">
        <is>
          <t>GÄVLEBORGS LÄN</t>
        </is>
      </c>
      <c r="E11622" t="inlineStr">
        <is>
          <t>LJUSDAL</t>
        </is>
      </c>
      <c r="G11622" t="n">
        <v>3.5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33356-2024</t>
        </is>
      </c>
      <c r="B11623" s="1" t="n">
        <v>45519</v>
      </c>
      <c r="C11623" s="1" t="n">
        <v>45587</v>
      </c>
      <c r="D11623" t="inlineStr">
        <is>
          <t>GÄVLEBORGS LÄN</t>
        </is>
      </c>
      <c r="E11623" t="inlineStr">
        <is>
          <t>OCKELBO</t>
        </is>
      </c>
      <c r="F11623" t="inlineStr">
        <is>
          <t>Bergvik skog väst AB</t>
        </is>
      </c>
      <c r="G11623" t="n">
        <v>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33384-2024</t>
        </is>
      </c>
      <c r="B11624" s="1" t="n">
        <v>45519</v>
      </c>
      <c r="C11624" s="1" t="n">
        <v>45587</v>
      </c>
      <c r="D11624" t="inlineStr">
        <is>
          <t>GÄVLEBORGS LÄN</t>
        </is>
      </c>
      <c r="E11624" t="inlineStr">
        <is>
          <t>OCKELBO</t>
        </is>
      </c>
      <c r="G11624" t="n">
        <v>3.8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33389-2024</t>
        </is>
      </c>
      <c r="B11625" s="1" t="n">
        <v>45519</v>
      </c>
      <c r="C11625" s="1" t="n">
        <v>45587</v>
      </c>
      <c r="D11625" t="inlineStr">
        <is>
          <t>GÄVLEBORGS LÄN</t>
        </is>
      </c>
      <c r="E11625" t="inlineStr">
        <is>
          <t>LJUSDAL</t>
        </is>
      </c>
      <c r="F11625" t="inlineStr">
        <is>
          <t>Sveaskog</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33334-2024</t>
        </is>
      </c>
      <c r="B11626" s="1" t="n">
        <v>45519</v>
      </c>
      <c r="C11626" s="1" t="n">
        <v>45587</v>
      </c>
      <c r="D11626" t="inlineStr">
        <is>
          <t>GÄVLEBORGS LÄN</t>
        </is>
      </c>
      <c r="E11626" t="inlineStr">
        <is>
          <t>OCKELBO</t>
        </is>
      </c>
      <c r="F11626" t="inlineStr">
        <is>
          <t>Bergvik skog väst AB</t>
        </is>
      </c>
      <c r="G11626" t="n">
        <v>7.9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33354-2024</t>
        </is>
      </c>
      <c r="B11627" s="1" t="n">
        <v>45519</v>
      </c>
      <c r="C11627" s="1" t="n">
        <v>45587</v>
      </c>
      <c r="D11627" t="inlineStr">
        <is>
          <t>GÄVLEBORGS LÄN</t>
        </is>
      </c>
      <c r="E11627" t="inlineStr">
        <is>
          <t>LJUSDAL</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33358-2024</t>
        </is>
      </c>
      <c r="B11628" s="1" t="n">
        <v>45519</v>
      </c>
      <c r="C11628" s="1" t="n">
        <v>45587</v>
      </c>
      <c r="D11628" t="inlineStr">
        <is>
          <t>GÄVLEBORGS LÄN</t>
        </is>
      </c>
      <c r="E11628" t="inlineStr">
        <is>
          <t>GÄVLE</t>
        </is>
      </c>
      <c r="F11628" t="inlineStr">
        <is>
          <t>Bergvik skog väst AB</t>
        </is>
      </c>
      <c r="G11628" t="n">
        <v>9.1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33386-2024</t>
        </is>
      </c>
      <c r="B11629" s="1" t="n">
        <v>45519</v>
      </c>
      <c r="C11629" s="1" t="n">
        <v>45587</v>
      </c>
      <c r="D11629" t="inlineStr">
        <is>
          <t>GÄVLEBORGS LÄN</t>
        </is>
      </c>
      <c r="E11629" t="inlineStr">
        <is>
          <t>LJUSDAL</t>
        </is>
      </c>
      <c r="F11629" t="inlineStr">
        <is>
          <t>Sveaskog</t>
        </is>
      </c>
      <c r="G11629" t="n">
        <v>3.3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33365-2024</t>
        </is>
      </c>
      <c r="B11630" s="1" t="n">
        <v>45519</v>
      </c>
      <c r="C11630" s="1" t="n">
        <v>45587</v>
      </c>
      <c r="D11630" t="inlineStr">
        <is>
          <t>GÄVLEBORGS LÄN</t>
        </is>
      </c>
      <c r="E11630" t="inlineStr">
        <is>
          <t>NORDANSTIG</t>
        </is>
      </c>
      <c r="G11630" t="n">
        <v>5.2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33397-2024</t>
        </is>
      </c>
      <c r="B11631" s="1" t="n">
        <v>45519</v>
      </c>
      <c r="C11631" s="1" t="n">
        <v>45587</v>
      </c>
      <c r="D11631" t="inlineStr">
        <is>
          <t>GÄVLEBORGS LÄN</t>
        </is>
      </c>
      <c r="E11631" t="inlineStr">
        <is>
          <t>SANDVIKEN</t>
        </is>
      </c>
      <c r="G11631" t="n">
        <v>2.7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33449-2024</t>
        </is>
      </c>
      <c r="B11632" s="1" t="n">
        <v>45519</v>
      </c>
      <c r="C11632" s="1" t="n">
        <v>45587</v>
      </c>
      <c r="D11632" t="inlineStr">
        <is>
          <t>GÄVLEBORGS LÄN</t>
        </is>
      </c>
      <c r="E11632" t="inlineStr">
        <is>
          <t>GÄVLE</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33453-2024</t>
        </is>
      </c>
      <c r="B11633" s="1" t="n">
        <v>45519</v>
      </c>
      <c r="C11633" s="1" t="n">
        <v>45587</v>
      </c>
      <c r="D11633" t="inlineStr">
        <is>
          <t>GÄVLEBORGS LÄN</t>
        </is>
      </c>
      <c r="E11633" t="inlineStr">
        <is>
          <t>HUDIKSVALL</t>
        </is>
      </c>
      <c r="G11633" t="n">
        <v>6.9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33489-2024</t>
        </is>
      </c>
      <c r="B11634" s="1" t="n">
        <v>45519</v>
      </c>
      <c r="C11634" s="1" t="n">
        <v>45587</v>
      </c>
      <c r="D11634" t="inlineStr">
        <is>
          <t>GÄVLEBORGS LÄN</t>
        </is>
      </c>
      <c r="E11634" t="inlineStr">
        <is>
          <t>OVANÅKER</t>
        </is>
      </c>
      <c r="F11634" t="inlineStr">
        <is>
          <t>Bergvik skog öst AB</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33514-2024</t>
        </is>
      </c>
      <c r="B11635" s="1" t="n">
        <v>45519</v>
      </c>
      <c r="C11635" s="1" t="n">
        <v>45587</v>
      </c>
      <c r="D11635" t="inlineStr">
        <is>
          <t>GÄVLEBORGS LÄN</t>
        </is>
      </c>
      <c r="E11635" t="inlineStr">
        <is>
          <t>OCKELBO</t>
        </is>
      </c>
      <c r="F11635" t="inlineStr">
        <is>
          <t>Bergvik skog väst AB</t>
        </is>
      </c>
      <c r="G11635" t="n">
        <v>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33390-2024</t>
        </is>
      </c>
      <c r="B11636" s="1" t="n">
        <v>45519</v>
      </c>
      <c r="C11636" s="1" t="n">
        <v>45587</v>
      </c>
      <c r="D11636" t="inlineStr">
        <is>
          <t>GÄVLEBORGS LÄN</t>
        </is>
      </c>
      <c r="E11636" t="inlineStr">
        <is>
          <t>OVANÅKER</t>
        </is>
      </c>
      <c r="F11636" t="inlineStr">
        <is>
          <t>Sveaskog</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33422-2024</t>
        </is>
      </c>
      <c r="B11637" s="1" t="n">
        <v>45519</v>
      </c>
      <c r="C11637" s="1" t="n">
        <v>45587</v>
      </c>
      <c r="D11637" t="inlineStr">
        <is>
          <t>GÄVLEBORGS LÄN</t>
        </is>
      </c>
      <c r="E11637" t="inlineStr">
        <is>
          <t>BOLLNÄS</t>
        </is>
      </c>
      <c r="F11637" t="inlineStr">
        <is>
          <t>Bergvik skog väst AB</t>
        </is>
      </c>
      <c r="G11637" t="n">
        <v>4.4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33439-2024</t>
        </is>
      </c>
      <c r="B11638" s="1" t="n">
        <v>45519</v>
      </c>
      <c r="C11638" s="1" t="n">
        <v>45587</v>
      </c>
      <c r="D11638" t="inlineStr">
        <is>
          <t>GÄVLEBORGS LÄN</t>
        </is>
      </c>
      <c r="E11638" t="inlineStr">
        <is>
          <t>BOLLNÄS</t>
        </is>
      </c>
      <c r="F11638" t="inlineStr">
        <is>
          <t>Holmen skog AB</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33515-2024</t>
        </is>
      </c>
      <c r="B11639" s="1" t="n">
        <v>45519</v>
      </c>
      <c r="C11639" s="1" t="n">
        <v>45587</v>
      </c>
      <c r="D11639" t="inlineStr">
        <is>
          <t>GÄVLEBORGS LÄN</t>
        </is>
      </c>
      <c r="E11639" t="inlineStr">
        <is>
          <t>HUDIKSVALL</t>
        </is>
      </c>
      <c r="F11639" t="inlineStr">
        <is>
          <t>Holmen skog AB</t>
        </is>
      </c>
      <c r="G11639" t="n">
        <v>5.4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33527-2024</t>
        </is>
      </c>
      <c r="B11640" s="1" t="n">
        <v>45519</v>
      </c>
      <c r="C11640" s="1" t="n">
        <v>45587</v>
      </c>
      <c r="D11640" t="inlineStr">
        <is>
          <t>GÄVLEBORGS LÄN</t>
        </is>
      </c>
      <c r="E11640" t="inlineStr">
        <is>
          <t>OVANÅKER</t>
        </is>
      </c>
      <c r="G11640" t="n">
        <v>7.2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33487-2024</t>
        </is>
      </c>
      <c r="B11641" s="1" t="n">
        <v>45519</v>
      </c>
      <c r="C11641" s="1" t="n">
        <v>45587</v>
      </c>
      <c r="D11641" t="inlineStr">
        <is>
          <t>GÄVLEBORGS LÄN</t>
        </is>
      </c>
      <c r="E11641" t="inlineStr">
        <is>
          <t>SANDVIKEN</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33512-2024</t>
        </is>
      </c>
      <c r="B11642" s="1" t="n">
        <v>45519</v>
      </c>
      <c r="C11642" s="1" t="n">
        <v>45587</v>
      </c>
      <c r="D11642" t="inlineStr">
        <is>
          <t>GÄVLEBORGS LÄN</t>
        </is>
      </c>
      <c r="E11642" t="inlineStr">
        <is>
          <t>LJUSDAL</t>
        </is>
      </c>
      <c r="F11642" t="inlineStr">
        <is>
          <t>Bergvik skog väst AB</t>
        </is>
      </c>
      <c r="G11642" t="n">
        <v>16.4</v>
      </c>
      <c r="H11642" t="n">
        <v>0</v>
      </c>
      <c r="I11642" t="n">
        <v>0</v>
      </c>
      <c r="J11642" t="n">
        <v>0</v>
      </c>
      <c r="K11642" t="n">
        <v>0</v>
      </c>
      <c r="L11642" t="n">
        <v>0</v>
      </c>
      <c r="M11642" t="n">
        <v>0</v>
      </c>
      <c r="N11642" t="n">
        <v>0</v>
      </c>
      <c r="O11642" t="n">
        <v>0</v>
      </c>
      <c r="P11642" t="n">
        <v>0</v>
      </c>
      <c r="Q11642" t="n">
        <v>0</v>
      </c>
      <c r="R11642" s="2" t="inlineStr"/>
      <c r="U11642">
        <f>HYPERLINK("https://klasma.github.io/Logging_2161/knärot/A 33512-2024 karta knärot.png", "A 33512-2024")</f>
        <v/>
      </c>
      <c r="V11642">
        <f>HYPERLINK("https://klasma.github.io/Logging_2161/klagomål/A 33512-2024 FSC-klagomål.docx", "A 33512-2024")</f>
        <v/>
      </c>
      <c r="W11642">
        <f>HYPERLINK("https://klasma.github.io/Logging_2161/klagomålsmail/A 33512-2024 FSC-klagomål mail.docx", "A 33512-2024")</f>
        <v/>
      </c>
      <c r="X11642">
        <f>HYPERLINK("https://klasma.github.io/Logging_2161/tillsyn/A 33512-2024 tillsynsbegäran.docx", "A 33512-2024")</f>
        <v/>
      </c>
      <c r="Y11642">
        <f>HYPERLINK("https://klasma.github.io/Logging_2161/tillsynsmail/A 33512-2024 tillsynsbegäran mail.docx", "A 33512-2024")</f>
        <v/>
      </c>
    </row>
    <row r="11643" ht="15" customHeight="1">
      <c r="A11643" t="inlineStr">
        <is>
          <t>A 33347-2024</t>
        </is>
      </c>
      <c r="B11643" s="1" t="n">
        <v>45519</v>
      </c>
      <c r="C11643" s="1" t="n">
        <v>45587</v>
      </c>
      <c r="D11643" t="inlineStr">
        <is>
          <t>GÄVLEBORGS LÄN</t>
        </is>
      </c>
      <c r="E11643" t="inlineStr">
        <is>
          <t>LJUSDAL</t>
        </is>
      </c>
      <c r="F11643" t="inlineStr">
        <is>
          <t>Holmen skog AB</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33359-2024</t>
        </is>
      </c>
      <c r="B11644" s="1" t="n">
        <v>45519</v>
      </c>
      <c r="C11644" s="1" t="n">
        <v>45587</v>
      </c>
      <c r="D11644" t="inlineStr">
        <is>
          <t>GÄVLEBORGS LÄN</t>
        </is>
      </c>
      <c r="E11644" t="inlineStr">
        <is>
          <t>LJUSDAL</t>
        </is>
      </c>
      <c r="F11644" t="inlineStr">
        <is>
          <t>Bergvik skog väst AB</t>
        </is>
      </c>
      <c r="G11644" t="n">
        <v>7.9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33363-2024</t>
        </is>
      </c>
      <c r="B11645" s="1" t="n">
        <v>45519</v>
      </c>
      <c r="C11645" s="1" t="n">
        <v>45587</v>
      </c>
      <c r="D11645" t="inlineStr">
        <is>
          <t>GÄVLEBORGS LÄN</t>
        </is>
      </c>
      <c r="E11645" t="inlineStr">
        <is>
          <t>LJUSDAL</t>
        </is>
      </c>
      <c r="F11645" t="inlineStr">
        <is>
          <t>Bergvik skog väst AB</t>
        </is>
      </c>
      <c r="G11645" t="n">
        <v>9.699999999999999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33420-2024</t>
        </is>
      </c>
      <c r="B11646" s="1" t="n">
        <v>45519</v>
      </c>
      <c r="C11646" s="1" t="n">
        <v>45587</v>
      </c>
      <c r="D11646" t="inlineStr">
        <is>
          <t>GÄVLEBORGS LÄN</t>
        </is>
      </c>
      <c r="E11646" t="inlineStr">
        <is>
          <t>LJUSDAL</t>
        </is>
      </c>
      <c r="F11646" t="inlineStr">
        <is>
          <t>Holmen skog AB</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33456-2024</t>
        </is>
      </c>
      <c r="B11647" s="1" t="n">
        <v>45519</v>
      </c>
      <c r="C11647" s="1" t="n">
        <v>45587</v>
      </c>
      <c r="D11647" t="inlineStr">
        <is>
          <t>GÄVLEBORGS LÄN</t>
        </is>
      </c>
      <c r="E11647" t="inlineStr">
        <is>
          <t>HUDIKSVALL</t>
        </is>
      </c>
      <c r="F11647" t="inlineStr">
        <is>
          <t>Holmen skog AB</t>
        </is>
      </c>
      <c r="G11647" t="n">
        <v>4.4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33464-2024</t>
        </is>
      </c>
      <c r="B11648" s="1" t="n">
        <v>45519</v>
      </c>
      <c r="C11648" s="1" t="n">
        <v>45587</v>
      </c>
      <c r="D11648" t="inlineStr">
        <is>
          <t>GÄVLEBORGS LÄN</t>
        </is>
      </c>
      <c r="E11648" t="inlineStr">
        <is>
          <t>HUDIKSVALL</t>
        </is>
      </c>
      <c r="G11648" t="n">
        <v>10.9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33610-2024</t>
        </is>
      </c>
      <c r="B11649" s="1" t="n">
        <v>45520</v>
      </c>
      <c r="C11649" s="1" t="n">
        <v>45587</v>
      </c>
      <c r="D11649" t="inlineStr">
        <is>
          <t>GÄVLEBORGS LÄN</t>
        </is>
      </c>
      <c r="E11649" t="inlineStr">
        <is>
          <t>HUDIKSVALL</t>
        </is>
      </c>
      <c r="F11649" t="inlineStr">
        <is>
          <t>Holmen skog AB</t>
        </is>
      </c>
      <c r="G11649" t="n">
        <v>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33623-2024</t>
        </is>
      </c>
      <c r="B11650" s="1" t="n">
        <v>45520</v>
      </c>
      <c r="C11650" s="1" t="n">
        <v>45587</v>
      </c>
      <c r="D11650" t="inlineStr">
        <is>
          <t>GÄVLEBORGS LÄN</t>
        </is>
      </c>
      <c r="E11650" t="inlineStr">
        <is>
          <t>SANDVIKEN</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33575-2024</t>
        </is>
      </c>
      <c r="B11651" s="1" t="n">
        <v>45520</v>
      </c>
      <c r="C11651" s="1" t="n">
        <v>45587</v>
      </c>
      <c r="D11651" t="inlineStr">
        <is>
          <t>GÄVLEBORGS LÄN</t>
        </is>
      </c>
      <c r="E11651" t="inlineStr">
        <is>
          <t>GÄVLE</t>
        </is>
      </c>
      <c r="F11651" t="inlineStr">
        <is>
          <t>Bergvik skog väst AB</t>
        </is>
      </c>
      <c r="G11651" t="n">
        <v>9.4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33588-2024</t>
        </is>
      </c>
      <c r="B11652" s="1" t="n">
        <v>45520</v>
      </c>
      <c r="C11652" s="1" t="n">
        <v>45587</v>
      </c>
      <c r="D11652" t="inlineStr">
        <is>
          <t>GÄVLEBORGS LÄN</t>
        </is>
      </c>
      <c r="E11652" t="inlineStr">
        <is>
          <t>HUDIKSVALL</t>
        </is>
      </c>
      <c r="F11652" t="inlineStr">
        <is>
          <t>Holmen skog AB</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33587-2024</t>
        </is>
      </c>
      <c r="B11653" s="1" t="n">
        <v>45520</v>
      </c>
      <c r="C11653" s="1" t="n">
        <v>45587</v>
      </c>
      <c r="D11653" t="inlineStr">
        <is>
          <t>GÄVLEBORGS LÄN</t>
        </is>
      </c>
      <c r="E11653" t="inlineStr">
        <is>
          <t>HUDIKSVALL</t>
        </is>
      </c>
      <c r="F11653" t="inlineStr">
        <is>
          <t>Holmen skog AB</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33608-2024</t>
        </is>
      </c>
      <c r="B11654" s="1" t="n">
        <v>45520</v>
      </c>
      <c r="C11654" s="1" t="n">
        <v>45587</v>
      </c>
      <c r="D11654" t="inlineStr">
        <is>
          <t>GÄVLEBORGS LÄN</t>
        </is>
      </c>
      <c r="E11654" t="inlineStr">
        <is>
          <t>HUDIKSVALL</t>
        </is>
      </c>
      <c r="F11654" t="inlineStr">
        <is>
          <t>Holmen skog AB</t>
        </is>
      </c>
      <c r="G11654" t="n">
        <v>19.7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33625-2024</t>
        </is>
      </c>
      <c r="B11655" s="1" t="n">
        <v>45520</v>
      </c>
      <c r="C11655" s="1" t="n">
        <v>45587</v>
      </c>
      <c r="D11655" t="inlineStr">
        <is>
          <t>GÄVLEBORGS LÄN</t>
        </is>
      </c>
      <c r="E11655" t="inlineStr">
        <is>
          <t>GÄVLE</t>
        </is>
      </c>
      <c r="G11655" t="n">
        <v>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33581-2024</t>
        </is>
      </c>
      <c r="B11656" s="1" t="n">
        <v>45520</v>
      </c>
      <c r="C11656" s="1" t="n">
        <v>45587</v>
      </c>
      <c r="D11656" t="inlineStr">
        <is>
          <t>GÄVLEBORGS LÄN</t>
        </is>
      </c>
      <c r="E11656" t="inlineStr">
        <is>
          <t>GÄVLE</t>
        </is>
      </c>
      <c r="F11656" t="inlineStr">
        <is>
          <t>Bergvik skog väst AB</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33634-2024</t>
        </is>
      </c>
      <c r="B11657" s="1" t="n">
        <v>45520</v>
      </c>
      <c r="C11657" s="1" t="n">
        <v>45587</v>
      </c>
      <c r="D11657" t="inlineStr">
        <is>
          <t>GÄVLEBORGS LÄN</t>
        </is>
      </c>
      <c r="E11657" t="inlineStr">
        <is>
          <t>OVANÅKER</t>
        </is>
      </c>
      <c r="F11657" t="inlineStr">
        <is>
          <t>Bergvik skog öst AB</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33637-2024</t>
        </is>
      </c>
      <c r="B11658" s="1" t="n">
        <v>45520</v>
      </c>
      <c r="C11658" s="1" t="n">
        <v>45587</v>
      </c>
      <c r="D11658" t="inlineStr">
        <is>
          <t>GÄVLEBORGS LÄN</t>
        </is>
      </c>
      <c r="E11658" t="inlineStr">
        <is>
          <t>GÄVLE</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33635-2024</t>
        </is>
      </c>
      <c r="B11659" s="1" t="n">
        <v>45520</v>
      </c>
      <c r="C11659" s="1" t="n">
        <v>45587</v>
      </c>
      <c r="D11659" t="inlineStr">
        <is>
          <t>GÄVLEBORGS LÄN</t>
        </is>
      </c>
      <c r="E11659" t="inlineStr">
        <is>
          <t>GÄVLE</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33725-2024</t>
        </is>
      </c>
      <c r="B11660" s="1" t="n">
        <v>45520</v>
      </c>
      <c r="C11660" s="1" t="n">
        <v>45587</v>
      </c>
      <c r="D11660" t="inlineStr">
        <is>
          <t>GÄVLEBORGS LÄN</t>
        </is>
      </c>
      <c r="E11660" t="inlineStr">
        <is>
          <t>OVANÅKER</t>
        </is>
      </c>
      <c r="F11660" t="inlineStr">
        <is>
          <t>Bergvik skog väst AB</t>
        </is>
      </c>
      <c r="G11660" t="n">
        <v>3.6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33654-2024</t>
        </is>
      </c>
      <c r="B11661" s="1" t="n">
        <v>45520</v>
      </c>
      <c r="C11661" s="1" t="n">
        <v>45587</v>
      </c>
      <c r="D11661" t="inlineStr">
        <is>
          <t>GÄVLEBORGS LÄN</t>
        </is>
      </c>
      <c r="E11661" t="inlineStr">
        <is>
          <t>LJUSDAL</t>
        </is>
      </c>
      <c r="F11661" t="inlineStr">
        <is>
          <t>Bergvik skog väst AB</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33813-2024</t>
        </is>
      </c>
      <c r="B11662" s="1" t="n">
        <v>45520</v>
      </c>
      <c r="C11662" s="1" t="n">
        <v>45587</v>
      </c>
      <c r="D11662" t="inlineStr">
        <is>
          <t>GÄVLEBORGS LÄN</t>
        </is>
      </c>
      <c r="E11662" t="inlineStr">
        <is>
          <t>NORDANSTIG</t>
        </is>
      </c>
      <c r="F11662" t="inlineStr">
        <is>
          <t>SCA</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33710-2024</t>
        </is>
      </c>
      <c r="B11663" s="1" t="n">
        <v>45520</v>
      </c>
      <c r="C11663" s="1" t="n">
        <v>45587</v>
      </c>
      <c r="D11663" t="inlineStr">
        <is>
          <t>GÄVLEBORGS LÄN</t>
        </is>
      </c>
      <c r="E11663" t="inlineStr">
        <is>
          <t>HOFORS</t>
        </is>
      </c>
      <c r="F11663" t="inlineStr">
        <is>
          <t>Sveaskog</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33734-2024</t>
        </is>
      </c>
      <c r="B11664" s="1" t="n">
        <v>45520</v>
      </c>
      <c r="C11664" s="1" t="n">
        <v>45587</v>
      </c>
      <c r="D11664" t="inlineStr">
        <is>
          <t>GÄVLEBORGS LÄN</t>
        </is>
      </c>
      <c r="E11664" t="inlineStr">
        <is>
          <t>HOFORS</t>
        </is>
      </c>
      <c r="F11664" t="inlineStr">
        <is>
          <t>Sveaskog</t>
        </is>
      </c>
      <c r="G11664" t="n">
        <v>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33778-2024</t>
        </is>
      </c>
      <c r="B11665" s="1" t="n">
        <v>45520</v>
      </c>
      <c r="C11665" s="1" t="n">
        <v>45587</v>
      </c>
      <c r="D11665" t="inlineStr">
        <is>
          <t>GÄVLEBORGS LÄN</t>
        </is>
      </c>
      <c r="E11665" t="inlineStr">
        <is>
          <t>GÄVLE</t>
        </is>
      </c>
      <c r="F11665" t="inlineStr">
        <is>
          <t>Bergvik skog väst AB</t>
        </is>
      </c>
      <c r="G11665" t="n">
        <v>7.5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33891-2024</t>
        </is>
      </c>
      <c r="B11666" s="1" t="n">
        <v>45523</v>
      </c>
      <c r="C11666" s="1" t="n">
        <v>45587</v>
      </c>
      <c r="D11666" t="inlineStr">
        <is>
          <t>GÄVLEBORGS LÄN</t>
        </is>
      </c>
      <c r="E11666" t="inlineStr">
        <is>
          <t>BOLLNÄS</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33935-2024</t>
        </is>
      </c>
      <c r="B11667" s="1" t="n">
        <v>45523</v>
      </c>
      <c r="C11667" s="1" t="n">
        <v>45587</v>
      </c>
      <c r="D11667" t="inlineStr">
        <is>
          <t>GÄVLEBORGS LÄN</t>
        </is>
      </c>
      <c r="E11667" t="inlineStr">
        <is>
          <t>BOLLNÄS</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33901-2024</t>
        </is>
      </c>
      <c r="B11668" s="1" t="n">
        <v>45523</v>
      </c>
      <c r="C11668" s="1" t="n">
        <v>45587</v>
      </c>
      <c r="D11668" t="inlineStr">
        <is>
          <t>GÄVLEBORGS LÄN</t>
        </is>
      </c>
      <c r="E11668" t="inlineStr">
        <is>
          <t>GÄVLE</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33945-2024</t>
        </is>
      </c>
      <c r="B11669" s="1" t="n">
        <v>45523</v>
      </c>
      <c r="C11669" s="1" t="n">
        <v>45587</v>
      </c>
      <c r="D11669" t="inlineStr">
        <is>
          <t>GÄVLEBORGS LÄN</t>
        </is>
      </c>
      <c r="E11669" t="inlineStr">
        <is>
          <t>OVANÅKER</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33949-2024</t>
        </is>
      </c>
      <c r="B11670" s="1" t="n">
        <v>45523</v>
      </c>
      <c r="C11670" s="1" t="n">
        <v>45587</v>
      </c>
      <c r="D11670" t="inlineStr">
        <is>
          <t>GÄVLEBORGS LÄN</t>
        </is>
      </c>
      <c r="E11670" t="inlineStr">
        <is>
          <t>LJUSDAL</t>
        </is>
      </c>
      <c r="G11670" t="n">
        <v>12.2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33979-2024</t>
        </is>
      </c>
      <c r="B11671" s="1" t="n">
        <v>45523</v>
      </c>
      <c r="C11671" s="1" t="n">
        <v>45587</v>
      </c>
      <c r="D11671" t="inlineStr">
        <is>
          <t>GÄVLEBORGS LÄN</t>
        </is>
      </c>
      <c r="E11671" t="inlineStr">
        <is>
          <t>HOFORS</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33983-2024</t>
        </is>
      </c>
      <c r="B11672" s="1" t="n">
        <v>45523</v>
      </c>
      <c r="C11672" s="1" t="n">
        <v>45587</v>
      </c>
      <c r="D11672" t="inlineStr">
        <is>
          <t>GÄVLEBORGS LÄN</t>
        </is>
      </c>
      <c r="E11672" t="inlineStr">
        <is>
          <t>HOFORS</t>
        </is>
      </c>
      <c r="F11672" t="inlineStr">
        <is>
          <t>Bergvik skog öst AB</t>
        </is>
      </c>
      <c r="G11672" t="n">
        <v>6.1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34012-2024</t>
        </is>
      </c>
      <c r="B11673" s="1" t="n">
        <v>45523</v>
      </c>
      <c r="C11673" s="1" t="n">
        <v>45587</v>
      </c>
      <c r="D11673" t="inlineStr">
        <is>
          <t>GÄVLEBORGS LÄN</t>
        </is>
      </c>
      <c r="E11673" t="inlineStr">
        <is>
          <t>OCKELBO</t>
        </is>
      </c>
      <c r="F11673" t="inlineStr">
        <is>
          <t>Bergvik skog väst AB</t>
        </is>
      </c>
      <c r="G11673" t="n">
        <v>8.199999999999999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33984-2024</t>
        </is>
      </c>
      <c r="B11674" s="1" t="n">
        <v>45523</v>
      </c>
      <c r="C11674" s="1" t="n">
        <v>45587</v>
      </c>
      <c r="D11674" t="inlineStr">
        <is>
          <t>GÄVLEBORGS LÄN</t>
        </is>
      </c>
      <c r="E11674" t="inlineStr">
        <is>
          <t>HOFORS</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34013-2024</t>
        </is>
      </c>
      <c r="B11675" s="1" t="n">
        <v>45523</v>
      </c>
      <c r="C11675" s="1" t="n">
        <v>45587</v>
      </c>
      <c r="D11675" t="inlineStr">
        <is>
          <t>GÄVLEBORGS LÄN</t>
        </is>
      </c>
      <c r="E11675" t="inlineStr">
        <is>
          <t>SANDVIKEN</t>
        </is>
      </c>
      <c r="F11675" t="inlineStr">
        <is>
          <t>Bergvik skog öst AB</t>
        </is>
      </c>
      <c r="G11675" t="n">
        <v>5.2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33924-2024</t>
        </is>
      </c>
      <c r="B11676" s="1" t="n">
        <v>45523</v>
      </c>
      <c r="C11676" s="1" t="n">
        <v>45587</v>
      </c>
      <c r="D11676" t="inlineStr">
        <is>
          <t>GÄVLEBORGS LÄN</t>
        </is>
      </c>
      <c r="E11676" t="inlineStr">
        <is>
          <t>BOLLNÄS</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33943-2024</t>
        </is>
      </c>
      <c r="B11677" s="1" t="n">
        <v>45523</v>
      </c>
      <c r="C11677" s="1" t="n">
        <v>45587</v>
      </c>
      <c r="D11677" t="inlineStr">
        <is>
          <t>GÄVLEBORGS LÄN</t>
        </is>
      </c>
      <c r="E11677" t="inlineStr">
        <is>
          <t>BOLLNÄS</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33947-2024</t>
        </is>
      </c>
      <c r="B11678" s="1" t="n">
        <v>45523</v>
      </c>
      <c r="C11678" s="1" t="n">
        <v>45587</v>
      </c>
      <c r="D11678" t="inlineStr">
        <is>
          <t>GÄVLEBORGS LÄN</t>
        </is>
      </c>
      <c r="E11678" t="inlineStr">
        <is>
          <t>LJUSDAL</t>
        </is>
      </c>
      <c r="G11678" t="n">
        <v>2.8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33968-2024</t>
        </is>
      </c>
      <c r="B11679" s="1" t="n">
        <v>45523</v>
      </c>
      <c r="C11679" s="1" t="n">
        <v>45587</v>
      </c>
      <c r="D11679" t="inlineStr">
        <is>
          <t>GÄVLEBORGS LÄN</t>
        </is>
      </c>
      <c r="E11679" t="inlineStr">
        <is>
          <t>HUDIKSVALL</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33978-2024</t>
        </is>
      </c>
      <c r="B11680" s="1" t="n">
        <v>45523</v>
      </c>
      <c r="C11680" s="1" t="n">
        <v>45587</v>
      </c>
      <c r="D11680" t="inlineStr">
        <is>
          <t>GÄVLEBORGS LÄN</t>
        </is>
      </c>
      <c r="E11680" t="inlineStr">
        <is>
          <t>HOFORS</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33981-2024</t>
        </is>
      </c>
      <c r="B11681" s="1" t="n">
        <v>45523</v>
      </c>
      <c r="C11681" s="1" t="n">
        <v>45587</v>
      </c>
      <c r="D11681" t="inlineStr">
        <is>
          <t>GÄVLEBORGS LÄN</t>
        </is>
      </c>
      <c r="E11681" t="inlineStr">
        <is>
          <t>HOFORS</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33985-2024</t>
        </is>
      </c>
      <c r="B11682" s="1" t="n">
        <v>45523</v>
      </c>
      <c r="C11682" s="1" t="n">
        <v>45587</v>
      </c>
      <c r="D11682" t="inlineStr">
        <is>
          <t>GÄVLEBORGS LÄN</t>
        </is>
      </c>
      <c r="E11682" t="inlineStr">
        <is>
          <t>HOFORS</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34032-2024</t>
        </is>
      </c>
      <c r="B11683" s="1" t="n">
        <v>45523</v>
      </c>
      <c r="C11683" s="1" t="n">
        <v>45587</v>
      </c>
      <c r="D11683" t="inlineStr">
        <is>
          <t>GÄVLEBORGS LÄN</t>
        </is>
      </c>
      <c r="E11683" t="inlineStr">
        <is>
          <t>LJUSDAL</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34054-2024</t>
        </is>
      </c>
      <c r="B11684" s="1" t="n">
        <v>45523</v>
      </c>
      <c r="C11684" s="1" t="n">
        <v>45587</v>
      </c>
      <c r="D11684" t="inlineStr">
        <is>
          <t>GÄVLEBORGS LÄN</t>
        </is>
      </c>
      <c r="E11684" t="inlineStr">
        <is>
          <t>SANDVIKEN</t>
        </is>
      </c>
      <c r="F11684" t="inlineStr">
        <is>
          <t>Bergvik skog öst AB</t>
        </is>
      </c>
      <c r="G11684" t="n">
        <v>4.9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34059-2024</t>
        </is>
      </c>
      <c r="B11685" s="1" t="n">
        <v>45523</v>
      </c>
      <c r="C11685" s="1" t="n">
        <v>45587</v>
      </c>
      <c r="D11685" t="inlineStr">
        <is>
          <t>GÄVLEBORGS LÄN</t>
        </is>
      </c>
      <c r="E11685" t="inlineStr">
        <is>
          <t>SANDVIKEN</t>
        </is>
      </c>
      <c r="F11685" t="inlineStr">
        <is>
          <t>Bergvik skog öst AB</t>
        </is>
      </c>
      <c r="G11685" t="n">
        <v>15.1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34084-2024</t>
        </is>
      </c>
      <c r="B11686" s="1" t="n">
        <v>45523</v>
      </c>
      <c r="C11686" s="1" t="n">
        <v>45587</v>
      </c>
      <c r="D11686" t="inlineStr">
        <is>
          <t>GÄVLEBORGS LÄN</t>
        </is>
      </c>
      <c r="E11686" t="inlineStr">
        <is>
          <t>LJUSDAL</t>
        </is>
      </c>
      <c r="G11686" t="n">
        <v>3.4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34229-2024</t>
        </is>
      </c>
      <c r="B11687" s="1" t="n">
        <v>45524</v>
      </c>
      <c r="C11687" s="1" t="n">
        <v>45587</v>
      </c>
      <c r="D11687" t="inlineStr">
        <is>
          <t>GÄVLEBORGS LÄN</t>
        </is>
      </c>
      <c r="E11687" t="inlineStr">
        <is>
          <t>LJUSDAL</t>
        </is>
      </c>
      <c r="G11687" t="n">
        <v>3.2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34265-2024</t>
        </is>
      </c>
      <c r="B11688" s="1" t="n">
        <v>45524</v>
      </c>
      <c r="C11688" s="1" t="n">
        <v>45587</v>
      </c>
      <c r="D11688" t="inlineStr">
        <is>
          <t>GÄVLEBORGS LÄN</t>
        </is>
      </c>
      <c r="E11688" t="inlineStr">
        <is>
          <t>LJUSDAL</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34269-2024</t>
        </is>
      </c>
      <c r="B11689" s="1" t="n">
        <v>45524</v>
      </c>
      <c r="C11689" s="1" t="n">
        <v>45587</v>
      </c>
      <c r="D11689" t="inlineStr">
        <is>
          <t>GÄVLEBORGS LÄN</t>
        </is>
      </c>
      <c r="E11689" t="inlineStr">
        <is>
          <t>GÄVLE</t>
        </is>
      </c>
      <c r="F11689" t="inlineStr">
        <is>
          <t>Bergvik skog väst AB</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34278-2024</t>
        </is>
      </c>
      <c r="B11690" s="1" t="n">
        <v>45524</v>
      </c>
      <c r="C11690" s="1" t="n">
        <v>45587</v>
      </c>
      <c r="D11690" t="inlineStr">
        <is>
          <t>GÄVLEBORGS LÄN</t>
        </is>
      </c>
      <c r="E11690" t="inlineStr">
        <is>
          <t>OCKELBO</t>
        </is>
      </c>
      <c r="F11690" t="inlineStr">
        <is>
          <t>Bergvik skog väst AB</t>
        </is>
      </c>
      <c r="G11690" t="n">
        <v>4.6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34294-2024</t>
        </is>
      </c>
      <c r="B11691" s="1" t="n">
        <v>45524</v>
      </c>
      <c r="C11691" s="1" t="n">
        <v>45587</v>
      </c>
      <c r="D11691" t="inlineStr">
        <is>
          <t>GÄVLEBORGS LÄN</t>
        </is>
      </c>
      <c r="E11691" t="inlineStr">
        <is>
          <t>LJUSDAL</t>
        </is>
      </c>
      <c r="G11691" t="n">
        <v>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34165-2024</t>
        </is>
      </c>
      <c r="B11692" s="1" t="n">
        <v>45524</v>
      </c>
      <c r="C11692" s="1" t="n">
        <v>45587</v>
      </c>
      <c r="D11692" t="inlineStr">
        <is>
          <t>GÄVLEBORGS LÄN</t>
        </is>
      </c>
      <c r="E11692" t="inlineStr">
        <is>
          <t>LJUSDAL</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34231-2024</t>
        </is>
      </c>
      <c r="B11693" s="1" t="n">
        <v>45524</v>
      </c>
      <c r="C11693" s="1" t="n">
        <v>45587</v>
      </c>
      <c r="D11693" t="inlineStr">
        <is>
          <t>GÄVLEBORGS LÄN</t>
        </is>
      </c>
      <c r="E11693" t="inlineStr">
        <is>
          <t>LJUSDAL</t>
        </is>
      </c>
      <c r="F11693" t="inlineStr">
        <is>
          <t>Sveaskog</t>
        </is>
      </c>
      <c r="G11693" t="n">
        <v>11.2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34128-2024</t>
        </is>
      </c>
      <c r="B11694" s="1" t="n">
        <v>45524</v>
      </c>
      <c r="C11694" s="1" t="n">
        <v>45587</v>
      </c>
      <c r="D11694" t="inlineStr">
        <is>
          <t>GÄVLEBORGS LÄN</t>
        </is>
      </c>
      <c r="E11694" t="inlineStr">
        <is>
          <t>HUDIKSVALL</t>
        </is>
      </c>
      <c r="F11694" t="inlineStr">
        <is>
          <t>Holmen skog AB</t>
        </is>
      </c>
      <c r="G11694" t="n">
        <v>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34230-2024</t>
        </is>
      </c>
      <c r="B11695" s="1" t="n">
        <v>45524</v>
      </c>
      <c r="C11695" s="1" t="n">
        <v>45587</v>
      </c>
      <c r="D11695" t="inlineStr">
        <is>
          <t>GÄVLEBORGS LÄN</t>
        </is>
      </c>
      <c r="E11695" t="inlineStr">
        <is>
          <t>LJUSDAL</t>
        </is>
      </c>
      <c r="F11695" t="inlineStr">
        <is>
          <t>Sveaskog</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34234-2024</t>
        </is>
      </c>
      <c r="B11696" s="1" t="n">
        <v>45524</v>
      </c>
      <c r="C11696" s="1" t="n">
        <v>45587</v>
      </c>
      <c r="D11696" t="inlineStr">
        <is>
          <t>GÄVLEBORGS LÄN</t>
        </is>
      </c>
      <c r="E11696" t="inlineStr">
        <is>
          <t>LJUSDAL</t>
        </is>
      </c>
      <c r="G11696" t="n">
        <v>3.7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34250-2024</t>
        </is>
      </c>
      <c r="B11697" s="1" t="n">
        <v>45524</v>
      </c>
      <c r="C11697" s="1" t="n">
        <v>45587</v>
      </c>
      <c r="D11697" t="inlineStr">
        <is>
          <t>GÄVLEBORGS LÄN</t>
        </is>
      </c>
      <c r="E11697" t="inlineStr">
        <is>
          <t>BOLLNÄS</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34293-2024</t>
        </is>
      </c>
      <c r="B11698" s="1" t="n">
        <v>45524</v>
      </c>
      <c r="C11698" s="1" t="n">
        <v>45587</v>
      </c>
      <c r="D11698" t="inlineStr">
        <is>
          <t>GÄVLEBORGS LÄN</t>
        </is>
      </c>
      <c r="E11698" t="inlineStr">
        <is>
          <t>HUDIKSVALL</t>
        </is>
      </c>
      <c r="F11698" t="inlineStr">
        <is>
          <t>Holmen skog AB</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34284-2024</t>
        </is>
      </c>
      <c r="B11699" s="1" t="n">
        <v>45524</v>
      </c>
      <c r="C11699" s="1" t="n">
        <v>45587</v>
      </c>
      <c r="D11699" t="inlineStr">
        <is>
          <t>GÄVLEBORGS LÄN</t>
        </is>
      </c>
      <c r="E11699" t="inlineStr">
        <is>
          <t>HUDIKSVALL</t>
        </is>
      </c>
      <c r="F11699" t="inlineStr">
        <is>
          <t>Holmen skog AB</t>
        </is>
      </c>
      <c r="G11699" t="n">
        <v>4.6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34437-2024</t>
        </is>
      </c>
      <c r="B11700" s="1" t="n">
        <v>45525</v>
      </c>
      <c r="C11700" s="1" t="n">
        <v>45587</v>
      </c>
      <c r="D11700" t="inlineStr">
        <is>
          <t>GÄVLEBORGS LÄN</t>
        </is>
      </c>
      <c r="E11700" t="inlineStr">
        <is>
          <t>SANDVIKEN</t>
        </is>
      </c>
      <c r="F11700" t="inlineStr">
        <is>
          <t>Bergvik skog öst AB</t>
        </is>
      </c>
      <c r="G11700" t="n">
        <v>9.800000000000001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34485-2024</t>
        </is>
      </c>
      <c r="B11701" s="1" t="n">
        <v>45525</v>
      </c>
      <c r="C11701" s="1" t="n">
        <v>45587</v>
      </c>
      <c r="D11701" t="inlineStr">
        <is>
          <t>GÄVLEBORGS LÄN</t>
        </is>
      </c>
      <c r="E11701" t="inlineStr">
        <is>
          <t>BOLLNÄS</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34349-2024</t>
        </is>
      </c>
      <c r="B11702" s="1" t="n">
        <v>45525</v>
      </c>
      <c r="C11702" s="1" t="n">
        <v>45587</v>
      </c>
      <c r="D11702" t="inlineStr">
        <is>
          <t>GÄVLEBORGS LÄN</t>
        </is>
      </c>
      <c r="E11702" t="inlineStr">
        <is>
          <t>BOLLNÄS</t>
        </is>
      </c>
      <c r="G11702" t="n">
        <v>5</v>
      </c>
      <c r="H11702" t="n">
        <v>0</v>
      </c>
      <c r="I11702" t="n">
        <v>0</v>
      </c>
      <c r="J11702" t="n">
        <v>0</v>
      </c>
      <c r="K11702" t="n">
        <v>0</v>
      </c>
      <c r="L11702" t="n">
        <v>0</v>
      </c>
      <c r="M11702" t="n">
        <v>0</v>
      </c>
      <c r="N11702" t="n">
        <v>0</v>
      </c>
      <c r="O11702" t="n">
        <v>0</v>
      </c>
      <c r="P11702" t="n">
        <v>0</v>
      </c>
      <c r="Q11702" t="n">
        <v>0</v>
      </c>
      <c r="R11702" s="2" t="inlineStr"/>
      <c r="U11702">
        <f>HYPERLINK("https://klasma.github.io/Logging_2183/knärot/A 34349-2024 karta knärot.png", "A 34349-2024")</f>
        <v/>
      </c>
      <c r="V11702">
        <f>HYPERLINK("https://klasma.github.io/Logging_2183/klagomål/A 34349-2024 FSC-klagomål.docx", "A 34349-2024")</f>
        <v/>
      </c>
      <c r="W11702">
        <f>HYPERLINK("https://klasma.github.io/Logging_2183/klagomålsmail/A 34349-2024 FSC-klagomål mail.docx", "A 34349-2024")</f>
        <v/>
      </c>
      <c r="X11702">
        <f>HYPERLINK("https://klasma.github.io/Logging_2183/tillsyn/A 34349-2024 tillsynsbegäran.docx", "A 34349-2024")</f>
        <v/>
      </c>
      <c r="Y11702">
        <f>HYPERLINK("https://klasma.github.io/Logging_2183/tillsynsmail/A 34349-2024 tillsynsbegäran mail.docx", "A 34349-2024")</f>
        <v/>
      </c>
    </row>
    <row r="11703" ht="15" customHeight="1">
      <c r="A11703" t="inlineStr">
        <is>
          <t>A 34370-2024</t>
        </is>
      </c>
      <c r="B11703" s="1" t="n">
        <v>45525</v>
      </c>
      <c r="C11703" s="1" t="n">
        <v>45587</v>
      </c>
      <c r="D11703" t="inlineStr">
        <is>
          <t>GÄVLEBORGS LÄN</t>
        </is>
      </c>
      <c r="E11703" t="inlineStr">
        <is>
          <t>NORDANSTIG</t>
        </is>
      </c>
      <c r="F11703" t="inlineStr">
        <is>
          <t>Holmen skog AB</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34382-2024</t>
        </is>
      </c>
      <c r="B11704" s="1" t="n">
        <v>45525</v>
      </c>
      <c r="C11704" s="1" t="n">
        <v>45587</v>
      </c>
      <c r="D11704" t="inlineStr">
        <is>
          <t>GÄVLEBORGS LÄN</t>
        </is>
      </c>
      <c r="E11704" t="inlineStr">
        <is>
          <t>LJUSDAL</t>
        </is>
      </c>
      <c r="F11704" t="inlineStr">
        <is>
          <t>Holmen skog AB</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34451-2024</t>
        </is>
      </c>
      <c r="B11705" s="1" t="n">
        <v>45525</v>
      </c>
      <c r="C11705" s="1" t="n">
        <v>45587</v>
      </c>
      <c r="D11705" t="inlineStr">
        <is>
          <t>GÄVLEBORGS LÄN</t>
        </is>
      </c>
      <c r="E11705" t="inlineStr">
        <is>
          <t>OVANÅKER</t>
        </is>
      </c>
      <c r="F11705" t="inlineStr">
        <is>
          <t>Bergvik skog öst AB</t>
        </is>
      </c>
      <c r="G11705" t="n">
        <v>2.9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34430-2024</t>
        </is>
      </c>
      <c r="B11706" s="1" t="n">
        <v>45525</v>
      </c>
      <c r="C11706" s="1" t="n">
        <v>45587</v>
      </c>
      <c r="D11706" t="inlineStr">
        <is>
          <t>GÄVLEBORGS LÄN</t>
        </is>
      </c>
      <c r="E11706" t="inlineStr">
        <is>
          <t>SANDVIKEN</t>
        </is>
      </c>
      <c r="F11706" t="inlineStr">
        <is>
          <t>Bergvik skog öst AB</t>
        </is>
      </c>
      <c r="G11706" t="n">
        <v>5.1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34438-2024</t>
        </is>
      </c>
      <c r="B11707" s="1" t="n">
        <v>45525</v>
      </c>
      <c r="C11707" s="1" t="n">
        <v>45587</v>
      </c>
      <c r="D11707" t="inlineStr">
        <is>
          <t>GÄVLEBORGS LÄN</t>
        </is>
      </c>
      <c r="E11707" t="inlineStr">
        <is>
          <t>BOLLNÄS</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34478-2024</t>
        </is>
      </c>
      <c r="B11708" s="1" t="n">
        <v>45525</v>
      </c>
      <c r="C11708" s="1" t="n">
        <v>45587</v>
      </c>
      <c r="D11708" t="inlineStr">
        <is>
          <t>GÄVLEBORGS LÄN</t>
        </is>
      </c>
      <c r="E11708" t="inlineStr">
        <is>
          <t>HUDIKSVALL</t>
        </is>
      </c>
      <c r="G11708" t="n">
        <v>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34490-2024</t>
        </is>
      </c>
      <c r="B11709" s="1" t="n">
        <v>45525</v>
      </c>
      <c r="C11709" s="1" t="n">
        <v>45587</v>
      </c>
      <c r="D11709" t="inlineStr">
        <is>
          <t>GÄVLEBORGS LÄN</t>
        </is>
      </c>
      <c r="E11709" t="inlineStr">
        <is>
          <t>OVANÅKER</t>
        </is>
      </c>
      <c r="F11709" t="inlineStr">
        <is>
          <t>Bergvik skog öst AB</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34502-2024</t>
        </is>
      </c>
      <c r="B11710" s="1" t="n">
        <v>45525</v>
      </c>
      <c r="C11710" s="1" t="n">
        <v>45587</v>
      </c>
      <c r="D11710" t="inlineStr">
        <is>
          <t>GÄVLEBORGS LÄN</t>
        </is>
      </c>
      <c r="E11710" t="inlineStr">
        <is>
          <t>NORDANSTIG</t>
        </is>
      </c>
      <c r="F11710" t="inlineStr">
        <is>
          <t>Holmen skog AB</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34558-2024</t>
        </is>
      </c>
      <c r="B11711" s="1" t="n">
        <v>45526</v>
      </c>
      <c r="C11711" s="1" t="n">
        <v>45587</v>
      </c>
      <c r="D11711" t="inlineStr">
        <is>
          <t>GÄVLEBORGS LÄN</t>
        </is>
      </c>
      <c r="E11711" t="inlineStr">
        <is>
          <t>BOLLNÄS</t>
        </is>
      </c>
      <c r="G11711" t="n">
        <v>3.4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34429-2024</t>
        </is>
      </c>
      <c r="B11712" s="1" t="n">
        <v>45525</v>
      </c>
      <c r="C11712" s="1" t="n">
        <v>45587</v>
      </c>
      <c r="D11712" t="inlineStr">
        <is>
          <t>GÄVLEBORGS LÄN</t>
        </is>
      </c>
      <c r="E11712" t="inlineStr">
        <is>
          <t>SANDVIKEN</t>
        </is>
      </c>
      <c r="F11712" t="inlineStr">
        <is>
          <t>Bergvik skog öst AB</t>
        </is>
      </c>
      <c r="G11712" t="n">
        <v>2.8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34338-2024</t>
        </is>
      </c>
      <c r="B11713" s="1" t="n">
        <v>45525</v>
      </c>
      <c r="C11713" s="1" t="n">
        <v>45587</v>
      </c>
      <c r="D11713" t="inlineStr">
        <is>
          <t>GÄVLEBORGS LÄN</t>
        </is>
      </c>
      <c r="E11713" t="inlineStr">
        <is>
          <t>LJUSDAL</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34392-2024</t>
        </is>
      </c>
      <c r="B11714" s="1" t="n">
        <v>45525</v>
      </c>
      <c r="C11714" s="1" t="n">
        <v>45587</v>
      </c>
      <c r="D11714" t="inlineStr">
        <is>
          <t>GÄVLEBORGS LÄN</t>
        </is>
      </c>
      <c r="E11714" t="inlineStr">
        <is>
          <t>OVANÅKER</t>
        </is>
      </c>
      <c r="F11714" t="inlineStr">
        <is>
          <t>Bergvik skog väst AB</t>
        </is>
      </c>
      <c r="G11714" t="n">
        <v>6.7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34379-2024</t>
        </is>
      </c>
      <c r="B11715" s="1" t="n">
        <v>45525</v>
      </c>
      <c r="C11715" s="1" t="n">
        <v>45587</v>
      </c>
      <c r="D11715" t="inlineStr">
        <is>
          <t>GÄVLEBORGS LÄN</t>
        </is>
      </c>
      <c r="E11715" t="inlineStr">
        <is>
          <t>OVANÅKER</t>
        </is>
      </c>
      <c r="F11715" t="inlineStr">
        <is>
          <t>Bergvik skog öst AB</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34387-2024</t>
        </is>
      </c>
      <c r="B11716" s="1" t="n">
        <v>45525</v>
      </c>
      <c r="C11716" s="1" t="n">
        <v>45587</v>
      </c>
      <c r="D11716" t="inlineStr">
        <is>
          <t>GÄVLEBORGS LÄN</t>
        </is>
      </c>
      <c r="E11716" t="inlineStr">
        <is>
          <t>GÄVLE</t>
        </is>
      </c>
      <c r="F11716" t="inlineStr">
        <is>
          <t>Bergvik skog väst AB</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34511-2024</t>
        </is>
      </c>
      <c r="B11717" s="1" t="n">
        <v>45525</v>
      </c>
      <c r="C11717" s="1" t="n">
        <v>45587</v>
      </c>
      <c r="D11717" t="inlineStr">
        <is>
          <t>GÄVLEBORGS LÄN</t>
        </is>
      </c>
      <c r="E11717" t="inlineStr">
        <is>
          <t>HUDIKSVALL</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34381-2024</t>
        </is>
      </c>
      <c r="B11718" s="1" t="n">
        <v>45525</v>
      </c>
      <c r="C11718" s="1" t="n">
        <v>45587</v>
      </c>
      <c r="D11718" t="inlineStr">
        <is>
          <t>GÄVLEBORGS LÄN</t>
        </is>
      </c>
      <c r="E11718" t="inlineStr">
        <is>
          <t>GÄVLE</t>
        </is>
      </c>
      <c r="F11718" t="inlineStr">
        <is>
          <t>Bergvik skog väst AB</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34610-2024</t>
        </is>
      </c>
      <c r="B11719" s="1" t="n">
        <v>45526</v>
      </c>
      <c r="C11719" s="1" t="n">
        <v>45587</v>
      </c>
      <c r="D11719" t="inlineStr">
        <is>
          <t>GÄVLEBORGS LÄN</t>
        </is>
      </c>
      <c r="E11719" t="inlineStr">
        <is>
          <t>BOLLNÄS</t>
        </is>
      </c>
      <c r="F11719" t="inlineStr">
        <is>
          <t>Sveaskog</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34668-2024</t>
        </is>
      </c>
      <c r="B11720" s="1" t="n">
        <v>45526</v>
      </c>
      <c r="C11720" s="1" t="n">
        <v>45587</v>
      </c>
      <c r="D11720" t="inlineStr">
        <is>
          <t>GÄVLEBORGS LÄN</t>
        </is>
      </c>
      <c r="E11720" t="inlineStr">
        <is>
          <t>GÄVLE</t>
        </is>
      </c>
      <c r="F11720" t="inlineStr">
        <is>
          <t>Bergvik skog väst AB</t>
        </is>
      </c>
      <c r="G11720" t="n">
        <v>0.4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34672-2024</t>
        </is>
      </c>
      <c r="B11721" s="1" t="n">
        <v>45526</v>
      </c>
      <c r="C11721" s="1" t="n">
        <v>45587</v>
      </c>
      <c r="D11721" t="inlineStr">
        <is>
          <t>GÄVLEBORGS LÄN</t>
        </is>
      </c>
      <c r="E11721" t="inlineStr">
        <is>
          <t>LJUSDAL</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34590-2024</t>
        </is>
      </c>
      <c r="B11722" s="1" t="n">
        <v>45526</v>
      </c>
      <c r="C11722" s="1" t="n">
        <v>45587</v>
      </c>
      <c r="D11722" t="inlineStr">
        <is>
          <t>GÄVLEBORGS LÄN</t>
        </is>
      </c>
      <c r="E11722" t="inlineStr">
        <is>
          <t>SANDVIKEN</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34595-2024</t>
        </is>
      </c>
      <c r="B11723" s="1" t="n">
        <v>45526</v>
      </c>
      <c r="C11723" s="1" t="n">
        <v>45587</v>
      </c>
      <c r="D11723" t="inlineStr">
        <is>
          <t>GÄVLEBORGS LÄN</t>
        </is>
      </c>
      <c r="E11723" t="inlineStr">
        <is>
          <t>SANDVIKEN</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34669-2024</t>
        </is>
      </c>
      <c r="B11724" s="1" t="n">
        <v>45526</v>
      </c>
      <c r="C11724" s="1" t="n">
        <v>45587</v>
      </c>
      <c r="D11724" t="inlineStr">
        <is>
          <t>GÄVLEBORGS LÄN</t>
        </is>
      </c>
      <c r="E11724" t="inlineStr">
        <is>
          <t>GÄVLE</t>
        </is>
      </c>
      <c r="F11724" t="inlineStr">
        <is>
          <t>Bergvik skog väst AB</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34677-2024</t>
        </is>
      </c>
      <c r="B11725" s="1" t="n">
        <v>45526</v>
      </c>
      <c r="C11725" s="1" t="n">
        <v>45587</v>
      </c>
      <c r="D11725" t="inlineStr">
        <is>
          <t>GÄVLEBORGS LÄN</t>
        </is>
      </c>
      <c r="E11725" t="inlineStr">
        <is>
          <t>LJUSDAL</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34767-2024</t>
        </is>
      </c>
      <c r="B11726" s="1" t="n">
        <v>45526</v>
      </c>
      <c r="C11726" s="1" t="n">
        <v>45587</v>
      </c>
      <c r="D11726" t="inlineStr">
        <is>
          <t>GÄVLEBORGS LÄN</t>
        </is>
      </c>
      <c r="E11726" t="inlineStr">
        <is>
          <t>GÄVLE</t>
        </is>
      </c>
      <c r="G11726" t="n">
        <v>12.3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34787-2024</t>
        </is>
      </c>
      <c r="B11727" s="1" t="n">
        <v>45526</v>
      </c>
      <c r="C11727" s="1" t="n">
        <v>45587</v>
      </c>
      <c r="D11727" t="inlineStr">
        <is>
          <t>GÄVLEBORGS LÄN</t>
        </is>
      </c>
      <c r="E11727" t="inlineStr">
        <is>
          <t>LJUSDAL</t>
        </is>
      </c>
      <c r="F11727" t="inlineStr">
        <is>
          <t>Sveaskog</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34613-2024</t>
        </is>
      </c>
      <c r="B11728" s="1" t="n">
        <v>45526</v>
      </c>
      <c r="C11728" s="1" t="n">
        <v>45587</v>
      </c>
      <c r="D11728" t="inlineStr">
        <is>
          <t>GÄVLEBORGS LÄN</t>
        </is>
      </c>
      <c r="E11728" t="inlineStr">
        <is>
          <t>BOLLNÄS</t>
        </is>
      </c>
      <c r="F11728" t="inlineStr">
        <is>
          <t>Sveaskog</t>
        </is>
      </c>
      <c r="G11728" t="n">
        <v>0.4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34617-2024</t>
        </is>
      </c>
      <c r="B11729" s="1" t="n">
        <v>45526</v>
      </c>
      <c r="C11729" s="1" t="n">
        <v>45587</v>
      </c>
      <c r="D11729" t="inlineStr">
        <is>
          <t>GÄVLEBORGS LÄN</t>
        </is>
      </c>
      <c r="E11729" t="inlineStr">
        <is>
          <t>LJUSDAL</t>
        </is>
      </c>
      <c r="F11729" t="inlineStr">
        <is>
          <t>Sveaskog</t>
        </is>
      </c>
      <c r="G11729" t="n">
        <v>4.6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34703-2024</t>
        </is>
      </c>
      <c r="B11730" s="1" t="n">
        <v>45526</v>
      </c>
      <c r="C11730" s="1" t="n">
        <v>45587</v>
      </c>
      <c r="D11730" t="inlineStr">
        <is>
          <t>GÄVLEBORGS LÄN</t>
        </is>
      </c>
      <c r="E11730" t="inlineStr">
        <is>
          <t>HUDIKSVALL</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34753-2024</t>
        </is>
      </c>
      <c r="B11731" s="1" t="n">
        <v>45526</v>
      </c>
      <c r="C11731" s="1" t="n">
        <v>45587</v>
      </c>
      <c r="D11731" t="inlineStr">
        <is>
          <t>GÄVLEBORGS LÄN</t>
        </is>
      </c>
      <c r="E11731" t="inlineStr">
        <is>
          <t>LJUSDAL</t>
        </is>
      </c>
      <c r="F11731" t="inlineStr">
        <is>
          <t>Sveaskog</t>
        </is>
      </c>
      <c r="G11731" t="n">
        <v>3.2</v>
      </c>
      <c r="H11731" t="n">
        <v>0</v>
      </c>
      <c r="I11731" t="n">
        <v>0</v>
      </c>
      <c r="J11731" t="n">
        <v>0</v>
      </c>
      <c r="K11731" t="n">
        <v>0</v>
      </c>
      <c r="L11731" t="n">
        <v>0</v>
      </c>
      <c r="M11731" t="n">
        <v>0</v>
      </c>
      <c r="N11731" t="n">
        <v>0</v>
      </c>
      <c r="O11731" t="n">
        <v>0</v>
      </c>
      <c r="P11731" t="n">
        <v>0</v>
      </c>
      <c r="Q11731" t="n">
        <v>0</v>
      </c>
      <c r="R11731" s="2" t="inlineStr"/>
      <c r="U11731">
        <f>HYPERLINK("https://klasma.github.io/Logging_2161/knärot/A 34753-2024 karta knärot.png", "A 34753-2024")</f>
        <v/>
      </c>
      <c r="V11731">
        <f>HYPERLINK("https://klasma.github.io/Logging_2161/klagomål/A 34753-2024 FSC-klagomål.docx", "A 34753-2024")</f>
        <v/>
      </c>
      <c r="W11731">
        <f>HYPERLINK("https://klasma.github.io/Logging_2161/klagomålsmail/A 34753-2024 FSC-klagomål mail.docx", "A 34753-2024")</f>
        <v/>
      </c>
      <c r="X11731">
        <f>HYPERLINK("https://klasma.github.io/Logging_2161/tillsyn/A 34753-2024 tillsynsbegäran.docx", "A 34753-2024")</f>
        <v/>
      </c>
      <c r="Y11731">
        <f>HYPERLINK("https://klasma.github.io/Logging_2161/tillsynsmail/A 34753-2024 tillsynsbegäran mail.docx", "A 34753-2024")</f>
        <v/>
      </c>
    </row>
    <row r="11732" ht="15" customHeight="1">
      <c r="A11732" t="inlineStr">
        <is>
          <t>A 34785-2024</t>
        </is>
      </c>
      <c r="B11732" s="1" t="n">
        <v>45526</v>
      </c>
      <c r="C11732" s="1" t="n">
        <v>45587</v>
      </c>
      <c r="D11732" t="inlineStr">
        <is>
          <t>GÄVLEBORGS LÄN</t>
        </is>
      </c>
      <c r="E11732" t="inlineStr">
        <is>
          <t>LJUSDAL</t>
        </is>
      </c>
      <c r="F11732" t="inlineStr">
        <is>
          <t>Sveaskog</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34826-2024</t>
        </is>
      </c>
      <c r="B11733" s="1" t="n">
        <v>45526</v>
      </c>
      <c r="C11733" s="1" t="n">
        <v>45587</v>
      </c>
      <c r="D11733" t="inlineStr">
        <is>
          <t>GÄVLEBORGS LÄN</t>
        </is>
      </c>
      <c r="E11733" t="inlineStr">
        <is>
          <t>SÖDERHAMN</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34682-2024</t>
        </is>
      </c>
      <c r="B11734" s="1" t="n">
        <v>45526</v>
      </c>
      <c r="C11734" s="1" t="n">
        <v>45587</v>
      </c>
      <c r="D11734" t="inlineStr">
        <is>
          <t>GÄVLEBORGS LÄN</t>
        </is>
      </c>
      <c r="E11734" t="inlineStr">
        <is>
          <t>LJUSDAL</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34678-2024</t>
        </is>
      </c>
      <c r="B11735" s="1" t="n">
        <v>45526</v>
      </c>
      <c r="C11735" s="1" t="n">
        <v>45587</v>
      </c>
      <c r="D11735" t="inlineStr">
        <is>
          <t>GÄVLEBORGS LÄN</t>
        </is>
      </c>
      <c r="E11735" t="inlineStr">
        <is>
          <t>SANDVIKEN</t>
        </is>
      </c>
      <c r="G11735" t="n">
        <v>6.9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34666-2024</t>
        </is>
      </c>
      <c r="B11736" s="1" t="n">
        <v>45526</v>
      </c>
      <c r="C11736" s="1" t="n">
        <v>45587</v>
      </c>
      <c r="D11736" t="inlineStr">
        <is>
          <t>GÄVLEBORGS LÄN</t>
        </is>
      </c>
      <c r="E11736" t="inlineStr">
        <is>
          <t>GÄVLE</t>
        </is>
      </c>
      <c r="F11736" t="inlineStr">
        <is>
          <t>Bergvik skog väst AB</t>
        </is>
      </c>
      <c r="G11736" t="n">
        <v>7.8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34620-2024</t>
        </is>
      </c>
      <c r="B11737" s="1" t="n">
        <v>45526</v>
      </c>
      <c r="C11737" s="1" t="n">
        <v>45587</v>
      </c>
      <c r="D11737" t="inlineStr">
        <is>
          <t>GÄVLEBORGS LÄN</t>
        </is>
      </c>
      <c r="E11737" t="inlineStr">
        <is>
          <t>HUDIKSVALL</t>
        </is>
      </c>
      <c r="G11737" t="n">
        <v>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34600-2024</t>
        </is>
      </c>
      <c r="B11738" s="1" t="n">
        <v>45526</v>
      </c>
      <c r="C11738" s="1" t="n">
        <v>45587</v>
      </c>
      <c r="D11738" t="inlineStr">
        <is>
          <t>GÄVLEBORGS LÄN</t>
        </is>
      </c>
      <c r="E11738" t="inlineStr">
        <is>
          <t>GÄVLE</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34792-2024</t>
        </is>
      </c>
      <c r="B11739" s="1" t="n">
        <v>45526</v>
      </c>
      <c r="C11739" s="1" t="n">
        <v>45587</v>
      </c>
      <c r="D11739" t="inlineStr">
        <is>
          <t>GÄVLEBORGS LÄN</t>
        </is>
      </c>
      <c r="E11739" t="inlineStr">
        <is>
          <t>OCKELBO</t>
        </is>
      </c>
      <c r="F11739" t="inlineStr">
        <is>
          <t>Bergvik skog väst AB</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34752-2024</t>
        </is>
      </c>
      <c r="B11740" s="1" t="n">
        <v>45526</v>
      </c>
      <c r="C11740" s="1" t="n">
        <v>45587</v>
      </c>
      <c r="D11740" t="inlineStr">
        <is>
          <t>GÄVLEBORGS LÄN</t>
        </is>
      </c>
      <c r="E11740" t="inlineStr">
        <is>
          <t>SÖDERHAMN</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34735-2024</t>
        </is>
      </c>
      <c r="B11741" s="1" t="n">
        <v>45526</v>
      </c>
      <c r="C11741" s="1" t="n">
        <v>45587</v>
      </c>
      <c r="D11741" t="inlineStr">
        <is>
          <t>GÄVLEBORGS LÄN</t>
        </is>
      </c>
      <c r="E11741" t="inlineStr">
        <is>
          <t>NORDANSTIG</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34570-2024</t>
        </is>
      </c>
      <c r="B11742" s="1" t="n">
        <v>45526</v>
      </c>
      <c r="C11742" s="1" t="n">
        <v>45587</v>
      </c>
      <c r="D11742" t="inlineStr">
        <is>
          <t>GÄVLEBORGS LÄN</t>
        </is>
      </c>
      <c r="E11742" t="inlineStr">
        <is>
          <t>OVANÅKER</t>
        </is>
      </c>
      <c r="F11742" t="inlineStr">
        <is>
          <t>Bergvik skog öst AB</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34565-2024</t>
        </is>
      </c>
      <c r="B11743" s="1" t="n">
        <v>45526</v>
      </c>
      <c r="C11743" s="1" t="n">
        <v>45587</v>
      </c>
      <c r="D11743" t="inlineStr">
        <is>
          <t>GÄVLEBORGS LÄN</t>
        </is>
      </c>
      <c r="E11743" t="inlineStr">
        <is>
          <t>OVANÅKER</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35031-2024</t>
        </is>
      </c>
      <c r="B11744" s="1" t="n">
        <v>45527</v>
      </c>
      <c r="C11744" s="1" t="n">
        <v>45587</v>
      </c>
      <c r="D11744" t="inlineStr">
        <is>
          <t>GÄVLEBORGS LÄN</t>
        </is>
      </c>
      <c r="E11744" t="inlineStr">
        <is>
          <t>LJUSDAL</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35000-2024</t>
        </is>
      </c>
      <c r="B11745" s="1" t="n">
        <v>45527</v>
      </c>
      <c r="C11745" s="1" t="n">
        <v>45587</v>
      </c>
      <c r="D11745" t="inlineStr">
        <is>
          <t>GÄVLEBORGS LÄN</t>
        </is>
      </c>
      <c r="E11745" t="inlineStr">
        <is>
          <t>HUDIKSVALL</t>
        </is>
      </c>
      <c r="F11745" t="inlineStr">
        <is>
          <t>Holmen skog AB</t>
        </is>
      </c>
      <c r="G11745" t="n">
        <v>2.7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35024-2024</t>
        </is>
      </c>
      <c r="B11746" s="1" t="n">
        <v>45527</v>
      </c>
      <c r="C11746" s="1" t="n">
        <v>45587</v>
      </c>
      <c r="D11746" t="inlineStr">
        <is>
          <t>GÄVLEBORGS LÄN</t>
        </is>
      </c>
      <c r="E11746" t="inlineStr">
        <is>
          <t>LJUSDAL</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35032-2024</t>
        </is>
      </c>
      <c r="B11747" s="1" t="n">
        <v>45527</v>
      </c>
      <c r="C11747" s="1" t="n">
        <v>45587</v>
      </c>
      <c r="D11747" t="inlineStr">
        <is>
          <t>GÄVLEBORGS LÄN</t>
        </is>
      </c>
      <c r="E11747" t="inlineStr">
        <is>
          <t>GÄVLE</t>
        </is>
      </c>
      <c r="F11747" t="inlineStr">
        <is>
          <t>Bergvik skog väst AB</t>
        </is>
      </c>
      <c r="G11747" t="n">
        <v>11.3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35071-2024</t>
        </is>
      </c>
      <c r="B11748" s="1" t="n">
        <v>45527</v>
      </c>
      <c r="C11748" s="1" t="n">
        <v>45587</v>
      </c>
      <c r="D11748" t="inlineStr">
        <is>
          <t>GÄVLEBORGS LÄN</t>
        </is>
      </c>
      <c r="E11748" t="inlineStr">
        <is>
          <t>HUDIKSVALL</t>
        </is>
      </c>
      <c r="F11748" t="inlineStr">
        <is>
          <t>Holmen skog AB</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34986-2024</t>
        </is>
      </c>
      <c r="B11749" s="1" t="n">
        <v>45527</v>
      </c>
      <c r="C11749" s="1" t="n">
        <v>45587</v>
      </c>
      <c r="D11749" t="inlineStr">
        <is>
          <t>GÄVLEBORGS LÄN</t>
        </is>
      </c>
      <c r="E11749" t="inlineStr">
        <is>
          <t>LJUSDAL</t>
        </is>
      </c>
      <c r="F11749" t="inlineStr">
        <is>
          <t>Sveaskog</t>
        </is>
      </c>
      <c r="G11749" t="n">
        <v>8.5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34982-2024</t>
        </is>
      </c>
      <c r="B11750" s="1" t="n">
        <v>45527</v>
      </c>
      <c r="C11750" s="1" t="n">
        <v>45587</v>
      </c>
      <c r="D11750" t="inlineStr">
        <is>
          <t>GÄVLEBORGS LÄN</t>
        </is>
      </c>
      <c r="E11750" t="inlineStr">
        <is>
          <t>HUDIKSVALL</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34978-2024</t>
        </is>
      </c>
      <c r="B11751" s="1" t="n">
        <v>45527</v>
      </c>
      <c r="C11751" s="1" t="n">
        <v>45587</v>
      </c>
      <c r="D11751" t="inlineStr">
        <is>
          <t>GÄVLEBORGS LÄN</t>
        </is>
      </c>
      <c r="E11751" t="inlineStr">
        <is>
          <t>SÖDERHAMN</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34934-2024</t>
        </is>
      </c>
      <c r="B11752" s="1" t="n">
        <v>45527</v>
      </c>
      <c r="C11752" s="1" t="n">
        <v>45587</v>
      </c>
      <c r="D11752" t="inlineStr">
        <is>
          <t>GÄVLEBORGS LÄN</t>
        </is>
      </c>
      <c r="E11752" t="inlineStr">
        <is>
          <t>BOLLNÄS</t>
        </is>
      </c>
      <c r="F11752" t="inlineStr">
        <is>
          <t>Bergvik skog väst AB</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34846-2024</t>
        </is>
      </c>
      <c r="B11753" s="1" t="n">
        <v>45527</v>
      </c>
      <c r="C11753" s="1" t="n">
        <v>45587</v>
      </c>
      <c r="D11753" t="inlineStr">
        <is>
          <t>GÄVLEBORGS LÄN</t>
        </is>
      </c>
      <c r="E11753" t="inlineStr">
        <is>
          <t>BOLLNÄS</t>
        </is>
      </c>
      <c r="F11753" t="inlineStr">
        <is>
          <t>Bergvik skog väst AB</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34856-2024</t>
        </is>
      </c>
      <c r="B11754" s="1" t="n">
        <v>45527</v>
      </c>
      <c r="C11754" s="1" t="n">
        <v>45587</v>
      </c>
      <c r="D11754" t="inlineStr">
        <is>
          <t>GÄVLEBORGS LÄN</t>
        </is>
      </c>
      <c r="E11754" t="inlineStr">
        <is>
          <t>BOLLNÄS</t>
        </is>
      </c>
      <c r="F11754" t="inlineStr">
        <is>
          <t>Bergvik skog väst AB</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34920-2024</t>
        </is>
      </c>
      <c r="B11755" s="1" t="n">
        <v>45527</v>
      </c>
      <c r="C11755" s="1" t="n">
        <v>45587</v>
      </c>
      <c r="D11755" t="inlineStr">
        <is>
          <t>GÄVLEBORGS LÄN</t>
        </is>
      </c>
      <c r="E11755" t="inlineStr">
        <is>
          <t>HUDIKSVALL</t>
        </is>
      </c>
      <c r="F11755" t="inlineStr">
        <is>
          <t>Holmen skog AB</t>
        </is>
      </c>
      <c r="G11755" t="n">
        <v>21.9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35022-2024</t>
        </is>
      </c>
      <c r="B11756" s="1" t="n">
        <v>45527</v>
      </c>
      <c r="C11756" s="1" t="n">
        <v>45587</v>
      </c>
      <c r="D11756" t="inlineStr">
        <is>
          <t>GÄVLEBORGS LÄN</t>
        </is>
      </c>
      <c r="E11756" t="inlineStr">
        <is>
          <t>LJUSDAL</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35026-2024</t>
        </is>
      </c>
      <c r="B11757" s="1" t="n">
        <v>45527</v>
      </c>
      <c r="C11757" s="1" t="n">
        <v>45587</v>
      </c>
      <c r="D11757" t="inlineStr">
        <is>
          <t>GÄVLEBORGS LÄN</t>
        </is>
      </c>
      <c r="E11757" t="inlineStr">
        <is>
          <t>HUDIKSVALL</t>
        </is>
      </c>
      <c r="F11757" t="inlineStr">
        <is>
          <t>Holmen skog AB</t>
        </is>
      </c>
      <c r="G11757" t="n">
        <v>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34941-2024</t>
        </is>
      </c>
      <c r="B11758" s="1" t="n">
        <v>45527</v>
      </c>
      <c r="C11758" s="1" t="n">
        <v>45587</v>
      </c>
      <c r="D11758" t="inlineStr">
        <is>
          <t>GÄVLEBORGS LÄN</t>
        </is>
      </c>
      <c r="E11758" t="inlineStr">
        <is>
          <t>BOLLNÄS</t>
        </is>
      </c>
      <c r="F11758" t="inlineStr">
        <is>
          <t>Bergvik skog väst AB</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34889-2024</t>
        </is>
      </c>
      <c r="B11759" s="1" t="n">
        <v>45527</v>
      </c>
      <c r="C11759" s="1" t="n">
        <v>45587</v>
      </c>
      <c r="D11759" t="inlineStr">
        <is>
          <t>GÄVLEBORGS LÄN</t>
        </is>
      </c>
      <c r="E11759" t="inlineStr">
        <is>
          <t>HUDIKSVALL</t>
        </is>
      </c>
      <c r="G11759" t="n">
        <v>3.3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34873-2024</t>
        </is>
      </c>
      <c r="B11760" s="1" t="n">
        <v>45527</v>
      </c>
      <c r="C11760" s="1" t="n">
        <v>45587</v>
      </c>
      <c r="D11760" t="inlineStr">
        <is>
          <t>GÄVLEBORGS LÄN</t>
        </is>
      </c>
      <c r="E11760" t="inlineStr">
        <is>
          <t>HUDIKSVALL</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34869-2024</t>
        </is>
      </c>
      <c r="B11761" s="1" t="n">
        <v>45527</v>
      </c>
      <c r="C11761" s="1" t="n">
        <v>45587</v>
      </c>
      <c r="D11761" t="inlineStr">
        <is>
          <t>GÄVLEBORGS LÄN</t>
        </is>
      </c>
      <c r="E11761" t="inlineStr">
        <is>
          <t>NORDANSTIG</t>
        </is>
      </c>
      <c r="F11761" t="inlineStr">
        <is>
          <t>Holmen skog AB</t>
        </is>
      </c>
      <c r="G11761" t="n">
        <v>4.6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34944-2024</t>
        </is>
      </c>
      <c r="B11762" s="1" t="n">
        <v>45527</v>
      </c>
      <c r="C11762" s="1" t="n">
        <v>45587</v>
      </c>
      <c r="D11762" t="inlineStr">
        <is>
          <t>GÄVLEBORGS LÄN</t>
        </is>
      </c>
      <c r="E11762" t="inlineStr">
        <is>
          <t>OCKELBO</t>
        </is>
      </c>
      <c r="F11762" t="inlineStr">
        <is>
          <t>Bergvik skog väst AB</t>
        </is>
      </c>
      <c r="G11762" t="n">
        <v>12.2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34964-2024</t>
        </is>
      </c>
      <c r="B11763" s="1" t="n">
        <v>45527</v>
      </c>
      <c r="C11763" s="1" t="n">
        <v>45587</v>
      </c>
      <c r="D11763" t="inlineStr">
        <is>
          <t>GÄVLEBORGS LÄN</t>
        </is>
      </c>
      <c r="E11763" t="inlineStr">
        <is>
          <t>LJUSDAL</t>
        </is>
      </c>
      <c r="F11763" t="inlineStr">
        <is>
          <t>Holmen skog AB</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34972-2024</t>
        </is>
      </c>
      <c r="B11764" s="1" t="n">
        <v>45527</v>
      </c>
      <c r="C11764" s="1" t="n">
        <v>45587</v>
      </c>
      <c r="D11764" t="inlineStr">
        <is>
          <t>GÄVLEBORGS LÄN</t>
        </is>
      </c>
      <c r="E11764" t="inlineStr">
        <is>
          <t>LJUSDAL</t>
        </is>
      </c>
      <c r="F11764" t="inlineStr">
        <is>
          <t>Bergvik skog väst AB</t>
        </is>
      </c>
      <c r="G11764" t="n">
        <v>4.1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34976-2024</t>
        </is>
      </c>
      <c r="B11765" s="1" t="n">
        <v>45527</v>
      </c>
      <c r="C11765" s="1" t="n">
        <v>45587</v>
      </c>
      <c r="D11765" t="inlineStr">
        <is>
          <t>GÄVLEBORGS LÄN</t>
        </is>
      </c>
      <c r="E11765" t="inlineStr">
        <is>
          <t>SÖDERHAMN</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34989-2024</t>
        </is>
      </c>
      <c r="B11766" s="1" t="n">
        <v>45527</v>
      </c>
      <c r="C11766" s="1" t="n">
        <v>45587</v>
      </c>
      <c r="D11766" t="inlineStr">
        <is>
          <t>GÄVLEBORGS LÄN</t>
        </is>
      </c>
      <c r="E11766" t="inlineStr">
        <is>
          <t>LJUSDAL</t>
        </is>
      </c>
      <c r="F11766" t="inlineStr">
        <is>
          <t>Sveaskog</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35009-2024</t>
        </is>
      </c>
      <c r="B11767" s="1" t="n">
        <v>45527</v>
      </c>
      <c r="C11767" s="1" t="n">
        <v>45587</v>
      </c>
      <c r="D11767" t="inlineStr">
        <is>
          <t>GÄVLEBORGS LÄN</t>
        </is>
      </c>
      <c r="E11767" t="inlineStr">
        <is>
          <t>BOLLNÄS</t>
        </is>
      </c>
      <c r="G11767" t="n">
        <v>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35025-2024</t>
        </is>
      </c>
      <c r="B11768" s="1" t="n">
        <v>45527</v>
      </c>
      <c r="C11768" s="1" t="n">
        <v>45587</v>
      </c>
      <c r="D11768" t="inlineStr">
        <is>
          <t>GÄVLEBORGS LÄN</t>
        </is>
      </c>
      <c r="E11768" t="inlineStr">
        <is>
          <t>OVANÅKER</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35029-2024</t>
        </is>
      </c>
      <c r="B11769" s="1" t="n">
        <v>45527</v>
      </c>
      <c r="C11769" s="1" t="n">
        <v>45587</v>
      </c>
      <c r="D11769" t="inlineStr">
        <is>
          <t>GÄVLEBORGS LÄN</t>
        </is>
      </c>
      <c r="E11769" t="inlineStr">
        <is>
          <t>LJUSDAL</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35061-2024</t>
        </is>
      </c>
      <c r="B11770" s="1" t="n">
        <v>45527</v>
      </c>
      <c r="C11770" s="1" t="n">
        <v>45587</v>
      </c>
      <c r="D11770" t="inlineStr">
        <is>
          <t>GÄVLEBORGS LÄN</t>
        </is>
      </c>
      <c r="E11770" t="inlineStr">
        <is>
          <t>HUDIKSVALL</t>
        </is>
      </c>
      <c r="F11770" t="inlineStr">
        <is>
          <t>Holmen skog AB</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35086-2024</t>
        </is>
      </c>
      <c r="B11771" s="1" t="n">
        <v>45527</v>
      </c>
      <c r="C11771" s="1" t="n">
        <v>45587</v>
      </c>
      <c r="D11771" t="inlineStr">
        <is>
          <t>GÄVLEBORGS LÄN</t>
        </is>
      </c>
      <c r="E11771" t="inlineStr">
        <is>
          <t>OVANÅKER</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35081-2024</t>
        </is>
      </c>
      <c r="B11772" s="1" t="n">
        <v>45527</v>
      </c>
      <c r="C11772" s="1" t="n">
        <v>45587</v>
      </c>
      <c r="D11772" t="inlineStr">
        <is>
          <t>GÄVLEBORGS LÄN</t>
        </is>
      </c>
      <c r="E11772" t="inlineStr">
        <is>
          <t>HUDIKSVALL</t>
        </is>
      </c>
      <c r="F11772" t="inlineStr">
        <is>
          <t>Holmen skog AB</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34988-2024</t>
        </is>
      </c>
      <c r="B11773" s="1" t="n">
        <v>45527</v>
      </c>
      <c r="C11773" s="1" t="n">
        <v>45587</v>
      </c>
      <c r="D11773" t="inlineStr">
        <is>
          <t>GÄVLEBORGS LÄN</t>
        </is>
      </c>
      <c r="E11773" t="inlineStr">
        <is>
          <t>SÖDERHAMN</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34983-2024</t>
        </is>
      </c>
      <c r="B11774" s="1" t="n">
        <v>45527</v>
      </c>
      <c r="C11774" s="1" t="n">
        <v>45587</v>
      </c>
      <c r="D11774" t="inlineStr">
        <is>
          <t>GÄVLEBORGS LÄN</t>
        </is>
      </c>
      <c r="E11774" t="inlineStr">
        <is>
          <t>HUDIKSVALL</t>
        </is>
      </c>
      <c r="F11774" t="inlineStr">
        <is>
          <t>Holmen skog AB</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34959-2024</t>
        </is>
      </c>
      <c r="B11775" s="1" t="n">
        <v>45527</v>
      </c>
      <c r="C11775" s="1" t="n">
        <v>45587</v>
      </c>
      <c r="D11775" t="inlineStr">
        <is>
          <t>GÄVLEBORGS LÄN</t>
        </is>
      </c>
      <c r="E11775" t="inlineStr">
        <is>
          <t>SÖDERHAMN</t>
        </is>
      </c>
      <c r="G11775" t="n">
        <v>3.5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34947-2024</t>
        </is>
      </c>
      <c r="B11776" s="1" t="n">
        <v>45527</v>
      </c>
      <c r="C11776" s="1" t="n">
        <v>45587</v>
      </c>
      <c r="D11776" t="inlineStr">
        <is>
          <t>GÄVLEBORGS LÄN</t>
        </is>
      </c>
      <c r="E11776" t="inlineStr">
        <is>
          <t>HUDIKSVALL</t>
        </is>
      </c>
      <c r="F11776" t="inlineStr">
        <is>
          <t>Holmen skog AB</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34943-2024</t>
        </is>
      </c>
      <c r="B11777" s="1" t="n">
        <v>45527</v>
      </c>
      <c r="C11777" s="1" t="n">
        <v>45587</v>
      </c>
      <c r="D11777" t="inlineStr">
        <is>
          <t>GÄVLEBORGS LÄN</t>
        </is>
      </c>
      <c r="E11777" t="inlineStr">
        <is>
          <t>OVANÅKER</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34919-2024</t>
        </is>
      </c>
      <c r="B11778" s="1" t="n">
        <v>45527</v>
      </c>
      <c r="C11778" s="1" t="n">
        <v>45587</v>
      </c>
      <c r="D11778" t="inlineStr">
        <is>
          <t>GÄVLEBORGS LÄN</t>
        </is>
      </c>
      <c r="E11778" t="inlineStr">
        <is>
          <t>LJUSDAL</t>
        </is>
      </c>
      <c r="F11778" t="inlineStr">
        <is>
          <t>Holmen skog AB</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34899-2024</t>
        </is>
      </c>
      <c r="B11779" s="1" t="n">
        <v>45527</v>
      </c>
      <c r="C11779" s="1" t="n">
        <v>45587</v>
      </c>
      <c r="D11779" t="inlineStr">
        <is>
          <t>GÄVLEBORGS LÄN</t>
        </is>
      </c>
      <c r="E11779" t="inlineStr">
        <is>
          <t>HUDIKSVALL</t>
        </is>
      </c>
      <c r="G11779" t="n">
        <v>15.3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34867-2024</t>
        </is>
      </c>
      <c r="B11780" s="1" t="n">
        <v>45527</v>
      </c>
      <c r="C11780" s="1" t="n">
        <v>45587</v>
      </c>
      <c r="D11780" t="inlineStr">
        <is>
          <t>GÄVLEBORGS LÄN</t>
        </is>
      </c>
      <c r="E11780" t="inlineStr">
        <is>
          <t>BOLLNÄS</t>
        </is>
      </c>
      <c r="F11780" t="inlineStr">
        <is>
          <t>Bergvik skog väst AB</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34847-2024</t>
        </is>
      </c>
      <c r="B11781" s="1" t="n">
        <v>45527</v>
      </c>
      <c r="C11781" s="1" t="n">
        <v>45587</v>
      </c>
      <c r="D11781" t="inlineStr">
        <is>
          <t>GÄVLEBORGS LÄN</t>
        </is>
      </c>
      <c r="E11781" t="inlineStr">
        <is>
          <t>LJUSDAL</t>
        </is>
      </c>
      <c r="F11781" t="inlineStr">
        <is>
          <t>Sveaskog</t>
        </is>
      </c>
      <c r="G11781" t="n">
        <v>4.3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35122-2024</t>
        </is>
      </c>
      <c r="B11782" s="1" t="n">
        <v>45530</v>
      </c>
      <c r="C11782" s="1" t="n">
        <v>45587</v>
      </c>
      <c r="D11782" t="inlineStr">
        <is>
          <t>GÄVLEBORGS LÄN</t>
        </is>
      </c>
      <c r="E11782" t="inlineStr">
        <is>
          <t>LJUSDAL</t>
        </is>
      </c>
      <c r="F11782" t="inlineStr">
        <is>
          <t>Sveaskog</t>
        </is>
      </c>
      <c r="G11782" t="n">
        <v>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35201-2024</t>
        </is>
      </c>
      <c r="B11783" s="1" t="n">
        <v>45530</v>
      </c>
      <c r="C11783" s="1" t="n">
        <v>45587</v>
      </c>
      <c r="D11783" t="inlineStr">
        <is>
          <t>GÄVLEBORGS LÄN</t>
        </is>
      </c>
      <c r="E11783" t="inlineStr">
        <is>
          <t>HUDIKSVALL</t>
        </is>
      </c>
      <c r="F11783" t="inlineStr">
        <is>
          <t>Holmen skog AB</t>
        </is>
      </c>
      <c r="G11783" t="n">
        <v>7.3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35205-2024</t>
        </is>
      </c>
      <c r="B11784" s="1" t="n">
        <v>45530</v>
      </c>
      <c r="C11784" s="1" t="n">
        <v>45587</v>
      </c>
      <c r="D11784" t="inlineStr">
        <is>
          <t>GÄVLEBORGS LÄN</t>
        </is>
      </c>
      <c r="E11784" t="inlineStr">
        <is>
          <t>GÄVLE</t>
        </is>
      </c>
      <c r="F11784" t="inlineStr">
        <is>
          <t>Bergvik skog öst AB</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35225-2024</t>
        </is>
      </c>
      <c r="B11785" s="1" t="n">
        <v>45530</v>
      </c>
      <c r="C11785" s="1" t="n">
        <v>45587</v>
      </c>
      <c r="D11785" t="inlineStr">
        <is>
          <t>GÄVLEBORGS LÄN</t>
        </is>
      </c>
      <c r="E11785" t="inlineStr">
        <is>
          <t>GÄVLE</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35233-2024</t>
        </is>
      </c>
      <c r="B11786" s="1" t="n">
        <v>45530</v>
      </c>
      <c r="C11786" s="1" t="n">
        <v>45587</v>
      </c>
      <c r="D11786" t="inlineStr">
        <is>
          <t>GÄVLEBORGS LÄN</t>
        </is>
      </c>
      <c r="E11786" t="inlineStr">
        <is>
          <t>GÄVLE</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35285-2024</t>
        </is>
      </c>
      <c r="B11787" s="1" t="n">
        <v>45530</v>
      </c>
      <c r="C11787" s="1" t="n">
        <v>45587</v>
      </c>
      <c r="D11787" t="inlineStr">
        <is>
          <t>GÄVLEBORGS LÄN</t>
        </is>
      </c>
      <c r="E11787" t="inlineStr">
        <is>
          <t>HUDIKSVALL</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35297-2024</t>
        </is>
      </c>
      <c r="B11788" s="1" t="n">
        <v>45530</v>
      </c>
      <c r="C11788" s="1" t="n">
        <v>45587</v>
      </c>
      <c r="D11788" t="inlineStr">
        <is>
          <t>GÄVLEBORGS LÄN</t>
        </is>
      </c>
      <c r="E11788" t="inlineStr">
        <is>
          <t>OVANÅKER</t>
        </is>
      </c>
      <c r="G11788" t="n">
        <v>5.2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35143-2024</t>
        </is>
      </c>
      <c r="B11789" s="1" t="n">
        <v>45530</v>
      </c>
      <c r="C11789" s="1" t="n">
        <v>45587</v>
      </c>
      <c r="D11789" t="inlineStr">
        <is>
          <t>GÄVLEBORGS LÄN</t>
        </is>
      </c>
      <c r="E11789" t="inlineStr">
        <is>
          <t>HUDIKSVALL</t>
        </is>
      </c>
      <c r="G11789" t="n">
        <v>4.2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35332-2024</t>
        </is>
      </c>
      <c r="B11790" s="1" t="n">
        <v>45530</v>
      </c>
      <c r="C11790" s="1" t="n">
        <v>45587</v>
      </c>
      <c r="D11790" t="inlineStr">
        <is>
          <t>GÄVLEBORGS LÄN</t>
        </is>
      </c>
      <c r="E11790" t="inlineStr">
        <is>
          <t>HUDIKSVALL</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35331-2024</t>
        </is>
      </c>
      <c r="B11791" s="1" t="n">
        <v>45530</v>
      </c>
      <c r="C11791" s="1" t="n">
        <v>45587</v>
      </c>
      <c r="D11791" t="inlineStr">
        <is>
          <t>GÄVLEBORGS LÄN</t>
        </is>
      </c>
      <c r="E11791" t="inlineStr">
        <is>
          <t>GÄVLE</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35252-2024</t>
        </is>
      </c>
      <c r="B11792" s="1" t="n">
        <v>45530</v>
      </c>
      <c r="C11792" s="1" t="n">
        <v>45587</v>
      </c>
      <c r="D11792" t="inlineStr">
        <is>
          <t>GÄVLEBORGS LÄN</t>
        </is>
      </c>
      <c r="E11792" t="inlineStr">
        <is>
          <t>SANDVIKEN</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35204-2024</t>
        </is>
      </c>
      <c r="B11793" s="1" t="n">
        <v>45530</v>
      </c>
      <c r="C11793" s="1" t="n">
        <v>45587</v>
      </c>
      <c r="D11793" t="inlineStr">
        <is>
          <t>GÄVLEBORGS LÄN</t>
        </is>
      </c>
      <c r="E11793" t="inlineStr">
        <is>
          <t>GÄVLE</t>
        </is>
      </c>
      <c r="F11793" t="inlineStr">
        <is>
          <t>Bergvik skog öst AB</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35200-2024</t>
        </is>
      </c>
      <c r="B11794" s="1" t="n">
        <v>45530</v>
      </c>
      <c r="C11794" s="1" t="n">
        <v>45587</v>
      </c>
      <c r="D11794" t="inlineStr">
        <is>
          <t>GÄVLEBORGS LÄN</t>
        </is>
      </c>
      <c r="E11794" t="inlineStr">
        <is>
          <t>BOLLNÄS</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35170-2024</t>
        </is>
      </c>
      <c r="B11795" s="1" t="n">
        <v>45530</v>
      </c>
      <c r="C11795" s="1" t="n">
        <v>45587</v>
      </c>
      <c r="D11795" t="inlineStr">
        <is>
          <t>GÄVLEBORGS LÄN</t>
        </is>
      </c>
      <c r="E11795" t="inlineStr">
        <is>
          <t>SANDVIKEN</t>
        </is>
      </c>
      <c r="G11795" t="n">
        <v>5.8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35166-2024</t>
        </is>
      </c>
      <c r="B11796" s="1" t="n">
        <v>45530</v>
      </c>
      <c r="C11796" s="1" t="n">
        <v>45587</v>
      </c>
      <c r="D11796" t="inlineStr">
        <is>
          <t>GÄVLEBORGS LÄN</t>
        </is>
      </c>
      <c r="E11796" t="inlineStr">
        <is>
          <t>OVANÅKER</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35130-2024</t>
        </is>
      </c>
      <c r="B11797" s="1" t="n">
        <v>45530</v>
      </c>
      <c r="C11797" s="1" t="n">
        <v>45587</v>
      </c>
      <c r="D11797" t="inlineStr">
        <is>
          <t>GÄVLEBORGS LÄN</t>
        </is>
      </c>
      <c r="E11797" t="inlineStr">
        <is>
          <t>NORDANSTIG</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35247-2024</t>
        </is>
      </c>
      <c r="B11798" s="1" t="n">
        <v>45530</v>
      </c>
      <c r="C11798" s="1" t="n">
        <v>45587</v>
      </c>
      <c r="D11798" t="inlineStr">
        <is>
          <t>GÄVLEBORGS LÄN</t>
        </is>
      </c>
      <c r="E11798" t="inlineStr">
        <is>
          <t>HUDIKSVALL</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35227-2024</t>
        </is>
      </c>
      <c r="B11799" s="1" t="n">
        <v>45530</v>
      </c>
      <c r="C11799" s="1" t="n">
        <v>45587</v>
      </c>
      <c r="D11799" t="inlineStr">
        <is>
          <t>GÄVLEBORGS LÄN</t>
        </is>
      </c>
      <c r="E11799" t="inlineStr">
        <is>
          <t>GÄVLE</t>
        </is>
      </c>
      <c r="G11799" t="n">
        <v>3.6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35203-2024</t>
        </is>
      </c>
      <c r="B11800" s="1" t="n">
        <v>45530</v>
      </c>
      <c r="C11800" s="1" t="n">
        <v>45587</v>
      </c>
      <c r="D11800" t="inlineStr">
        <is>
          <t>GÄVLEBORGS LÄN</t>
        </is>
      </c>
      <c r="E11800" t="inlineStr">
        <is>
          <t>GÄVLE</t>
        </is>
      </c>
      <c r="F11800" t="inlineStr">
        <is>
          <t>Bergvik skog öst AB</t>
        </is>
      </c>
      <c r="G11800" t="n">
        <v>8.199999999999999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35164-2024</t>
        </is>
      </c>
      <c r="B11801" s="1" t="n">
        <v>45530</v>
      </c>
      <c r="C11801" s="1" t="n">
        <v>45587</v>
      </c>
      <c r="D11801" t="inlineStr">
        <is>
          <t>GÄVLEBORGS LÄN</t>
        </is>
      </c>
      <c r="E11801" t="inlineStr">
        <is>
          <t>OVANÅKER</t>
        </is>
      </c>
      <c r="G11801" t="n">
        <v>2.7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35206-2024</t>
        </is>
      </c>
      <c r="B11802" s="1" t="n">
        <v>45530</v>
      </c>
      <c r="C11802" s="1" t="n">
        <v>45587</v>
      </c>
      <c r="D11802" t="inlineStr">
        <is>
          <t>GÄVLEBORGS LÄN</t>
        </is>
      </c>
      <c r="E11802" t="inlineStr">
        <is>
          <t>GÄVLE</t>
        </is>
      </c>
      <c r="F11802" t="inlineStr">
        <is>
          <t>Bergvik skog öst AB</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35254-2024</t>
        </is>
      </c>
      <c r="B11803" s="1" t="n">
        <v>45530</v>
      </c>
      <c r="C11803" s="1" t="n">
        <v>45587</v>
      </c>
      <c r="D11803" t="inlineStr">
        <is>
          <t>GÄVLEBORGS LÄN</t>
        </is>
      </c>
      <c r="E11803" t="inlineStr">
        <is>
          <t>GÄVLE</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35274-2024</t>
        </is>
      </c>
      <c r="B11804" s="1" t="n">
        <v>45530</v>
      </c>
      <c r="C11804" s="1" t="n">
        <v>45587</v>
      </c>
      <c r="D11804" t="inlineStr">
        <is>
          <t>GÄVLEBORGS LÄN</t>
        </is>
      </c>
      <c r="E11804" t="inlineStr">
        <is>
          <t>HUDIKSVALL</t>
        </is>
      </c>
      <c r="G11804" t="n">
        <v>3.7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35294-2024</t>
        </is>
      </c>
      <c r="B11805" s="1" t="n">
        <v>45530</v>
      </c>
      <c r="C11805" s="1" t="n">
        <v>45587</v>
      </c>
      <c r="D11805" t="inlineStr">
        <is>
          <t>GÄVLEBORGS LÄN</t>
        </is>
      </c>
      <c r="E11805" t="inlineStr">
        <is>
          <t>OVANÅKER</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35302-2024</t>
        </is>
      </c>
      <c r="B11806" s="1" t="n">
        <v>45530</v>
      </c>
      <c r="C11806" s="1" t="n">
        <v>45587</v>
      </c>
      <c r="D11806" t="inlineStr">
        <is>
          <t>GÄVLEBORGS LÄN</t>
        </is>
      </c>
      <c r="E11806" t="inlineStr">
        <is>
          <t>HUDIKSVALL</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35326-2024</t>
        </is>
      </c>
      <c r="B11807" s="1" t="n">
        <v>45530</v>
      </c>
      <c r="C11807" s="1" t="n">
        <v>45587</v>
      </c>
      <c r="D11807" t="inlineStr">
        <is>
          <t>GÄVLEBORGS LÄN</t>
        </is>
      </c>
      <c r="E11807" t="inlineStr">
        <is>
          <t>SANDVIKEN</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35348-2024</t>
        </is>
      </c>
      <c r="B11808" s="1" t="n">
        <v>45531</v>
      </c>
      <c r="C11808" s="1" t="n">
        <v>45587</v>
      </c>
      <c r="D11808" t="inlineStr">
        <is>
          <t>GÄVLEBORGS LÄN</t>
        </is>
      </c>
      <c r="E11808" t="inlineStr">
        <is>
          <t>GÄVLE</t>
        </is>
      </c>
      <c r="F11808" t="inlineStr">
        <is>
          <t>Bergvik skog väst AB</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35352-2024</t>
        </is>
      </c>
      <c r="B11809" s="1" t="n">
        <v>45531</v>
      </c>
      <c r="C11809" s="1" t="n">
        <v>45587</v>
      </c>
      <c r="D11809" t="inlineStr">
        <is>
          <t>GÄVLEBORGS LÄN</t>
        </is>
      </c>
      <c r="E11809" t="inlineStr">
        <is>
          <t>OVANÅKER</t>
        </is>
      </c>
      <c r="F11809" t="inlineStr">
        <is>
          <t>Sveaskog</t>
        </is>
      </c>
      <c r="G11809" t="n">
        <v>9.199999999999999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35364-2024</t>
        </is>
      </c>
      <c r="B11810" s="1" t="n">
        <v>45531</v>
      </c>
      <c r="C11810" s="1" t="n">
        <v>45587</v>
      </c>
      <c r="D11810" t="inlineStr">
        <is>
          <t>GÄVLEBORGS LÄN</t>
        </is>
      </c>
      <c r="E11810" t="inlineStr">
        <is>
          <t>LJUSDAL</t>
        </is>
      </c>
      <c r="G11810" t="n">
        <v>5.1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35349-2024</t>
        </is>
      </c>
      <c r="B11811" s="1" t="n">
        <v>45531</v>
      </c>
      <c r="C11811" s="1" t="n">
        <v>45587</v>
      </c>
      <c r="D11811" t="inlineStr">
        <is>
          <t>GÄVLEBORGS LÄN</t>
        </is>
      </c>
      <c r="E11811" t="inlineStr">
        <is>
          <t>OVANÅKER</t>
        </is>
      </c>
      <c r="F11811" t="inlineStr">
        <is>
          <t>Sveaskog</t>
        </is>
      </c>
      <c r="G11811" t="n">
        <v>10.4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35347-2024</t>
        </is>
      </c>
      <c r="B11812" s="1" t="n">
        <v>45531</v>
      </c>
      <c r="C11812" s="1" t="n">
        <v>45587</v>
      </c>
      <c r="D11812" t="inlineStr">
        <is>
          <t>GÄVLEBORGS LÄN</t>
        </is>
      </c>
      <c r="E11812" t="inlineStr">
        <is>
          <t>NORDANSTIG</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35351-2024</t>
        </is>
      </c>
      <c r="B11813" s="1" t="n">
        <v>45531</v>
      </c>
      <c r="C11813" s="1" t="n">
        <v>45587</v>
      </c>
      <c r="D11813" t="inlineStr">
        <is>
          <t>GÄVLEBORGS LÄN</t>
        </is>
      </c>
      <c r="E11813" t="inlineStr">
        <is>
          <t>OVANÅKER</t>
        </is>
      </c>
      <c r="F11813" t="inlineStr">
        <is>
          <t>Sveaskog</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35465-2024</t>
        </is>
      </c>
      <c r="B11814" s="1" t="n">
        <v>45531</v>
      </c>
      <c r="C11814" s="1" t="n">
        <v>45587</v>
      </c>
      <c r="D11814" t="inlineStr">
        <is>
          <t>GÄVLEBORGS LÄN</t>
        </is>
      </c>
      <c r="E11814" t="inlineStr">
        <is>
          <t>LJUSDAL</t>
        </is>
      </c>
      <c r="G11814" t="n">
        <v>3.1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35498-2024</t>
        </is>
      </c>
      <c r="B11815" s="1" t="n">
        <v>45531</v>
      </c>
      <c r="C11815" s="1" t="n">
        <v>45587</v>
      </c>
      <c r="D11815" t="inlineStr">
        <is>
          <t>GÄVLEBORGS LÄN</t>
        </is>
      </c>
      <c r="E11815" t="inlineStr">
        <is>
          <t>HOFORS</t>
        </is>
      </c>
      <c r="F11815" t="inlineStr">
        <is>
          <t>Sveaskog</t>
        </is>
      </c>
      <c r="G11815" t="n">
        <v>2.7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35514-2024</t>
        </is>
      </c>
      <c r="B11816" s="1" t="n">
        <v>45531</v>
      </c>
      <c r="C11816" s="1" t="n">
        <v>45587</v>
      </c>
      <c r="D11816" t="inlineStr">
        <is>
          <t>GÄVLEBORGS LÄN</t>
        </is>
      </c>
      <c r="E11816" t="inlineStr">
        <is>
          <t>HOFORS</t>
        </is>
      </c>
      <c r="F11816" t="inlineStr">
        <is>
          <t>Sveaskog</t>
        </is>
      </c>
      <c r="G11816" t="n">
        <v>6.5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35557-2024</t>
        </is>
      </c>
      <c r="B11817" s="1" t="n">
        <v>45531</v>
      </c>
      <c r="C11817" s="1" t="n">
        <v>45587</v>
      </c>
      <c r="D11817" t="inlineStr">
        <is>
          <t>GÄVLEBORGS LÄN</t>
        </is>
      </c>
      <c r="E11817" t="inlineStr">
        <is>
          <t>OVANÅKER</t>
        </is>
      </c>
      <c r="G11817" t="n">
        <v>9.5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35505-2024</t>
        </is>
      </c>
      <c r="B11818" s="1" t="n">
        <v>45531</v>
      </c>
      <c r="C11818" s="1" t="n">
        <v>45587</v>
      </c>
      <c r="D11818" t="inlineStr">
        <is>
          <t>GÄVLEBORGS LÄN</t>
        </is>
      </c>
      <c r="E11818" t="inlineStr">
        <is>
          <t>HOFORS</t>
        </is>
      </c>
      <c r="F11818" t="inlineStr">
        <is>
          <t>Sveaskog</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35535-2024</t>
        </is>
      </c>
      <c r="B11819" s="1" t="n">
        <v>45531</v>
      </c>
      <c r="C11819" s="1" t="n">
        <v>45587</v>
      </c>
      <c r="D11819" t="inlineStr">
        <is>
          <t>GÄVLEBORGS LÄN</t>
        </is>
      </c>
      <c r="E11819" t="inlineStr">
        <is>
          <t>OCKELBO</t>
        </is>
      </c>
      <c r="F11819" t="inlineStr">
        <is>
          <t>Bergvik skog väst AB</t>
        </is>
      </c>
      <c r="G11819" t="n">
        <v>19.4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35504-2024</t>
        </is>
      </c>
      <c r="B11820" s="1" t="n">
        <v>45531</v>
      </c>
      <c r="C11820" s="1" t="n">
        <v>45587</v>
      </c>
      <c r="D11820" t="inlineStr">
        <is>
          <t>GÄVLEBORGS LÄN</t>
        </is>
      </c>
      <c r="E11820" t="inlineStr">
        <is>
          <t>HOFORS</t>
        </is>
      </c>
      <c r="F11820" t="inlineStr">
        <is>
          <t>Sveaskog</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35522-2024</t>
        </is>
      </c>
      <c r="B11821" s="1" t="n">
        <v>45531</v>
      </c>
      <c r="C11821" s="1" t="n">
        <v>45587</v>
      </c>
      <c r="D11821" t="inlineStr">
        <is>
          <t>GÄVLEBORGS LÄN</t>
        </is>
      </c>
      <c r="E11821" t="inlineStr">
        <is>
          <t>OVANÅKER</t>
        </is>
      </c>
      <c r="F11821" t="inlineStr">
        <is>
          <t>Bergvik skog väst AB</t>
        </is>
      </c>
      <c r="G11821" t="n">
        <v>6.1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35649-2024</t>
        </is>
      </c>
      <c r="B11822" s="1" t="n">
        <v>45532</v>
      </c>
      <c r="C11822" s="1" t="n">
        <v>45587</v>
      </c>
      <c r="D11822" t="inlineStr">
        <is>
          <t>GÄVLEBORGS LÄN</t>
        </is>
      </c>
      <c r="E11822" t="inlineStr">
        <is>
          <t>SANDVIKEN</t>
        </is>
      </c>
      <c r="G11822" t="n">
        <v>6.1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35646-2024</t>
        </is>
      </c>
      <c r="B11823" s="1" t="n">
        <v>45532</v>
      </c>
      <c r="C11823" s="1" t="n">
        <v>45587</v>
      </c>
      <c r="D11823" t="inlineStr">
        <is>
          <t>GÄVLEBORGS LÄN</t>
        </is>
      </c>
      <c r="E11823" t="inlineStr">
        <is>
          <t>SANDVIKEN</t>
        </is>
      </c>
      <c r="G11823" t="n">
        <v>6.8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35707-2024</t>
        </is>
      </c>
      <c r="B11824" s="1" t="n">
        <v>45532</v>
      </c>
      <c r="C11824" s="1" t="n">
        <v>45587</v>
      </c>
      <c r="D11824" t="inlineStr">
        <is>
          <t>GÄVLEBORGS LÄN</t>
        </is>
      </c>
      <c r="E11824" t="inlineStr">
        <is>
          <t>OCKELBO</t>
        </is>
      </c>
      <c r="G11824" t="n">
        <v>2.4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35784-2024</t>
        </is>
      </c>
      <c r="B11825" s="1" t="n">
        <v>45532</v>
      </c>
      <c r="C11825" s="1" t="n">
        <v>45587</v>
      </c>
      <c r="D11825" t="inlineStr">
        <is>
          <t>GÄVLEBORGS LÄN</t>
        </is>
      </c>
      <c r="E11825" t="inlineStr">
        <is>
          <t>BOLLNÄS</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35733-2024</t>
        </is>
      </c>
      <c r="B11826" s="1" t="n">
        <v>45532</v>
      </c>
      <c r="C11826" s="1" t="n">
        <v>45587</v>
      </c>
      <c r="D11826" t="inlineStr">
        <is>
          <t>GÄVLEBORGS LÄN</t>
        </is>
      </c>
      <c r="E11826" t="inlineStr">
        <is>
          <t>NORDANSTIG</t>
        </is>
      </c>
      <c r="G11826" t="n">
        <v>5.4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35741-2024</t>
        </is>
      </c>
      <c r="B11827" s="1" t="n">
        <v>45532</v>
      </c>
      <c r="C11827" s="1" t="n">
        <v>45587</v>
      </c>
      <c r="D11827" t="inlineStr">
        <is>
          <t>GÄVLEBORGS LÄN</t>
        </is>
      </c>
      <c r="E11827" t="inlineStr">
        <is>
          <t>NORDANSTIG</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35783-2024</t>
        </is>
      </c>
      <c r="B11828" s="1" t="n">
        <v>45532</v>
      </c>
      <c r="C11828" s="1" t="n">
        <v>45587</v>
      </c>
      <c r="D11828" t="inlineStr">
        <is>
          <t>GÄVLEBORGS LÄN</t>
        </is>
      </c>
      <c r="E11828" t="inlineStr">
        <is>
          <t>SANDVIKEN</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35765-2024</t>
        </is>
      </c>
      <c r="B11829" s="1" t="n">
        <v>45532</v>
      </c>
      <c r="C11829" s="1" t="n">
        <v>45587</v>
      </c>
      <c r="D11829" t="inlineStr">
        <is>
          <t>GÄVLEBORGS LÄN</t>
        </is>
      </c>
      <c r="E11829" t="inlineStr">
        <is>
          <t>NORDANSTIG</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35785-2024</t>
        </is>
      </c>
      <c r="B11830" s="1" t="n">
        <v>45532</v>
      </c>
      <c r="C11830" s="1" t="n">
        <v>45587</v>
      </c>
      <c r="D11830" t="inlineStr">
        <is>
          <t>GÄVLEBORGS LÄN</t>
        </is>
      </c>
      <c r="E11830" t="inlineStr">
        <is>
          <t>BOLLNÄS</t>
        </is>
      </c>
      <c r="G11830" t="n">
        <v>2.5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35789-2024</t>
        </is>
      </c>
      <c r="B11831" s="1" t="n">
        <v>45532</v>
      </c>
      <c r="C11831" s="1" t="n">
        <v>45587</v>
      </c>
      <c r="D11831" t="inlineStr">
        <is>
          <t>GÄVLEBORGS LÄN</t>
        </is>
      </c>
      <c r="E11831" t="inlineStr">
        <is>
          <t>LJUSDAL</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35805-2024</t>
        </is>
      </c>
      <c r="B11832" s="1" t="n">
        <v>45532</v>
      </c>
      <c r="C11832" s="1" t="n">
        <v>45587</v>
      </c>
      <c r="D11832" t="inlineStr">
        <is>
          <t>GÄVLEBORGS LÄN</t>
        </is>
      </c>
      <c r="E11832" t="inlineStr">
        <is>
          <t>HUDIKSVALL</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35857-2024</t>
        </is>
      </c>
      <c r="B11833" s="1" t="n">
        <v>45533</v>
      </c>
      <c r="C11833" s="1" t="n">
        <v>45587</v>
      </c>
      <c r="D11833" t="inlineStr">
        <is>
          <t>GÄVLEBORGS LÄN</t>
        </is>
      </c>
      <c r="E11833" t="inlineStr">
        <is>
          <t>BOLLNÄS</t>
        </is>
      </c>
      <c r="F11833" t="inlineStr">
        <is>
          <t>Bergvik skog väst AB</t>
        </is>
      </c>
      <c r="G11833" t="n">
        <v>13.1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35865-2024</t>
        </is>
      </c>
      <c r="B11834" s="1" t="n">
        <v>45533</v>
      </c>
      <c r="C11834" s="1" t="n">
        <v>45587</v>
      </c>
      <c r="D11834" t="inlineStr">
        <is>
          <t>GÄVLEBORGS LÄN</t>
        </is>
      </c>
      <c r="E11834" t="inlineStr">
        <is>
          <t>GÄVLE</t>
        </is>
      </c>
      <c r="G11834" t="n">
        <v>6.4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35856-2024</t>
        </is>
      </c>
      <c r="B11835" s="1" t="n">
        <v>45533</v>
      </c>
      <c r="C11835" s="1" t="n">
        <v>45587</v>
      </c>
      <c r="D11835" t="inlineStr">
        <is>
          <t>GÄVLEBORGS LÄN</t>
        </is>
      </c>
      <c r="E11835" t="inlineStr">
        <is>
          <t>GÄVLE</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35863-2024</t>
        </is>
      </c>
      <c r="B11836" s="1" t="n">
        <v>45533</v>
      </c>
      <c r="C11836" s="1" t="n">
        <v>45587</v>
      </c>
      <c r="D11836" t="inlineStr">
        <is>
          <t>GÄVLEBORGS LÄN</t>
        </is>
      </c>
      <c r="E11836" t="inlineStr">
        <is>
          <t>HUDIKSVALL</t>
        </is>
      </c>
      <c r="G11836" t="n">
        <v>5.8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35879-2024</t>
        </is>
      </c>
      <c r="B11837" s="1" t="n">
        <v>45533</v>
      </c>
      <c r="C11837" s="1" t="n">
        <v>45587</v>
      </c>
      <c r="D11837" t="inlineStr">
        <is>
          <t>GÄVLEBORGS LÄN</t>
        </is>
      </c>
      <c r="E11837" t="inlineStr">
        <is>
          <t>HUDIKSVALL</t>
        </is>
      </c>
      <c r="G11837" t="n">
        <v>3.8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35910-2024</t>
        </is>
      </c>
      <c r="B11838" s="1" t="n">
        <v>45533</v>
      </c>
      <c r="C11838" s="1" t="n">
        <v>45587</v>
      </c>
      <c r="D11838" t="inlineStr">
        <is>
          <t>GÄVLEBORGS LÄN</t>
        </is>
      </c>
      <c r="E11838" t="inlineStr">
        <is>
          <t>GÄVLE</t>
        </is>
      </c>
      <c r="G11838" t="n">
        <v>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35962-2024</t>
        </is>
      </c>
      <c r="B11839" s="1" t="n">
        <v>45533</v>
      </c>
      <c r="C11839" s="1" t="n">
        <v>45587</v>
      </c>
      <c r="D11839" t="inlineStr">
        <is>
          <t>GÄVLEBORGS LÄN</t>
        </is>
      </c>
      <c r="E11839" t="inlineStr">
        <is>
          <t>HUDIKSVALL</t>
        </is>
      </c>
      <c r="F11839" t="inlineStr">
        <is>
          <t>Holmen skog AB</t>
        </is>
      </c>
      <c r="G11839" t="n">
        <v>6.1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36082-2024</t>
        </is>
      </c>
      <c r="B11840" s="1" t="n">
        <v>45533</v>
      </c>
      <c r="C11840" s="1" t="n">
        <v>45587</v>
      </c>
      <c r="D11840" t="inlineStr">
        <is>
          <t>GÄVLEBORGS LÄN</t>
        </is>
      </c>
      <c r="E11840" t="inlineStr">
        <is>
          <t>HUDIKSVALL</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36086-2024</t>
        </is>
      </c>
      <c r="B11841" s="1" t="n">
        <v>45533</v>
      </c>
      <c r="C11841" s="1" t="n">
        <v>45587</v>
      </c>
      <c r="D11841" t="inlineStr">
        <is>
          <t>GÄVLEBORGS LÄN</t>
        </is>
      </c>
      <c r="E11841" t="inlineStr">
        <is>
          <t>HUDIKSVALL</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35987-2024</t>
        </is>
      </c>
      <c r="B11842" s="1" t="n">
        <v>45533</v>
      </c>
      <c r="C11842" s="1" t="n">
        <v>45587</v>
      </c>
      <c r="D11842" t="inlineStr">
        <is>
          <t>GÄVLEBORGS LÄN</t>
        </is>
      </c>
      <c r="E11842" t="inlineStr">
        <is>
          <t>HUDIKSVALL</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35999-2024</t>
        </is>
      </c>
      <c r="B11843" s="1" t="n">
        <v>45533</v>
      </c>
      <c r="C11843" s="1" t="n">
        <v>45587</v>
      </c>
      <c r="D11843" t="inlineStr">
        <is>
          <t>GÄVLEBORGS LÄN</t>
        </is>
      </c>
      <c r="E11843" t="inlineStr">
        <is>
          <t>NORDANSTIG</t>
        </is>
      </c>
      <c r="F11843" t="inlineStr">
        <is>
          <t>Holmen skog AB</t>
        </is>
      </c>
      <c r="G11843" t="n">
        <v>4.3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36059-2024</t>
        </is>
      </c>
      <c r="B11844" s="1" t="n">
        <v>45533</v>
      </c>
      <c r="C11844" s="1" t="n">
        <v>45587</v>
      </c>
      <c r="D11844" t="inlineStr">
        <is>
          <t>GÄVLEBORGS LÄN</t>
        </is>
      </c>
      <c r="E11844" t="inlineStr">
        <is>
          <t>LJUSDAL</t>
        </is>
      </c>
      <c r="G11844" t="n">
        <v>3.6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36071-2024</t>
        </is>
      </c>
      <c r="B11845" s="1" t="n">
        <v>45533</v>
      </c>
      <c r="C11845" s="1" t="n">
        <v>45587</v>
      </c>
      <c r="D11845" t="inlineStr">
        <is>
          <t>GÄVLEBORGS LÄN</t>
        </is>
      </c>
      <c r="E11845" t="inlineStr">
        <is>
          <t>LJUSDAL</t>
        </is>
      </c>
      <c r="F11845" t="inlineStr">
        <is>
          <t>Sveaskog</t>
        </is>
      </c>
      <c r="G11845" t="n">
        <v>9.199999999999999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35950-2024</t>
        </is>
      </c>
      <c r="B11846" s="1" t="n">
        <v>45533</v>
      </c>
      <c r="C11846" s="1" t="n">
        <v>45587</v>
      </c>
      <c r="D11846" t="inlineStr">
        <is>
          <t>GÄVLEBORGS LÄN</t>
        </is>
      </c>
      <c r="E11846" t="inlineStr">
        <is>
          <t>GÄVLE</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35985-2024</t>
        </is>
      </c>
      <c r="B11847" s="1" t="n">
        <v>45533</v>
      </c>
      <c r="C11847" s="1" t="n">
        <v>45587</v>
      </c>
      <c r="D11847" t="inlineStr">
        <is>
          <t>GÄVLEBORGS LÄN</t>
        </is>
      </c>
      <c r="E11847" t="inlineStr">
        <is>
          <t>HUDIKSVALL</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35989-2024</t>
        </is>
      </c>
      <c r="B11848" s="1" t="n">
        <v>45533</v>
      </c>
      <c r="C11848" s="1" t="n">
        <v>45587</v>
      </c>
      <c r="D11848" t="inlineStr">
        <is>
          <t>GÄVLEBORGS LÄN</t>
        </is>
      </c>
      <c r="E11848" t="inlineStr">
        <is>
          <t>GÄVLE</t>
        </is>
      </c>
      <c r="F11848" t="inlineStr">
        <is>
          <t>Bergvik skog väst AB</t>
        </is>
      </c>
      <c r="G11848" t="n">
        <v>3.1</v>
      </c>
      <c r="H11848" t="n">
        <v>0</v>
      </c>
      <c r="I11848" t="n">
        <v>0</v>
      </c>
      <c r="J11848" t="n">
        <v>0</v>
      </c>
      <c r="K11848" t="n">
        <v>0</v>
      </c>
      <c r="L11848" t="n">
        <v>0</v>
      </c>
      <c r="M11848" t="n">
        <v>0</v>
      </c>
      <c r="N11848" t="n">
        <v>0</v>
      </c>
      <c r="O11848" t="n">
        <v>0</v>
      </c>
      <c r="P11848" t="n">
        <v>0</v>
      </c>
      <c r="Q11848" t="n">
        <v>0</v>
      </c>
      <c r="R11848" s="2" t="inlineStr"/>
      <c r="U11848">
        <f>HYPERLINK("https://klasma.github.io/Logging_2180/knärot/A 35989-2024 karta knärot.png", "A 35989-2024")</f>
        <v/>
      </c>
      <c r="V11848">
        <f>HYPERLINK("https://klasma.github.io/Logging_2180/klagomål/A 35989-2024 FSC-klagomål.docx", "A 35989-2024")</f>
        <v/>
      </c>
      <c r="W11848">
        <f>HYPERLINK("https://klasma.github.io/Logging_2180/klagomålsmail/A 35989-2024 FSC-klagomål mail.docx", "A 35989-2024")</f>
        <v/>
      </c>
      <c r="X11848">
        <f>HYPERLINK("https://klasma.github.io/Logging_2180/tillsyn/A 35989-2024 tillsynsbegäran.docx", "A 35989-2024")</f>
        <v/>
      </c>
      <c r="Y11848">
        <f>HYPERLINK("https://klasma.github.io/Logging_2180/tillsynsmail/A 35989-2024 tillsynsbegäran mail.docx", "A 35989-2024")</f>
        <v/>
      </c>
    </row>
    <row r="11849" ht="15" customHeight="1">
      <c r="A11849" t="inlineStr">
        <is>
          <t>A 35993-2024</t>
        </is>
      </c>
      <c r="B11849" s="1" t="n">
        <v>45533</v>
      </c>
      <c r="C11849" s="1" t="n">
        <v>45587</v>
      </c>
      <c r="D11849" t="inlineStr">
        <is>
          <t>GÄVLEBORGS LÄN</t>
        </is>
      </c>
      <c r="E11849" t="inlineStr">
        <is>
          <t>OVANÅKER</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36033-2024</t>
        </is>
      </c>
      <c r="B11850" s="1" t="n">
        <v>45533</v>
      </c>
      <c r="C11850" s="1" t="n">
        <v>45587</v>
      </c>
      <c r="D11850" t="inlineStr">
        <is>
          <t>GÄVLEBORGS LÄN</t>
        </is>
      </c>
      <c r="E11850" t="inlineStr">
        <is>
          <t>LJUSDAL</t>
        </is>
      </c>
      <c r="G11850" t="n">
        <v>4.1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36061-2024</t>
        </is>
      </c>
      <c r="B11851" s="1" t="n">
        <v>45533</v>
      </c>
      <c r="C11851" s="1" t="n">
        <v>45587</v>
      </c>
      <c r="D11851" t="inlineStr">
        <is>
          <t>GÄVLEBORGS LÄN</t>
        </is>
      </c>
      <c r="E11851" t="inlineStr">
        <is>
          <t>LJUSDAL</t>
        </is>
      </c>
      <c r="G11851" t="n">
        <v>2.8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35954-2024</t>
        </is>
      </c>
      <c r="B11852" s="1" t="n">
        <v>45533</v>
      </c>
      <c r="C11852" s="1" t="n">
        <v>45587</v>
      </c>
      <c r="D11852" t="inlineStr">
        <is>
          <t>GÄVLEBORGS LÄN</t>
        </is>
      </c>
      <c r="E11852" t="inlineStr">
        <is>
          <t>NORDANSTIG</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35964-2024</t>
        </is>
      </c>
      <c r="B11853" s="1" t="n">
        <v>45533</v>
      </c>
      <c r="C11853" s="1" t="n">
        <v>45587</v>
      </c>
      <c r="D11853" t="inlineStr">
        <is>
          <t>GÄVLEBORGS LÄN</t>
        </is>
      </c>
      <c r="E11853" t="inlineStr">
        <is>
          <t>HUDIKSVALL</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35988-2024</t>
        </is>
      </c>
      <c r="B11854" s="1" t="n">
        <v>45533</v>
      </c>
      <c r="C11854" s="1" t="n">
        <v>45587</v>
      </c>
      <c r="D11854" t="inlineStr">
        <is>
          <t>GÄVLEBORGS LÄN</t>
        </is>
      </c>
      <c r="E11854" t="inlineStr">
        <is>
          <t>HUDIKSVALL</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36012-2024</t>
        </is>
      </c>
      <c r="B11855" s="1" t="n">
        <v>45533</v>
      </c>
      <c r="C11855" s="1" t="n">
        <v>45587</v>
      </c>
      <c r="D11855" t="inlineStr">
        <is>
          <t>GÄVLEBORGS LÄN</t>
        </is>
      </c>
      <c r="E11855" t="inlineStr">
        <is>
          <t>HUDIKSVALL</t>
        </is>
      </c>
      <c r="F11855" t="inlineStr">
        <is>
          <t>Holmen skog AB</t>
        </is>
      </c>
      <c r="G11855" t="n">
        <v>3.4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36028-2024</t>
        </is>
      </c>
      <c r="B11856" s="1" t="n">
        <v>45533</v>
      </c>
      <c r="C11856" s="1" t="n">
        <v>45587</v>
      </c>
      <c r="D11856" t="inlineStr">
        <is>
          <t>GÄVLEBORGS LÄN</t>
        </is>
      </c>
      <c r="E11856" t="inlineStr">
        <is>
          <t>NORDANSTIG</t>
        </is>
      </c>
      <c r="F11856" t="inlineStr">
        <is>
          <t>Holmen skog AB</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36036-2024</t>
        </is>
      </c>
      <c r="B11857" s="1" t="n">
        <v>45533</v>
      </c>
      <c r="C11857" s="1" t="n">
        <v>45587</v>
      </c>
      <c r="D11857" t="inlineStr">
        <is>
          <t>GÄVLEBORGS LÄN</t>
        </is>
      </c>
      <c r="E11857" t="inlineStr">
        <is>
          <t>HUDIKSVALL</t>
        </is>
      </c>
      <c r="F11857" t="inlineStr">
        <is>
          <t>Holmen skog AB</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36048-2024</t>
        </is>
      </c>
      <c r="B11858" s="1" t="n">
        <v>45533</v>
      </c>
      <c r="C11858" s="1" t="n">
        <v>45587</v>
      </c>
      <c r="D11858" t="inlineStr">
        <is>
          <t>GÄVLEBORGS LÄN</t>
        </is>
      </c>
      <c r="E11858" t="inlineStr">
        <is>
          <t>OVANÅKER</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36084-2024</t>
        </is>
      </c>
      <c r="B11859" s="1" t="n">
        <v>45533</v>
      </c>
      <c r="C11859" s="1" t="n">
        <v>45587</v>
      </c>
      <c r="D11859" t="inlineStr">
        <is>
          <t>GÄVLEBORGS LÄN</t>
        </is>
      </c>
      <c r="E11859" t="inlineStr">
        <is>
          <t>HUDIKSVALL</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36077-2024</t>
        </is>
      </c>
      <c r="B11860" s="1" t="n">
        <v>45533</v>
      </c>
      <c r="C11860" s="1" t="n">
        <v>45587</v>
      </c>
      <c r="D11860" t="inlineStr">
        <is>
          <t>GÄVLEBORGS LÄN</t>
        </is>
      </c>
      <c r="E11860" t="inlineStr">
        <is>
          <t>OCKELBO</t>
        </is>
      </c>
      <c r="G11860" t="n">
        <v>5.2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36081-2024</t>
        </is>
      </c>
      <c r="B11861" s="1" t="n">
        <v>45533</v>
      </c>
      <c r="C11861" s="1" t="n">
        <v>45587</v>
      </c>
      <c r="D11861" t="inlineStr">
        <is>
          <t>GÄVLEBORGS LÄN</t>
        </is>
      </c>
      <c r="E11861" t="inlineStr">
        <is>
          <t>HUDIKSVALL</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36121-2024</t>
        </is>
      </c>
      <c r="B11862" s="1" t="n">
        <v>45534</v>
      </c>
      <c r="C11862" s="1" t="n">
        <v>45587</v>
      </c>
      <c r="D11862" t="inlineStr">
        <is>
          <t>GÄVLEBORGS LÄN</t>
        </is>
      </c>
      <c r="E11862" t="inlineStr">
        <is>
          <t>HUDIKSVALL</t>
        </is>
      </c>
      <c r="F11862" t="inlineStr">
        <is>
          <t>Holmen skog AB</t>
        </is>
      </c>
      <c r="G11862" t="n">
        <v>4.1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36177-2024</t>
        </is>
      </c>
      <c r="B11863" s="1" t="n">
        <v>45534</v>
      </c>
      <c r="C11863" s="1" t="n">
        <v>45587</v>
      </c>
      <c r="D11863" t="inlineStr">
        <is>
          <t>GÄVLEBORGS LÄN</t>
        </is>
      </c>
      <c r="E11863" t="inlineStr">
        <is>
          <t>SÖDERHAMN</t>
        </is>
      </c>
      <c r="F11863" t="inlineStr">
        <is>
          <t>Bergvik skog väst AB</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36135-2024</t>
        </is>
      </c>
      <c r="B11864" s="1" t="n">
        <v>45534</v>
      </c>
      <c r="C11864" s="1" t="n">
        <v>45587</v>
      </c>
      <c r="D11864" t="inlineStr">
        <is>
          <t>GÄVLEBORGS LÄN</t>
        </is>
      </c>
      <c r="E11864" t="inlineStr">
        <is>
          <t>OCKELBO</t>
        </is>
      </c>
      <c r="F11864" t="inlineStr">
        <is>
          <t>Bergvik skog väst AB</t>
        </is>
      </c>
      <c r="G11864" t="n">
        <v>14.5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36155-2024</t>
        </is>
      </c>
      <c r="B11865" s="1" t="n">
        <v>45534</v>
      </c>
      <c r="C11865" s="1" t="n">
        <v>45587</v>
      </c>
      <c r="D11865" t="inlineStr">
        <is>
          <t>GÄVLEBORGS LÄN</t>
        </is>
      </c>
      <c r="E11865" t="inlineStr">
        <is>
          <t>SÖDERHAMN</t>
        </is>
      </c>
      <c r="F11865" t="inlineStr">
        <is>
          <t>Bergvik skog väst AB</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36197-2024</t>
        </is>
      </c>
      <c r="B11866" s="1" t="n">
        <v>45534</v>
      </c>
      <c r="C11866" s="1" t="n">
        <v>45587</v>
      </c>
      <c r="D11866" t="inlineStr">
        <is>
          <t>GÄVLEBORGS LÄN</t>
        </is>
      </c>
      <c r="E11866" t="inlineStr">
        <is>
          <t>GÄVLE</t>
        </is>
      </c>
      <c r="F11866" t="inlineStr">
        <is>
          <t>Kyrkan</t>
        </is>
      </c>
      <c r="G11866" t="n">
        <v>14.9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36199-2024</t>
        </is>
      </c>
      <c r="B11867" s="1" t="n">
        <v>45534</v>
      </c>
      <c r="C11867" s="1" t="n">
        <v>45587</v>
      </c>
      <c r="D11867" t="inlineStr">
        <is>
          <t>GÄVLEBORGS LÄN</t>
        </is>
      </c>
      <c r="E11867" t="inlineStr">
        <is>
          <t>HUDIKSVALL</t>
        </is>
      </c>
      <c r="F11867" t="inlineStr">
        <is>
          <t>Holmen skog AB</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36110-2024</t>
        </is>
      </c>
      <c r="B11868" s="1" t="n">
        <v>45534</v>
      </c>
      <c r="C11868" s="1" t="n">
        <v>45587</v>
      </c>
      <c r="D11868" t="inlineStr">
        <is>
          <t>GÄVLEBORGS LÄN</t>
        </is>
      </c>
      <c r="E11868" t="inlineStr">
        <is>
          <t>OCKELBO</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36138-2024</t>
        </is>
      </c>
      <c r="B11869" s="1" t="n">
        <v>45534</v>
      </c>
      <c r="C11869" s="1" t="n">
        <v>45587</v>
      </c>
      <c r="D11869" t="inlineStr">
        <is>
          <t>GÄVLEBORGS LÄN</t>
        </is>
      </c>
      <c r="E11869" t="inlineStr">
        <is>
          <t>HUDIKSVALL</t>
        </is>
      </c>
      <c r="F11869" t="inlineStr">
        <is>
          <t>Holmen skog AB</t>
        </is>
      </c>
      <c r="G11869" t="n">
        <v>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36241-2024</t>
        </is>
      </c>
      <c r="B11870" s="1" t="n">
        <v>45534</v>
      </c>
      <c r="C11870" s="1" t="n">
        <v>45587</v>
      </c>
      <c r="D11870" t="inlineStr">
        <is>
          <t>GÄVLEBORGS LÄN</t>
        </is>
      </c>
      <c r="E11870" t="inlineStr">
        <is>
          <t>LJUSDAL</t>
        </is>
      </c>
      <c r="F11870" t="inlineStr">
        <is>
          <t>Bergvik skog väst AB</t>
        </is>
      </c>
      <c r="G11870" t="n">
        <v>4.7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36257-2024</t>
        </is>
      </c>
      <c r="B11871" s="1" t="n">
        <v>45534</v>
      </c>
      <c r="C11871" s="1" t="n">
        <v>45587</v>
      </c>
      <c r="D11871" t="inlineStr">
        <is>
          <t>GÄVLEBORGS LÄN</t>
        </is>
      </c>
      <c r="E11871" t="inlineStr">
        <is>
          <t>OVANÅKER</t>
        </is>
      </c>
      <c r="G11871" t="n">
        <v>0.4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36261-2024</t>
        </is>
      </c>
      <c r="B11872" s="1" t="n">
        <v>45534</v>
      </c>
      <c r="C11872" s="1" t="n">
        <v>45587</v>
      </c>
      <c r="D11872" t="inlineStr">
        <is>
          <t>GÄVLEBORGS LÄN</t>
        </is>
      </c>
      <c r="E11872" t="inlineStr">
        <is>
          <t>NORDANSTIG</t>
        </is>
      </c>
      <c r="F11872" t="inlineStr">
        <is>
          <t>Holmen skog AB</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36278-2024</t>
        </is>
      </c>
      <c r="B11873" s="1" t="n">
        <v>45534</v>
      </c>
      <c r="C11873" s="1" t="n">
        <v>45587</v>
      </c>
      <c r="D11873" t="inlineStr">
        <is>
          <t>GÄVLEBORGS LÄN</t>
        </is>
      </c>
      <c r="E11873" t="inlineStr">
        <is>
          <t>HOFORS</t>
        </is>
      </c>
      <c r="F11873" t="inlineStr">
        <is>
          <t>Sveaskog</t>
        </is>
      </c>
      <c r="G11873" t="n">
        <v>8.699999999999999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36330-2024</t>
        </is>
      </c>
      <c r="B11874" s="1" t="n">
        <v>45534</v>
      </c>
      <c r="C11874" s="1" t="n">
        <v>45587</v>
      </c>
      <c r="D11874" t="inlineStr">
        <is>
          <t>GÄVLEBORGS LÄN</t>
        </is>
      </c>
      <c r="E11874" t="inlineStr">
        <is>
          <t>HUDIKSVALL</t>
        </is>
      </c>
      <c r="G11874" t="n">
        <v>5.7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36174-2024</t>
        </is>
      </c>
      <c r="B11875" s="1" t="n">
        <v>45534</v>
      </c>
      <c r="C11875" s="1" t="n">
        <v>45587</v>
      </c>
      <c r="D11875" t="inlineStr">
        <is>
          <t>GÄVLEBORGS LÄN</t>
        </is>
      </c>
      <c r="E11875" t="inlineStr">
        <is>
          <t>SÖDERHAMN</t>
        </is>
      </c>
      <c r="F11875" t="inlineStr">
        <is>
          <t>Bergvik skog väst AB</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36182-2024</t>
        </is>
      </c>
      <c r="B11876" s="1" t="n">
        <v>45534</v>
      </c>
      <c r="C11876" s="1" t="n">
        <v>45587</v>
      </c>
      <c r="D11876" t="inlineStr">
        <is>
          <t>GÄVLEBORGS LÄN</t>
        </is>
      </c>
      <c r="E11876" t="inlineStr">
        <is>
          <t>LJUSDAL</t>
        </is>
      </c>
      <c r="F11876" t="inlineStr">
        <is>
          <t>Holmen skog AB</t>
        </is>
      </c>
      <c r="G11876" t="n">
        <v>6.1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36210-2024</t>
        </is>
      </c>
      <c r="B11877" s="1" t="n">
        <v>45534</v>
      </c>
      <c r="C11877" s="1" t="n">
        <v>45587</v>
      </c>
      <c r="D11877" t="inlineStr">
        <is>
          <t>GÄVLEBORGS LÄN</t>
        </is>
      </c>
      <c r="E11877" t="inlineStr">
        <is>
          <t>OCKELBO</t>
        </is>
      </c>
      <c r="F11877" t="inlineStr">
        <is>
          <t>Kyrkan</t>
        </is>
      </c>
      <c r="G11877" t="n">
        <v>4.4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36250-2024</t>
        </is>
      </c>
      <c r="B11878" s="1" t="n">
        <v>45534</v>
      </c>
      <c r="C11878" s="1" t="n">
        <v>45587</v>
      </c>
      <c r="D11878" t="inlineStr">
        <is>
          <t>GÄVLEBORGS LÄN</t>
        </is>
      </c>
      <c r="E11878" t="inlineStr">
        <is>
          <t>NORDANSTIG</t>
        </is>
      </c>
      <c r="F11878" t="inlineStr">
        <is>
          <t>Holmen skog AB</t>
        </is>
      </c>
      <c r="G11878" t="n">
        <v>7.2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36254-2024</t>
        </is>
      </c>
      <c r="B11879" s="1" t="n">
        <v>45534</v>
      </c>
      <c r="C11879" s="1" t="n">
        <v>45587</v>
      </c>
      <c r="D11879" t="inlineStr">
        <is>
          <t>GÄVLEBORGS LÄN</t>
        </is>
      </c>
      <c r="E11879" t="inlineStr">
        <is>
          <t>OVANÅKER</t>
        </is>
      </c>
      <c r="G11879" t="n">
        <v>0.3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36258-2024</t>
        </is>
      </c>
      <c r="B11880" s="1" t="n">
        <v>45534</v>
      </c>
      <c r="C11880" s="1" t="n">
        <v>45587</v>
      </c>
      <c r="D11880" t="inlineStr">
        <is>
          <t>GÄVLEBORGS LÄN</t>
        </is>
      </c>
      <c r="E11880" t="inlineStr">
        <is>
          <t>OVANÅKER</t>
        </is>
      </c>
      <c r="G11880" t="n">
        <v>0.3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36262-2024</t>
        </is>
      </c>
      <c r="B11881" s="1" t="n">
        <v>45534</v>
      </c>
      <c r="C11881" s="1" t="n">
        <v>45587</v>
      </c>
      <c r="D11881" t="inlineStr">
        <is>
          <t>GÄVLEBORGS LÄN</t>
        </is>
      </c>
      <c r="E11881" t="inlineStr">
        <is>
          <t>SÖDERHAMN</t>
        </is>
      </c>
      <c r="G11881" t="n">
        <v>11.9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36283-2024</t>
        </is>
      </c>
      <c r="B11882" s="1" t="n">
        <v>45534</v>
      </c>
      <c r="C11882" s="1" t="n">
        <v>45587</v>
      </c>
      <c r="D11882" t="inlineStr">
        <is>
          <t>GÄVLEBORGS LÄN</t>
        </is>
      </c>
      <c r="E11882" t="inlineStr">
        <is>
          <t>HOFORS</t>
        </is>
      </c>
      <c r="F11882" t="inlineStr">
        <is>
          <t>Sveaskog</t>
        </is>
      </c>
      <c r="G11882" t="n">
        <v>6.9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36295-2024</t>
        </is>
      </c>
      <c r="B11883" s="1" t="n">
        <v>45534</v>
      </c>
      <c r="C11883" s="1" t="n">
        <v>45587</v>
      </c>
      <c r="D11883" t="inlineStr">
        <is>
          <t>GÄVLEBORGS LÄN</t>
        </is>
      </c>
      <c r="E11883" t="inlineStr">
        <is>
          <t>OCKELBO</t>
        </is>
      </c>
      <c r="G11883" t="n">
        <v>7.9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36160-2024</t>
        </is>
      </c>
      <c r="B11884" s="1" t="n">
        <v>45534</v>
      </c>
      <c r="C11884" s="1" t="n">
        <v>45587</v>
      </c>
      <c r="D11884" t="inlineStr">
        <is>
          <t>GÄVLEBORGS LÄN</t>
        </is>
      </c>
      <c r="E11884" t="inlineStr">
        <is>
          <t>SÖDERHAMN</t>
        </is>
      </c>
      <c r="F11884" t="inlineStr">
        <is>
          <t>Bergvik skog väst AB</t>
        </is>
      </c>
      <c r="G11884" t="n">
        <v>10.5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36292-2024</t>
        </is>
      </c>
      <c r="B11885" s="1" t="n">
        <v>45534</v>
      </c>
      <c r="C11885" s="1" t="n">
        <v>45587</v>
      </c>
      <c r="D11885" t="inlineStr">
        <is>
          <t>GÄVLEBORGS LÄN</t>
        </is>
      </c>
      <c r="E11885" t="inlineStr">
        <is>
          <t>NORDANSTIG</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36204-2024</t>
        </is>
      </c>
      <c r="B11886" s="1" t="n">
        <v>45534</v>
      </c>
      <c r="C11886" s="1" t="n">
        <v>45587</v>
      </c>
      <c r="D11886" t="inlineStr">
        <is>
          <t>GÄVLEBORGS LÄN</t>
        </is>
      </c>
      <c r="E11886" t="inlineStr">
        <is>
          <t>SÖDERHAMN</t>
        </is>
      </c>
      <c r="F11886" t="inlineStr">
        <is>
          <t>Bergvik skog väst AB</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36224-2024</t>
        </is>
      </c>
      <c r="B11887" s="1" t="n">
        <v>45534</v>
      </c>
      <c r="C11887" s="1" t="n">
        <v>45587</v>
      </c>
      <c r="D11887" t="inlineStr">
        <is>
          <t>GÄVLEBORGS LÄN</t>
        </is>
      </c>
      <c r="E11887" t="inlineStr">
        <is>
          <t>BOLLNÄS</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36252-2024</t>
        </is>
      </c>
      <c r="B11888" s="1" t="n">
        <v>45534</v>
      </c>
      <c r="C11888" s="1" t="n">
        <v>45587</v>
      </c>
      <c r="D11888" t="inlineStr">
        <is>
          <t>GÄVLEBORGS LÄN</t>
        </is>
      </c>
      <c r="E11888" t="inlineStr">
        <is>
          <t>OVANÅKER</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36256-2024</t>
        </is>
      </c>
      <c r="B11889" s="1" t="n">
        <v>45534</v>
      </c>
      <c r="C11889" s="1" t="n">
        <v>45587</v>
      </c>
      <c r="D11889" t="inlineStr">
        <is>
          <t>GÄVLEBORGS LÄN</t>
        </is>
      </c>
      <c r="E11889" t="inlineStr">
        <is>
          <t>BOLLNÄS</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36369-2024</t>
        </is>
      </c>
      <c r="B11890" s="1" t="n">
        <v>45534</v>
      </c>
      <c r="C11890" s="1" t="n">
        <v>45587</v>
      </c>
      <c r="D11890" t="inlineStr">
        <is>
          <t>GÄVLEBORGS LÄN</t>
        </is>
      </c>
      <c r="E11890" t="inlineStr">
        <is>
          <t>NORDANSTIG</t>
        </is>
      </c>
      <c r="F11890" t="inlineStr">
        <is>
          <t>Holmen skog AB</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36362-2024</t>
        </is>
      </c>
      <c r="B11891" s="1" t="n">
        <v>45534</v>
      </c>
      <c r="C11891" s="1" t="n">
        <v>45587</v>
      </c>
      <c r="D11891" t="inlineStr">
        <is>
          <t>GÄVLEBORGS LÄN</t>
        </is>
      </c>
      <c r="E11891" t="inlineStr">
        <is>
          <t>OCKELBO</t>
        </is>
      </c>
      <c r="G11891" t="n">
        <v>2.9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36405-2024</t>
        </is>
      </c>
      <c r="B11892" s="1" t="n">
        <v>45535</v>
      </c>
      <c r="C11892" s="1" t="n">
        <v>45587</v>
      </c>
      <c r="D11892" t="inlineStr">
        <is>
          <t>GÄVLEBORGS LÄN</t>
        </is>
      </c>
      <c r="E11892" t="inlineStr">
        <is>
          <t>HUDIKSVALL</t>
        </is>
      </c>
      <c r="F11892" t="inlineStr">
        <is>
          <t>Holmen skog AB</t>
        </is>
      </c>
      <c r="G11892" t="n">
        <v>16.8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36401-2024</t>
        </is>
      </c>
      <c r="B11893" s="1" t="n">
        <v>45535</v>
      </c>
      <c r="C11893" s="1" t="n">
        <v>45587</v>
      </c>
      <c r="D11893" t="inlineStr">
        <is>
          <t>GÄVLEBORGS LÄN</t>
        </is>
      </c>
      <c r="E11893" t="inlineStr">
        <is>
          <t>NORDANSTIG</t>
        </is>
      </c>
      <c r="G11893" t="n">
        <v>2.7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36407-2024</t>
        </is>
      </c>
      <c r="B11894" s="1" t="n">
        <v>45535</v>
      </c>
      <c r="C11894" s="1" t="n">
        <v>45587</v>
      </c>
      <c r="D11894" t="inlineStr">
        <is>
          <t>GÄVLEBORGS LÄN</t>
        </is>
      </c>
      <c r="E11894" t="inlineStr">
        <is>
          <t>HUDIKSVALL</t>
        </is>
      </c>
      <c r="F11894" t="inlineStr">
        <is>
          <t>Holmen skog AB</t>
        </is>
      </c>
      <c r="G11894" t="n">
        <v>7.7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36408-2024</t>
        </is>
      </c>
      <c r="B11895" s="1" t="n">
        <v>45535</v>
      </c>
      <c r="C11895" s="1" t="n">
        <v>45587</v>
      </c>
      <c r="D11895" t="inlineStr">
        <is>
          <t>GÄVLEBORGS LÄN</t>
        </is>
      </c>
      <c r="E11895" t="inlineStr">
        <is>
          <t>HUDIKSVALL</t>
        </is>
      </c>
      <c r="F11895" t="inlineStr">
        <is>
          <t>Holmen skog AB</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36425-2024</t>
        </is>
      </c>
      <c r="B11896" s="1" t="n">
        <v>45536</v>
      </c>
      <c r="C11896" s="1" t="n">
        <v>45587</v>
      </c>
      <c r="D11896" t="inlineStr">
        <is>
          <t>GÄVLEBORGS LÄN</t>
        </is>
      </c>
      <c r="E11896" t="inlineStr">
        <is>
          <t>BOLLNÄS</t>
        </is>
      </c>
      <c r="G11896" t="n">
        <v>4.2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36570-2024</t>
        </is>
      </c>
      <c r="B11897" s="1" t="n">
        <v>45537</v>
      </c>
      <c r="C11897" s="1" t="n">
        <v>45587</v>
      </c>
      <c r="D11897" t="inlineStr">
        <is>
          <t>GÄVLEBORGS LÄN</t>
        </is>
      </c>
      <c r="E11897" t="inlineStr">
        <is>
          <t>SÖDERHAMN</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36602-2024</t>
        </is>
      </c>
      <c r="B11898" s="1" t="n">
        <v>45537</v>
      </c>
      <c r="C11898" s="1" t="n">
        <v>45587</v>
      </c>
      <c r="D11898" t="inlineStr">
        <is>
          <t>GÄVLEBORGS LÄN</t>
        </is>
      </c>
      <c r="E11898" t="inlineStr">
        <is>
          <t>OVANÅKER</t>
        </is>
      </c>
      <c r="G11898" t="n">
        <v>3.9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36446-2024</t>
        </is>
      </c>
      <c r="B11899" s="1" t="n">
        <v>45537</v>
      </c>
      <c r="C11899" s="1" t="n">
        <v>45587</v>
      </c>
      <c r="D11899" t="inlineStr">
        <is>
          <t>GÄVLEBORGS LÄN</t>
        </is>
      </c>
      <c r="E11899" t="inlineStr">
        <is>
          <t>LJUSDAL</t>
        </is>
      </c>
      <c r="F11899" t="inlineStr">
        <is>
          <t>Sveaskog</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36450-2024</t>
        </is>
      </c>
      <c r="B11900" s="1" t="n">
        <v>45537</v>
      </c>
      <c r="C11900" s="1" t="n">
        <v>45587</v>
      </c>
      <c r="D11900" t="inlineStr">
        <is>
          <t>GÄVLEBORGS LÄN</t>
        </is>
      </c>
      <c r="E11900" t="inlineStr">
        <is>
          <t>NORDANSTIG</t>
        </is>
      </c>
      <c r="F11900" t="inlineStr">
        <is>
          <t>Holmen skog AB</t>
        </is>
      </c>
      <c r="G11900" t="n">
        <v>5.3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36464-2024</t>
        </is>
      </c>
      <c r="B11901" s="1" t="n">
        <v>45537</v>
      </c>
      <c r="C11901" s="1" t="n">
        <v>45587</v>
      </c>
      <c r="D11901" t="inlineStr">
        <is>
          <t>GÄVLEBORGS LÄN</t>
        </is>
      </c>
      <c r="E11901" t="inlineStr">
        <is>
          <t>NORDANSTIG</t>
        </is>
      </c>
      <c r="F11901" t="inlineStr">
        <is>
          <t>SCA</t>
        </is>
      </c>
      <c r="G11901" t="n">
        <v>4.4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36447-2024</t>
        </is>
      </c>
      <c r="B11902" s="1" t="n">
        <v>45537</v>
      </c>
      <c r="C11902" s="1" t="n">
        <v>45587</v>
      </c>
      <c r="D11902" t="inlineStr">
        <is>
          <t>GÄVLEBORGS LÄN</t>
        </is>
      </c>
      <c r="E11902" t="inlineStr">
        <is>
          <t>LJUSDAL</t>
        </is>
      </c>
      <c r="F11902" t="inlineStr">
        <is>
          <t>Sveaskog</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36489-2024</t>
        </is>
      </c>
      <c r="B11903" s="1" t="n">
        <v>45537</v>
      </c>
      <c r="C11903" s="1" t="n">
        <v>45587</v>
      </c>
      <c r="D11903" t="inlineStr">
        <is>
          <t>GÄVLEBORGS LÄN</t>
        </is>
      </c>
      <c r="E11903" t="inlineStr">
        <is>
          <t>NORDANSTIG</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36525-2024</t>
        </is>
      </c>
      <c r="B11904" s="1" t="n">
        <v>45537</v>
      </c>
      <c r="C11904" s="1" t="n">
        <v>45587</v>
      </c>
      <c r="D11904" t="inlineStr">
        <is>
          <t>GÄVLEBORGS LÄN</t>
        </is>
      </c>
      <c r="E11904" t="inlineStr">
        <is>
          <t>NORDANSTIG</t>
        </is>
      </c>
      <c r="F11904" t="inlineStr">
        <is>
          <t>Holmen skog AB</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36628-2024</t>
        </is>
      </c>
      <c r="B11905" s="1" t="n">
        <v>45537</v>
      </c>
      <c r="C11905" s="1" t="n">
        <v>45587</v>
      </c>
      <c r="D11905" t="inlineStr">
        <is>
          <t>GÄVLEBORGS LÄN</t>
        </is>
      </c>
      <c r="E11905" t="inlineStr">
        <is>
          <t>OVANÅKER</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36656-2024</t>
        </is>
      </c>
      <c r="B11906" s="1" t="n">
        <v>45537</v>
      </c>
      <c r="C11906" s="1" t="n">
        <v>45587</v>
      </c>
      <c r="D11906" t="inlineStr">
        <is>
          <t>GÄVLEBORGS LÄN</t>
        </is>
      </c>
      <c r="E11906" t="inlineStr">
        <is>
          <t>SANDVIKEN</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36593-2024</t>
        </is>
      </c>
      <c r="B11907" s="1" t="n">
        <v>45537</v>
      </c>
      <c r="C11907" s="1" t="n">
        <v>45587</v>
      </c>
      <c r="D11907" t="inlineStr">
        <is>
          <t>GÄVLEBORGS LÄN</t>
        </is>
      </c>
      <c r="E11907" t="inlineStr">
        <is>
          <t>LJUSDAL</t>
        </is>
      </c>
      <c r="F11907" t="inlineStr">
        <is>
          <t>Allmännings- och besparingsskogar</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36641-2024</t>
        </is>
      </c>
      <c r="B11908" s="1" t="n">
        <v>45537</v>
      </c>
      <c r="C11908" s="1" t="n">
        <v>45587</v>
      </c>
      <c r="D11908" t="inlineStr">
        <is>
          <t>GÄVLEBORGS LÄN</t>
        </is>
      </c>
      <c r="E11908" t="inlineStr">
        <is>
          <t>NORDANSTIG</t>
        </is>
      </c>
      <c r="G11908" t="n">
        <v>4.2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36672-2024</t>
        </is>
      </c>
      <c r="B11909" s="1" t="n">
        <v>45537</v>
      </c>
      <c r="C11909" s="1" t="n">
        <v>45587</v>
      </c>
      <c r="D11909" t="inlineStr">
        <is>
          <t>GÄVLEBORGS LÄN</t>
        </is>
      </c>
      <c r="E11909" t="inlineStr">
        <is>
          <t>NORDANSTIG</t>
        </is>
      </c>
      <c r="F11909" t="inlineStr">
        <is>
          <t>Holmen skog AB</t>
        </is>
      </c>
      <c r="G11909" t="n">
        <v>5.2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36694-2024</t>
        </is>
      </c>
      <c r="B11910" s="1" t="n">
        <v>45537</v>
      </c>
      <c r="C11910" s="1" t="n">
        <v>45587</v>
      </c>
      <c r="D11910" t="inlineStr">
        <is>
          <t>GÄVLEBORGS LÄN</t>
        </is>
      </c>
      <c r="E11910" t="inlineStr">
        <is>
          <t>NORDANSTIG</t>
        </is>
      </c>
      <c r="F11910" t="inlineStr">
        <is>
          <t>Holmen skog AB</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36658-2024</t>
        </is>
      </c>
      <c r="B11911" s="1" t="n">
        <v>45537</v>
      </c>
      <c r="C11911" s="1" t="n">
        <v>45587</v>
      </c>
      <c r="D11911" t="inlineStr">
        <is>
          <t>GÄVLEBORGS LÄN</t>
        </is>
      </c>
      <c r="E11911" t="inlineStr">
        <is>
          <t>LJUSDAL</t>
        </is>
      </c>
      <c r="F11911" t="inlineStr">
        <is>
          <t>Holmen skog AB</t>
        </is>
      </c>
      <c r="G11911" t="n">
        <v>2.8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36766-2024</t>
        </is>
      </c>
      <c r="B11912" s="1" t="n">
        <v>45538</v>
      </c>
      <c r="C11912" s="1" t="n">
        <v>45587</v>
      </c>
      <c r="D11912" t="inlineStr">
        <is>
          <t>GÄVLEBORGS LÄN</t>
        </is>
      </c>
      <c r="E11912" t="inlineStr">
        <is>
          <t>HOFORS</t>
        </is>
      </c>
      <c r="G11912" t="n">
        <v>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36834-2024</t>
        </is>
      </c>
      <c r="B11913" s="1" t="n">
        <v>45538</v>
      </c>
      <c r="C11913" s="1" t="n">
        <v>45587</v>
      </c>
      <c r="D11913" t="inlineStr">
        <is>
          <t>GÄVLEBORGS LÄN</t>
        </is>
      </c>
      <c r="E11913" t="inlineStr">
        <is>
          <t>OVANÅKER</t>
        </is>
      </c>
      <c r="G11913" t="n">
        <v>4.7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36755-2024</t>
        </is>
      </c>
      <c r="B11914" s="1" t="n">
        <v>45538</v>
      </c>
      <c r="C11914" s="1" t="n">
        <v>45587</v>
      </c>
      <c r="D11914" t="inlineStr">
        <is>
          <t>GÄVLEBORGS LÄN</t>
        </is>
      </c>
      <c r="E11914" t="inlineStr">
        <is>
          <t>BOLLNÄS</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36763-2024</t>
        </is>
      </c>
      <c r="B11915" s="1" t="n">
        <v>45538</v>
      </c>
      <c r="C11915" s="1" t="n">
        <v>45587</v>
      </c>
      <c r="D11915" t="inlineStr">
        <is>
          <t>GÄVLEBORGS LÄN</t>
        </is>
      </c>
      <c r="E11915" t="inlineStr">
        <is>
          <t>HOFORS</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36832-2024</t>
        </is>
      </c>
      <c r="B11916" s="1" t="n">
        <v>45538</v>
      </c>
      <c r="C11916" s="1" t="n">
        <v>45587</v>
      </c>
      <c r="D11916" t="inlineStr">
        <is>
          <t>GÄVLEBORGS LÄN</t>
        </is>
      </c>
      <c r="E11916" t="inlineStr">
        <is>
          <t>OVANÅKER</t>
        </is>
      </c>
      <c r="G11916" t="n">
        <v>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36829-2024</t>
        </is>
      </c>
      <c r="B11917" s="1" t="n">
        <v>45538</v>
      </c>
      <c r="C11917" s="1" t="n">
        <v>45587</v>
      </c>
      <c r="D11917" t="inlineStr">
        <is>
          <t>GÄVLEBORGS LÄN</t>
        </is>
      </c>
      <c r="E11917" t="inlineStr">
        <is>
          <t>HUDIKSVALL</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36864-2024</t>
        </is>
      </c>
      <c r="B11918" s="1" t="n">
        <v>45538</v>
      </c>
      <c r="C11918" s="1" t="n">
        <v>45587</v>
      </c>
      <c r="D11918" t="inlineStr">
        <is>
          <t>GÄVLEBORGS LÄN</t>
        </is>
      </c>
      <c r="E11918" t="inlineStr">
        <is>
          <t>OVANÅKER</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36947-2024</t>
        </is>
      </c>
      <c r="B11919" s="1" t="n">
        <v>45538</v>
      </c>
      <c r="C11919" s="1" t="n">
        <v>45587</v>
      </c>
      <c r="D11919" t="inlineStr">
        <is>
          <t>GÄVLEBORGS LÄN</t>
        </is>
      </c>
      <c r="E11919" t="inlineStr">
        <is>
          <t>HUDIKSVALL</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36925-2024</t>
        </is>
      </c>
      <c r="B11920" s="1" t="n">
        <v>45538</v>
      </c>
      <c r="C11920" s="1" t="n">
        <v>45587</v>
      </c>
      <c r="D11920" t="inlineStr">
        <is>
          <t>GÄVLEBORGS LÄN</t>
        </is>
      </c>
      <c r="E11920" t="inlineStr">
        <is>
          <t>NORDANSTIG</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36920-2024</t>
        </is>
      </c>
      <c r="B11921" s="1" t="n">
        <v>45538</v>
      </c>
      <c r="C11921" s="1" t="n">
        <v>45587</v>
      </c>
      <c r="D11921" t="inlineStr">
        <is>
          <t>GÄVLEBORGS LÄN</t>
        </is>
      </c>
      <c r="E11921" t="inlineStr">
        <is>
          <t>LJUSDAL</t>
        </is>
      </c>
      <c r="G11921" t="n">
        <v>3.5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36990-2024</t>
        </is>
      </c>
      <c r="B11922" s="1" t="n">
        <v>45539</v>
      </c>
      <c r="C11922" s="1" t="n">
        <v>45587</v>
      </c>
      <c r="D11922" t="inlineStr">
        <is>
          <t>GÄVLEBORGS LÄN</t>
        </is>
      </c>
      <c r="E11922" t="inlineStr">
        <is>
          <t>OVANÅKER</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37031-2024</t>
        </is>
      </c>
      <c r="B11923" s="1" t="n">
        <v>45539</v>
      </c>
      <c r="C11923" s="1" t="n">
        <v>45587</v>
      </c>
      <c r="D11923" t="inlineStr">
        <is>
          <t>GÄVLEBORGS LÄN</t>
        </is>
      </c>
      <c r="E11923" t="inlineStr">
        <is>
          <t>NORDANSTIG</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37100-2024</t>
        </is>
      </c>
      <c r="B11924" s="1" t="n">
        <v>45539</v>
      </c>
      <c r="C11924" s="1" t="n">
        <v>45587</v>
      </c>
      <c r="D11924" t="inlineStr">
        <is>
          <t>GÄVLEBORGS LÄN</t>
        </is>
      </c>
      <c r="E11924" t="inlineStr">
        <is>
          <t>GÄVLE</t>
        </is>
      </c>
      <c r="F11924" t="inlineStr">
        <is>
          <t>Bergvik skog öst AB</t>
        </is>
      </c>
      <c r="G11924" t="n">
        <v>16.5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37112-2024</t>
        </is>
      </c>
      <c r="B11925" s="1" t="n">
        <v>45539</v>
      </c>
      <c r="C11925" s="1" t="n">
        <v>45587</v>
      </c>
      <c r="D11925" t="inlineStr">
        <is>
          <t>GÄVLEBORGS LÄN</t>
        </is>
      </c>
      <c r="E11925" t="inlineStr">
        <is>
          <t>OVANÅKER</t>
        </is>
      </c>
      <c r="F11925" t="inlineStr">
        <is>
          <t>Bergvik skog väst AB</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37128-2024</t>
        </is>
      </c>
      <c r="B11926" s="1" t="n">
        <v>45539</v>
      </c>
      <c r="C11926" s="1" t="n">
        <v>45587</v>
      </c>
      <c r="D11926" t="inlineStr">
        <is>
          <t>GÄVLEBORGS LÄN</t>
        </is>
      </c>
      <c r="E11926" t="inlineStr">
        <is>
          <t>BOLLNÄS</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36991-2024</t>
        </is>
      </c>
      <c r="B11927" s="1" t="n">
        <v>45539</v>
      </c>
      <c r="C11927" s="1" t="n">
        <v>45587</v>
      </c>
      <c r="D11927" t="inlineStr">
        <is>
          <t>GÄVLEBORGS LÄN</t>
        </is>
      </c>
      <c r="E11927" t="inlineStr">
        <is>
          <t>OVANÅKER</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37110-2024</t>
        </is>
      </c>
      <c r="B11928" s="1" t="n">
        <v>45539</v>
      </c>
      <c r="C11928" s="1" t="n">
        <v>45587</v>
      </c>
      <c r="D11928" t="inlineStr">
        <is>
          <t>GÄVLEBORGS LÄN</t>
        </is>
      </c>
      <c r="E11928" t="inlineStr">
        <is>
          <t>OVANÅKER</t>
        </is>
      </c>
      <c r="F11928" t="inlineStr">
        <is>
          <t>Bergvik skog väst AB</t>
        </is>
      </c>
      <c r="G11928" t="n">
        <v>6.2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37004-2024</t>
        </is>
      </c>
      <c r="B11929" s="1" t="n">
        <v>45539</v>
      </c>
      <c r="C11929" s="1" t="n">
        <v>45587</v>
      </c>
      <c r="D11929" t="inlineStr">
        <is>
          <t>GÄVLEBORGS LÄN</t>
        </is>
      </c>
      <c r="E11929" t="inlineStr">
        <is>
          <t>OVANÅKER</t>
        </is>
      </c>
      <c r="G11929" t="n">
        <v>3.6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37146-2024</t>
        </is>
      </c>
      <c r="B11930" s="1" t="n">
        <v>45539</v>
      </c>
      <c r="C11930" s="1" t="n">
        <v>45587</v>
      </c>
      <c r="D11930" t="inlineStr">
        <is>
          <t>GÄVLEBORGS LÄN</t>
        </is>
      </c>
      <c r="E11930" t="inlineStr">
        <is>
          <t>GÄVLE</t>
        </is>
      </c>
      <c r="G11930" t="n">
        <v>9.4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37158-2024</t>
        </is>
      </c>
      <c r="B11931" s="1" t="n">
        <v>45539</v>
      </c>
      <c r="C11931" s="1" t="n">
        <v>45587</v>
      </c>
      <c r="D11931" t="inlineStr">
        <is>
          <t>GÄVLEBORGS LÄN</t>
        </is>
      </c>
      <c r="E11931" t="inlineStr">
        <is>
          <t>OCKELBO</t>
        </is>
      </c>
      <c r="F11931" t="inlineStr">
        <is>
          <t>Bergvik skog väst AB</t>
        </is>
      </c>
      <c r="G11931" t="n">
        <v>6.6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37148-2024</t>
        </is>
      </c>
      <c r="B11932" s="1" t="n">
        <v>45539</v>
      </c>
      <c r="C11932" s="1" t="n">
        <v>45587</v>
      </c>
      <c r="D11932" t="inlineStr">
        <is>
          <t>GÄVLEBORGS LÄN</t>
        </is>
      </c>
      <c r="E11932" t="inlineStr">
        <is>
          <t>GÄVLE</t>
        </is>
      </c>
      <c r="G11932" t="n">
        <v>4.5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37176-2024</t>
        </is>
      </c>
      <c r="B11933" s="1" t="n">
        <v>45539</v>
      </c>
      <c r="C11933" s="1" t="n">
        <v>45587</v>
      </c>
      <c r="D11933" t="inlineStr">
        <is>
          <t>GÄVLEBORGS LÄN</t>
        </is>
      </c>
      <c r="E11933" t="inlineStr">
        <is>
          <t>OCKELBO</t>
        </is>
      </c>
      <c r="F11933" t="inlineStr">
        <is>
          <t>Bergvik skog väst AB</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37167-2024</t>
        </is>
      </c>
      <c r="B11934" s="1" t="n">
        <v>45539</v>
      </c>
      <c r="C11934" s="1" t="n">
        <v>45587</v>
      </c>
      <c r="D11934" t="inlineStr">
        <is>
          <t>GÄVLEBORGS LÄN</t>
        </is>
      </c>
      <c r="E11934" t="inlineStr">
        <is>
          <t>OCKELBO</t>
        </is>
      </c>
      <c r="F11934" t="inlineStr">
        <is>
          <t>Bergvik skog väst AB</t>
        </is>
      </c>
      <c r="G11934" t="n">
        <v>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37005-2024</t>
        </is>
      </c>
      <c r="B11935" s="1" t="n">
        <v>45539</v>
      </c>
      <c r="C11935" s="1" t="n">
        <v>45587</v>
      </c>
      <c r="D11935" t="inlineStr">
        <is>
          <t>GÄVLEBORGS LÄN</t>
        </is>
      </c>
      <c r="E11935" t="inlineStr">
        <is>
          <t>GÄVLE</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37217-2024</t>
        </is>
      </c>
      <c r="B11936" s="1" t="n">
        <v>45539</v>
      </c>
      <c r="C11936" s="1" t="n">
        <v>45587</v>
      </c>
      <c r="D11936" t="inlineStr">
        <is>
          <t>GÄVLEBORGS LÄN</t>
        </is>
      </c>
      <c r="E11936" t="inlineStr">
        <is>
          <t>NORDANSTIG</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37071-2024</t>
        </is>
      </c>
      <c r="B11937" s="1" t="n">
        <v>45539</v>
      </c>
      <c r="C11937" s="1" t="n">
        <v>45587</v>
      </c>
      <c r="D11937" t="inlineStr">
        <is>
          <t>GÄVLEBORGS LÄN</t>
        </is>
      </c>
      <c r="E11937" t="inlineStr">
        <is>
          <t>OVANÅKER</t>
        </is>
      </c>
      <c r="F11937" t="inlineStr">
        <is>
          <t>Bergvik skog väst AB</t>
        </is>
      </c>
      <c r="G11937" t="n">
        <v>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37002-2024</t>
        </is>
      </c>
      <c r="B11938" s="1" t="n">
        <v>45539</v>
      </c>
      <c r="C11938" s="1" t="n">
        <v>45587</v>
      </c>
      <c r="D11938" t="inlineStr">
        <is>
          <t>GÄVLEBORGS LÄN</t>
        </is>
      </c>
      <c r="E11938" t="inlineStr">
        <is>
          <t>NORDANSTIG</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37088-2024</t>
        </is>
      </c>
      <c r="B11939" s="1" t="n">
        <v>45539</v>
      </c>
      <c r="C11939" s="1" t="n">
        <v>45587</v>
      </c>
      <c r="D11939" t="inlineStr">
        <is>
          <t>GÄVLEBORGS LÄN</t>
        </is>
      </c>
      <c r="E11939" t="inlineStr">
        <is>
          <t>LJUSDAL</t>
        </is>
      </c>
      <c r="F11939" t="inlineStr">
        <is>
          <t>Sveaskog</t>
        </is>
      </c>
      <c r="G11939" t="n">
        <v>9.699999999999999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37258-2024</t>
        </is>
      </c>
      <c r="B11940" s="1" t="n">
        <v>45540</v>
      </c>
      <c r="C11940" s="1" t="n">
        <v>45587</v>
      </c>
      <c r="D11940" t="inlineStr">
        <is>
          <t>GÄVLEBORGS LÄN</t>
        </is>
      </c>
      <c r="E11940" t="inlineStr">
        <is>
          <t>GÄVLE</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37299-2024</t>
        </is>
      </c>
      <c r="B11941" s="1" t="n">
        <v>45540</v>
      </c>
      <c r="C11941" s="1" t="n">
        <v>45587</v>
      </c>
      <c r="D11941" t="inlineStr">
        <is>
          <t>GÄVLEBORGS LÄN</t>
        </is>
      </c>
      <c r="E11941" t="inlineStr">
        <is>
          <t>BOLLNÄS</t>
        </is>
      </c>
      <c r="F11941" t="inlineStr">
        <is>
          <t>Bergvik skog väst AB</t>
        </is>
      </c>
      <c r="G11941" t="n">
        <v>5.7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37340-2024</t>
        </is>
      </c>
      <c r="B11942" s="1" t="n">
        <v>45540</v>
      </c>
      <c r="C11942" s="1" t="n">
        <v>45587</v>
      </c>
      <c r="D11942" t="inlineStr">
        <is>
          <t>GÄVLEBORGS LÄN</t>
        </is>
      </c>
      <c r="E11942" t="inlineStr">
        <is>
          <t>OVANÅKER</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37345-2024</t>
        </is>
      </c>
      <c r="B11943" s="1" t="n">
        <v>45540</v>
      </c>
      <c r="C11943" s="1" t="n">
        <v>45587</v>
      </c>
      <c r="D11943" t="inlineStr">
        <is>
          <t>GÄVLEBORGS LÄN</t>
        </is>
      </c>
      <c r="E11943" t="inlineStr">
        <is>
          <t>BOLLNÄS</t>
        </is>
      </c>
      <c r="F11943" t="inlineStr">
        <is>
          <t>Bergvik skog väst AB</t>
        </is>
      </c>
      <c r="G11943" t="n">
        <v>3.3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37349-2024</t>
        </is>
      </c>
      <c r="B11944" s="1" t="n">
        <v>45540</v>
      </c>
      <c r="C11944" s="1" t="n">
        <v>45587</v>
      </c>
      <c r="D11944" t="inlineStr">
        <is>
          <t>GÄVLEBORGS LÄN</t>
        </is>
      </c>
      <c r="E11944" t="inlineStr">
        <is>
          <t>SANDVIKEN</t>
        </is>
      </c>
      <c r="G11944" t="n">
        <v>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37365-2024</t>
        </is>
      </c>
      <c r="B11945" s="1" t="n">
        <v>45540</v>
      </c>
      <c r="C11945" s="1" t="n">
        <v>45587</v>
      </c>
      <c r="D11945" t="inlineStr">
        <is>
          <t>GÄVLEBORGS LÄN</t>
        </is>
      </c>
      <c r="E11945" t="inlineStr">
        <is>
          <t>GÄVLE</t>
        </is>
      </c>
      <c r="F11945" t="inlineStr">
        <is>
          <t>Bergvik skog väst AB</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37369-2024</t>
        </is>
      </c>
      <c r="B11946" s="1" t="n">
        <v>45540</v>
      </c>
      <c r="C11946" s="1" t="n">
        <v>45587</v>
      </c>
      <c r="D11946" t="inlineStr">
        <is>
          <t>GÄVLEBORGS LÄN</t>
        </is>
      </c>
      <c r="E11946" t="inlineStr">
        <is>
          <t>HUDIKSVALL</t>
        </is>
      </c>
      <c r="G11946" t="n">
        <v>4.6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37232-2024</t>
        </is>
      </c>
      <c r="B11947" s="1" t="n">
        <v>45540</v>
      </c>
      <c r="C11947" s="1" t="n">
        <v>45587</v>
      </c>
      <c r="D11947" t="inlineStr">
        <is>
          <t>GÄVLEBORGS LÄN</t>
        </is>
      </c>
      <c r="E11947" t="inlineStr">
        <is>
          <t>SANDVIKEN</t>
        </is>
      </c>
      <c r="G11947" t="n">
        <v>4.9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37243-2024</t>
        </is>
      </c>
      <c r="B11948" s="1" t="n">
        <v>45540</v>
      </c>
      <c r="C11948" s="1" t="n">
        <v>45587</v>
      </c>
      <c r="D11948" t="inlineStr">
        <is>
          <t>GÄVLEBORGS LÄN</t>
        </is>
      </c>
      <c r="E11948" t="inlineStr">
        <is>
          <t>NORDANSTIG</t>
        </is>
      </c>
      <c r="G11948" t="n">
        <v>6.5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37253-2024</t>
        </is>
      </c>
      <c r="B11949" s="1" t="n">
        <v>45540</v>
      </c>
      <c r="C11949" s="1" t="n">
        <v>45587</v>
      </c>
      <c r="D11949" t="inlineStr">
        <is>
          <t>GÄVLEBORGS LÄN</t>
        </is>
      </c>
      <c r="E11949" t="inlineStr">
        <is>
          <t>GÄVLE</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37294-2024</t>
        </is>
      </c>
      <c r="B11950" s="1" t="n">
        <v>45540</v>
      </c>
      <c r="C11950" s="1" t="n">
        <v>45587</v>
      </c>
      <c r="D11950" t="inlineStr">
        <is>
          <t>GÄVLEBORGS LÄN</t>
        </is>
      </c>
      <c r="E11950" t="inlineStr">
        <is>
          <t>NORDANSTIG</t>
        </is>
      </c>
      <c r="G11950" t="n">
        <v>3.9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37306-2024</t>
        </is>
      </c>
      <c r="B11951" s="1" t="n">
        <v>45540</v>
      </c>
      <c r="C11951" s="1" t="n">
        <v>45587</v>
      </c>
      <c r="D11951" t="inlineStr">
        <is>
          <t>GÄVLEBORGS LÄN</t>
        </is>
      </c>
      <c r="E11951" t="inlineStr">
        <is>
          <t>OVANÅKER</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37348-2024</t>
        </is>
      </c>
      <c r="B11952" s="1" t="n">
        <v>45540</v>
      </c>
      <c r="C11952" s="1" t="n">
        <v>45587</v>
      </c>
      <c r="D11952" t="inlineStr">
        <is>
          <t>GÄVLEBORGS LÄN</t>
        </is>
      </c>
      <c r="E11952" t="inlineStr">
        <is>
          <t>SANDVIKEN</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37352-2024</t>
        </is>
      </c>
      <c r="B11953" s="1" t="n">
        <v>45540</v>
      </c>
      <c r="C11953" s="1" t="n">
        <v>45587</v>
      </c>
      <c r="D11953" t="inlineStr">
        <is>
          <t>GÄVLEBORGS LÄN</t>
        </is>
      </c>
      <c r="E11953" t="inlineStr">
        <is>
          <t>GÄVLE</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37360-2024</t>
        </is>
      </c>
      <c r="B11954" s="1" t="n">
        <v>45540</v>
      </c>
      <c r="C11954" s="1" t="n">
        <v>45587</v>
      </c>
      <c r="D11954" t="inlineStr">
        <is>
          <t>GÄVLEBORGS LÄN</t>
        </is>
      </c>
      <c r="E11954" t="inlineStr">
        <is>
          <t>BOLLNÄS</t>
        </is>
      </c>
      <c r="F11954" t="inlineStr">
        <is>
          <t>Bergvik skog väst AB</t>
        </is>
      </c>
      <c r="G11954" t="n">
        <v>8.1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37317-2024</t>
        </is>
      </c>
      <c r="B11955" s="1" t="n">
        <v>45540</v>
      </c>
      <c r="C11955" s="1" t="n">
        <v>45587</v>
      </c>
      <c r="D11955" t="inlineStr">
        <is>
          <t>GÄVLEBORGS LÄN</t>
        </is>
      </c>
      <c r="E11955" t="inlineStr">
        <is>
          <t>OVANÅKER</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37338-2024</t>
        </is>
      </c>
      <c r="B11956" s="1" t="n">
        <v>45540</v>
      </c>
      <c r="C11956" s="1" t="n">
        <v>45587</v>
      </c>
      <c r="D11956" t="inlineStr">
        <is>
          <t>GÄVLEBORGS LÄN</t>
        </is>
      </c>
      <c r="E11956" t="inlineStr">
        <is>
          <t>OVANÅKER</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37342-2024</t>
        </is>
      </c>
      <c r="B11957" s="1" t="n">
        <v>45540</v>
      </c>
      <c r="C11957" s="1" t="n">
        <v>45587</v>
      </c>
      <c r="D11957" t="inlineStr">
        <is>
          <t>GÄVLEBORGS LÄN</t>
        </is>
      </c>
      <c r="E11957" t="inlineStr">
        <is>
          <t>OVANÅKER</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37363-2024</t>
        </is>
      </c>
      <c r="B11958" s="1" t="n">
        <v>45540</v>
      </c>
      <c r="C11958" s="1" t="n">
        <v>45587</v>
      </c>
      <c r="D11958" t="inlineStr">
        <is>
          <t>GÄVLEBORGS LÄN</t>
        </is>
      </c>
      <c r="E11958" t="inlineStr">
        <is>
          <t>GÄVLE</t>
        </is>
      </c>
      <c r="F11958" t="inlineStr">
        <is>
          <t>Bergvik skog väst AB</t>
        </is>
      </c>
      <c r="G11958" t="n">
        <v>5.9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37367-2024</t>
        </is>
      </c>
      <c r="B11959" s="1" t="n">
        <v>45540</v>
      </c>
      <c r="C11959" s="1" t="n">
        <v>45587</v>
      </c>
      <c r="D11959" t="inlineStr">
        <is>
          <t>GÄVLEBORGS LÄN</t>
        </is>
      </c>
      <c r="E11959" t="inlineStr">
        <is>
          <t>SANDVIKEN</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37443-2024</t>
        </is>
      </c>
      <c r="B11960" s="1" t="n">
        <v>45540</v>
      </c>
      <c r="C11960" s="1" t="n">
        <v>45587</v>
      </c>
      <c r="D11960" t="inlineStr">
        <is>
          <t>GÄVLEBORGS LÄN</t>
        </is>
      </c>
      <c r="E11960" t="inlineStr">
        <is>
          <t>SANDVIKEN</t>
        </is>
      </c>
      <c r="G11960" t="n">
        <v>3.6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37455-2024</t>
        </is>
      </c>
      <c r="B11961" s="1" t="n">
        <v>45540</v>
      </c>
      <c r="C11961" s="1" t="n">
        <v>45587</v>
      </c>
      <c r="D11961" t="inlineStr">
        <is>
          <t>GÄVLEBORGS LÄN</t>
        </is>
      </c>
      <c r="E11961" t="inlineStr">
        <is>
          <t>SANDVIKEN</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37459-2024</t>
        </is>
      </c>
      <c r="B11962" s="1" t="n">
        <v>45540</v>
      </c>
      <c r="C11962" s="1" t="n">
        <v>45587</v>
      </c>
      <c r="D11962" t="inlineStr">
        <is>
          <t>GÄVLEBORGS LÄN</t>
        </is>
      </c>
      <c r="E11962" t="inlineStr">
        <is>
          <t>SANDVIKEN</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37350-2024</t>
        </is>
      </c>
      <c r="B11963" s="1" t="n">
        <v>45540</v>
      </c>
      <c r="C11963" s="1" t="n">
        <v>45587</v>
      </c>
      <c r="D11963" t="inlineStr">
        <is>
          <t>GÄVLEBORGS LÄN</t>
        </is>
      </c>
      <c r="E11963" t="inlineStr">
        <is>
          <t>GÄVLE</t>
        </is>
      </c>
      <c r="G11963" t="n">
        <v>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37414-2024</t>
        </is>
      </c>
      <c r="B11964" s="1" t="n">
        <v>45540</v>
      </c>
      <c r="C11964" s="1" t="n">
        <v>45587</v>
      </c>
      <c r="D11964" t="inlineStr">
        <is>
          <t>GÄVLEBORGS LÄN</t>
        </is>
      </c>
      <c r="E11964" t="inlineStr">
        <is>
          <t>LJUSDAL</t>
        </is>
      </c>
      <c r="F11964" t="inlineStr">
        <is>
          <t>Allmännings- och besparingsskogar</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37453-2024</t>
        </is>
      </c>
      <c r="B11965" s="1" t="n">
        <v>45540</v>
      </c>
      <c r="C11965" s="1" t="n">
        <v>45587</v>
      </c>
      <c r="D11965" t="inlineStr">
        <is>
          <t>GÄVLEBORGS LÄN</t>
        </is>
      </c>
      <c r="E11965" t="inlineStr">
        <is>
          <t>SANDVIKEN</t>
        </is>
      </c>
      <c r="G11965" t="n">
        <v>0.4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37456-2024</t>
        </is>
      </c>
      <c r="B11966" s="1" t="n">
        <v>45540</v>
      </c>
      <c r="C11966" s="1" t="n">
        <v>45587</v>
      </c>
      <c r="D11966" t="inlineStr">
        <is>
          <t>GÄVLEBORGS LÄN</t>
        </is>
      </c>
      <c r="E11966" t="inlineStr">
        <is>
          <t>SANDVIKEN</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37458-2024</t>
        </is>
      </c>
      <c r="B11967" s="1" t="n">
        <v>45540</v>
      </c>
      <c r="C11967" s="1" t="n">
        <v>45587</v>
      </c>
      <c r="D11967" t="inlineStr">
        <is>
          <t>GÄVLEBORGS LÄN</t>
        </is>
      </c>
      <c r="E11967" t="inlineStr">
        <is>
          <t>SANDVIKEN</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37495-2024</t>
        </is>
      </c>
      <c r="B11968" s="1" t="n">
        <v>45541</v>
      </c>
      <c r="C11968" s="1" t="n">
        <v>45587</v>
      </c>
      <c r="D11968" t="inlineStr">
        <is>
          <t>GÄVLEBORGS LÄN</t>
        </is>
      </c>
      <c r="E11968" t="inlineStr">
        <is>
          <t>HUDIKSVALL</t>
        </is>
      </c>
      <c r="F11968" t="inlineStr">
        <is>
          <t>Naturvårdsverket</t>
        </is>
      </c>
      <c r="G11968" t="n">
        <v>5.8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37478-2024</t>
        </is>
      </c>
      <c r="B11969" s="1" t="n">
        <v>45541</v>
      </c>
      <c r="C11969" s="1" t="n">
        <v>45587</v>
      </c>
      <c r="D11969" t="inlineStr">
        <is>
          <t>GÄVLEBORGS LÄN</t>
        </is>
      </c>
      <c r="E11969" t="inlineStr">
        <is>
          <t>OVANÅKER</t>
        </is>
      </c>
      <c r="F11969" t="inlineStr">
        <is>
          <t>Bergvik skog väst AB</t>
        </is>
      </c>
      <c r="G11969" t="n">
        <v>4.4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37560-2024</t>
        </is>
      </c>
      <c r="B11970" s="1" t="n">
        <v>45541</v>
      </c>
      <c r="C11970" s="1" t="n">
        <v>45587</v>
      </c>
      <c r="D11970" t="inlineStr">
        <is>
          <t>GÄVLEBORGS LÄN</t>
        </is>
      </c>
      <c r="E11970" t="inlineStr">
        <is>
          <t>LJUSDAL</t>
        </is>
      </c>
      <c r="G11970" t="n">
        <v>2.3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37617-2024</t>
        </is>
      </c>
      <c r="B11971" s="1" t="n">
        <v>45541</v>
      </c>
      <c r="C11971" s="1" t="n">
        <v>45587</v>
      </c>
      <c r="D11971" t="inlineStr">
        <is>
          <t>GÄVLEBORGS LÄN</t>
        </is>
      </c>
      <c r="E11971" t="inlineStr">
        <is>
          <t>NORDANSTIG</t>
        </is>
      </c>
      <c r="G11971" t="n">
        <v>2.9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37641-2024</t>
        </is>
      </c>
      <c r="B11972" s="1" t="n">
        <v>45541</v>
      </c>
      <c r="C11972" s="1" t="n">
        <v>45587</v>
      </c>
      <c r="D11972" t="inlineStr">
        <is>
          <t>GÄVLEBORGS LÄN</t>
        </is>
      </c>
      <c r="E11972" t="inlineStr">
        <is>
          <t>SANDVIKEN</t>
        </is>
      </c>
      <c r="F11972" t="inlineStr">
        <is>
          <t>Sveaskog</t>
        </is>
      </c>
      <c r="G11972" t="n">
        <v>4.8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37657-2024</t>
        </is>
      </c>
      <c r="B11973" s="1" t="n">
        <v>45541</v>
      </c>
      <c r="C11973" s="1" t="n">
        <v>45587</v>
      </c>
      <c r="D11973" t="inlineStr">
        <is>
          <t>GÄVLEBORGS LÄN</t>
        </is>
      </c>
      <c r="E11973" t="inlineStr">
        <is>
          <t>OCKELBO</t>
        </is>
      </c>
      <c r="F11973" t="inlineStr">
        <is>
          <t>Bergvik skog väst AB</t>
        </is>
      </c>
      <c r="G11973" t="n">
        <v>9.5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37686-2024</t>
        </is>
      </c>
      <c r="B11974" s="1" t="n">
        <v>45541</v>
      </c>
      <c r="C11974" s="1" t="n">
        <v>45587</v>
      </c>
      <c r="D11974" t="inlineStr">
        <is>
          <t>GÄVLEBORGS LÄN</t>
        </is>
      </c>
      <c r="E11974" t="inlineStr">
        <is>
          <t>NORDANSTIG</t>
        </is>
      </c>
      <c r="F11974" t="inlineStr">
        <is>
          <t>Holmen skog AB</t>
        </is>
      </c>
      <c r="G11974" t="n">
        <v>3.5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37692-2024</t>
        </is>
      </c>
      <c r="B11975" s="1" t="n">
        <v>45541</v>
      </c>
      <c r="C11975" s="1" t="n">
        <v>45587</v>
      </c>
      <c r="D11975" t="inlineStr">
        <is>
          <t>GÄVLEBORGS LÄN</t>
        </is>
      </c>
      <c r="E11975" t="inlineStr">
        <is>
          <t>SÖDERHAMN</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37696-2024</t>
        </is>
      </c>
      <c r="B11976" s="1" t="n">
        <v>45541</v>
      </c>
      <c r="C11976" s="1" t="n">
        <v>45587</v>
      </c>
      <c r="D11976" t="inlineStr">
        <is>
          <t>GÄVLEBORGS LÄN</t>
        </is>
      </c>
      <c r="E11976" t="inlineStr">
        <is>
          <t>NORDANSTIG</t>
        </is>
      </c>
      <c r="F11976" t="inlineStr">
        <is>
          <t>Holmen skog AB</t>
        </is>
      </c>
      <c r="G11976" t="n">
        <v>5.5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37700-2024</t>
        </is>
      </c>
      <c r="B11977" s="1" t="n">
        <v>45541</v>
      </c>
      <c r="C11977" s="1" t="n">
        <v>45587</v>
      </c>
      <c r="D11977" t="inlineStr">
        <is>
          <t>GÄVLEBORGS LÄN</t>
        </is>
      </c>
      <c r="E11977" t="inlineStr">
        <is>
          <t>HUDIKSVALL</t>
        </is>
      </c>
      <c r="F11977" t="inlineStr">
        <is>
          <t>Kommuner</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37604-2024</t>
        </is>
      </c>
      <c r="B11978" s="1" t="n">
        <v>45541</v>
      </c>
      <c r="C11978" s="1" t="n">
        <v>45587</v>
      </c>
      <c r="D11978" t="inlineStr">
        <is>
          <t>GÄVLEBORGS LÄN</t>
        </is>
      </c>
      <c r="E11978" t="inlineStr">
        <is>
          <t>SANDVIKEN</t>
        </is>
      </c>
      <c r="F11978" t="inlineStr">
        <is>
          <t>Sveaskog</t>
        </is>
      </c>
      <c r="G11978" t="n">
        <v>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37689-2024</t>
        </is>
      </c>
      <c r="B11979" s="1" t="n">
        <v>45541</v>
      </c>
      <c r="C11979" s="1" t="n">
        <v>45587</v>
      </c>
      <c r="D11979" t="inlineStr">
        <is>
          <t>GÄVLEBORGS LÄN</t>
        </is>
      </c>
      <c r="E11979" t="inlineStr">
        <is>
          <t>HUDIKSVALL</t>
        </is>
      </c>
      <c r="F11979" t="inlineStr">
        <is>
          <t>Kommuner</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37541-2024</t>
        </is>
      </c>
      <c r="B11980" s="1" t="n">
        <v>45541</v>
      </c>
      <c r="C11980" s="1" t="n">
        <v>45587</v>
      </c>
      <c r="D11980" t="inlineStr">
        <is>
          <t>GÄVLEBORGS LÄN</t>
        </is>
      </c>
      <c r="E11980" t="inlineStr">
        <is>
          <t>HUDIKSVALL</t>
        </is>
      </c>
      <c r="F11980" t="inlineStr">
        <is>
          <t>Naturvårdsverket</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37619-2024</t>
        </is>
      </c>
      <c r="B11981" s="1" t="n">
        <v>45541</v>
      </c>
      <c r="C11981" s="1" t="n">
        <v>45587</v>
      </c>
      <c r="D11981" t="inlineStr">
        <is>
          <t>GÄVLEBORGS LÄN</t>
        </is>
      </c>
      <c r="E11981" t="inlineStr">
        <is>
          <t>NORDANSTIG</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37643-2024</t>
        </is>
      </c>
      <c r="B11982" s="1" t="n">
        <v>45541</v>
      </c>
      <c r="C11982" s="1" t="n">
        <v>45587</v>
      </c>
      <c r="D11982" t="inlineStr">
        <is>
          <t>GÄVLEBORGS LÄN</t>
        </is>
      </c>
      <c r="E11982" t="inlineStr">
        <is>
          <t>SANDVIKEN</t>
        </is>
      </c>
      <c r="F11982" t="inlineStr">
        <is>
          <t>Sveaskog</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37693-2024</t>
        </is>
      </c>
      <c r="B11983" s="1" t="n">
        <v>45541</v>
      </c>
      <c r="C11983" s="1" t="n">
        <v>45587</v>
      </c>
      <c r="D11983" t="inlineStr">
        <is>
          <t>GÄVLEBORGS LÄN</t>
        </is>
      </c>
      <c r="E11983" t="inlineStr">
        <is>
          <t>HUDIKSVALL</t>
        </is>
      </c>
      <c r="F11983" t="inlineStr">
        <is>
          <t>Kommuner</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37697-2024</t>
        </is>
      </c>
      <c r="B11984" s="1" t="n">
        <v>45541</v>
      </c>
      <c r="C11984" s="1" t="n">
        <v>45587</v>
      </c>
      <c r="D11984" t="inlineStr">
        <is>
          <t>GÄVLEBORGS LÄN</t>
        </is>
      </c>
      <c r="E11984" t="inlineStr">
        <is>
          <t>HUDIKSVALL</t>
        </is>
      </c>
      <c r="F11984" t="inlineStr">
        <is>
          <t>Kommuner</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37764-2024</t>
        </is>
      </c>
      <c r="B11985" s="1" t="n">
        <v>45541</v>
      </c>
      <c r="C11985" s="1" t="n">
        <v>45587</v>
      </c>
      <c r="D11985" t="inlineStr">
        <is>
          <t>GÄVLEBORGS LÄN</t>
        </is>
      </c>
      <c r="E11985" t="inlineStr">
        <is>
          <t>LJUSDAL</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37768-2024</t>
        </is>
      </c>
      <c r="B11986" s="1" t="n">
        <v>45541</v>
      </c>
      <c r="C11986" s="1" t="n">
        <v>45587</v>
      </c>
      <c r="D11986" t="inlineStr">
        <is>
          <t>GÄVLEBORGS LÄN</t>
        </is>
      </c>
      <c r="E11986" t="inlineStr">
        <is>
          <t>OVANÅKER</t>
        </is>
      </c>
      <c r="F11986" t="inlineStr">
        <is>
          <t>Bergvik skog väst AB</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37739-2024</t>
        </is>
      </c>
      <c r="B11987" s="1" t="n">
        <v>45541</v>
      </c>
      <c r="C11987" s="1" t="n">
        <v>45587</v>
      </c>
      <c r="D11987" t="inlineStr">
        <is>
          <t>GÄVLEBORGS LÄN</t>
        </is>
      </c>
      <c r="E11987" t="inlineStr">
        <is>
          <t>NORDANSTIG</t>
        </is>
      </c>
      <c r="F11987" t="inlineStr">
        <is>
          <t>Holmen skog AB</t>
        </is>
      </c>
      <c r="G11987" t="n">
        <v>3.6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37763-2024</t>
        </is>
      </c>
      <c r="B11988" s="1" t="n">
        <v>45541</v>
      </c>
      <c r="C11988" s="1" t="n">
        <v>45587</v>
      </c>
      <c r="D11988" t="inlineStr">
        <is>
          <t>GÄVLEBORGS LÄN</t>
        </is>
      </c>
      <c r="E11988" t="inlineStr">
        <is>
          <t>LJUSDAL</t>
        </is>
      </c>
      <c r="G11988" t="n">
        <v>4.7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37767-2024</t>
        </is>
      </c>
      <c r="B11989" s="1" t="n">
        <v>45541</v>
      </c>
      <c r="C11989" s="1" t="n">
        <v>45587</v>
      </c>
      <c r="D11989" t="inlineStr">
        <is>
          <t>GÄVLEBORGS LÄN</t>
        </is>
      </c>
      <c r="E11989" t="inlineStr">
        <is>
          <t>LJUSDAL</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37765-2024</t>
        </is>
      </c>
      <c r="B11990" s="1" t="n">
        <v>45541</v>
      </c>
      <c r="C11990" s="1" t="n">
        <v>45587</v>
      </c>
      <c r="D11990" t="inlineStr">
        <is>
          <t>GÄVLEBORGS LÄN</t>
        </is>
      </c>
      <c r="E11990" t="inlineStr">
        <is>
          <t>OVANÅKER</t>
        </is>
      </c>
      <c r="F11990" t="inlineStr">
        <is>
          <t>Bergvik skog väst AB</t>
        </is>
      </c>
      <c r="G11990" t="n">
        <v>3.9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37758-2024</t>
        </is>
      </c>
      <c r="B11991" s="1" t="n">
        <v>45541</v>
      </c>
      <c r="C11991" s="1" t="n">
        <v>45587</v>
      </c>
      <c r="D11991" t="inlineStr">
        <is>
          <t>GÄVLEBORGS LÄN</t>
        </is>
      </c>
      <c r="E11991" t="inlineStr">
        <is>
          <t>LJUSDAL</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37779-2024</t>
        </is>
      </c>
      <c r="B11992" s="1" t="n">
        <v>45542</v>
      </c>
      <c r="C11992" s="1" t="n">
        <v>45587</v>
      </c>
      <c r="D11992" t="inlineStr">
        <is>
          <t>GÄVLEBORGS LÄN</t>
        </is>
      </c>
      <c r="E11992" t="inlineStr">
        <is>
          <t>BOLLNÄS</t>
        </is>
      </c>
      <c r="G11992" t="n">
        <v>2.5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37778-2024</t>
        </is>
      </c>
      <c r="B11993" s="1" t="n">
        <v>45542</v>
      </c>
      <c r="C11993" s="1" t="n">
        <v>45587</v>
      </c>
      <c r="D11993" t="inlineStr">
        <is>
          <t>GÄVLEBORGS LÄN</t>
        </is>
      </c>
      <c r="E11993" t="inlineStr">
        <is>
          <t>HUDIKSVALL</t>
        </is>
      </c>
      <c r="F11993" t="inlineStr">
        <is>
          <t>Holmen skog AB</t>
        </is>
      </c>
      <c r="G11993" t="n">
        <v>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37780-2024</t>
        </is>
      </c>
      <c r="B11994" s="1" t="n">
        <v>45542</v>
      </c>
      <c r="C11994" s="1" t="n">
        <v>45587</v>
      </c>
      <c r="D11994" t="inlineStr">
        <is>
          <t>GÄVLEBORGS LÄN</t>
        </is>
      </c>
      <c r="E11994" t="inlineStr">
        <is>
          <t>BOLLNÄS</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37777-2024</t>
        </is>
      </c>
      <c r="B11995" s="1" t="n">
        <v>45542</v>
      </c>
      <c r="C11995" s="1" t="n">
        <v>45587</v>
      </c>
      <c r="D11995" t="inlineStr">
        <is>
          <t>GÄVLEBORGS LÄN</t>
        </is>
      </c>
      <c r="E11995" t="inlineStr">
        <is>
          <t>OVANÅKER</t>
        </is>
      </c>
      <c r="F11995" t="inlineStr">
        <is>
          <t>Bergvik skog väst AB</t>
        </is>
      </c>
      <c r="G11995" t="n">
        <v>3.4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37848-2024</t>
        </is>
      </c>
      <c r="B11996" s="1" t="n">
        <v>45544</v>
      </c>
      <c r="C11996" s="1" t="n">
        <v>45587</v>
      </c>
      <c r="D11996" t="inlineStr">
        <is>
          <t>GÄVLEBORGS LÄN</t>
        </is>
      </c>
      <c r="E11996" t="inlineStr">
        <is>
          <t>OCKELBO</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37916-2024</t>
        </is>
      </c>
      <c r="B11997" s="1" t="n">
        <v>45544</v>
      </c>
      <c r="C11997" s="1" t="n">
        <v>45587</v>
      </c>
      <c r="D11997" t="inlineStr">
        <is>
          <t>GÄVLEBORGS LÄN</t>
        </is>
      </c>
      <c r="E11997" t="inlineStr">
        <is>
          <t>SÖDERHAMN</t>
        </is>
      </c>
      <c r="G11997" t="n">
        <v>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37837-2024</t>
        </is>
      </c>
      <c r="B11998" s="1" t="n">
        <v>45544</v>
      </c>
      <c r="C11998" s="1" t="n">
        <v>45587</v>
      </c>
      <c r="D11998" t="inlineStr">
        <is>
          <t>GÄVLEBORGS LÄN</t>
        </is>
      </c>
      <c r="E11998" t="inlineStr">
        <is>
          <t>SÖDERHAMN</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37845-2024</t>
        </is>
      </c>
      <c r="B11999" s="1" t="n">
        <v>45544</v>
      </c>
      <c r="C11999" s="1" t="n">
        <v>45587</v>
      </c>
      <c r="D11999" t="inlineStr">
        <is>
          <t>GÄVLEBORGS LÄN</t>
        </is>
      </c>
      <c r="E11999" t="inlineStr">
        <is>
          <t>OCKELBO</t>
        </is>
      </c>
      <c r="G11999" t="n">
        <v>5.1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37996-2024</t>
        </is>
      </c>
      <c r="B12000" s="1" t="n">
        <v>45544</v>
      </c>
      <c r="C12000" s="1" t="n">
        <v>45587</v>
      </c>
      <c r="D12000" t="inlineStr">
        <is>
          <t>GÄVLEBORGS LÄN</t>
        </is>
      </c>
      <c r="E12000" t="inlineStr">
        <is>
          <t>SANDVIKEN</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37893-2024</t>
        </is>
      </c>
      <c r="B12001" s="1" t="n">
        <v>45544</v>
      </c>
      <c r="C12001" s="1" t="n">
        <v>45587</v>
      </c>
      <c r="D12001" t="inlineStr">
        <is>
          <t>GÄVLEBORGS LÄN</t>
        </is>
      </c>
      <c r="E12001" t="inlineStr">
        <is>
          <t>GÄVLE</t>
        </is>
      </c>
      <c r="F12001" t="inlineStr">
        <is>
          <t>Bergvik skog öst AB</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38001-2024</t>
        </is>
      </c>
      <c r="B12002" s="1" t="n">
        <v>45544</v>
      </c>
      <c r="C12002" s="1" t="n">
        <v>45587</v>
      </c>
      <c r="D12002" t="inlineStr">
        <is>
          <t>GÄVLEBORGS LÄN</t>
        </is>
      </c>
      <c r="E12002" t="inlineStr">
        <is>
          <t>BOLLNÄS</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37974-2024</t>
        </is>
      </c>
      <c r="B12003" s="1" t="n">
        <v>45544</v>
      </c>
      <c r="C12003" s="1" t="n">
        <v>45587</v>
      </c>
      <c r="D12003" t="inlineStr">
        <is>
          <t>GÄVLEBORGS LÄN</t>
        </is>
      </c>
      <c r="E12003" t="inlineStr">
        <is>
          <t>NORDANSTIG</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38022-2024</t>
        </is>
      </c>
      <c r="B12004" s="1" t="n">
        <v>45544</v>
      </c>
      <c r="C12004" s="1" t="n">
        <v>45587</v>
      </c>
      <c r="D12004" t="inlineStr">
        <is>
          <t>GÄVLEBORGS LÄN</t>
        </is>
      </c>
      <c r="E12004" t="inlineStr">
        <is>
          <t>HUDIKSVALL</t>
        </is>
      </c>
      <c r="F12004" t="inlineStr">
        <is>
          <t>Kommuner</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38050-2024</t>
        </is>
      </c>
      <c r="B12005" s="1" t="n">
        <v>45544</v>
      </c>
      <c r="C12005" s="1" t="n">
        <v>45587</v>
      </c>
      <c r="D12005" t="inlineStr">
        <is>
          <t>GÄVLEBORGS LÄN</t>
        </is>
      </c>
      <c r="E12005" t="inlineStr">
        <is>
          <t>NORDANSTIG</t>
        </is>
      </c>
      <c r="F12005" t="inlineStr">
        <is>
          <t>Holmen skog AB</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38048-2024</t>
        </is>
      </c>
      <c r="B12006" s="1" t="n">
        <v>45544</v>
      </c>
      <c r="C12006" s="1" t="n">
        <v>45587</v>
      </c>
      <c r="D12006" t="inlineStr">
        <is>
          <t>GÄVLEBORGS LÄN</t>
        </is>
      </c>
      <c r="E12006" t="inlineStr">
        <is>
          <t>NORDANSTIG</t>
        </is>
      </c>
      <c r="F12006" t="inlineStr">
        <is>
          <t>Holmen skog AB</t>
        </is>
      </c>
      <c r="G12006" t="n">
        <v>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38049-2024</t>
        </is>
      </c>
      <c r="B12007" s="1" t="n">
        <v>45544</v>
      </c>
      <c r="C12007" s="1" t="n">
        <v>45587</v>
      </c>
      <c r="D12007" t="inlineStr">
        <is>
          <t>GÄVLEBORGS LÄN</t>
        </is>
      </c>
      <c r="E12007" t="inlineStr">
        <is>
          <t>BOLLNÄS</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38103-2024</t>
        </is>
      </c>
      <c r="B12008" s="1" t="n">
        <v>45545</v>
      </c>
      <c r="C12008" s="1" t="n">
        <v>45587</v>
      </c>
      <c r="D12008" t="inlineStr">
        <is>
          <t>GÄVLEBORGS LÄN</t>
        </is>
      </c>
      <c r="E12008" t="inlineStr">
        <is>
          <t>BOLLNÄS</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38142-2024</t>
        </is>
      </c>
      <c r="B12009" s="1" t="n">
        <v>45545</v>
      </c>
      <c r="C12009" s="1" t="n">
        <v>45587</v>
      </c>
      <c r="D12009" t="inlineStr">
        <is>
          <t>GÄVLEBORGS LÄN</t>
        </is>
      </c>
      <c r="E12009" t="inlineStr">
        <is>
          <t>HUDIKSVALL</t>
        </is>
      </c>
      <c r="F12009" t="inlineStr">
        <is>
          <t>Holmen skog AB</t>
        </is>
      </c>
      <c r="G12009" t="n">
        <v>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38110-2024</t>
        </is>
      </c>
      <c r="B12010" s="1" t="n">
        <v>45545</v>
      </c>
      <c r="C12010" s="1" t="n">
        <v>45587</v>
      </c>
      <c r="D12010" t="inlineStr">
        <is>
          <t>GÄVLEBORGS LÄN</t>
        </is>
      </c>
      <c r="E12010" t="inlineStr">
        <is>
          <t>SÖDERHAMN</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38122-2024</t>
        </is>
      </c>
      <c r="B12011" s="1" t="n">
        <v>45545</v>
      </c>
      <c r="C12011" s="1" t="n">
        <v>45587</v>
      </c>
      <c r="D12011" t="inlineStr">
        <is>
          <t>GÄVLEBORGS LÄN</t>
        </is>
      </c>
      <c r="E12011" t="inlineStr">
        <is>
          <t>BOLLNÄS</t>
        </is>
      </c>
      <c r="F12011" t="inlineStr">
        <is>
          <t>Bergvik skog väst AB</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38167-2024</t>
        </is>
      </c>
      <c r="B12012" s="1" t="n">
        <v>45545</v>
      </c>
      <c r="C12012" s="1" t="n">
        <v>45587</v>
      </c>
      <c r="D12012" t="inlineStr">
        <is>
          <t>GÄVLEBORGS LÄN</t>
        </is>
      </c>
      <c r="E12012" t="inlineStr">
        <is>
          <t>HUDIKSVALL</t>
        </is>
      </c>
      <c r="F12012" t="inlineStr">
        <is>
          <t>Holmen skog AB</t>
        </is>
      </c>
      <c r="G12012" t="n">
        <v>3.8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38111-2024</t>
        </is>
      </c>
      <c r="B12013" s="1" t="n">
        <v>45545</v>
      </c>
      <c r="C12013" s="1" t="n">
        <v>45587</v>
      </c>
      <c r="D12013" t="inlineStr">
        <is>
          <t>GÄVLEBORGS LÄN</t>
        </is>
      </c>
      <c r="E12013" t="inlineStr">
        <is>
          <t>SÖDERHAMN</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38200-2024</t>
        </is>
      </c>
      <c r="B12014" s="1" t="n">
        <v>45545</v>
      </c>
      <c r="C12014" s="1" t="n">
        <v>45587</v>
      </c>
      <c r="D12014" t="inlineStr">
        <is>
          <t>GÄVLEBORGS LÄN</t>
        </is>
      </c>
      <c r="E12014" t="inlineStr">
        <is>
          <t>SANDVIKEN</t>
        </is>
      </c>
      <c r="F12014" t="inlineStr">
        <is>
          <t>Sveaskog</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38220-2024</t>
        </is>
      </c>
      <c r="B12015" s="1" t="n">
        <v>45545</v>
      </c>
      <c r="C12015" s="1" t="n">
        <v>45587</v>
      </c>
      <c r="D12015" t="inlineStr">
        <is>
          <t>GÄVLEBORGS LÄN</t>
        </is>
      </c>
      <c r="E12015" t="inlineStr">
        <is>
          <t>HUDIKSVALL</t>
        </is>
      </c>
      <c r="F12015" t="inlineStr">
        <is>
          <t>Holmen skog AB</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38224-2024</t>
        </is>
      </c>
      <c r="B12016" s="1" t="n">
        <v>45545</v>
      </c>
      <c r="C12016" s="1" t="n">
        <v>45587</v>
      </c>
      <c r="D12016" t="inlineStr">
        <is>
          <t>GÄVLEBORGS LÄN</t>
        </is>
      </c>
      <c r="E12016" t="inlineStr">
        <is>
          <t>LJUSDAL</t>
        </is>
      </c>
      <c r="F12016" t="inlineStr">
        <is>
          <t>Bergvik skog väst AB</t>
        </is>
      </c>
      <c r="G12016" t="n">
        <v>5.7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38201-2024</t>
        </is>
      </c>
      <c r="B12017" s="1" t="n">
        <v>45545</v>
      </c>
      <c r="C12017" s="1" t="n">
        <v>45587</v>
      </c>
      <c r="D12017" t="inlineStr">
        <is>
          <t>GÄVLEBORGS LÄN</t>
        </is>
      </c>
      <c r="E12017" t="inlineStr">
        <is>
          <t>HUDIKSVALL</t>
        </is>
      </c>
      <c r="F12017" t="inlineStr">
        <is>
          <t>Holmen skog AB</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38221-2024</t>
        </is>
      </c>
      <c r="B12018" s="1" t="n">
        <v>45545</v>
      </c>
      <c r="C12018" s="1" t="n">
        <v>45587</v>
      </c>
      <c r="D12018" t="inlineStr">
        <is>
          <t>GÄVLEBORGS LÄN</t>
        </is>
      </c>
      <c r="E12018" t="inlineStr">
        <is>
          <t>LJUSDAL</t>
        </is>
      </c>
      <c r="F12018" t="inlineStr">
        <is>
          <t>Bergvik skog väst AB</t>
        </is>
      </c>
      <c r="G12018" t="n">
        <v>7.9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38241-2024</t>
        </is>
      </c>
      <c r="B12019" s="1" t="n">
        <v>45545</v>
      </c>
      <c r="C12019" s="1" t="n">
        <v>45587</v>
      </c>
      <c r="D12019" t="inlineStr">
        <is>
          <t>GÄVLEBORGS LÄN</t>
        </is>
      </c>
      <c r="E12019" t="inlineStr">
        <is>
          <t>NORDANSTIG</t>
        </is>
      </c>
      <c r="F12019" t="inlineStr">
        <is>
          <t>Holmen skog AB</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38079-2024</t>
        </is>
      </c>
      <c r="B12020" s="1" t="n">
        <v>45545</v>
      </c>
      <c r="C12020" s="1" t="n">
        <v>45587</v>
      </c>
      <c r="D12020" t="inlineStr">
        <is>
          <t>GÄVLEBORGS LÄN</t>
        </is>
      </c>
      <c r="E12020" t="inlineStr">
        <is>
          <t>SÖDERHAMN</t>
        </is>
      </c>
      <c r="G12020" t="n">
        <v>3.4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38202-2024</t>
        </is>
      </c>
      <c r="B12021" s="1" t="n">
        <v>45545</v>
      </c>
      <c r="C12021" s="1" t="n">
        <v>45587</v>
      </c>
      <c r="D12021" t="inlineStr">
        <is>
          <t>GÄVLEBORGS LÄN</t>
        </is>
      </c>
      <c r="E12021" t="inlineStr">
        <is>
          <t>SANDVIKEN</t>
        </is>
      </c>
      <c r="F12021" t="inlineStr">
        <is>
          <t>Sveaskog</t>
        </is>
      </c>
      <c r="G12021" t="n">
        <v>3.6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38218-2024</t>
        </is>
      </c>
      <c r="B12022" s="1" t="n">
        <v>45545</v>
      </c>
      <c r="C12022" s="1" t="n">
        <v>45587</v>
      </c>
      <c r="D12022" t="inlineStr">
        <is>
          <t>GÄVLEBORGS LÄN</t>
        </is>
      </c>
      <c r="E12022" t="inlineStr">
        <is>
          <t>LJUSDAL</t>
        </is>
      </c>
      <c r="F12022" t="inlineStr">
        <is>
          <t>Bergvik skog väst AB</t>
        </is>
      </c>
      <c r="G12022" t="n">
        <v>5.1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38230-2024</t>
        </is>
      </c>
      <c r="B12023" s="1" t="n">
        <v>45545</v>
      </c>
      <c r="C12023" s="1" t="n">
        <v>45587</v>
      </c>
      <c r="D12023" t="inlineStr">
        <is>
          <t>GÄVLEBORGS LÄN</t>
        </is>
      </c>
      <c r="E12023" t="inlineStr">
        <is>
          <t>OCKELBO</t>
        </is>
      </c>
      <c r="F12023" t="inlineStr">
        <is>
          <t>Bergvik skog väst AB</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38089-2024</t>
        </is>
      </c>
      <c r="B12024" s="1" t="n">
        <v>45545</v>
      </c>
      <c r="C12024" s="1" t="n">
        <v>45587</v>
      </c>
      <c r="D12024" t="inlineStr">
        <is>
          <t>GÄVLEBORGS LÄN</t>
        </is>
      </c>
      <c r="E12024" t="inlineStr">
        <is>
          <t>NORDANSTIG</t>
        </is>
      </c>
      <c r="G12024" t="n">
        <v>7.7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38298-2024</t>
        </is>
      </c>
      <c r="B12025" s="1" t="n">
        <v>45545</v>
      </c>
      <c r="C12025" s="1" t="n">
        <v>45587</v>
      </c>
      <c r="D12025" t="inlineStr">
        <is>
          <t>GÄVLEBORGS LÄN</t>
        </is>
      </c>
      <c r="E12025" t="inlineStr">
        <is>
          <t>NORDANSTIG</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38295-2024</t>
        </is>
      </c>
      <c r="B12026" s="1" t="n">
        <v>45545</v>
      </c>
      <c r="C12026" s="1" t="n">
        <v>45587</v>
      </c>
      <c r="D12026" t="inlineStr">
        <is>
          <t>GÄVLEBORGS LÄN</t>
        </is>
      </c>
      <c r="E12026" t="inlineStr">
        <is>
          <t>HUDIKSVALL</t>
        </is>
      </c>
      <c r="F12026" t="inlineStr">
        <is>
          <t>Holmen skog AB</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38323-2024</t>
        </is>
      </c>
      <c r="B12027" s="1" t="n">
        <v>45545</v>
      </c>
      <c r="C12027" s="1" t="n">
        <v>45587</v>
      </c>
      <c r="D12027" t="inlineStr">
        <is>
          <t>GÄVLEBORGS LÄN</t>
        </is>
      </c>
      <c r="E12027" t="inlineStr">
        <is>
          <t>SANDVIKEN</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38363-2024</t>
        </is>
      </c>
      <c r="B12028" s="1" t="n">
        <v>45545</v>
      </c>
      <c r="C12028" s="1" t="n">
        <v>45587</v>
      </c>
      <c r="D12028" t="inlineStr">
        <is>
          <t>GÄVLEBORGS LÄN</t>
        </is>
      </c>
      <c r="E12028" t="inlineStr">
        <is>
          <t>SANDVIKEN</t>
        </is>
      </c>
      <c r="G12028" t="n">
        <v>5.9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38367-2024</t>
        </is>
      </c>
      <c r="B12029" s="1" t="n">
        <v>45545</v>
      </c>
      <c r="C12029" s="1" t="n">
        <v>45587</v>
      </c>
      <c r="D12029" t="inlineStr">
        <is>
          <t>GÄVLEBORGS LÄN</t>
        </is>
      </c>
      <c r="E12029" t="inlineStr">
        <is>
          <t>OVANÅKER</t>
        </is>
      </c>
      <c r="G12029" t="n">
        <v>4.5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38342-2024</t>
        </is>
      </c>
      <c r="B12030" s="1" t="n">
        <v>45545</v>
      </c>
      <c r="C12030" s="1" t="n">
        <v>45587</v>
      </c>
      <c r="D12030" t="inlineStr">
        <is>
          <t>GÄVLEBORGS LÄN</t>
        </is>
      </c>
      <c r="E12030" t="inlineStr">
        <is>
          <t>NORDANSTIG</t>
        </is>
      </c>
      <c r="F12030" t="inlineStr">
        <is>
          <t>Holmen skog AB</t>
        </is>
      </c>
      <c r="G12030" t="n">
        <v>2.9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38346-2024</t>
        </is>
      </c>
      <c r="B12031" s="1" t="n">
        <v>45545</v>
      </c>
      <c r="C12031" s="1" t="n">
        <v>45587</v>
      </c>
      <c r="D12031" t="inlineStr">
        <is>
          <t>GÄVLEBORGS LÄN</t>
        </is>
      </c>
      <c r="E12031" t="inlineStr">
        <is>
          <t>NORDANSTIG</t>
        </is>
      </c>
      <c r="F12031" t="inlineStr">
        <is>
          <t>Holmen skog AB</t>
        </is>
      </c>
      <c r="G12031" t="n">
        <v>3.4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38309-2024</t>
        </is>
      </c>
      <c r="B12032" s="1" t="n">
        <v>45545</v>
      </c>
      <c r="C12032" s="1" t="n">
        <v>45587</v>
      </c>
      <c r="D12032" t="inlineStr">
        <is>
          <t>GÄVLEBORGS LÄN</t>
        </is>
      </c>
      <c r="E12032" t="inlineStr">
        <is>
          <t>OVANÅKER</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38369-2024</t>
        </is>
      </c>
      <c r="B12033" s="1" t="n">
        <v>45545</v>
      </c>
      <c r="C12033" s="1" t="n">
        <v>45587</v>
      </c>
      <c r="D12033" t="inlineStr">
        <is>
          <t>GÄVLEBORGS LÄN</t>
        </is>
      </c>
      <c r="E12033" t="inlineStr">
        <is>
          <t>OVANÅKER</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38232-2024</t>
        </is>
      </c>
      <c r="B12034" s="1" t="n">
        <v>45545</v>
      </c>
      <c r="C12034" s="1" t="n">
        <v>45587</v>
      </c>
      <c r="D12034" t="inlineStr">
        <is>
          <t>GÄVLEBORGS LÄN</t>
        </is>
      </c>
      <c r="E12034" t="inlineStr">
        <is>
          <t>LJUSDAL</t>
        </is>
      </c>
      <c r="F12034" t="inlineStr">
        <is>
          <t>Sveaskog</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38240-2024</t>
        </is>
      </c>
      <c r="B12035" s="1" t="n">
        <v>45545</v>
      </c>
      <c r="C12035" s="1" t="n">
        <v>45587</v>
      </c>
      <c r="D12035" t="inlineStr">
        <is>
          <t>GÄVLEBORGS LÄN</t>
        </is>
      </c>
      <c r="E12035" t="inlineStr">
        <is>
          <t>GÄVLE</t>
        </is>
      </c>
      <c r="F12035" t="inlineStr">
        <is>
          <t>Bergvik skog väst AB</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38320-2024</t>
        </is>
      </c>
      <c r="B12036" s="1" t="n">
        <v>45545</v>
      </c>
      <c r="C12036" s="1" t="n">
        <v>45587</v>
      </c>
      <c r="D12036" t="inlineStr">
        <is>
          <t>GÄVLEBORGS LÄN</t>
        </is>
      </c>
      <c r="E12036" t="inlineStr">
        <is>
          <t>HUDIKSVALL</t>
        </is>
      </c>
      <c r="F12036" t="inlineStr">
        <is>
          <t>Holmen skog AB</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38332-2024</t>
        </is>
      </c>
      <c r="B12037" s="1" t="n">
        <v>45545</v>
      </c>
      <c r="C12037" s="1" t="n">
        <v>45587</v>
      </c>
      <c r="D12037" t="inlineStr">
        <is>
          <t>GÄVLEBORGS LÄN</t>
        </is>
      </c>
      <c r="E12037" t="inlineStr">
        <is>
          <t>NORDANSTIG</t>
        </is>
      </c>
      <c r="G12037" t="n">
        <v>11.5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38364-2024</t>
        </is>
      </c>
      <c r="B12038" s="1" t="n">
        <v>45545</v>
      </c>
      <c r="C12038" s="1" t="n">
        <v>45587</v>
      </c>
      <c r="D12038" t="inlineStr">
        <is>
          <t>GÄVLEBORGS LÄN</t>
        </is>
      </c>
      <c r="E12038" t="inlineStr">
        <is>
          <t>SANDVIKEN</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38578-2024</t>
        </is>
      </c>
      <c r="B12039" s="1" t="n">
        <v>45546</v>
      </c>
      <c r="C12039" s="1" t="n">
        <v>45587</v>
      </c>
      <c r="D12039" t="inlineStr">
        <is>
          <t>GÄVLEBORGS LÄN</t>
        </is>
      </c>
      <c r="E12039" t="inlineStr">
        <is>
          <t>HUDIKSVALL</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38451-2024</t>
        </is>
      </c>
      <c r="B12040" s="1" t="n">
        <v>45546</v>
      </c>
      <c r="C12040" s="1" t="n">
        <v>45587</v>
      </c>
      <c r="D12040" t="inlineStr">
        <is>
          <t>GÄVLEBORGS LÄN</t>
        </is>
      </c>
      <c r="E12040" t="inlineStr">
        <is>
          <t>NORDANSTIG</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38515-2024</t>
        </is>
      </c>
      <c r="B12041" s="1" t="n">
        <v>45546</v>
      </c>
      <c r="C12041" s="1" t="n">
        <v>45587</v>
      </c>
      <c r="D12041" t="inlineStr">
        <is>
          <t>GÄVLEBORGS LÄN</t>
        </is>
      </c>
      <c r="E12041" t="inlineStr">
        <is>
          <t>SANDVIKEN</t>
        </is>
      </c>
      <c r="G12041" t="n">
        <v>18.1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38520-2024</t>
        </is>
      </c>
      <c r="B12042" s="1" t="n">
        <v>45546</v>
      </c>
      <c r="C12042" s="1" t="n">
        <v>45587</v>
      </c>
      <c r="D12042" t="inlineStr">
        <is>
          <t>GÄVLEBORGS LÄN</t>
        </is>
      </c>
      <c r="E12042" t="inlineStr">
        <is>
          <t>SANDVIKEN</t>
        </is>
      </c>
      <c r="G12042" t="n">
        <v>3.6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38541-2024</t>
        </is>
      </c>
      <c r="B12043" s="1" t="n">
        <v>45546</v>
      </c>
      <c r="C12043" s="1" t="n">
        <v>45587</v>
      </c>
      <c r="D12043" t="inlineStr">
        <is>
          <t>GÄVLEBORGS LÄN</t>
        </is>
      </c>
      <c r="E12043" t="inlineStr">
        <is>
          <t>GÄVLE</t>
        </is>
      </c>
      <c r="F12043" t="inlineStr">
        <is>
          <t>Bergvik skog öst AB</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38581-2024</t>
        </is>
      </c>
      <c r="B12044" s="1" t="n">
        <v>45546</v>
      </c>
      <c r="C12044" s="1" t="n">
        <v>45587</v>
      </c>
      <c r="D12044" t="inlineStr">
        <is>
          <t>GÄVLEBORGS LÄN</t>
        </is>
      </c>
      <c r="E12044" t="inlineStr">
        <is>
          <t>NORDANSTIG</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38585-2024</t>
        </is>
      </c>
      <c r="B12045" s="1" t="n">
        <v>45546</v>
      </c>
      <c r="C12045" s="1" t="n">
        <v>45587</v>
      </c>
      <c r="D12045" t="inlineStr">
        <is>
          <t>GÄVLEBORGS LÄN</t>
        </is>
      </c>
      <c r="E12045" t="inlineStr">
        <is>
          <t>HUDIKSVALL</t>
        </is>
      </c>
      <c r="G12045" t="n">
        <v>8.699999999999999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38589-2024</t>
        </is>
      </c>
      <c r="B12046" s="1" t="n">
        <v>45546</v>
      </c>
      <c r="C12046" s="1" t="n">
        <v>45587</v>
      </c>
      <c r="D12046" t="inlineStr">
        <is>
          <t>GÄVLEBORGS LÄN</t>
        </is>
      </c>
      <c r="E12046" t="inlineStr">
        <is>
          <t>NORDANSTIG</t>
        </is>
      </c>
      <c r="G12046" t="n">
        <v>0.4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38594-2024</t>
        </is>
      </c>
      <c r="B12047" s="1" t="n">
        <v>45546</v>
      </c>
      <c r="C12047" s="1" t="n">
        <v>45587</v>
      </c>
      <c r="D12047" t="inlineStr">
        <is>
          <t>GÄVLEBORGS LÄN</t>
        </is>
      </c>
      <c r="E12047" t="inlineStr">
        <is>
          <t>BOLLNÄS</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38610-2024</t>
        </is>
      </c>
      <c r="B12048" s="1" t="n">
        <v>45546</v>
      </c>
      <c r="C12048" s="1" t="n">
        <v>45587</v>
      </c>
      <c r="D12048" t="inlineStr">
        <is>
          <t>GÄVLEBORGS LÄN</t>
        </is>
      </c>
      <c r="E12048" t="inlineStr">
        <is>
          <t>BOLLNÄS</t>
        </is>
      </c>
      <c r="G12048" t="n">
        <v>5.6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38672-2024</t>
        </is>
      </c>
      <c r="B12049" s="1" t="n">
        <v>45547</v>
      </c>
      <c r="C12049" s="1" t="n">
        <v>45587</v>
      </c>
      <c r="D12049" t="inlineStr">
        <is>
          <t>GÄVLEBORGS LÄN</t>
        </is>
      </c>
      <c r="E12049" t="inlineStr">
        <is>
          <t>LJUSDAL</t>
        </is>
      </c>
      <c r="G12049" t="n">
        <v>6.7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38694-2024</t>
        </is>
      </c>
      <c r="B12050" s="1" t="n">
        <v>45547</v>
      </c>
      <c r="C12050" s="1" t="n">
        <v>45587</v>
      </c>
      <c r="D12050" t="inlineStr">
        <is>
          <t>GÄVLEBORGS LÄN</t>
        </is>
      </c>
      <c r="E12050" t="inlineStr">
        <is>
          <t>GÄVLE</t>
        </is>
      </c>
      <c r="F12050" t="inlineStr">
        <is>
          <t>Bergvik skog öst AB</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38675-2024</t>
        </is>
      </c>
      <c r="B12051" s="1" t="n">
        <v>45547</v>
      </c>
      <c r="C12051" s="1" t="n">
        <v>45587</v>
      </c>
      <c r="D12051" t="inlineStr">
        <is>
          <t>GÄVLEBORGS LÄN</t>
        </is>
      </c>
      <c r="E12051" t="inlineStr">
        <is>
          <t>LJUSDAL</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38702-2024</t>
        </is>
      </c>
      <c r="B12052" s="1" t="n">
        <v>45547</v>
      </c>
      <c r="C12052" s="1" t="n">
        <v>45587</v>
      </c>
      <c r="D12052" t="inlineStr">
        <is>
          <t>GÄVLEBORGS LÄN</t>
        </is>
      </c>
      <c r="E12052" t="inlineStr">
        <is>
          <t>HUDIKSVALL</t>
        </is>
      </c>
      <c r="G12052" t="n">
        <v>9.4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38687-2024</t>
        </is>
      </c>
      <c r="B12053" s="1" t="n">
        <v>45547</v>
      </c>
      <c r="C12053" s="1" t="n">
        <v>45587</v>
      </c>
      <c r="D12053" t="inlineStr">
        <is>
          <t>GÄVLEBORGS LÄN</t>
        </is>
      </c>
      <c r="E12053" t="inlineStr">
        <is>
          <t>HUDIKSVALL</t>
        </is>
      </c>
      <c r="G12053" t="n">
        <v>8.9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38701-2024</t>
        </is>
      </c>
      <c r="B12054" s="1" t="n">
        <v>45547</v>
      </c>
      <c r="C12054" s="1" t="n">
        <v>45587</v>
      </c>
      <c r="D12054" t="inlineStr">
        <is>
          <t>GÄVLEBORGS LÄN</t>
        </is>
      </c>
      <c r="E12054" t="inlineStr">
        <is>
          <t>HUDIKSVALL</t>
        </is>
      </c>
      <c r="G12054" t="n">
        <v>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38732-2024</t>
        </is>
      </c>
      <c r="B12055" s="1" t="n">
        <v>45547</v>
      </c>
      <c r="C12055" s="1" t="n">
        <v>45587</v>
      </c>
      <c r="D12055" t="inlineStr">
        <is>
          <t>GÄVLEBORGS LÄN</t>
        </is>
      </c>
      <c r="E12055" t="inlineStr">
        <is>
          <t>HUDIKSVALL</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38793-2024</t>
        </is>
      </c>
      <c r="B12056" s="1" t="n">
        <v>45547</v>
      </c>
      <c r="C12056" s="1" t="n">
        <v>45587</v>
      </c>
      <c r="D12056" t="inlineStr">
        <is>
          <t>GÄVLEBORGS LÄN</t>
        </is>
      </c>
      <c r="E12056" t="inlineStr">
        <is>
          <t>GÄVLE</t>
        </is>
      </c>
      <c r="G12056" t="n">
        <v>4.4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38673-2024</t>
        </is>
      </c>
      <c r="B12057" s="1" t="n">
        <v>45547</v>
      </c>
      <c r="C12057" s="1" t="n">
        <v>45587</v>
      </c>
      <c r="D12057" t="inlineStr">
        <is>
          <t>GÄVLEBORGS LÄN</t>
        </is>
      </c>
      <c r="E12057" t="inlineStr">
        <is>
          <t>GÄVLE</t>
        </is>
      </c>
      <c r="F12057" t="inlineStr">
        <is>
          <t>Bergvik skog öst AB</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38703-2024</t>
        </is>
      </c>
      <c r="B12058" s="1" t="n">
        <v>45547</v>
      </c>
      <c r="C12058" s="1" t="n">
        <v>45587</v>
      </c>
      <c r="D12058" t="inlineStr">
        <is>
          <t>GÄVLEBORGS LÄN</t>
        </is>
      </c>
      <c r="E12058" t="inlineStr">
        <is>
          <t>HUDIKSVALL</t>
        </is>
      </c>
      <c r="G12058" t="n">
        <v>2.8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38755-2024</t>
        </is>
      </c>
      <c r="B12059" s="1" t="n">
        <v>45547</v>
      </c>
      <c r="C12059" s="1" t="n">
        <v>45587</v>
      </c>
      <c r="D12059" t="inlineStr">
        <is>
          <t>GÄVLEBORGS LÄN</t>
        </is>
      </c>
      <c r="E12059" t="inlineStr">
        <is>
          <t>HUDIKSVALL</t>
        </is>
      </c>
      <c r="F12059" t="inlineStr">
        <is>
          <t>Holmen skog AB</t>
        </is>
      </c>
      <c r="G12059" t="n">
        <v>6.4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38799-2024</t>
        </is>
      </c>
      <c r="B12060" s="1" t="n">
        <v>45547</v>
      </c>
      <c r="C12060" s="1" t="n">
        <v>45587</v>
      </c>
      <c r="D12060" t="inlineStr">
        <is>
          <t>GÄVLEBORGS LÄN</t>
        </is>
      </c>
      <c r="E12060" t="inlineStr">
        <is>
          <t>OCKELBO</t>
        </is>
      </c>
      <c r="F12060" t="inlineStr">
        <is>
          <t>Kyrkan</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38814-2024</t>
        </is>
      </c>
      <c r="B12061" s="1" t="n">
        <v>45547</v>
      </c>
      <c r="C12061" s="1" t="n">
        <v>45587</v>
      </c>
      <c r="D12061" t="inlineStr">
        <is>
          <t>GÄVLEBORGS LÄN</t>
        </is>
      </c>
      <c r="E12061" t="inlineStr">
        <is>
          <t>LJUSDAL</t>
        </is>
      </c>
      <c r="G12061" t="n">
        <v>5.8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38826-2024</t>
        </is>
      </c>
      <c r="B12062" s="1" t="n">
        <v>45547</v>
      </c>
      <c r="C12062" s="1" t="n">
        <v>45587</v>
      </c>
      <c r="D12062" t="inlineStr">
        <is>
          <t>GÄVLEBORGS LÄN</t>
        </is>
      </c>
      <c r="E12062" t="inlineStr">
        <is>
          <t>HUDIKSVALL</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38805-2024</t>
        </is>
      </c>
      <c r="B12063" s="1" t="n">
        <v>45547</v>
      </c>
      <c r="C12063" s="1" t="n">
        <v>45587</v>
      </c>
      <c r="D12063" t="inlineStr">
        <is>
          <t>GÄVLEBORGS LÄN</t>
        </is>
      </c>
      <c r="E12063" t="inlineStr">
        <is>
          <t>LJUSDAL</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38837-2024</t>
        </is>
      </c>
      <c r="B12064" s="1" t="n">
        <v>45547</v>
      </c>
      <c r="C12064" s="1" t="n">
        <v>45587</v>
      </c>
      <c r="D12064" t="inlineStr">
        <is>
          <t>GÄVLEBORGS LÄN</t>
        </is>
      </c>
      <c r="E12064" t="inlineStr">
        <is>
          <t>BOLLNÄS</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38849-2024</t>
        </is>
      </c>
      <c r="B12065" s="1" t="n">
        <v>45547</v>
      </c>
      <c r="C12065" s="1" t="n">
        <v>45587</v>
      </c>
      <c r="D12065" t="inlineStr">
        <is>
          <t>GÄVLEBORGS LÄN</t>
        </is>
      </c>
      <c r="E12065" t="inlineStr">
        <is>
          <t>OCKELBO</t>
        </is>
      </c>
      <c r="G12065" t="n">
        <v>10.4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38843-2024</t>
        </is>
      </c>
      <c r="B12066" s="1" t="n">
        <v>45547</v>
      </c>
      <c r="C12066" s="1" t="n">
        <v>45587</v>
      </c>
      <c r="D12066" t="inlineStr">
        <is>
          <t>GÄVLEBORGS LÄN</t>
        </is>
      </c>
      <c r="E12066" t="inlineStr">
        <is>
          <t>OVANÅKER</t>
        </is>
      </c>
      <c r="G12066" t="n">
        <v>5.2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38870-2024</t>
        </is>
      </c>
      <c r="B12067" s="1" t="n">
        <v>45547</v>
      </c>
      <c r="C12067" s="1" t="n">
        <v>45587</v>
      </c>
      <c r="D12067" t="inlineStr">
        <is>
          <t>GÄVLEBORGS LÄN</t>
        </is>
      </c>
      <c r="E12067" t="inlineStr">
        <is>
          <t>LJUSDAL</t>
        </is>
      </c>
      <c r="G12067" t="n">
        <v>34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38804-2024</t>
        </is>
      </c>
      <c r="B12068" s="1" t="n">
        <v>45547</v>
      </c>
      <c r="C12068" s="1" t="n">
        <v>45587</v>
      </c>
      <c r="D12068" t="inlineStr">
        <is>
          <t>GÄVLEBORGS LÄN</t>
        </is>
      </c>
      <c r="E12068" t="inlineStr">
        <is>
          <t>LJUSDAL</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38936-2024</t>
        </is>
      </c>
      <c r="B12069" s="1" t="n">
        <v>45548</v>
      </c>
      <c r="C12069" s="1" t="n">
        <v>45587</v>
      </c>
      <c r="D12069" t="inlineStr">
        <is>
          <t>GÄVLEBORGS LÄN</t>
        </is>
      </c>
      <c r="E12069" t="inlineStr">
        <is>
          <t>BOLLNÄS</t>
        </is>
      </c>
      <c r="F12069" t="inlineStr">
        <is>
          <t>Sveaskog</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38934-2024</t>
        </is>
      </c>
      <c r="B12070" s="1" t="n">
        <v>45548</v>
      </c>
      <c r="C12070" s="1" t="n">
        <v>45587</v>
      </c>
      <c r="D12070" t="inlineStr">
        <is>
          <t>GÄVLEBORGS LÄN</t>
        </is>
      </c>
      <c r="E12070" t="inlineStr">
        <is>
          <t>BOLLNÄS</t>
        </is>
      </c>
      <c r="F12070" t="inlineStr">
        <is>
          <t>Sveaskog</t>
        </is>
      </c>
      <c r="G12070" t="n">
        <v>7.4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38950-2024</t>
        </is>
      </c>
      <c r="B12071" s="1" t="n">
        <v>45548</v>
      </c>
      <c r="C12071" s="1" t="n">
        <v>45587</v>
      </c>
      <c r="D12071" t="inlineStr">
        <is>
          <t>GÄVLEBORGS LÄN</t>
        </is>
      </c>
      <c r="E12071" t="inlineStr">
        <is>
          <t>HUDIKSVALL</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38964-2024</t>
        </is>
      </c>
      <c r="B12072" s="1" t="n">
        <v>45548</v>
      </c>
      <c r="C12072" s="1" t="n">
        <v>45587</v>
      </c>
      <c r="D12072" t="inlineStr">
        <is>
          <t>GÄVLEBORGS LÄN</t>
        </is>
      </c>
      <c r="E12072" t="inlineStr">
        <is>
          <t>GÄVLE</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38981-2024</t>
        </is>
      </c>
      <c r="B12073" s="1" t="n">
        <v>45548</v>
      </c>
      <c r="C12073" s="1" t="n">
        <v>45587</v>
      </c>
      <c r="D12073" t="inlineStr">
        <is>
          <t>GÄVLEBORGS LÄN</t>
        </is>
      </c>
      <c r="E12073" t="inlineStr">
        <is>
          <t>HUDIKSVALL</t>
        </is>
      </c>
      <c r="F12073" t="inlineStr">
        <is>
          <t>Holmen skog AB</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39047-2024</t>
        </is>
      </c>
      <c r="B12074" s="1" t="n">
        <v>45548</v>
      </c>
      <c r="C12074" s="1" t="n">
        <v>45587</v>
      </c>
      <c r="D12074" t="inlineStr">
        <is>
          <t>GÄVLEBORGS LÄN</t>
        </is>
      </c>
      <c r="E12074" t="inlineStr">
        <is>
          <t>SANDVIKEN</t>
        </is>
      </c>
      <c r="F12074" t="inlineStr">
        <is>
          <t>Sveaskog</t>
        </is>
      </c>
      <c r="G12074" t="n">
        <v>12.9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39051-2024</t>
        </is>
      </c>
      <c r="B12075" s="1" t="n">
        <v>45548</v>
      </c>
      <c r="C12075" s="1" t="n">
        <v>45587</v>
      </c>
      <c r="D12075" t="inlineStr">
        <is>
          <t>GÄVLEBORGS LÄN</t>
        </is>
      </c>
      <c r="E12075" t="inlineStr">
        <is>
          <t>HUDIKSVALL</t>
        </is>
      </c>
      <c r="F12075" t="inlineStr">
        <is>
          <t>Holmen skog AB</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39026-2024</t>
        </is>
      </c>
      <c r="B12076" s="1" t="n">
        <v>45548</v>
      </c>
      <c r="C12076" s="1" t="n">
        <v>45587</v>
      </c>
      <c r="D12076" t="inlineStr">
        <is>
          <t>GÄVLEBORGS LÄN</t>
        </is>
      </c>
      <c r="E12076" t="inlineStr">
        <is>
          <t>HUDIKSVALL</t>
        </is>
      </c>
      <c r="F12076" t="inlineStr">
        <is>
          <t>Naturvårdsverket</t>
        </is>
      </c>
      <c r="G12076" t="n">
        <v>3.9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39029-2024</t>
        </is>
      </c>
      <c r="B12077" s="1" t="n">
        <v>45548</v>
      </c>
      <c r="C12077" s="1" t="n">
        <v>45587</v>
      </c>
      <c r="D12077" t="inlineStr">
        <is>
          <t>GÄVLEBORGS LÄN</t>
        </is>
      </c>
      <c r="E12077" t="inlineStr">
        <is>
          <t>LJUSDAL</t>
        </is>
      </c>
      <c r="F12077" t="inlineStr">
        <is>
          <t>Sveaskog</t>
        </is>
      </c>
      <c r="G12077" t="n">
        <v>13.4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39041-2024</t>
        </is>
      </c>
      <c r="B12078" s="1" t="n">
        <v>45548</v>
      </c>
      <c r="C12078" s="1" t="n">
        <v>45587</v>
      </c>
      <c r="D12078" t="inlineStr">
        <is>
          <t>GÄVLEBORGS LÄN</t>
        </is>
      </c>
      <c r="E12078" t="inlineStr">
        <is>
          <t>NORDANSTIG</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39062-2024</t>
        </is>
      </c>
      <c r="B12079" s="1" t="n">
        <v>45548</v>
      </c>
      <c r="C12079" s="1" t="n">
        <v>45587</v>
      </c>
      <c r="D12079" t="inlineStr">
        <is>
          <t>GÄVLEBORGS LÄN</t>
        </is>
      </c>
      <c r="E12079" t="inlineStr">
        <is>
          <t>OCKELBO</t>
        </is>
      </c>
      <c r="F12079" t="inlineStr">
        <is>
          <t>Bergvik skog väst AB</t>
        </is>
      </c>
      <c r="G12079" t="n">
        <v>10.1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39083-2024</t>
        </is>
      </c>
      <c r="B12080" s="1" t="n">
        <v>45548</v>
      </c>
      <c r="C12080" s="1" t="n">
        <v>45587</v>
      </c>
      <c r="D12080" t="inlineStr">
        <is>
          <t>GÄVLEBORGS LÄN</t>
        </is>
      </c>
      <c r="E12080" t="inlineStr">
        <is>
          <t>HOFORS</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38979-2024</t>
        </is>
      </c>
      <c r="B12081" s="1" t="n">
        <v>45548</v>
      </c>
      <c r="C12081" s="1" t="n">
        <v>45587</v>
      </c>
      <c r="D12081" t="inlineStr">
        <is>
          <t>GÄVLEBORGS LÄN</t>
        </is>
      </c>
      <c r="E12081" t="inlineStr">
        <is>
          <t>SANDVIKEN</t>
        </is>
      </c>
      <c r="F12081" t="inlineStr">
        <is>
          <t>Sveaskog</t>
        </is>
      </c>
      <c r="G12081" t="n">
        <v>3.5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39012-2024</t>
        </is>
      </c>
      <c r="B12082" s="1" t="n">
        <v>45548</v>
      </c>
      <c r="C12082" s="1" t="n">
        <v>45587</v>
      </c>
      <c r="D12082" t="inlineStr">
        <is>
          <t>GÄVLEBORGS LÄN</t>
        </is>
      </c>
      <c r="E12082" t="inlineStr">
        <is>
          <t>LJUSDAL</t>
        </is>
      </c>
      <c r="F12082" t="inlineStr">
        <is>
          <t>Sveaskog</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39078-2024</t>
        </is>
      </c>
      <c r="B12083" s="1" t="n">
        <v>45548</v>
      </c>
      <c r="C12083" s="1" t="n">
        <v>45587</v>
      </c>
      <c r="D12083" t="inlineStr">
        <is>
          <t>GÄVLEBORGS LÄN</t>
        </is>
      </c>
      <c r="E12083" t="inlineStr">
        <is>
          <t>HUDIKSVALL</t>
        </is>
      </c>
      <c r="F12083" t="inlineStr">
        <is>
          <t>Holmen skog AB</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39091-2024</t>
        </is>
      </c>
      <c r="B12084" s="1" t="n">
        <v>45548</v>
      </c>
      <c r="C12084" s="1" t="n">
        <v>45587</v>
      </c>
      <c r="D12084" t="inlineStr">
        <is>
          <t>GÄVLEBORGS LÄN</t>
        </is>
      </c>
      <c r="E12084" t="inlineStr">
        <is>
          <t>BOLLNÄS</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39163-2024</t>
        </is>
      </c>
      <c r="B12085" s="1" t="n">
        <v>45548</v>
      </c>
      <c r="C12085" s="1" t="n">
        <v>45587</v>
      </c>
      <c r="D12085" t="inlineStr">
        <is>
          <t>GÄVLEBORGS LÄN</t>
        </is>
      </c>
      <c r="E12085" t="inlineStr">
        <is>
          <t>OVANÅKER</t>
        </is>
      </c>
      <c r="G12085" t="n">
        <v>3.3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39207-2024</t>
        </is>
      </c>
      <c r="B12086" s="1" t="n">
        <v>45548</v>
      </c>
      <c r="C12086" s="1" t="n">
        <v>45587</v>
      </c>
      <c r="D12086" t="inlineStr">
        <is>
          <t>GÄVLEBORGS LÄN</t>
        </is>
      </c>
      <c r="E12086" t="inlineStr">
        <is>
          <t>SÖDERHAMN</t>
        </is>
      </c>
      <c r="G12086" t="n">
        <v>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39173-2024</t>
        </is>
      </c>
      <c r="B12087" s="1" t="n">
        <v>45548</v>
      </c>
      <c r="C12087" s="1" t="n">
        <v>45587</v>
      </c>
      <c r="D12087" t="inlineStr">
        <is>
          <t>GÄVLEBORGS LÄN</t>
        </is>
      </c>
      <c r="E12087" t="inlineStr">
        <is>
          <t>OVANÅKER</t>
        </is>
      </c>
      <c r="G12087" t="n">
        <v>3.2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39189-2024</t>
        </is>
      </c>
      <c r="B12088" s="1" t="n">
        <v>45548</v>
      </c>
      <c r="C12088" s="1" t="n">
        <v>45587</v>
      </c>
      <c r="D12088" t="inlineStr">
        <is>
          <t>GÄVLEBORGS LÄN</t>
        </is>
      </c>
      <c r="E12088" t="inlineStr">
        <is>
          <t>OVANÅKER</t>
        </is>
      </c>
      <c r="G12088" t="n">
        <v>2.8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39194-2024</t>
        </is>
      </c>
      <c r="B12089" s="1" t="n">
        <v>45548</v>
      </c>
      <c r="C12089" s="1" t="n">
        <v>45587</v>
      </c>
      <c r="D12089" t="inlineStr">
        <is>
          <t>GÄVLEBORGS LÄN</t>
        </is>
      </c>
      <c r="E12089" t="inlineStr">
        <is>
          <t>OVANÅKER</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39183-2024</t>
        </is>
      </c>
      <c r="B12090" s="1" t="n">
        <v>45548</v>
      </c>
      <c r="C12090" s="1" t="n">
        <v>45587</v>
      </c>
      <c r="D12090" t="inlineStr">
        <is>
          <t>GÄVLEBORGS LÄN</t>
        </is>
      </c>
      <c r="E12090" t="inlineStr">
        <is>
          <t>GÄVLE</t>
        </is>
      </c>
      <c r="F12090" t="inlineStr">
        <is>
          <t>Bergvik skog väst AB</t>
        </is>
      </c>
      <c r="G12090" t="n">
        <v>6.6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39196-2024</t>
        </is>
      </c>
      <c r="B12091" s="1" t="n">
        <v>45548</v>
      </c>
      <c r="C12091" s="1" t="n">
        <v>45587</v>
      </c>
      <c r="D12091" t="inlineStr">
        <is>
          <t>GÄVLEBORGS LÄN</t>
        </is>
      </c>
      <c r="E12091" t="inlineStr">
        <is>
          <t>BOLLNÄS</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39208-2024</t>
        </is>
      </c>
      <c r="B12092" s="1" t="n">
        <v>45548</v>
      </c>
      <c r="C12092" s="1" t="n">
        <v>45587</v>
      </c>
      <c r="D12092" t="inlineStr">
        <is>
          <t>GÄVLEBORGS LÄN</t>
        </is>
      </c>
      <c r="E12092" t="inlineStr">
        <is>
          <t>SÖDERHAMN</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39249-2024</t>
        </is>
      </c>
      <c r="B12093" s="1" t="n">
        <v>45551</v>
      </c>
      <c r="C12093" s="1" t="n">
        <v>45587</v>
      </c>
      <c r="D12093" t="inlineStr">
        <is>
          <t>GÄVLEBORGS LÄN</t>
        </is>
      </c>
      <c r="E12093" t="inlineStr">
        <is>
          <t>OVANÅKER</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39275-2024</t>
        </is>
      </c>
      <c r="B12094" s="1" t="n">
        <v>45551</v>
      </c>
      <c r="C12094" s="1" t="n">
        <v>45587</v>
      </c>
      <c r="D12094" t="inlineStr">
        <is>
          <t>GÄVLEBORGS LÄN</t>
        </is>
      </c>
      <c r="E12094" t="inlineStr">
        <is>
          <t>HUDIKSVALL</t>
        </is>
      </c>
      <c r="F12094" t="inlineStr">
        <is>
          <t>Holmen skog AB</t>
        </is>
      </c>
      <c r="G12094" t="n">
        <v>4.9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39424-2024</t>
        </is>
      </c>
      <c r="B12095" s="1" t="n">
        <v>45551</v>
      </c>
      <c r="C12095" s="1" t="n">
        <v>45587</v>
      </c>
      <c r="D12095" t="inlineStr">
        <is>
          <t>GÄVLEBORGS LÄN</t>
        </is>
      </c>
      <c r="E12095" t="inlineStr">
        <is>
          <t>OCKELBO</t>
        </is>
      </c>
      <c r="G12095" t="n">
        <v>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39440-2024</t>
        </is>
      </c>
      <c r="B12096" s="1" t="n">
        <v>45551</v>
      </c>
      <c r="C12096" s="1" t="n">
        <v>45587</v>
      </c>
      <c r="D12096" t="inlineStr">
        <is>
          <t>GÄVLEBORGS LÄN</t>
        </is>
      </c>
      <c r="E12096" t="inlineStr">
        <is>
          <t>HUDIKSVALL</t>
        </is>
      </c>
      <c r="F12096" t="inlineStr">
        <is>
          <t>Holmen skog AB</t>
        </is>
      </c>
      <c r="G12096" t="n">
        <v>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39460-2024</t>
        </is>
      </c>
      <c r="B12097" s="1" t="n">
        <v>45551</v>
      </c>
      <c r="C12097" s="1" t="n">
        <v>45587</v>
      </c>
      <c r="D12097" t="inlineStr">
        <is>
          <t>GÄVLEBORGS LÄN</t>
        </is>
      </c>
      <c r="E12097" t="inlineStr">
        <is>
          <t>GÄVLE</t>
        </is>
      </c>
      <c r="F12097" t="inlineStr">
        <is>
          <t>Bergvik skog väst AB</t>
        </is>
      </c>
      <c r="G12097" t="n">
        <v>5.1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39340-2024</t>
        </is>
      </c>
      <c r="B12098" s="1" t="n">
        <v>45551</v>
      </c>
      <c r="C12098" s="1" t="n">
        <v>45587</v>
      </c>
      <c r="D12098" t="inlineStr">
        <is>
          <t>GÄVLEBORGS LÄN</t>
        </is>
      </c>
      <c r="E12098" t="inlineStr">
        <is>
          <t>SANDVIKEN</t>
        </is>
      </c>
      <c r="F12098" t="inlineStr">
        <is>
          <t>Sveaskog</t>
        </is>
      </c>
      <c r="G12098" t="n">
        <v>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39457-2024</t>
        </is>
      </c>
      <c r="B12099" s="1" t="n">
        <v>45551</v>
      </c>
      <c r="C12099" s="1" t="n">
        <v>45587</v>
      </c>
      <c r="D12099" t="inlineStr">
        <is>
          <t>GÄVLEBORGS LÄN</t>
        </is>
      </c>
      <c r="E12099" t="inlineStr">
        <is>
          <t>LJUSDAL</t>
        </is>
      </c>
      <c r="G12099" t="n">
        <v>4.1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39329-2024</t>
        </is>
      </c>
      <c r="B12100" s="1" t="n">
        <v>45551</v>
      </c>
      <c r="C12100" s="1" t="n">
        <v>45587</v>
      </c>
      <c r="D12100" t="inlineStr">
        <is>
          <t>GÄVLEBORGS LÄN</t>
        </is>
      </c>
      <c r="E12100" t="inlineStr">
        <is>
          <t>OVANÅKER</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39337-2024</t>
        </is>
      </c>
      <c r="B12101" s="1" t="n">
        <v>45551</v>
      </c>
      <c r="C12101" s="1" t="n">
        <v>45587</v>
      </c>
      <c r="D12101" t="inlineStr">
        <is>
          <t>GÄVLEBORGS LÄN</t>
        </is>
      </c>
      <c r="E12101" t="inlineStr">
        <is>
          <t>SANDVIKEN</t>
        </is>
      </c>
      <c r="F12101" t="inlineStr">
        <is>
          <t>Sveaskog</t>
        </is>
      </c>
      <c r="G12101" t="n">
        <v>3.5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39322-2024</t>
        </is>
      </c>
      <c r="B12102" s="1" t="n">
        <v>45551</v>
      </c>
      <c r="C12102" s="1" t="n">
        <v>45587</v>
      </c>
      <c r="D12102" t="inlineStr">
        <is>
          <t>GÄVLEBORGS LÄN</t>
        </is>
      </c>
      <c r="E12102" t="inlineStr">
        <is>
          <t>NORDANSTIG</t>
        </is>
      </c>
      <c r="G12102" t="n">
        <v>4.7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39473-2024</t>
        </is>
      </c>
      <c r="B12103" s="1" t="n">
        <v>45551</v>
      </c>
      <c r="C12103" s="1" t="n">
        <v>45587</v>
      </c>
      <c r="D12103" t="inlineStr">
        <is>
          <t>GÄVLEBORGS LÄN</t>
        </is>
      </c>
      <c r="E12103" t="inlineStr">
        <is>
          <t>OVANÅKER</t>
        </is>
      </c>
      <c r="F12103" t="inlineStr">
        <is>
          <t>Bergvik skog väst AB</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39373-2024</t>
        </is>
      </c>
      <c r="B12104" s="1" t="n">
        <v>45551</v>
      </c>
      <c r="C12104" s="1" t="n">
        <v>45587</v>
      </c>
      <c r="D12104" t="inlineStr">
        <is>
          <t>GÄVLEBORGS LÄN</t>
        </is>
      </c>
      <c r="E12104" t="inlineStr">
        <is>
          <t>OVANÅKER</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39417-2024</t>
        </is>
      </c>
      <c r="B12105" s="1" t="n">
        <v>45551</v>
      </c>
      <c r="C12105" s="1" t="n">
        <v>45587</v>
      </c>
      <c r="D12105" t="inlineStr">
        <is>
          <t>GÄVLEBORGS LÄN</t>
        </is>
      </c>
      <c r="E12105" t="inlineStr">
        <is>
          <t>LJUSDAL</t>
        </is>
      </c>
      <c r="G12105" t="n">
        <v>0.1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39430-2024</t>
        </is>
      </c>
      <c r="B12106" s="1" t="n">
        <v>45551</v>
      </c>
      <c r="C12106" s="1" t="n">
        <v>45587</v>
      </c>
      <c r="D12106" t="inlineStr">
        <is>
          <t>GÄVLEBORGS LÄN</t>
        </is>
      </c>
      <c r="E12106" t="inlineStr">
        <is>
          <t>OCKELBO</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39342-2024</t>
        </is>
      </c>
      <c r="B12107" s="1" t="n">
        <v>45551</v>
      </c>
      <c r="C12107" s="1" t="n">
        <v>45587</v>
      </c>
      <c r="D12107" t="inlineStr">
        <is>
          <t>GÄVLEBORGS LÄN</t>
        </is>
      </c>
      <c r="E12107" t="inlineStr">
        <is>
          <t>SANDVIKEN</t>
        </is>
      </c>
      <c r="F12107" t="inlineStr">
        <is>
          <t>Sveaskog</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39346-2024</t>
        </is>
      </c>
      <c r="B12108" s="1" t="n">
        <v>45551</v>
      </c>
      <c r="C12108" s="1" t="n">
        <v>45587</v>
      </c>
      <c r="D12108" t="inlineStr">
        <is>
          <t>GÄVLEBORGS LÄN</t>
        </is>
      </c>
      <c r="E12108" t="inlineStr">
        <is>
          <t>SÖDERHAMN</t>
        </is>
      </c>
      <c r="G12108" t="n">
        <v>3.5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39418-2024</t>
        </is>
      </c>
      <c r="B12109" s="1" t="n">
        <v>45551</v>
      </c>
      <c r="C12109" s="1" t="n">
        <v>45587</v>
      </c>
      <c r="D12109" t="inlineStr">
        <is>
          <t>GÄVLEBORGS LÄN</t>
        </is>
      </c>
      <c r="E12109" t="inlineStr">
        <is>
          <t>LJUSDAL</t>
        </is>
      </c>
      <c r="F12109" t="inlineStr">
        <is>
          <t>Allmännings- och besparingsskogar</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39447-2024</t>
        </is>
      </c>
      <c r="B12110" s="1" t="n">
        <v>45551</v>
      </c>
      <c r="C12110" s="1" t="n">
        <v>45587</v>
      </c>
      <c r="D12110" t="inlineStr">
        <is>
          <t>GÄVLEBORGS LÄN</t>
        </is>
      </c>
      <c r="E12110" t="inlineStr">
        <is>
          <t>OCKELBO</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39463-2024</t>
        </is>
      </c>
      <c r="B12111" s="1" t="n">
        <v>45551</v>
      </c>
      <c r="C12111" s="1" t="n">
        <v>45587</v>
      </c>
      <c r="D12111" t="inlineStr">
        <is>
          <t>GÄVLEBORGS LÄN</t>
        </is>
      </c>
      <c r="E12111" t="inlineStr">
        <is>
          <t>LJUSDAL</t>
        </is>
      </c>
      <c r="G12111" t="n">
        <v>3.7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39539-2024</t>
        </is>
      </c>
      <c r="B12112" s="1" t="n">
        <v>45552</v>
      </c>
      <c r="C12112" s="1" t="n">
        <v>45587</v>
      </c>
      <c r="D12112" t="inlineStr">
        <is>
          <t>GÄVLEBORGS LÄN</t>
        </is>
      </c>
      <c r="E12112" t="inlineStr">
        <is>
          <t>OVANÅKER</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39541-2024</t>
        </is>
      </c>
      <c r="B12113" s="1" t="n">
        <v>45552</v>
      </c>
      <c r="C12113" s="1" t="n">
        <v>45587</v>
      </c>
      <c r="D12113" t="inlineStr">
        <is>
          <t>GÄVLEBORGS LÄN</t>
        </is>
      </c>
      <c r="E12113" t="inlineStr">
        <is>
          <t>OVANÅKER</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39540-2024</t>
        </is>
      </c>
      <c r="B12114" s="1" t="n">
        <v>45552</v>
      </c>
      <c r="C12114" s="1" t="n">
        <v>45587</v>
      </c>
      <c r="D12114" t="inlineStr">
        <is>
          <t>GÄVLEBORGS LÄN</t>
        </is>
      </c>
      <c r="E12114" t="inlineStr">
        <is>
          <t>OVANÅKER</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39597-2024</t>
        </is>
      </c>
      <c r="B12115" s="1" t="n">
        <v>45552</v>
      </c>
      <c r="C12115" s="1" t="n">
        <v>45587</v>
      </c>
      <c r="D12115" t="inlineStr">
        <is>
          <t>GÄVLEBORGS LÄN</t>
        </is>
      </c>
      <c r="E12115" t="inlineStr">
        <is>
          <t>LJUSDAL</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39591-2024</t>
        </is>
      </c>
      <c r="B12116" s="1" t="n">
        <v>45552</v>
      </c>
      <c r="C12116" s="1" t="n">
        <v>45587</v>
      </c>
      <c r="D12116" t="inlineStr">
        <is>
          <t>GÄVLEBORGS LÄN</t>
        </is>
      </c>
      <c r="E12116" t="inlineStr">
        <is>
          <t>SANDVIKEN</t>
        </is>
      </c>
      <c r="G12116" t="n">
        <v>3.8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39665-2024</t>
        </is>
      </c>
      <c r="B12117" s="1" t="n">
        <v>45552</v>
      </c>
      <c r="C12117" s="1" t="n">
        <v>45587</v>
      </c>
      <c r="D12117" t="inlineStr">
        <is>
          <t>GÄVLEBORGS LÄN</t>
        </is>
      </c>
      <c r="E12117" t="inlineStr">
        <is>
          <t>LJUSDAL</t>
        </is>
      </c>
      <c r="G12117" t="n">
        <v>4.6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39729-2024</t>
        </is>
      </c>
      <c r="B12118" s="1" t="n">
        <v>45552</v>
      </c>
      <c r="C12118" s="1" t="n">
        <v>45587</v>
      </c>
      <c r="D12118" t="inlineStr">
        <is>
          <t>GÄVLEBORGS LÄN</t>
        </is>
      </c>
      <c r="E12118" t="inlineStr">
        <is>
          <t>OVANÅKER</t>
        </is>
      </c>
      <c r="G12118" t="n">
        <v>3.1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39657-2024</t>
        </is>
      </c>
      <c r="B12119" s="1" t="n">
        <v>45552</v>
      </c>
      <c r="C12119" s="1" t="n">
        <v>45587</v>
      </c>
      <c r="D12119" t="inlineStr">
        <is>
          <t>GÄVLEBORGS LÄN</t>
        </is>
      </c>
      <c r="E12119" t="inlineStr">
        <is>
          <t>LJUSDAL</t>
        </is>
      </c>
      <c r="F12119" t="inlineStr">
        <is>
          <t>Holmen skog AB</t>
        </is>
      </c>
      <c r="G12119" t="n">
        <v>2.3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39917-2024</t>
        </is>
      </c>
      <c r="B12120" s="1" t="n">
        <v>45553</v>
      </c>
      <c r="C12120" s="1" t="n">
        <v>45587</v>
      </c>
      <c r="D12120" t="inlineStr">
        <is>
          <t>GÄVLEBORGS LÄN</t>
        </is>
      </c>
      <c r="E12120" t="inlineStr">
        <is>
          <t>LJUSDAL</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39927-2024</t>
        </is>
      </c>
      <c r="B12121" s="1" t="n">
        <v>45553</v>
      </c>
      <c r="C12121" s="1" t="n">
        <v>45587</v>
      </c>
      <c r="D12121" t="inlineStr">
        <is>
          <t>GÄVLEBORGS LÄN</t>
        </is>
      </c>
      <c r="E12121" t="inlineStr">
        <is>
          <t>LJUSDAL</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39943-2024</t>
        </is>
      </c>
      <c r="B12122" s="1" t="n">
        <v>45553</v>
      </c>
      <c r="C12122" s="1" t="n">
        <v>45587</v>
      </c>
      <c r="D12122" t="inlineStr">
        <is>
          <t>GÄVLEBORGS LÄN</t>
        </is>
      </c>
      <c r="E12122" t="inlineStr">
        <is>
          <t>NORDANSTIG</t>
        </is>
      </c>
      <c r="G12122" t="n">
        <v>4.3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39947-2024</t>
        </is>
      </c>
      <c r="B12123" s="1" t="n">
        <v>45553</v>
      </c>
      <c r="C12123" s="1" t="n">
        <v>45587</v>
      </c>
      <c r="D12123" t="inlineStr">
        <is>
          <t>GÄVLEBORGS LÄN</t>
        </is>
      </c>
      <c r="E12123" t="inlineStr">
        <is>
          <t>LJUSDAL</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39999-2024</t>
        </is>
      </c>
      <c r="B12124" s="1" t="n">
        <v>45553</v>
      </c>
      <c r="C12124" s="1" t="n">
        <v>45587</v>
      </c>
      <c r="D12124" t="inlineStr">
        <is>
          <t>GÄVLEBORGS LÄN</t>
        </is>
      </c>
      <c r="E12124" t="inlineStr">
        <is>
          <t>GÄVLE</t>
        </is>
      </c>
      <c r="F12124" t="inlineStr">
        <is>
          <t>Bergvik skog väst AB</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40048-2024</t>
        </is>
      </c>
      <c r="B12125" s="1" t="n">
        <v>45553</v>
      </c>
      <c r="C12125" s="1" t="n">
        <v>45587</v>
      </c>
      <c r="D12125" t="inlineStr">
        <is>
          <t>GÄVLEBORGS LÄN</t>
        </is>
      </c>
      <c r="E12125" t="inlineStr">
        <is>
          <t>LJUSDAL</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39804-2024</t>
        </is>
      </c>
      <c r="B12126" s="1" t="n">
        <v>45553</v>
      </c>
      <c r="C12126" s="1" t="n">
        <v>45587</v>
      </c>
      <c r="D12126" t="inlineStr">
        <is>
          <t>GÄVLEBORGS LÄN</t>
        </is>
      </c>
      <c r="E12126" t="inlineStr">
        <is>
          <t>GÄVLE</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39928-2024</t>
        </is>
      </c>
      <c r="B12127" s="1" t="n">
        <v>45553</v>
      </c>
      <c r="C12127" s="1" t="n">
        <v>45587</v>
      </c>
      <c r="D12127" t="inlineStr">
        <is>
          <t>GÄVLEBORGS LÄN</t>
        </is>
      </c>
      <c r="E12127" t="inlineStr">
        <is>
          <t>LJUSDAL</t>
        </is>
      </c>
      <c r="F12127" t="inlineStr">
        <is>
          <t>Holmen skog AB</t>
        </is>
      </c>
      <c r="G12127" t="n">
        <v>4.6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40096-2024</t>
        </is>
      </c>
      <c r="B12128" s="1" t="n">
        <v>45554</v>
      </c>
      <c r="C12128" s="1" t="n">
        <v>45587</v>
      </c>
      <c r="D12128" t="inlineStr">
        <is>
          <t>GÄVLEBORGS LÄN</t>
        </is>
      </c>
      <c r="E12128" t="inlineStr">
        <is>
          <t>HUDIKSVALL</t>
        </is>
      </c>
      <c r="G12128" t="n">
        <v>2.8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40104-2024</t>
        </is>
      </c>
      <c r="B12129" s="1" t="n">
        <v>45554</v>
      </c>
      <c r="C12129" s="1" t="n">
        <v>45587</v>
      </c>
      <c r="D12129" t="inlineStr">
        <is>
          <t>GÄVLEBORGS LÄN</t>
        </is>
      </c>
      <c r="E12129" t="inlineStr">
        <is>
          <t>NORDANSTIG</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40112-2024</t>
        </is>
      </c>
      <c r="B12130" s="1" t="n">
        <v>45554</v>
      </c>
      <c r="C12130" s="1" t="n">
        <v>45587</v>
      </c>
      <c r="D12130" t="inlineStr">
        <is>
          <t>GÄVLEBORGS LÄN</t>
        </is>
      </c>
      <c r="E12130" t="inlineStr">
        <is>
          <t>OCKELBO</t>
        </is>
      </c>
      <c r="G12130" t="n">
        <v>17.7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40078-2024</t>
        </is>
      </c>
      <c r="B12131" s="1" t="n">
        <v>45554</v>
      </c>
      <c r="C12131" s="1" t="n">
        <v>45587</v>
      </c>
      <c r="D12131" t="inlineStr">
        <is>
          <t>GÄVLEBORGS LÄN</t>
        </is>
      </c>
      <c r="E12131" t="inlineStr">
        <is>
          <t>NORDANSTIG</t>
        </is>
      </c>
      <c r="G12131" t="n">
        <v>0.3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40098-2024</t>
        </is>
      </c>
      <c r="B12132" s="1" t="n">
        <v>45554</v>
      </c>
      <c r="C12132" s="1" t="n">
        <v>45587</v>
      </c>
      <c r="D12132" t="inlineStr">
        <is>
          <t>GÄVLEBORGS LÄN</t>
        </is>
      </c>
      <c r="E12132" t="inlineStr">
        <is>
          <t>LJUSDAL</t>
        </is>
      </c>
      <c r="G12132" t="n">
        <v>4.4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40102-2024</t>
        </is>
      </c>
      <c r="B12133" s="1" t="n">
        <v>45554</v>
      </c>
      <c r="C12133" s="1" t="n">
        <v>45587</v>
      </c>
      <c r="D12133" t="inlineStr">
        <is>
          <t>GÄVLEBORGS LÄN</t>
        </is>
      </c>
      <c r="E12133" t="inlineStr">
        <is>
          <t>HUDIKSVALL</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40106-2024</t>
        </is>
      </c>
      <c r="B12134" s="1" t="n">
        <v>45554</v>
      </c>
      <c r="C12134" s="1" t="n">
        <v>45587</v>
      </c>
      <c r="D12134" t="inlineStr">
        <is>
          <t>GÄVLEBORGS LÄN</t>
        </is>
      </c>
      <c r="E12134" t="inlineStr">
        <is>
          <t>LJUSDAL</t>
        </is>
      </c>
      <c r="G12134" t="n">
        <v>4.4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40243-2024</t>
        </is>
      </c>
      <c r="B12135" s="1" t="n">
        <v>45554</v>
      </c>
      <c r="C12135" s="1" t="n">
        <v>45587</v>
      </c>
      <c r="D12135" t="inlineStr">
        <is>
          <t>GÄVLEBORGS LÄN</t>
        </is>
      </c>
      <c r="E12135" t="inlineStr">
        <is>
          <t>OCKELBO</t>
        </is>
      </c>
      <c r="F12135" t="inlineStr">
        <is>
          <t>Bergvik skog väst AB</t>
        </is>
      </c>
      <c r="G12135" t="n">
        <v>14.8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40245-2024</t>
        </is>
      </c>
      <c r="B12136" s="1" t="n">
        <v>45554</v>
      </c>
      <c r="C12136" s="1" t="n">
        <v>45587</v>
      </c>
      <c r="D12136" t="inlineStr">
        <is>
          <t>GÄVLEBORGS LÄN</t>
        </is>
      </c>
      <c r="E12136" t="inlineStr">
        <is>
          <t>OCKELBO</t>
        </is>
      </c>
      <c r="F12136" t="inlineStr">
        <is>
          <t>Bergvik skog väst AB</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40321-2024</t>
        </is>
      </c>
      <c r="B12137" s="1" t="n">
        <v>45554</v>
      </c>
      <c r="C12137" s="1" t="n">
        <v>45587</v>
      </c>
      <c r="D12137" t="inlineStr">
        <is>
          <t>GÄVLEBORGS LÄN</t>
        </is>
      </c>
      <c r="E12137" t="inlineStr">
        <is>
          <t>HUDIKSVALL</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40073-2024</t>
        </is>
      </c>
      <c r="B12138" s="1" t="n">
        <v>45554</v>
      </c>
      <c r="C12138" s="1" t="n">
        <v>45587</v>
      </c>
      <c r="D12138" t="inlineStr">
        <is>
          <t>GÄVLEBORGS LÄN</t>
        </is>
      </c>
      <c r="E12138" t="inlineStr">
        <is>
          <t>HUDIKSVALL</t>
        </is>
      </c>
      <c r="F12138" t="inlineStr">
        <is>
          <t>Naturvårdsverket</t>
        </is>
      </c>
      <c r="G12138" t="n">
        <v>4.1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40097-2024</t>
        </is>
      </c>
      <c r="B12139" s="1" t="n">
        <v>45554</v>
      </c>
      <c r="C12139" s="1" t="n">
        <v>45587</v>
      </c>
      <c r="D12139" t="inlineStr">
        <is>
          <t>GÄVLEBORGS LÄN</t>
        </is>
      </c>
      <c r="E12139" t="inlineStr">
        <is>
          <t>SÖDERHAMN</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40105-2024</t>
        </is>
      </c>
      <c r="B12140" s="1" t="n">
        <v>45554</v>
      </c>
      <c r="C12140" s="1" t="n">
        <v>45587</v>
      </c>
      <c r="D12140" t="inlineStr">
        <is>
          <t>GÄVLEBORGS LÄN</t>
        </is>
      </c>
      <c r="E12140" t="inlineStr">
        <is>
          <t>SANDVIKEN</t>
        </is>
      </c>
      <c r="G12140" t="n">
        <v>5.9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40177-2024</t>
        </is>
      </c>
      <c r="B12141" s="1" t="n">
        <v>45554</v>
      </c>
      <c r="C12141" s="1" t="n">
        <v>45587</v>
      </c>
      <c r="D12141" t="inlineStr">
        <is>
          <t>GÄVLEBORGS LÄN</t>
        </is>
      </c>
      <c r="E12141" t="inlineStr">
        <is>
          <t>HUDIKSVALL</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40281-2024</t>
        </is>
      </c>
      <c r="B12142" s="1" t="n">
        <v>45554</v>
      </c>
      <c r="C12142" s="1" t="n">
        <v>45587</v>
      </c>
      <c r="D12142" t="inlineStr">
        <is>
          <t>GÄVLEBORGS LÄN</t>
        </is>
      </c>
      <c r="E12142" t="inlineStr">
        <is>
          <t>OCKELBO</t>
        </is>
      </c>
      <c r="F12142" t="inlineStr">
        <is>
          <t>Bergvik skog väst AB</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40071-2024</t>
        </is>
      </c>
      <c r="B12143" s="1" t="n">
        <v>45554</v>
      </c>
      <c r="C12143" s="1" t="n">
        <v>45587</v>
      </c>
      <c r="D12143" t="inlineStr">
        <is>
          <t>GÄVLEBORGS LÄN</t>
        </is>
      </c>
      <c r="E12143" t="inlineStr">
        <is>
          <t>GÄVLE</t>
        </is>
      </c>
      <c r="F12143" t="inlineStr">
        <is>
          <t>Bergvik skog öst AB</t>
        </is>
      </c>
      <c r="G12143" t="n">
        <v>2.9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40196-2024</t>
        </is>
      </c>
      <c r="B12144" s="1" t="n">
        <v>45554</v>
      </c>
      <c r="C12144" s="1" t="n">
        <v>45587</v>
      </c>
      <c r="D12144" t="inlineStr">
        <is>
          <t>GÄVLEBORGS LÄN</t>
        </is>
      </c>
      <c r="E12144" t="inlineStr">
        <is>
          <t>OCKELBO</t>
        </is>
      </c>
      <c r="F12144" t="inlineStr">
        <is>
          <t>Bergvik skog väst AB</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40259-2024</t>
        </is>
      </c>
      <c r="B12145" s="1" t="n">
        <v>45554</v>
      </c>
      <c r="C12145" s="1" t="n">
        <v>45587</v>
      </c>
      <c r="D12145" t="inlineStr">
        <is>
          <t>GÄVLEBORGS LÄN</t>
        </is>
      </c>
      <c r="E12145" t="inlineStr">
        <is>
          <t>SANDVIKEN</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40283-2024</t>
        </is>
      </c>
      <c r="B12146" s="1" t="n">
        <v>45554</v>
      </c>
      <c r="C12146" s="1" t="n">
        <v>45587</v>
      </c>
      <c r="D12146" t="inlineStr">
        <is>
          <t>GÄVLEBORGS LÄN</t>
        </is>
      </c>
      <c r="E12146" t="inlineStr">
        <is>
          <t>OCKELBO</t>
        </is>
      </c>
      <c r="F12146" t="inlineStr">
        <is>
          <t>Bergvik skog väst AB</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40318-2024</t>
        </is>
      </c>
      <c r="B12147" s="1" t="n">
        <v>45554</v>
      </c>
      <c r="C12147" s="1" t="n">
        <v>45587</v>
      </c>
      <c r="D12147" t="inlineStr">
        <is>
          <t>GÄVLEBORGS LÄN</t>
        </is>
      </c>
      <c r="E12147" t="inlineStr">
        <is>
          <t>LJUSDAL</t>
        </is>
      </c>
      <c r="G12147" t="n">
        <v>7.1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40364-2024</t>
        </is>
      </c>
      <c r="B12148" s="1" t="n">
        <v>45555</v>
      </c>
      <c r="C12148" s="1" t="n">
        <v>45587</v>
      </c>
      <c r="D12148" t="inlineStr">
        <is>
          <t>GÄVLEBORGS LÄN</t>
        </is>
      </c>
      <c r="E12148" t="inlineStr">
        <is>
          <t>HUDIKSVALL</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40332-2024</t>
        </is>
      </c>
      <c r="B12149" s="1" t="n">
        <v>45555</v>
      </c>
      <c r="C12149" s="1" t="n">
        <v>45587</v>
      </c>
      <c r="D12149" t="inlineStr">
        <is>
          <t>GÄVLEBORGS LÄN</t>
        </is>
      </c>
      <c r="E12149" t="inlineStr">
        <is>
          <t>HUDIKSVALL</t>
        </is>
      </c>
      <c r="F12149" t="inlineStr">
        <is>
          <t>Naturvårdsverket</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40336-2024</t>
        </is>
      </c>
      <c r="B12150" s="1" t="n">
        <v>45555</v>
      </c>
      <c r="C12150" s="1" t="n">
        <v>45587</v>
      </c>
      <c r="D12150" t="inlineStr">
        <is>
          <t>GÄVLEBORGS LÄN</t>
        </is>
      </c>
      <c r="E12150" t="inlineStr">
        <is>
          <t>BOLLNÄS</t>
        </is>
      </c>
      <c r="F12150" t="inlineStr">
        <is>
          <t>Bergvik skog väst AB</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40453-2024</t>
        </is>
      </c>
      <c r="B12151" s="1" t="n">
        <v>45555</v>
      </c>
      <c r="C12151" s="1" t="n">
        <v>45587</v>
      </c>
      <c r="D12151" t="inlineStr">
        <is>
          <t>GÄVLEBORGS LÄN</t>
        </is>
      </c>
      <c r="E12151" t="inlineStr">
        <is>
          <t>BOLLNÄS</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40460-2024</t>
        </is>
      </c>
      <c r="B12152" s="1" t="n">
        <v>45555</v>
      </c>
      <c r="C12152" s="1" t="n">
        <v>45587</v>
      </c>
      <c r="D12152" t="inlineStr">
        <is>
          <t>GÄVLEBORGS LÄN</t>
        </is>
      </c>
      <c r="E12152" t="inlineStr">
        <is>
          <t>SANDVIKEN</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40477-2024</t>
        </is>
      </c>
      <c r="B12153" s="1" t="n">
        <v>45555</v>
      </c>
      <c r="C12153" s="1" t="n">
        <v>45587</v>
      </c>
      <c r="D12153" t="inlineStr">
        <is>
          <t>GÄVLEBORGS LÄN</t>
        </is>
      </c>
      <c r="E12153" t="inlineStr">
        <is>
          <t>NORDANSTIG</t>
        </is>
      </c>
      <c r="G12153" t="n">
        <v>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40481-2024</t>
        </is>
      </c>
      <c r="B12154" s="1" t="n">
        <v>45555</v>
      </c>
      <c r="C12154" s="1" t="n">
        <v>45587</v>
      </c>
      <c r="D12154" t="inlineStr">
        <is>
          <t>GÄVLEBORGS LÄN</t>
        </is>
      </c>
      <c r="E12154" t="inlineStr">
        <is>
          <t>BOLLNÄS</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40476-2024</t>
        </is>
      </c>
      <c r="B12155" s="1" t="n">
        <v>45555</v>
      </c>
      <c r="C12155" s="1" t="n">
        <v>45587</v>
      </c>
      <c r="D12155" t="inlineStr">
        <is>
          <t>GÄVLEBORGS LÄN</t>
        </is>
      </c>
      <c r="E12155" t="inlineStr">
        <is>
          <t>OVANÅKER</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40480-2024</t>
        </is>
      </c>
      <c r="B12156" s="1" t="n">
        <v>45555</v>
      </c>
      <c r="C12156" s="1" t="n">
        <v>45587</v>
      </c>
      <c r="D12156" t="inlineStr">
        <is>
          <t>GÄVLEBORGS LÄN</t>
        </is>
      </c>
      <c r="E12156" t="inlineStr">
        <is>
          <t>NORDANSTIG</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40520-2024</t>
        </is>
      </c>
      <c r="B12157" s="1" t="n">
        <v>45555</v>
      </c>
      <c r="C12157" s="1" t="n">
        <v>45587</v>
      </c>
      <c r="D12157" t="inlineStr">
        <is>
          <t>GÄVLEBORGS LÄN</t>
        </is>
      </c>
      <c r="E12157" t="inlineStr">
        <is>
          <t>BOLLNÄS</t>
        </is>
      </c>
      <c r="G12157" t="n">
        <v>3.4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40474-2024</t>
        </is>
      </c>
      <c r="B12158" s="1" t="n">
        <v>45555</v>
      </c>
      <c r="C12158" s="1" t="n">
        <v>45587</v>
      </c>
      <c r="D12158" t="inlineStr">
        <is>
          <t>GÄVLEBORGS LÄN</t>
        </is>
      </c>
      <c r="E12158" t="inlineStr">
        <is>
          <t>OVANÅKER</t>
        </is>
      </c>
      <c r="G12158" t="n">
        <v>8.1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40486-2024</t>
        </is>
      </c>
      <c r="B12159" s="1" t="n">
        <v>45555</v>
      </c>
      <c r="C12159" s="1" t="n">
        <v>45587</v>
      </c>
      <c r="D12159" t="inlineStr">
        <is>
          <t>GÄVLEBORGS LÄN</t>
        </is>
      </c>
      <c r="E12159" t="inlineStr">
        <is>
          <t>BOLLNÄS</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40498-2024</t>
        </is>
      </c>
      <c r="B12160" s="1" t="n">
        <v>45555</v>
      </c>
      <c r="C12160" s="1" t="n">
        <v>45587</v>
      </c>
      <c r="D12160" t="inlineStr">
        <is>
          <t>GÄVLEBORGS LÄN</t>
        </is>
      </c>
      <c r="E12160" t="inlineStr">
        <is>
          <t>NORDANSTIG</t>
        </is>
      </c>
      <c r="G12160" t="n">
        <v>12.5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40386-2024</t>
        </is>
      </c>
      <c r="B12161" s="1" t="n">
        <v>45555</v>
      </c>
      <c r="C12161" s="1" t="n">
        <v>45587</v>
      </c>
      <c r="D12161" t="inlineStr">
        <is>
          <t>GÄVLEBORGS LÄN</t>
        </is>
      </c>
      <c r="E12161" t="inlineStr">
        <is>
          <t>BOLLNÄS</t>
        </is>
      </c>
      <c r="F12161" t="inlineStr">
        <is>
          <t>Bergvik skog väst AB</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40402-2024</t>
        </is>
      </c>
      <c r="B12162" s="1" t="n">
        <v>45555</v>
      </c>
      <c r="C12162" s="1" t="n">
        <v>45587</v>
      </c>
      <c r="D12162" t="inlineStr">
        <is>
          <t>GÄVLEBORGS LÄN</t>
        </is>
      </c>
      <c r="E12162" t="inlineStr">
        <is>
          <t>GÄVLE</t>
        </is>
      </c>
      <c r="F12162" t="inlineStr">
        <is>
          <t>Kyrkan</t>
        </is>
      </c>
      <c r="G12162" t="n">
        <v>5.3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40459-2024</t>
        </is>
      </c>
      <c r="B12163" s="1" t="n">
        <v>45555</v>
      </c>
      <c r="C12163" s="1" t="n">
        <v>45587</v>
      </c>
      <c r="D12163" t="inlineStr">
        <is>
          <t>GÄVLEBORGS LÄN</t>
        </is>
      </c>
      <c r="E12163" t="inlineStr">
        <is>
          <t>BOLLNÄS</t>
        </is>
      </c>
      <c r="F12163" t="inlineStr">
        <is>
          <t>Bergvik skog väst AB</t>
        </is>
      </c>
      <c r="G12163" t="n">
        <v>3.2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40479-2024</t>
        </is>
      </c>
      <c r="B12164" s="1" t="n">
        <v>45555</v>
      </c>
      <c r="C12164" s="1" t="n">
        <v>45587</v>
      </c>
      <c r="D12164" t="inlineStr">
        <is>
          <t>GÄVLEBORGS LÄN</t>
        </is>
      </c>
      <c r="E12164" t="inlineStr">
        <is>
          <t>OVANÅKER</t>
        </is>
      </c>
      <c r="G12164" t="n">
        <v>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40487-2024</t>
        </is>
      </c>
      <c r="B12165" s="1" t="n">
        <v>45555</v>
      </c>
      <c r="C12165" s="1" t="n">
        <v>45587</v>
      </c>
      <c r="D12165" t="inlineStr">
        <is>
          <t>GÄVLEBORGS LÄN</t>
        </is>
      </c>
      <c r="E12165" t="inlineStr">
        <is>
          <t>BOLLNÄS</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40507-2024</t>
        </is>
      </c>
      <c r="B12166" s="1" t="n">
        <v>45555</v>
      </c>
      <c r="C12166" s="1" t="n">
        <v>45587</v>
      </c>
      <c r="D12166" t="inlineStr">
        <is>
          <t>GÄVLEBORGS LÄN</t>
        </is>
      </c>
      <c r="E12166" t="inlineStr">
        <is>
          <t>GÄVLE</t>
        </is>
      </c>
      <c r="G12166" t="n">
        <v>2.6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40515-2024</t>
        </is>
      </c>
      <c r="B12167" s="1" t="n">
        <v>45555</v>
      </c>
      <c r="C12167" s="1" t="n">
        <v>45587</v>
      </c>
      <c r="D12167" t="inlineStr">
        <is>
          <t>GÄVLEBORGS LÄN</t>
        </is>
      </c>
      <c r="E12167" t="inlineStr">
        <is>
          <t>GÄVLE</t>
        </is>
      </c>
      <c r="F12167" t="inlineStr">
        <is>
          <t>Bergvik skog öst AB</t>
        </is>
      </c>
      <c r="G12167" t="n">
        <v>4.1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40723-2024</t>
        </is>
      </c>
      <c r="B12168" s="1" t="n">
        <v>45558</v>
      </c>
      <c r="C12168" s="1" t="n">
        <v>45587</v>
      </c>
      <c r="D12168" t="inlineStr">
        <is>
          <t>GÄVLEBORGS LÄN</t>
        </is>
      </c>
      <c r="E12168" t="inlineStr">
        <is>
          <t>HUDIKSVALL</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40745-2024</t>
        </is>
      </c>
      <c r="B12169" s="1" t="n">
        <v>45558</v>
      </c>
      <c r="C12169" s="1" t="n">
        <v>45587</v>
      </c>
      <c r="D12169" t="inlineStr">
        <is>
          <t>GÄVLEBORGS LÄN</t>
        </is>
      </c>
      <c r="E12169" t="inlineStr">
        <is>
          <t>SANDVIKEN</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40794-2024</t>
        </is>
      </c>
      <c r="B12170" s="1" t="n">
        <v>45558</v>
      </c>
      <c r="C12170" s="1" t="n">
        <v>45587</v>
      </c>
      <c r="D12170" t="inlineStr">
        <is>
          <t>GÄVLEBORGS LÄN</t>
        </is>
      </c>
      <c r="E12170" t="inlineStr">
        <is>
          <t>OCKELBO</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40863-2024</t>
        </is>
      </c>
      <c r="B12171" s="1" t="n">
        <v>45558</v>
      </c>
      <c r="C12171" s="1" t="n">
        <v>45587</v>
      </c>
      <c r="D12171" t="inlineStr">
        <is>
          <t>GÄVLEBORGS LÄN</t>
        </is>
      </c>
      <c r="E12171" t="inlineStr">
        <is>
          <t>HOFORS</t>
        </is>
      </c>
      <c r="F12171" t="inlineStr">
        <is>
          <t>Sveaskog</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40637-2024</t>
        </is>
      </c>
      <c r="B12172" s="1" t="n">
        <v>45558</v>
      </c>
      <c r="C12172" s="1" t="n">
        <v>45587</v>
      </c>
      <c r="D12172" t="inlineStr">
        <is>
          <t>GÄVLEBORGS LÄN</t>
        </is>
      </c>
      <c r="E12172" t="inlineStr">
        <is>
          <t>NORDANSTIG</t>
        </is>
      </c>
      <c r="F12172" t="inlineStr">
        <is>
          <t>Holmen skog AB</t>
        </is>
      </c>
      <c r="G12172" t="n">
        <v>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40641-2024</t>
        </is>
      </c>
      <c r="B12173" s="1" t="n">
        <v>45558</v>
      </c>
      <c r="C12173" s="1" t="n">
        <v>45587</v>
      </c>
      <c r="D12173" t="inlineStr">
        <is>
          <t>GÄVLEBORGS LÄN</t>
        </is>
      </c>
      <c r="E12173" t="inlineStr">
        <is>
          <t>NORDANSTIG</t>
        </is>
      </c>
      <c r="F12173" t="inlineStr">
        <is>
          <t>Holmen skog AB</t>
        </is>
      </c>
      <c r="G12173" t="n">
        <v>15.7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40793-2024</t>
        </is>
      </c>
      <c r="B12174" s="1" t="n">
        <v>45558</v>
      </c>
      <c r="C12174" s="1" t="n">
        <v>45587</v>
      </c>
      <c r="D12174" t="inlineStr">
        <is>
          <t>GÄVLEBORGS LÄN</t>
        </is>
      </c>
      <c r="E12174" t="inlineStr">
        <is>
          <t>SÖDERHAMN</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40886-2024</t>
        </is>
      </c>
      <c r="B12175" s="1" t="n">
        <v>45558</v>
      </c>
      <c r="C12175" s="1" t="n">
        <v>45587</v>
      </c>
      <c r="D12175" t="inlineStr">
        <is>
          <t>GÄVLEBORGS LÄN</t>
        </is>
      </c>
      <c r="E12175" t="inlineStr">
        <is>
          <t>OVANÅKER</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40907-2024</t>
        </is>
      </c>
      <c r="B12176" s="1" t="n">
        <v>45558</v>
      </c>
      <c r="C12176" s="1" t="n">
        <v>45587</v>
      </c>
      <c r="D12176" t="inlineStr">
        <is>
          <t>GÄVLEBORGS LÄN</t>
        </is>
      </c>
      <c r="E12176" t="inlineStr">
        <is>
          <t>LJUSDAL</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40928-2024</t>
        </is>
      </c>
      <c r="B12177" s="1" t="n">
        <v>45558</v>
      </c>
      <c r="C12177" s="1" t="n">
        <v>45587</v>
      </c>
      <c r="D12177" t="inlineStr">
        <is>
          <t>GÄVLEBORGS LÄN</t>
        </is>
      </c>
      <c r="E12177" t="inlineStr">
        <is>
          <t>BOLLNÄS</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40861-2024</t>
        </is>
      </c>
      <c r="B12178" s="1" t="n">
        <v>45558</v>
      </c>
      <c r="C12178" s="1" t="n">
        <v>45587</v>
      </c>
      <c r="D12178" t="inlineStr">
        <is>
          <t>GÄVLEBORGS LÄN</t>
        </is>
      </c>
      <c r="E12178" t="inlineStr">
        <is>
          <t>HOFORS</t>
        </is>
      </c>
      <c r="F12178" t="inlineStr">
        <is>
          <t>Sveaskog</t>
        </is>
      </c>
      <c r="G12178" t="n">
        <v>19.5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40945-2024</t>
        </is>
      </c>
      <c r="B12179" s="1" t="n">
        <v>45558</v>
      </c>
      <c r="C12179" s="1" t="n">
        <v>45587</v>
      </c>
      <c r="D12179" t="inlineStr">
        <is>
          <t>GÄVLEBORGS LÄN</t>
        </is>
      </c>
      <c r="E12179" t="inlineStr">
        <is>
          <t>OVANÅKER</t>
        </is>
      </c>
      <c r="G12179" t="n">
        <v>3.8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40953-2024</t>
        </is>
      </c>
      <c r="B12180" s="1" t="n">
        <v>45558</v>
      </c>
      <c r="C12180" s="1" t="n">
        <v>45587</v>
      </c>
      <c r="D12180" t="inlineStr">
        <is>
          <t>GÄVLEBORGS LÄN</t>
        </is>
      </c>
      <c r="E12180" t="inlineStr">
        <is>
          <t>OVANÅKER</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40942-2024</t>
        </is>
      </c>
      <c r="B12181" s="1" t="n">
        <v>45558</v>
      </c>
      <c r="C12181" s="1" t="n">
        <v>45587</v>
      </c>
      <c r="D12181" t="inlineStr">
        <is>
          <t>GÄVLEBORGS LÄN</t>
        </is>
      </c>
      <c r="E12181" t="inlineStr">
        <is>
          <t>OVANÅKER</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40946-2024</t>
        </is>
      </c>
      <c r="B12182" s="1" t="n">
        <v>45558</v>
      </c>
      <c r="C12182" s="1" t="n">
        <v>45587</v>
      </c>
      <c r="D12182" t="inlineStr">
        <is>
          <t>GÄVLEBORGS LÄN</t>
        </is>
      </c>
      <c r="E12182" t="inlineStr">
        <is>
          <t>BOLLNÄS</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40979-2024</t>
        </is>
      </c>
      <c r="B12183" s="1" t="n">
        <v>45558</v>
      </c>
      <c r="C12183" s="1" t="n">
        <v>45587</v>
      </c>
      <c r="D12183" t="inlineStr">
        <is>
          <t>GÄVLEBORGS LÄN</t>
        </is>
      </c>
      <c r="E12183" t="inlineStr">
        <is>
          <t>LJUSDAL</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41100-2024</t>
        </is>
      </c>
      <c r="B12184" s="1" t="n">
        <v>45559</v>
      </c>
      <c r="C12184" s="1" t="n">
        <v>45587</v>
      </c>
      <c r="D12184" t="inlineStr">
        <is>
          <t>GÄVLEBORGS LÄN</t>
        </is>
      </c>
      <c r="E12184" t="inlineStr">
        <is>
          <t>GÄVLE</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41117-2024</t>
        </is>
      </c>
      <c r="B12185" s="1" t="n">
        <v>45559</v>
      </c>
      <c r="C12185" s="1" t="n">
        <v>45587</v>
      </c>
      <c r="D12185" t="inlineStr">
        <is>
          <t>GÄVLEBORGS LÄN</t>
        </is>
      </c>
      <c r="E12185" t="inlineStr">
        <is>
          <t>GÄVLE</t>
        </is>
      </c>
      <c r="G12185" t="n">
        <v>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41171-2024</t>
        </is>
      </c>
      <c r="B12186" s="1" t="n">
        <v>45559</v>
      </c>
      <c r="C12186" s="1" t="n">
        <v>45587</v>
      </c>
      <c r="D12186" t="inlineStr">
        <is>
          <t>GÄVLEBORGS LÄN</t>
        </is>
      </c>
      <c r="E12186" t="inlineStr">
        <is>
          <t>GÄVLE</t>
        </is>
      </c>
      <c r="F12186" t="inlineStr">
        <is>
          <t>Bergvik skog öst AB</t>
        </is>
      </c>
      <c r="G12186" t="n">
        <v>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41179-2024</t>
        </is>
      </c>
      <c r="B12187" s="1" t="n">
        <v>45559</v>
      </c>
      <c r="C12187" s="1" t="n">
        <v>45587</v>
      </c>
      <c r="D12187" t="inlineStr">
        <is>
          <t>GÄVLEBORGS LÄN</t>
        </is>
      </c>
      <c r="E12187" t="inlineStr">
        <is>
          <t>SANDVIKEN</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41183-2024</t>
        </is>
      </c>
      <c r="B12188" s="1" t="n">
        <v>45559</v>
      </c>
      <c r="C12188" s="1" t="n">
        <v>45587</v>
      </c>
      <c r="D12188" t="inlineStr">
        <is>
          <t>GÄVLEBORGS LÄN</t>
        </is>
      </c>
      <c r="E12188" t="inlineStr">
        <is>
          <t>SANDVIKEN</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41191-2024</t>
        </is>
      </c>
      <c r="B12189" s="1" t="n">
        <v>45559</v>
      </c>
      <c r="C12189" s="1" t="n">
        <v>45587</v>
      </c>
      <c r="D12189" t="inlineStr">
        <is>
          <t>GÄVLEBORGS LÄN</t>
        </is>
      </c>
      <c r="E12189" t="inlineStr">
        <is>
          <t>HUDIKSVALL</t>
        </is>
      </c>
      <c r="F12189" t="inlineStr">
        <is>
          <t>Holmen skog AB</t>
        </is>
      </c>
      <c r="G12189" t="n">
        <v>15.7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41208-2024</t>
        </is>
      </c>
      <c r="B12190" s="1" t="n">
        <v>45559</v>
      </c>
      <c r="C12190" s="1" t="n">
        <v>45587</v>
      </c>
      <c r="D12190" t="inlineStr">
        <is>
          <t>GÄVLEBORGS LÄN</t>
        </is>
      </c>
      <c r="E12190" t="inlineStr">
        <is>
          <t>NORDANSTIG</t>
        </is>
      </c>
      <c r="G12190" t="n">
        <v>23.3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41207-2024</t>
        </is>
      </c>
      <c r="B12191" s="1" t="n">
        <v>45559</v>
      </c>
      <c r="C12191" s="1" t="n">
        <v>45587</v>
      </c>
      <c r="D12191" t="inlineStr">
        <is>
          <t>GÄVLEBORGS LÄN</t>
        </is>
      </c>
      <c r="E12191" t="inlineStr">
        <is>
          <t>NORDANSTIG</t>
        </is>
      </c>
      <c r="G12191" t="n">
        <v>3.2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41249-2024</t>
        </is>
      </c>
      <c r="B12192" s="1" t="n">
        <v>45559</v>
      </c>
      <c r="C12192" s="1" t="n">
        <v>45587</v>
      </c>
      <c r="D12192" t="inlineStr">
        <is>
          <t>GÄVLEBORGS LÄN</t>
        </is>
      </c>
      <c r="E12192" t="inlineStr">
        <is>
          <t>HUDIKSVALL</t>
        </is>
      </c>
      <c r="F12192" t="inlineStr">
        <is>
          <t>Holmen skog AB</t>
        </is>
      </c>
      <c r="G12192" t="n">
        <v>16.3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41074-2024</t>
        </is>
      </c>
      <c r="B12193" s="1" t="n">
        <v>45559</v>
      </c>
      <c r="C12193" s="1" t="n">
        <v>45587</v>
      </c>
      <c r="D12193" t="inlineStr">
        <is>
          <t>GÄVLEBORGS LÄN</t>
        </is>
      </c>
      <c r="E12193" t="inlineStr">
        <is>
          <t>OCKELBO</t>
        </is>
      </c>
      <c r="F12193" t="inlineStr">
        <is>
          <t>Bergvik skog väst AB</t>
        </is>
      </c>
      <c r="G12193" t="n">
        <v>11.2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41094-2024</t>
        </is>
      </c>
      <c r="B12194" s="1" t="n">
        <v>45559</v>
      </c>
      <c r="C12194" s="1" t="n">
        <v>45587</v>
      </c>
      <c r="D12194" t="inlineStr">
        <is>
          <t>GÄVLEBORGS LÄN</t>
        </is>
      </c>
      <c r="E12194" t="inlineStr">
        <is>
          <t>LJUSDAL</t>
        </is>
      </c>
      <c r="G12194" t="n">
        <v>5.5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41098-2024</t>
        </is>
      </c>
      <c r="B12195" s="1" t="n">
        <v>45559</v>
      </c>
      <c r="C12195" s="1" t="n">
        <v>45587</v>
      </c>
      <c r="D12195" t="inlineStr">
        <is>
          <t>GÄVLEBORGS LÄN</t>
        </is>
      </c>
      <c r="E12195" t="inlineStr">
        <is>
          <t>GÄVLE</t>
        </is>
      </c>
      <c r="G12195" t="n">
        <v>3.7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41168-2024</t>
        </is>
      </c>
      <c r="B12196" s="1" t="n">
        <v>45559</v>
      </c>
      <c r="C12196" s="1" t="n">
        <v>45587</v>
      </c>
      <c r="D12196" t="inlineStr">
        <is>
          <t>GÄVLEBORGS LÄN</t>
        </is>
      </c>
      <c r="E12196" t="inlineStr">
        <is>
          <t>HUDIKSVALL</t>
        </is>
      </c>
      <c r="G12196" t="n">
        <v>5.5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41194-2024</t>
        </is>
      </c>
      <c r="B12197" s="1" t="n">
        <v>45559</v>
      </c>
      <c r="C12197" s="1" t="n">
        <v>45587</v>
      </c>
      <c r="D12197" t="inlineStr">
        <is>
          <t>GÄVLEBORGS LÄN</t>
        </is>
      </c>
      <c r="E12197" t="inlineStr">
        <is>
          <t>LJUSDAL</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41230-2024</t>
        </is>
      </c>
      <c r="B12198" s="1" t="n">
        <v>45559</v>
      </c>
      <c r="C12198" s="1" t="n">
        <v>45587</v>
      </c>
      <c r="D12198" t="inlineStr">
        <is>
          <t>GÄVLEBORGS LÄN</t>
        </is>
      </c>
      <c r="E12198" t="inlineStr">
        <is>
          <t>HUDIKSVALL</t>
        </is>
      </c>
      <c r="F12198" t="inlineStr">
        <is>
          <t>Holmen skog AB</t>
        </is>
      </c>
      <c r="G12198" t="n">
        <v>5.9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41357-2024</t>
        </is>
      </c>
      <c r="B12199" s="1" t="n">
        <v>45559</v>
      </c>
      <c r="C12199" s="1" t="n">
        <v>45587</v>
      </c>
      <c r="D12199" t="inlineStr">
        <is>
          <t>GÄVLEBORGS LÄN</t>
        </is>
      </c>
      <c r="E12199" t="inlineStr">
        <is>
          <t>SANDVIKEN</t>
        </is>
      </c>
      <c r="G12199" t="n">
        <v>4.3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41167-2024</t>
        </is>
      </c>
      <c r="B12200" s="1" t="n">
        <v>45559</v>
      </c>
      <c r="C12200" s="1" t="n">
        <v>45587</v>
      </c>
      <c r="D12200" t="inlineStr">
        <is>
          <t>GÄVLEBORGS LÄN</t>
        </is>
      </c>
      <c r="E12200" t="inlineStr">
        <is>
          <t>LJUSDAL</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41197-2024</t>
        </is>
      </c>
      <c r="B12201" s="1" t="n">
        <v>45559</v>
      </c>
      <c r="C12201" s="1" t="n">
        <v>45587</v>
      </c>
      <c r="D12201" t="inlineStr">
        <is>
          <t>GÄVLEBORGS LÄN</t>
        </is>
      </c>
      <c r="E12201" t="inlineStr">
        <is>
          <t>SÖDERHAMN</t>
        </is>
      </c>
      <c r="G12201" t="n">
        <v>9.1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41254-2024</t>
        </is>
      </c>
      <c r="B12202" s="1" t="n">
        <v>45559</v>
      </c>
      <c r="C12202" s="1" t="n">
        <v>45587</v>
      </c>
      <c r="D12202" t="inlineStr">
        <is>
          <t>GÄVLEBORGS LÄN</t>
        </is>
      </c>
      <c r="E12202" t="inlineStr">
        <is>
          <t>HUDIKSVALL</t>
        </is>
      </c>
      <c r="F12202" t="inlineStr">
        <is>
          <t>Holmen skog AB</t>
        </is>
      </c>
      <c r="G12202" t="n">
        <v>6.4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41258-2024</t>
        </is>
      </c>
      <c r="B12203" s="1" t="n">
        <v>45559</v>
      </c>
      <c r="C12203" s="1" t="n">
        <v>45587</v>
      </c>
      <c r="D12203" t="inlineStr">
        <is>
          <t>GÄVLEBORGS LÄN</t>
        </is>
      </c>
      <c r="E12203" t="inlineStr">
        <is>
          <t>HUDIKSVALL</t>
        </is>
      </c>
      <c r="F12203" t="inlineStr">
        <is>
          <t>Holmen skog AB</t>
        </is>
      </c>
      <c r="G12203" t="n">
        <v>8.4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41318-2024</t>
        </is>
      </c>
      <c r="B12204" s="1" t="n">
        <v>45559</v>
      </c>
      <c r="C12204" s="1" t="n">
        <v>45587</v>
      </c>
      <c r="D12204" t="inlineStr">
        <is>
          <t>GÄVLEBORGS LÄN</t>
        </is>
      </c>
      <c r="E12204" t="inlineStr">
        <is>
          <t>NORDANSTIG</t>
        </is>
      </c>
      <c r="F12204" t="inlineStr">
        <is>
          <t>Holmen skog AB</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41383-2024</t>
        </is>
      </c>
      <c r="B12205" s="1" t="n">
        <v>45560</v>
      </c>
      <c r="C12205" s="1" t="n">
        <v>45587</v>
      </c>
      <c r="D12205" t="inlineStr">
        <is>
          <t>GÄVLEBORGS LÄN</t>
        </is>
      </c>
      <c r="E12205" t="inlineStr">
        <is>
          <t>SANDVIKEN</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41385-2024</t>
        </is>
      </c>
      <c r="B12206" s="1" t="n">
        <v>45560</v>
      </c>
      <c r="C12206" s="1" t="n">
        <v>45587</v>
      </c>
      <c r="D12206" t="inlineStr">
        <is>
          <t>GÄVLEBORGS LÄN</t>
        </is>
      </c>
      <c r="E12206" t="inlineStr">
        <is>
          <t>LJUSDAL</t>
        </is>
      </c>
      <c r="G12206" t="n">
        <v>3.4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41453-2024</t>
        </is>
      </c>
      <c r="B12207" s="1" t="n">
        <v>45560</v>
      </c>
      <c r="C12207" s="1" t="n">
        <v>45587</v>
      </c>
      <c r="D12207" t="inlineStr">
        <is>
          <t>GÄVLEBORGS LÄN</t>
        </is>
      </c>
      <c r="E12207" t="inlineStr">
        <is>
          <t>GÄVLE</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41521-2024</t>
        </is>
      </c>
      <c r="B12208" s="1" t="n">
        <v>45560</v>
      </c>
      <c r="C12208" s="1" t="n">
        <v>45587</v>
      </c>
      <c r="D12208" t="inlineStr">
        <is>
          <t>GÄVLEBORGS LÄN</t>
        </is>
      </c>
      <c r="E12208" t="inlineStr">
        <is>
          <t>HUDIKSVALL</t>
        </is>
      </c>
      <c r="F12208" t="inlineStr">
        <is>
          <t>Holmen skog AB</t>
        </is>
      </c>
      <c r="G12208" t="n">
        <v>0.4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41525-2024</t>
        </is>
      </c>
      <c r="B12209" s="1" t="n">
        <v>45560</v>
      </c>
      <c r="C12209" s="1" t="n">
        <v>45587</v>
      </c>
      <c r="D12209" t="inlineStr">
        <is>
          <t>GÄVLEBORGS LÄN</t>
        </is>
      </c>
      <c r="E12209" t="inlineStr">
        <is>
          <t>GÄVLE</t>
        </is>
      </c>
      <c r="G12209" t="n">
        <v>2.9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41547-2024</t>
        </is>
      </c>
      <c r="B12210" s="1" t="n">
        <v>45560</v>
      </c>
      <c r="C12210" s="1" t="n">
        <v>45587</v>
      </c>
      <c r="D12210" t="inlineStr">
        <is>
          <t>GÄVLEBORGS LÄN</t>
        </is>
      </c>
      <c r="E12210" t="inlineStr">
        <is>
          <t>OVANÅKER</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41555-2024</t>
        </is>
      </c>
      <c r="B12211" s="1" t="n">
        <v>45560</v>
      </c>
      <c r="C12211" s="1" t="n">
        <v>45587</v>
      </c>
      <c r="D12211" t="inlineStr">
        <is>
          <t>GÄVLEBORGS LÄN</t>
        </is>
      </c>
      <c r="E12211" t="inlineStr">
        <is>
          <t>HUDIKSVALL</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41559-2024</t>
        </is>
      </c>
      <c r="B12212" s="1" t="n">
        <v>45560</v>
      </c>
      <c r="C12212" s="1" t="n">
        <v>45587</v>
      </c>
      <c r="D12212" t="inlineStr">
        <is>
          <t>GÄVLEBORGS LÄN</t>
        </is>
      </c>
      <c r="E12212" t="inlineStr">
        <is>
          <t>LJUSDAL</t>
        </is>
      </c>
      <c r="F12212" t="inlineStr">
        <is>
          <t>Bergvik skog väst AB</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41546-2024</t>
        </is>
      </c>
      <c r="B12213" s="1" t="n">
        <v>45560</v>
      </c>
      <c r="C12213" s="1" t="n">
        <v>45587</v>
      </c>
      <c r="D12213" t="inlineStr">
        <is>
          <t>GÄVLEBORGS LÄN</t>
        </is>
      </c>
      <c r="E12213" t="inlineStr">
        <is>
          <t>OVANÅKER</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41591-2024</t>
        </is>
      </c>
      <c r="B12214" s="1" t="n">
        <v>45560</v>
      </c>
      <c r="C12214" s="1" t="n">
        <v>45587</v>
      </c>
      <c r="D12214" t="inlineStr">
        <is>
          <t>GÄVLEBORGS LÄN</t>
        </is>
      </c>
      <c r="E12214" t="inlineStr">
        <is>
          <t>BOLLNÄS</t>
        </is>
      </c>
      <c r="G12214" t="n">
        <v>21.8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41650-2024</t>
        </is>
      </c>
      <c r="B12215" s="1" t="n">
        <v>45560</v>
      </c>
      <c r="C12215" s="1" t="n">
        <v>45587</v>
      </c>
      <c r="D12215" t="inlineStr">
        <is>
          <t>GÄVLEBORGS LÄN</t>
        </is>
      </c>
      <c r="E12215" t="inlineStr">
        <is>
          <t>SÖDERHAMN</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41545-2024</t>
        </is>
      </c>
      <c r="B12216" s="1" t="n">
        <v>45560</v>
      </c>
      <c r="C12216" s="1" t="n">
        <v>45587</v>
      </c>
      <c r="D12216" t="inlineStr">
        <is>
          <t>GÄVLEBORGS LÄN</t>
        </is>
      </c>
      <c r="E12216" t="inlineStr">
        <is>
          <t>OVANÅKER</t>
        </is>
      </c>
      <c r="G12216" t="n">
        <v>0.4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41597-2024</t>
        </is>
      </c>
      <c r="B12217" s="1" t="n">
        <v>45560</v>
      </c>
      <c r="C12217" s="1" t="n">
        <v>45587</v>
      </c>
      <c r="D12217" t="inlineStr">
        <is>
          <t>GÄVLEBORGS LÄN</t>
        </is>
      </c>
      <c r="E12217" t="inlineStr">
        <is>
          <t>BOLLNÄS</t>
        </is>
      </c>
      <c r="G12217" t="n">
        <v>21.8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41649-2024</t>
        </is>
      </c>
      <c r="B12218" s="1" t="n">
        <v>45560</v>
      </c>
      <c r="C12218" s="1" t="n">
        <v>45587</v>
      </c>
      <c r="D12218" t="inlineStr">
        <is>
          <t>GÄVLEBORGS LÄN</t>
        </is>
      </c>
      <c r="E12218" t="inlineStr">
        <is>
          <t>SÖDERHAMN</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41670-2024</t>
        </is>
      </c>
      <c r="B12219" s="1" t="n">
        <v>45560</v>
      </c>
      <c r="C12219" s="1" t="n">
        <v>45587</v>
      </c>
      <c r="D12219" t="inlineStr">
        <is>
          <t>GÄVLEBORGS LÄN</t>
        </is>
      </c>
      <c r="E12219" t="inlineStr">
        <is>
          <t>BOLLNÄS</t>
        </is>
      </c>
      <c r="G12219" t="n">
        <v>11.5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41384-2024</t>
        </is>
      </c>
      <c r="B12220" s="1" t="n">
        <v>45560</v>
      </c>
      <c r="C12220" s="1" t="n">
        <v>45587</v>
      </c>
      <c r="D12220" t="inlineStr">
        <is>
          <t>GÄVLEBORGS LÄN</t>
        </is>
      </c>
      <c r="E12220" t="inlineStr">
        <is>
          <t>SANDVIKEN</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41535-2024</t>
        </is>
      </c>
      <c r="B12221" s="1" t="n">
        <v>45560</v>
      </c>
      <c r="C12221" s="1" t="n">
        <v>45587</v>
      </c>
      <c r="D12221" t="inlineStr">
        <is>
          <t>GÄVLEBORGS LÄN</t>
        </is>
      </c>
      <c r="E12221" t="inlineStr">
        <is>
          <t>HUDIKSVALL</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41608-2024</t>
        </is>
      </c>
      <c r="B12222" s="1" t="n">
        <v>45560</v>
      </c>
      <c r="C12222" s="1" t="n">
        <v>45587</v>
      </c>
      <c r="D12222" t="inlineStr">
        <is>
          <t>GÄVLEBORGS LÄN</t>
        </is>
      </c>
      <c r="E12222" t="inlineStr">
        <is>
          <t>NORDANSTIG</t>
        </is>
      </c>
      <c r="F12222" t="inlineStr">
        <is>
          <t>Holmen skog AB</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41648-2024</t>
        </is>
      </c>
      <c r="B12223" s="1" t="n">
        <v>45560</v>
      </c>
      <c r="C12223" s="1" t="n">
        <v>45587</v>
      </c>
      <c r="D12223" t="inlineStr">
        <is>
          <t>GÄVLEBORGS LÄN</t>
        </is>
      </c>
      <c r="E12223" t="inlineStr">
        <is>
          <t>SÖDERHAMN</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41736-2024</t>
        </is>
      </c>
      <c r="B12224" s="1" t="n">
        <v>45560</v>
      </c>
      <c r="C12224" s="1" t="n">
        <v>45587</v>
      </c>
      <c r="D12224" t="inlineStr">
        <is>
          <t>GÄVLEBORGS LÄN</t>
        </is>
      </c>
      <c r="E12224" t="inlineStr">
        <is>
          <t>BOLLNÄS</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41731-2024</t>
        </is>
      </c>
      <c r="B12225" s="1" t="n">
        <v>45560</v>
      </c>
      <c r="C12225" s="1" t="n">
        <v>45587</v>
      </c>
      <c r="D12225" t="inlineStr">
        <is>
          <t>GÄVLEBORGS LÄN</t>
        </is>
      </c>
      <c r="E12225" t="inlineStr">
        <is>
          <t>LJUSDAL</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41735-2024</t>
        </is>
      </c>
      <c r="B12226" s="1" t="n">
        <v>45560</v>
      </c>
      <c r="C12226" s="1" t="n">
        <v>45587</v>
      </c>
      <c r="D12226" t="inlineStr">
        <is>
          <t>GÄVLEBORGS LÄN</t>
        </is>
      </c>
      <c r="E12226" t="inlineStr">
        <is>
          <t>BOLLNÄS</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41712-2024</t>
        </is>
      </c>
      <c r="B12227" s="1" t="n">
        <v>45560</v>
      </c>
      <c r="C12227" s="1" t="n">
        <v>45587</v>
      </c>
      <c r="D12227" t="inlineStr">
        <is>
          <t>GÄVLEBORGS LÄN</t>
        </is>
      </c>
      <c r="E12227" t="inlineStr">
        <is>
          <t>BOLLNÄS</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41730-2024</t>
        </is>
      </c>
      <c r="B12228" s="1" t="n">
        <v>45560</v>
      </c>
      <c r="C12228" s="1" t="n">
        <v>45587</v>
      </c>
      <c r="D12228" t="inlineStr">
        <is>
          <t>GÄVLEBORGS LÄN</t>
        </is>
      </c>
      <c r="E12228" t="inlineStr">
        <is>
          <t>LJUSDAL</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41734-2024</t>
        </is>
      </c>
      <c r="B12229" s="1" t="n">
        <v>45560</v>
      </c>
      <c r="C12229" s="1" t="n">
        <v>45587</v>
      </c>
      <c r="D12229" t="inlineStr">
        <is>
          <t>GÄVLEBORGS LÄN</t>
        </is>
      </c>
      <c r="E12229" t="inlineStr">
        <is>
          <t>BOLLNÄS</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41750-2024</t>
        </is>
      </c>
      <c r="B12230" s="1" t="n">
        <v>45561</v>
      </c>
      <c r="C12230" s="1" t="n">
        <v>45587</v>
      </c>
      <c r="D12230" t="inlineStr">
        <is>
          <t>GÄVLEBORGS LÄN</t>
        </is>
      </c>
      <c r="E12230" t="inlineStr">
        <is>
          <t>HUDIKSVALL</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41774-2024</t>
        </is>
      </c>
      <c r="B12231" s="1" t="n">
        <v>45561</v>
      </c>
      <c r="C12231" s="1" t="n">
        <v>45587</v>
      </c>
      <c r="D12231" t="inlineStr">
        <is>
          <t>GÄVLEBORGS LÄN</t>
        </is>
      </c>
      <c r="E12231" t="inlineStr">
        <is>
          <t>SÖDERHAMN</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41803-2024</t>
        </is>
      </c>
      <c r="B12232" s="1" t="n">
        <v>45561</v>
      </c>
      <c r="C12232" s="1" t="n">
        <v>45587</v>
      </c>
      <c r="D12232" t="inlineStr">
        <is>
          <t>GÄVLEBORGS LÄN</t>
        </is>
      </c>
      <c r="E12232" t="inlineStr">
        <is>
          <t>LJUSDAL</t>
        </is>
      </c>
      <c r="F12232" t="inlineStr">
        <is>
          <t>Bergvik skog väst AB</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41922-2024</t>
        </is>
      </c>
      <c r="B12233" s="1" t="n">
        <v>45561</v>
      </c>
      <c r="C12233" s="1" t="n">
        <v>45587</v>
      </c>
      <c r="D12233" t="inlineStr">
        <is>
          <t>GÄVLEBORGS LÄN</t>
        </is>
      </c>
      <c r="E12233" t="inlineStr">
        <is>
          <t>LJUSDAL</t>
        </is>
      </c>
      <c r="F12233" t="inlineStr">
        <is>
          <t>Sveaskog</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41801-2024</t>
        </is>
      </c>
      <c r="B12234" s="1" t="n">
        <v>45561</v>
      </c>
      <c r="C12234" s="1" t="n">
        <v>45587</v>
      </c>
      <c r="D12234" t="inlineStr">
        <is>
          <t>GÄVLEBORGS LÄN</t>
        </is>
      </c>
      <c r="E12234" t="inlineStr">
        <is>
          <t>LJUSDAL</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41994-2024</t>
        </is>
      </c>
      <c r="B12235" s="1" t="n">
        <v>45561</v>
      </c>
      <c r="C12235" s="1" t="n">
        <v>45587</v>
      </c>
      <c r="D12235" t="inlineStr">
        <is>
          <t>GÄVLEBORGS LÄN</t>
        </is>
      </c>
      <c r="E12235" t="inlineStr">
        <is>
          <t>LJUSDAL</t>
        </is>
      </c>
      <c r="G12235" t="n">
        <v>0.4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41882-2024</t>
        </is>
      </c>
      <c r="B12236" s="1" t="n">
        <v>45561</v>
      </c>
      <c r="C12236" s="1" t="n">
        <v>45587</v>
      </c>
      <c r="D12236" t="inlineStr">
        <is>
          <t>GÄVLEBORGS LÄN</t>
        </is>
      </c>
      <c r="E12236" t="inlineStr">
        <is>
          <t>LJUSDAL</t>
        </is>
      </c>
      <c r="G12236" t="n">
        <v>11.9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41790-2024</t>
        </is>
      </c>
      <c r="B12237" s="1" t="n">
        <v>45561</v>
      </c>
      <c r="C12237" s="1" t="n">
        <v>45587</v>
      </c>
      <c r="D12237" t="inlineStr">
        <is>
          <t>GÄVLEBORGS LÄN</t>
        </is>
      </c>
      <c r="E12237" t="inlineStr">
        <is>
          <t>SANDVIKEN</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41839-2024</t>
        </is>
      </c>
      <c r="B12238" s="1" t="n">
        <v>45561</v>
      </c>
      <c r="C12238" s="1" t="n">
        <v>45587</v>
      </c>
      <c r="D12238" t="inlineStr">
        <is>
          <t>GÄVLEBORGS LÄN</t>
        </is>
      </c>
      <c r="E12238" t="inlineStr">
        <is>
          <t>HUDIKSVALL</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41863-2024</t>
        </is>
      </c>
      <c r="B12239" s="1" t="n">
        <v>45561</v>
      </c>
      <c r="C12239" s="1" t="n">
        <v>45587</v>
      </c>
      <c r="D12239" t="inlineStr">
        <is>
          <t>GÄVLEBORGS LÄN</t>
        </is>
      </c>
      <c r="E12239" t="inlineStr">
        <is>
          <t>BOLLNÄS</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41879-2024</t>
        </is>
      </c>
      <c r="B12240" s="1" t="n">
        <v>45561</v>
      </c>
      <c r="C12240" s="1" t="n">
        <v>45587</v>
      </c>
      <c r="D12240" t="inlineStr">
        <is>
          <t>GÄVLEBORGS LÄN</t>
        </is>
      </c>
      <c r="E12240" t="inlineStr">
        <is>
          <t>LJUSDAL</t>
        </is>
      </c>
      <c r="G12240" t="n">
        <v>13.1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41985-2024</t>
        </is>
      </c>
      <c r="B12241" s="1" t="n">
        <v>45561</v>
      </c>
      <c r="C12241" s="1" t="n">
        <v>45587</v>
      </c>
      <c r="D12241" t="inlineStr">
        <is>
          <t>GÄVLEBORGS LÄN</t>
        </is>
      </c>
      <c r="E12241" t="inlineStr">
        <is>
          <t>LJUSDAL</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41800-2024</t>
        </is>
      </c>
      <c r="B12242" s="1" t="n">
        <v>45561</v>
      </c>
      <c r="C12242" s="1" t="n">
        <v>45587</v>
      </c>
      <c r="D12242" t="inlineStr">
        <is>
          <t>GÄVLEBORGS LÄN</t>
        </is>
      </c>
      <c r="E12242" t="inlineStr">
        <is>
          <t>SANDVIKEN</t>
        </is>
      </c>
      <c r="G12242" t="n">
        <v>4.8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41857-2024</t>
        </is>
      </c>
      <c r="B12243" s="1" t="n">
        <v>45561</v>
      </c>
      <c r="C12243" s="1" t="n">
        <v>45587</v>
      </c>
      <c r="D12243" t="inlineStr">
        <is>
          <t>GÄVLEBORGS LÄN</t>
        </is>
      </c>
      <c r="E12243" t="inlineStr">
        <is>
          <t>HUDIKSVALL</t>
        </is>
      </c>
      <c r="G12243" t="n">
        <v>2.9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41865-2024</t>
        </is>
      </c>
      <c r="B12244" s="1" t="n">
        <v>45561</v>
      </c>
      <c r="C12244" s="1" t="n">
        <v>45587</v>
      </c>
      <c r="D12244" t="inlineStr">
        <is>
          <t>GÄVLEBORGS LÄN</t>
        </is>
      </c>
      <c r="E12244" t="inlineStr">
        <is>
          <t>BOLLNÄS</t>
        </is>
      </c>
      <c r="G12244" t="n">
        <v>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42035-2024</t>
        </is>
      </c>
      <c r="B12245" s="1" t="n">
        <v>45561</v>
      </c>
      <c r="C12245" s="1" t="n">
        <v>45587</v>
      </c>
      <c r="D12245" t="inlineStr">
        <is>
          <t>GÄVLEBORGS LÄN</t>
        </is>
      </c>
      <c r="E12245" t="inlineStr">
        <is>
          <t>SÖDERHAMN</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42069-2024</t>
        </is>
      </c>
      <c r="B12246" s="1" t="n">
        <v>45562</v>
      </c>
      <c r="C12246" s="1" t="n">
        <v>45587</v>
      </c>
      <c r="D12246" t="inlineStr">
        <is>
          <t>GÄVLEBORGS LÄN</t>
        </is>
      </c>
      <c r="E12246" t="inlineStr">
        <is>
          <t>SANDVIKEN</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42095-2024</t>
        </is>
      </c>
      <c r="B12247" s="1" t="n">
        <v>45562</v>
      </c>
      <c r="C12247" s="1" t="n">
        <v>45587</v>
      </c>
      <c r="D12247" t="inlineStr">
        <is>
          <t>GÄVLEBORGS LÄN</t>
        </is>
      </c>
      <c r="E12247" t="inlineStr">
        <is>
          <t>LJUSDAL</t>
        </is>
      </c>
      <c r="F12247" t="inlineStr">
        <is>
          <t>SCA</t>
        </is>
      </c>
      <c r="G12247" t="n">
        <v>9.300000000000001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42068-2024</t>
        </is>
      </c>
      <c r="B12248" s="1" t="n">
        <v>45562</v>
      </c>
      <c r="C12248" s="1" t="n">
        <v>45587</v>
      </c>
      <c r="D12248" t="inlineStr">
        <is>
          <t>GÄVLEBORGS LÄN</t>
        </is>
      </c>
      <c r="E12248" t="inlineStr">
        <is>
          <t>OVANÅKER</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42082-2024</t>
        </is>
      </c>
      <c r="B12249" s="1" t="n">
        <v>45562</v>
      </c>
      <c r="C12249" s="1" t="n">
        <v>45587</v>
      </c>
      <c r="D12249" t="inlineStr">
        <is>
          <t>GÄVLEBORGS LÄN</t>
        </is>
      </c>
      <c r="E12249" t="inlineStr">
        <is>
          <t>LJUSDAL</t>
        </is>
      </c>
      <c r="F12249" t="inlineStr">
        <is>
          <t>Bergvik skog väst AB</t>
        </is>
      </c>
      <c r="G12249" t="n">
        <v>3.3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42107-2024</t>
        </is>
      </c>
      <c r="B12250" s="1" t="n">
        <v>45562</v>
      </c>
      <c r="C12250" s="1" t="n">
        <v>45587</v>
      </c>
      <c r="D12250" t="inlineStr">
        <is>
          <t>GÄVLEBORGS LÄN</t>
        </is>
      </c>
      <c r="E12250" t="inlineStr">
        <is>
          <t>SANDVIKEN</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42164-2024</t>
        </is>
      </c>
      <c r="B12251" s="1" t="n">
        <v>45562</v>
      </c>
      <c r="C12251" s="1" t="n">
        <v>45587</v>
      </c>
      <c r="D12251" t="inlineStr">
        <is>
          <t>GÄVLEBORGS LÄN</t>
        </is>
      </c>
      <c r="E12251" t="inlineStr">
        <is>
          <t>LJUSDAL</t>
        </is>
      </c>
      <c r="F12251" t="inlineStr">
        <is>
          <t>Bergvik skog väst AB</t>
        </is>
      </c>
      <c r="G12251" t="n">
        <v>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42158-2024</t>
        </is>
      </c>
      <c r="B12252" s="1" t="n">
        <v>45562</v>
      </c>
      <c r="C12252" s="1" t="n">
        <v>45587</v>
      </c>
      <c r="D12252" t="inlineStr">
        <is>
          <t>GÄVLEBORGS LÄN</t>
        </is>
      </c>
      <c r="E12252" t="inlineStr">
        <is>
          <t>LJUSDAL</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42253-2024</t>
        </is>
      </c>
      <c r="B12253" s="1" t="n">
        <v>45562</v>
      </c>
      <c r="C12253" s="1" t="n">
        <v>45587</v>
      </c>
      <c r="D12253" t="inlineStr">
        <is>
          <t>GÄVLEBORGS LÄN</t>
        </is>
      </c>
      <c r="E12253" t="inlineStr">
        <is>
          <t>NORDANSTIG</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42247-2024</t>
        </is>
      </c>
      <c r="B12254" s="1" t="n">
        <v>45562</v>
      </c>
      <c r="C12254" s="1" t="n">
        <v>45587</v>
      </c>
      <c r="D12254" t="inlineStr">
        <is>
          <t>GÄVLEBORGS LÄN</t>
        </is>
      </c>
      <c r="E12254" t="inlineStr">
        <is>
          <t>GÄVLE</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42265-2024</t>
        </is>
      </c>
      <c r="B12255" s="1" t="n">
        <v>45562</v>
      </c>
      <c r="C12255" s="1" t="n">
        <v>45587</v>
      </c>
      <c r="D12255" t="inlineStr">
        <is>
          <t>GÄVLEBORGS LÄN</t>
        </is>
      </c>
      <c r="E12255" t="inlineStr">
        <is>
          <t>SÖDERHAMN</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42071-2024</t>
        </is>
      </c>
      <c r="B12256" s="1" t="n">
        <v>45562</v>
      </c>
      <c r="C12256" s="1" t="n">
        <v>45587</v>
      </c>
      <c r="D12256" t="inlineStr">
        <is>
          <t>GÄVLEBORGS LÄN</t>
        </is>
      </c>
      <c r="E12256" t="inlineStr">
        <is>
          <t>SANDVIKEN</t>
        </is>
      </c>
      <c r="G12256" t="n">
        <v>3.8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42101-2024</t>
        </is>
      </c>
      <c r="B12257" s="1" t="n">
        <v>45562</v>
      </c>
      <c r="C12257" s="1" t="n">
        <v>45587</v>
      </c>
      <c r="D12257" t="inlineStr">
        <is>
          <t>GÄVLEBORGS LÄN</t>
        </is>
      </c>
      <c r="E12257" t="inlineStr">
        <is>
          <t>HUDIKSVALL</t>
        </is>
      </c>
      <c r="F12257" t="inlineStr">
        <is>
          <t>Holmen skog AB</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42129-2024</t>
        </is>
      </c>
      <c r="B12258" s="1" t="n">
        <v>45562</v>
      </c>
      <c r="C12258" s="1" t="n">
        <v>45587</v>
      </c>
      <c r="D12258" t="inlineStr">
        <is>
          <t>GÄVLEBORGS LÄN</t>
        </is>
      </c>
      <c r="E12258" t="inlineStr">
        <is>
          <t>BOLLNÄS</t>
        </is>
      </c>
      <c r="G12258" t="n">
        <v>3.1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42153-2024</t>
        </is>
      </c>
      <c r="B12259" s="1" t="n">
        <v>45562</v>
      </c>
      <c r="C12259" s="1" t="n">
        <v>45587</v>
      </c>
      <c r="D12259" t="inlineStr">
        <is>
          <t>GÄVLEBORGS LÄN</t>
        </is>
      </c>
      <c r="E12259" t="inlineStr">
        <is>
          <t>LJUSDAL</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42210-2024</t>
        </is>
      </c>
      <c r="B12260" s="1" t="n">
        <v>45562</v>
      </c>
      <c r="C12260" s="1" t="n">
        <v>45587</v>
      </c>
      <c r="D12260" t="inlineStr">
        <is>
          <t>GÄVLEBORGS LÄN</t>
        </is>
      </c>
      <c r="E12260" t="inlineStr">
        <is>
          <t>GÄVLE</t>
        </is>
      </c>
      <c r="F12260" t="inlineStr">
        <is>
          <t>Bergvik skog väst AB</t>
        </is>
      </c>
      <c r="G12260" t="n">
        <v>10.7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42273-2024</t>
        </is>
      </c>
      <c r="B12261" s="1" t="n">
        <v>45562</v>
      </c>
      <c r="C12261" s="1" t="n">
        <v>45587</v>
      </c>
      <c r="D12261" t="inlineStr">
        <is>
          <t>GÄVLEBORGS LÄN</t>
        </is>
      </c>
      <c r="E12261" t="inlineStr">
        <is>
          <t>SÖDERHAMN</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42316-2024</t>
        </is>
      </c>
      <c r="B12262" s="1" t="n">
        <v>45562</v>
      </c>
      <c r="C12262" s="1" t="n">
        <v>45587</v>
      </c>
      <c r="D12262" t="inlineStr">
        <is>
          <t>GÄVLEBORGS LÄN</t>
        </is>
      </c>
      <c r="E12262" t="inlineStr">
        <is>
          <t>OVANÅKER</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42324-2024</t>
        </is>
      </c>
      <c r="B12263" s="1" t="n">
        <v>45562</v>
      </c>
      <c r="C12263" s="1" t="n">
        <v>45587</v>
      </c>
      <c r="D12263" t="inlineStr">
        <is>
          <t>GÄVLEBORGS LÄN</t>
        </is>
      </c>
      <c r="E12263" t="inlineStr">
        <is>
          <t>OVANÅKER</t>
        </is>
      </c>
      <c r="G12263" t="n">
        <v>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42331-2024</t>
        </is>
      </c>
      <c r="B12264" s="1" t="n">
        <v>45562</v>
      </c>
      <c r="C12264" s="1" t="n">
        <v>45587</v>
      </c>
      <c r="D12264" t="inlineStr">
        <is>
          <t>GÄVLEBORGS LÄN</t>
        </is>
      </c>
      <c r="E12264" t="inlineStr">
        <is>
          <t>OVANÅKER</t>
        </is>
      </c>
      <c r="G12264" t="n">
        <v>0.1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42088-2024</t>
        </is>
      </c>
      <c r="B12265" s="1" t="n">
        <v>45562</v>
      </c>
      <c r="C12265" s="1" t="n">
        <v>45587</v>
      </c>
      <c r="D12265" t="inlineStr">
        <is>
          <t>GÄVLEBORGS LÄN</t>
        </is>
      </c>
      <c r="E12265" t="inlineStr">
        <is>
          <t>SANDVIKEN</t>
        </is>
      </c>
      <c r="G12265" t="n">
        <v>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42136-2024</t>
        </is>
      </c>
      <c r="B12266" s="1" t="n">
        <v>45562</v>
      </c>
      <c r="C12266" s="1" t="n">
        <v>45587</v>
      </c>
      <c r="D12266" t="inlineStr">
        <is>
          <t>GÄVLEBORGS LÄN</t>
        </is>
      </c>
      <c r="E12266" t="inlineStr">
        <is>
          <t>HUDIKSVALL</t>
        </is>
      </c>
      <c r="F12266" t="inlineStr">
        <is>
          <t>Holmen skog AB</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42144-2024</t>
        </is>
      </c>
      <c r="B12267" s="1" t="n">
        <v>45562</v>
      </c>
      <c r="C12267" s="1" t="n">
        <v>45587</v>
      </c>
      <c r="D12267" t="inlineStr">
        <is>
          <t>GÄVLEBORGS LÄN</t>
        </is>
      </c>
      <c r="E12267" t="inlineStr">
        <is>
          <t>HUDIKSVALL</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42152-2024</t>
        </is>
      </c>
      <c r="B12268" s="1" t="n">
        <v>45562</v>
      </c>
      <c r="C12268" s="1" t="n">
        <v>45587</v>
      </c>
      <c r="D12268" t="inlineStr">
        <is>
          <t>GÄVLEBORGS LÄN</t>
        </is>
      </c>
      <c r="E12268" t="inlineStr">
        <is>
          <t>LJUSDAL</t>
        </is>
      </c>
      <c r="F12268" t="inlineStr">
        <is>
          <t>SCA</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42217-2024</t>
        </is>
      </c>
      <c r="B12269" s="1" t="n">
        <v>45562</v>
      </c>
      <c r="C12269" s="1" t="n">
        <v>45587</v>
      </c>
      <c r="D12269" t="inlineStr">
        <is>
          <t>GÄVLEBORGS LÄN</t>
        </is>
      </c>
      <c r="E12269" t="inlineStr">
        <is>
          <t>HUDIKSVALL</t>
        </is>
      </c>
      <c r="F12269" t="inlineStr">
        <is>
          <t>Holmen skog AB</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42263-2024</t>
        </is>
      </c>
      <c r="B12270" s="1" t="n">
        <v>45562</v>
      </c>
      <c r="C12270" s="1" t="n">
        <v>45587</v>
      </c>
      <c r="D12270" t="inlineStr">
        <is>
          <t>GÄVLEBORGS LÄN</t>
        </is>
      </c>
      <c r="E12270" t="inlineStr">
        <is>
          <t>LJUSDAL</t>
        </is>
      </c>
      <c r="G12270" t="n">
        <v>5.8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42314-2024</t>
        </is>
      </c>
      <c r="B12271" s="1" t="n">
        <v>45562</v>
      </c>
      <c r="C12271" s="1" t="n">
        <v>45587</v>
      </c>
      <c r="D12271" t="inlineStr">
        <is>
          <t>GÄVLEBORGS LÄN</t>
        </is>
      </c>
      <c r="E12271" t="inlineStr">
        <is>
          <t>HUDIKSVALL</t>
        </is>
      </c>
      <c r="F12271" t="inlineStr">
        <is>
          <t>Holmen skog AB</t>
        </is>
      </c>
      <c r="G12271" t="n">
        <v>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42322-2024</t>
        </is>
      </c>
      <c r="B12272" s="1" t="n">
        <v>45562</v>
      </c>
      <c r="C12272" s="1" t="n">
        <v>45587</v>
      </c>
      <c r="D12272" t="inlineStr">
        <is>
          <t>GÄVLEBORGS LÄN</t>
        </is>
      </c>
      <c r="E12272" t="inlineStr">
        <is>
          <t>OVANÅKER</t>
        </is>
      </c>
      <c r="G12272" t="n">
        <v>4.7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42334-2024</t>
        </is>
      </c>
      <c r="B12273" s="1" t="n">
        <v>45562</v>
      </c>
      <c r="C12273" s="1" t="n">
        <v>45587</v>
      </c>
      <c r="D12273" t="inlineStr">
        <is>
          <t>GÄVLEBORGS LÄN</t>
        </is>
      </c>
      <c r="E12273" t="inlineStr">
        <is>
          <t>OVANÅKER</t>
        </is>
      </c>
      <c r="G12273" t="n">
        <v>5.4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42360-2024</t>
        </is>
      </c>
      <c r="B12274" s="1" t="n">
        <v>45562</v>
      </c>
      <c r="C12274" s="1" t="n">
        <v>45587</v>
      </c>
      <c r="D12274" t="inlineStr">
        <is>
          <t>GÄVLEBORGS LÄN</t>
        </is>
      </c>
      <c r="E12274" t="inlineStr">
        <is>
          <t>GÄVLE</t>
        </is>
      </c>
      <c r="G12274" t="n">
        <v>7.5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42417-2024</t>
        </is>
      </c>
      <c r="B12275" s="1" t="n">
        <v>45565</v>
      </c>
      <c r="C12275" s="1" t="n">
        <v>45587</v>
      </c>
      <c r="D12275" t="inlineStr">
        <is>
          <t>GÄVLEBORGS LÄN</t>
        </is>
      </c>
      <c r="E12275" t="inlineStr">
        <is>
          <t>LJUSDAL</t>
        </is>
      </c>
      <c r="G12275" t="n">
        <v>5.3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42392-2024</t>
        </is>
      </c>
      <c r="B12276" s="1" t="n">
        <v>45565</v>
      </c>
      <c r="C12276" s="1" t="n">
        <v>45587</v>
      </c>
      <c r="D12276" t="inlineStr">
        <is>
          <t>GÄVLEBORGS LÄN</t>
        </is>
      </c>
      <c r="E12276" t="inlineStr">
        <is>
          <t>LJUSDAL</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42400-2024</t>
        </is>
      </c>
      <c r="B12277" s="1" t="n">
        <v>45565</v>
      </c>
      <c r="C12277" s="1" t="n">
        <v>45587</v>
      </c>
      <c r="D12277" t="inlineStr">
        <is>
          <t>GÄVLEBORGS LÄN</t>
        </is>
      </c>
      <c r="E12277" t="inlineStr">
        <is>
          <t>GÄVLE</t>
        </is>
      </c>
      <c r="G12277" t="n">
        <v>3.5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42527-2024</t>
        </is>
      </c>
      <c r="B12278" s="1" t="n">
        <v>45565</v>
      </c>
      <c r="C12278" s="1" t="n">
        <v>45587</v>
      </c>
      <c r="D12278" t="inlineStr">
        <is>
          <t>GÄVLEBORGS LÄN</t>
        </is>
      </c>
      <c r="E12278" t="inlineStr">
        <is>
          <t>OCKELBO</t>
        </is>
      </c>
      <c r="F12278" t="inlineStr">
        <is>
          <t>Bergvik skog väst AB</t>
        </is>
      </c>
      <c r="G12278" t="n">
        <v>11.4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42543-2024</t>
        </is>
      </c>
      <c r="B12279" s="1" t="n">
        <v>45565</v>
      </c>
      <c r="C12279" s="1" t="n">
        <v>45587</v>
      </c>
      <c r="D12279" t="inlineStr">
        <is>
          <t>GÄVLEBORGS LÄN</t>
        </is>
      </c>
      <c r="E12279" t="inlineStr">
        <is>
          <t>BOLLNÄS</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42509-2024</t>
        </is>
      </c>
      <c r="B12280" s="1" t="n">
        <v>45565</v>
      </c>
      <c r="C12280" s="1" t="n">
        <v>45587</v>
      </c>
      <c r="D12280" t="inlineStr">
        <is>
          <t>GÄVLEBORGS LÄN</t>
        </is>
      </c>
      <c r="E12280" t="inlineStr">
        <is>
          <t>HUDIKSVALL</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42518-2024</t>
        </is>
      </c>
      <c r="B12281" s="1" t="n">
        <v>45565</v>
      </c>
      <c r="C12281" s="1" t="n">
        <v>45587</v>
      </c>
      <c r="D12281" t="inlineStr">
        <is>
          <t>GÄVLEBORGS LÄN</t>
        </is>
      </c>
      <c r="E12281" t="inlineStr">
        <is>
          <t>HUDIKSVALL</t>
        </is>
      </c>
      <c r="G12281" t="n">
        <v>5.8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42580-2024</t>
        </is>
      </c>
      <c r="B12282" s="1" t="n">
        <v>45565</v>
      </c>
      <c r="C12282" s="1" t="n">
        <v>45587</v>
      </c>
      <c r="D12282" t="inlineStr">
        <is>
          <t>GÄVLEBORGS LÄN</t>
        </is>
      </c>
      <c r="E12282" t="inlineStr">
        <is>
          <t>BOLLNÄS</t>
        </is>
      </c>
      <c r="G12282" t="n">
        <v>7.9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42521-2024</t>
        </is>
      </c>
      <c r="B12283" s="1" t="n">
        <v>45565</v>
      </c>
      <c r="C12283" s="1" t="n">
        <v>45587</v>
      </c>
      <c r="D12283" t="inlineStr">
        <is>
          <t>GÄVLEBORGS LÄN</t>
        </is>
      </c>
      <c r="E12283" t="inlineStr">
        <is>
          <t>HUDIKSVALL</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42537-2024</t>
        </is>
      </c>
      <c r="B12284" s="1" t="n">
        <v>45565</v>
      </c>
      <c r="C12284" s="1" t="n">
        <v>45587</v>
      </c>
      <c r="D12284" t="inlineStr">
        <is>
          <t>GÄVLEBORGS LÄN</t>
        </is>
      </c>
      <c r="E12284" t="inlineStr">
        <is>
          <t>LJUSDAL</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42541-2024</t>
        </is>
      </c>
      <c r="B12285" s="1" t="n">
        <v>45565</v>
      </c>
      <c r="C12285" s="1" t="n">
        <v>45587</v>
      </c>
      <c r="D12285" t="inlineStr">
        <is>
          <t>GÄVLEBORGS LÄN</t>
        </is>
      </c>
      <c r="E12285" t="inlineStr">
        <is>
          <t>BOLLNÄS</t>
        </is>
      </c>
      <c r="G12285" t="n">
        <v>3.3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42549-2024</t>
        </is>
      </c>
      <c r="B12286" s="1" t="n">
        <v>45565</v>
      </c>
      <c r="C12286" s="1" t="n">
        <v>45587</v>
      </c>
      <c r="D12286" t="inlineStr">
        <is>
          <t>GÄVLEBORGS LÄN</t>
        </is>
      </c>
      <c r="E12286" t="inlineStr">
        <is>
          <t>SÖDERHAMN</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42575-2024</t>
        </is>
      </c>
      <c r="B12287" s="1" t="n">
        <v>45565</v>
      </c>
      <c r="C12287" s="1" t="n">
        <v>45587</v>
      </c>
      <c r="D12287" t="inlineStr">
        <is>
          <t>GÄVLEBORGS LÄN</t>
        </is>
      </c>
      <c r="E12287" t="inlineStr">
        <is>
          <t>BOLLNÄS</t>
        </is>
      </c>
      <c r="G12287" t="n">
        <v>2.8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42579-2024</t>
        </is>
      </c>
      <c r="B12288" s="1" t="n">
        <v>45565</v>
      </c>
      <c r="C12288" s="1" t="n">
        <v>45587</v>
      </c>
      <c r="D12288" t="inlineStr">
        <is>
          <t>GÄVLEBORGS LÄN</t>
        </is>
      </c>
      <c r="E12288" t="inlineStr">
        <is>
          <t>BOLLNÄS</t>
        </is>
      </c>
      <c r="G12288" t="n">
        <v>7.9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42629-2024</t>
        </is>
      </c>
      <c r="B12289" s="1" t="n">
        <v>45565</v>
      </c>
      <c r="C12289" s="1" t="n">
        <v>45587</v>
      </c>
      <c r="D12289" t="inlineStr">
        <is>
          <t>GÄVLEBORGS LÄN</t>
        </is>
      </c>
      <c r="E12289" t="inlineStr">
        <is>
          <t>HUDIKSVALL</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42540-2024</t>
        </is>
      </c>
      <c r="B12290" s="1" t="n">
        <v>45565</v>
      </c>
      <c r="C12290" s="1" t="n">
        <v>45587</v>
      </c>
      <c r="D12290" t="inlineStr">
        <is>
          <t>GÄVLEBORGS LÄN</t>
        </is>
      </c>
      <c r="E12290" t="inlineStr">
        <is>
          <t>LJUSDAL</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42570-2024</t>
        </is>
      </c>
      <c r="B12291" s="1" t="n">
        <v>45565</v>
      </c>
      <c r="C12291" s="1" t="n">
        <v>45587</v>
      </c>
      <c r="D12291" t="inlineStr">
        <is>
          <t>GÄVLEBORGS LÄN</t>
        </is>
      </c>
      <c r="E12291" t="inlineStr">
        <is>
          <t>BOLLNÄS</t>
        </is>
      </c>
      <c r="G12291" t="n">
        <v>4.6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42643-2024</t>
        </is>
      </c>
      <c r="B12292" s="1" t="n">
        <v>45566</v>
      </c>
      <c r="C12292" s="1" t="n">
        <v>45587</v>
      </c>
      <c r="D12292" t="inlineStr">
        <is>
          <t>GÄVLEBORGS LÄN</t>
        </is>
      </c>
      <c r="E12292" t="inlineStr">
        <is>
          <t>BOLLNÄS</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42659-2024</t>
        </is>
      </c>
      <c r="B12293" s="1" t="n">
        <v>45566</v>
      </c>
      <c r="C12293" s="1" t="n">
        <v>45587</v>
      </c>
      <c r="D12293" t="inlineStr">
        <is>
          <t>GÄVLEBORGS LÄN</t>
        </is>
      </c>
      <c r="E12293" t="inlineStr">
        <is>
          <t>HUDIKSVALL</t>
        </is>
      </c>
      <c r="F12293" t="inlineStr">
        <is>
          <t>Holmen skog AB</t>
        </is>
      </c>
      <c r="G12293" t="n">
        <v>10</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42692-2024</t>
        </is>
      </c>
      <c r="B12294" s="1" t="n">
        <v>45566</v>
      </c>
      <c r="C12294" s="1" t="n">
        <v>45587</v>
      </c>
      <c r="D12294" t="inlineStr">
        <is>
          <t>GÄVLEBORGS LÄN</t>
        </is>
      </c>
      <c r="E12294" t="inlineStr">
        <is>
          <t>HUDIKSVALL</t>
        </is>
      </c>
      <c r="G12294" t="n">
        <v>8.699999999999999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42708-2024</t>
        </is>
      </c>
      <c r="B12295" s="1" t="n">
        <v>45566</v>
      </c>
      <c r="C12295" s="1" t="n">
        <v>45587</v>
      </c>
      <c r="D12295" t="inlineStr">
        <is>
          <t>GÄVLEBORGS LÄN</t>
        </is>
      </c>
      <c r="E12295" t="inlineStr">
        <is>
          <t>HUDIKSVALL</t>
        </is>
      </c>
      <c r="G12295" t="n">
        <v>3.6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42722-2024</t>
        </is>
      </c>
      <c r="B12296" s="1" t="n">
        <v>45566</v>
      </c>
      <c r="C12296" s="1" t="n">
        <v>45587</v>
      </c>
      <c r="D12296" t="inlineStr">
        <is>
          <t>GÄVLEBORGS LÄN</t>
        </is>
      </c>
      <c r="E12296" t="inlineStr">
        <is>
          <t>OVANÅKER</t>
        </is>
      </c>
      <c r="G12296" t="n">
        <v>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42703-2024</t>
        </is>
      </c>
      <c r="B12297" s="1" t="n">
        <v>45566</v>
      </c>
      <c r="C12297" s="1" t="n">
        <v>45587</v>
      </c>
      <c r="D12297" t="inlineStr">
        <is>
          <t>GÄVLEBORGS LÄN</t>
        </is>
      </c>
      <c r="E12297" t="inlineStr">
        <is>
          <t>LJUSDAL</t>
        </is>
      </c>
      <c r="F12297" t="inlineStr">
        <is>
          <t>Kommuner</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42712-2024</t>
        </is>
      </c>
      <c r="B12298" s="1" t="n">
        <v>45566</v>
      </c>
      <c r="C12298" s="1" t="n">
        <v>45587</v>
      </c>
      <c r="D12298" t="inlineStr">
        <is>
          <t>GÄVLEBORGS LÄN</t>
        </is>
      </c>
      <c r="E12298" t="inlineStr">
        <is>
          <t>LJUSDAL</t>
        </is>
      </c>
      <c r="F12298" t="inlineStr">
        <is>
          <t>Kommuner</t>
        </is>
      </c>
      <c r="G12298" t="n">
        <v>6.9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42717-2024</t>
        </is>
      </c>
      <c r="B12299" s="1" t="n">
        <v>45566</v>
      </c>
      <c r="C12299" s="1" t="n">
        <v>45587</v>
      </c>
      <c r="D12299" t="inlineStr">
        <is>
          <t>GÄVLEBORGS LÄN</t>
        </is>
      </c>
      <c r="E12299" t="inlineStr">
        <is>
          <t>NORDANSTIG</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42726-2024</t>
        </is>
      </c>
      <c r="B12300" s="1" t="n">
        <v>45566</v>
      </c>
      <c r="C12300" s="1" t="n">
        <v>45587</v>
      </c>
      <c r="D12300" t="inlineStr">
        <is>
          <t>GÄVLEBORGS LÄN</t>
        </is>
      </c>
      <c r="E12300" t="inlineStr">
        <is>
          <t>LJUSDAL</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42810-2024</t>
        </is>
      </c>
      <c r="B12301" s="1" t="n">
        <v>45566</v>
      </c>
      <c r="C12301" s="1" t="n">
        <v>45587</v>
      </c>
      <c r="D12301" t="inlineStr">
        <is>
          <t>GÄVLEBORGS LÄN</t>
        </is>
      </c>
      <c r="E12301" t="inlineStr">
        <is>
          <t>OCKELBO</t>
        </is>
      </c>
      <c r="G12301" t="n">
        <v>4.3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42858-2024</t>
        </is>
      </c>
      <c r="B12302" s="1" t="n">
        <v>45566</v>
      </c>
      <c r="C12302" s="1" t="n">
        <v>45587</v>
      </c>
      <c r="D12302" t="inlineStr">
        <is>
          <t>GÄVLEBORGS LÄN</t>
        </is>
      </c>
      <c r="E12302" t="inlineStr">
        <is>
          <t>NORDANSTIG</t>
        </is>
      </c>
      <c r="G12302" t="n">
        <v>3.2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42657-2024</t>
        </is>
      </c>
      <c r="B12303" s="1" t="n">
        <v>45566</v>
      </c>
      <c r="C12303" s="1" t="n">
        <v>45587</v>
      </c>
      <c r="D12303" t="inlineStr">
        <is>
          <t>GÄVLEBORGS LÄN</t>
        </is>
      </c>
      <c r="E12303" t="inlineStr">
        <is>
          <t>HUDIKSVALL</t>
        </is>
      </c>
      <c r="F12303" t="inlineStr">
        <is>
          <t>Holmen skog AB</t>
        </is>
      </c>
      <c r="G12303" t="n">
        <v>10</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42720-2024</t>
        </is>
      </c>
      <c r="B12304" s="1" t="n">
        <v>45566</v>
      </c>
      <c r="C12304" s="1" t="n">
        <v>45587</v>
      </c>
      <c r="D12304" t="inlineStr">
        <is>
          <t>GÄVLEBORGS LÄN</t>
        </is>
      </c>
      <c r="E12304" t="inlineStr">
        <is>
          <t>LJUSDAL</t>
        </is>
      </c>
      <c r="F12304" t="inlineStr">
        <is>
          <t>Kommuner</t>
        </is>
      </c>
      <c r="G12304" t="n">
        <v>5.9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42796-2024</t>
        </is>
      </c>
      <c r="B12305" s="1" t="n">
        <v>45566</v>
      </c>
      <c r="C12305" s="1" t="n">
        <v>45587</v>
      </c>
      <c r="D12305" t="inlineStr">
        <is>
          <t>GÄVLEBORGS LÄN</t>
        </is>
      </c>
      <c r="E12305" t="inlineStr">
        <is>
          <t>NORDANSTIG</t>
        </is>
      </c>
      <c r="G12305" t="n">
        <v>4.4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42865-2024</t>
        </is>
      </c>
      <c r="B12306" s="1" t="n">
        <v>45566</v>
      </c>
      <c r="C12306" s="1" t="n">
        <v>45587</v>
      </c>
      <c r="D12306" t="inlineStr">
        <is>
          <t>GÄVLEBORGS LÄN</t>
        </is>
      </c>
      <c r="E12306" t="inlineStr">
        <is>
          <t>SANDVIKEN</t>
        </is>
      </c>
      <c r="F12306" t="inlineStr">
        <is>
          <t>Sveaskog</t>
        </is>
      </c>
      <c r="G12306" t="n">
        <v>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42902-2024</t>
        </is>
      </c>
      <c r="B12307" s="1" t="n">
        <v>45566</v>
      </c>
      <c r="C12307" s="1" t="n">
        <v>45587</v>
      </c>
      <c r="D12307" t="inlineStr">
        <is>
          <t>GÄVLEBORGS LÄN</t>
        </is>
      </c>
      <c r="E12307" t="inlineStr">
        <is>
          <t>SÖDERHAMN</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42869-2024</t>
        </is>
      </c>
      <c r="B12308" s="1" t="n">
        <v>45566</v>
      </c>
      <c r="C12308" s="1" t="n">
        <v>45587</v>
      </c>
      <c r="D12308" t="inlineStr">
        <is>
          <t>GÄVLEBORGS LÄN</t>
        </is>
      </c>
      <c r="E12308" t="inlineStr">
        <is>
          <t>SANDVIKEN</t>
        </is>
      </c>
      <c r="F12308" t="inlineStr">
        <is>
          <t>Sveaskog</t>
        </is>
      </c>
      <c r="G12308" t="n">
        <v>6.9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42873-2024</t>
        </is>
      </c>
      <c r="B12309" s="1" t="n">
        <v>45566</v>
      </c>
      <c r="C12309" s="1" t="n">
        <v>45587</v>
      </c>
      <c r="D12309" t="inlineStr">
        <is>
          <t>GÄVLEBORGS LÄN</t>
        </is>
      </c>
      <c r="E12309" t="inlineStr">
        <is>
          <t>OCKELBO</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42644-2024</t>
        </is>
      </c>
      <c r="B12310" s="1" t="n">
        <v>45566</v>
      </c>
      <c r="C12310" s="1" t="n">
        <v>45587</v>
      </c>
      <c r="D12310" t="inlineStr">
        <is>
          <t>GÄVLEBORGS LÄN</t>
        </is>
      </c>
      <c r="E12310" t="inlineStr">
        <is>
          <t>BOLLNÄS</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42687-2024</t>
        </is>
      </c>
      <c r="B12311" s="1" t="n">
        <v>45566</v>
      </c>
      <c r="C12311" s="1" t="n">
        <v>45587</v>
      </c>
      <c r="D12311" t="inlineStr">
        <is>
          <t>GÄVLEBORGS LÄN</t>
        </is>
      </c>
      <c r="E12311" t="inlineStr">
        <is>
          <t>HUDIKSVALL</t>
        </is>
      </c>
      <c r="F12311" t="inlineStr">
        <is>
          <t>Holmen skog AB</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42701-2024</t>
        </is>
      </c>
      <c r="B12312" s="1" t="n">
        <v>45566</v>
      </c>
      <c r="C12312" s="1" t="n">
        <v>45587</v>
      </c>
      <c r="D12312" t="inlineStr">
        <is>
          <t>GÄVLEBORGS LÄN</t>
        </is>
      </c>
      <c r="E12312" t="inlineStr">
        <is>
          <t>NORDANSTIG</t>
        </is>
      </c>
      <c r="F12312" t="inlineStr">
        <is>
          <t>Holmen skog AB</t>
        </is>
      </c>
      <c r="G12312" t="n">
        <v>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42864-2024</t>
        </is>
      </c>
      <c r="B12313" s="1" t="n">
        <v>45566</v>
      </c>
      <c r="C12313" s="1" t="n">
        <v>45587</v>
      </c>
      <c r="D12313" t="inlineStr">
        <is>
          <t>GÄVLEBORGS LÄN</t>
        </is>
      </c>
      <c r="E12313" t="inlineStr">
        <is>
          <t>SANDVIKEN</t>
        </is>
      </c>
      <c r="F12313" t="inlineStr">
        <is>
          <t>Sveaskog</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42868-2024</t>
        </is>
      </c>
      <c r="B12314" s="1" t="n">
        <v>45566</v>
      </c>
      <c r="C12314" s="1" t="n">
        <v>45587</v>
      </c>
      <c r="D12314" t="inlineStr">
        <is>
          <t>GÄVLEBORGS LÄN</t>
        </is>
      </c>
      <c r="E12314" t="inlineStr">
        <is>
          <t>SANDVIKEN</t>
        </is>
      </c>
      <c r="F12314" t="inlineStr">
        <is>
          <t>Sveaskog</t>
        </is>
      </c>
      <c r="G12314" t="n">
        <v>3.3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42991-2024</t>
        </is>
      </c>
      <c r="B12315" s="1" t="n">
        <v>45567</v>
      </c>
      <c r="C12315" s="1" t="n">
        <v>45587</v>
      </c>
      <c r="D12315" t="inlineStr">
        <is>
          <t>GÄVLEBORGS LÄN</t>
        </is>
      </c>
      <c r="E12315" t="inlineStr">
        <is>
          <t>OVANÅKER</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43007-2024</t>
        </is>
      </c>
      <c r="B12316" s="1" t="n">
        <v>45567</v>
      </c>
      <c r="C12316" s="1" t="n">
        <v>45587</v>
      </c>
      <c r="D12316" t="inlineStr">
        <is>
          <t>GÄVLEBORGS LÄN</t>
        </is>
      </c>
      <c r="E12316" t="inlineStr">
        <is>
          <t>GÄVLE</t>
        </is>
      </c>
      <c r="F12316" t="inlineStr">
        <is>
          <t>Bergvik skog öst AB</t>
        </is>
      </c>
      <c r="G12316" t="n">
        <v>14.8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43028-2024</t>
        </is>
      </c>
      <c r="B12317" s="1" t="n">
        <v>45567</v>
      </c>
      <c r="C12317" s="1" t="n">
        <v>45587</v>
      </c>
      <c r="D12317" t="inlineStr">
        <is>
          <t>GÄVLEBORGS LÄN</t>
        </is>
      </c>
      <c r="E12317" t="inlineStr">
        <is>
          <t>BOLLNÄS</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43070-2024</t>
        </is>
      </c>
      <c r="B12318" s="1" t="n">
        <v>45567</v>
      </c>
      <c r="C12318" s="1" t="n">
        <v>45587</v>
      </c>
      <c r="D12318" t="inlineStr">
        <is>
          <t>GÄVLEBORGS LÄN</t>
        </is>
      </c>
      <c r="E12318" t="inlineStr">
        <is>
          <t>HUDIKSVALL</t>
        </is>
      </c>
      <c r="G12318" t="n">
        <v>3.7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43121-2024</t>
        </is>
      </c>
      <c r="B12319" s="1" t="n">
        <v>45567</v>
      </c>
      <c r="C12319" s="1" t="n">
        <v>45587</v>
      </c>
      <c r="D12319" t="inlineStr">
        <is>
          <t>GÄVLEBORGS LÄN</t>
        </is>
      </c>
      <c r="E12319" t="inlineStr">
        <is>
          <t>SANDVIKEN</t>
        </is>
      </c>
      <c r="G12319" t="n">
        <v>4.3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43129-2024</t>
        </is>
      </c>
      <c r="B12320" s="1" t="n">
        <v>45567</v>
      </c>
      <c r="C12320" s="1" t="n">
        <v>45587</v>
      </c>
      <c r="D12320" t="inlineStr">
        <is>
          <t>GÄVLEBORGS LÄN</t>
        </is>
      </c>
      <c r="E12320" t="inlineStr">
        <is>
          <t>BOLLNÄS</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43177-2024</t>
        </is>
      </c>
      <c r="B12321" s="1" t="n">
        <v>45567</v>
      </c>
      <c r="C12321" s="1" t="n">
        <v>45587</v>
      </c>
      <c r="D12321" t="inlineStr">
        <is>
          <t>GÄVLEBORGS LÄN</t>
        </is>
      </c>
      <c r="E12321" t="inlineStr">
        <is>
          <t>BOLLNÄS</t>
        </is>
      </c>
      <c r="G12321" t="n">
        <v>4.3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43189-2024</t>
        </is>
      </c>
      <c r="B12322" s="1" t="n">
        <v>45567</v>
      </c>
      <c r="C12322" s="1" t="n">
        <v>45587</v>
      </c>
      <c r="D12322" t="inlineStr">
        <is>
          <t>GÄVLEBORGS LÄN</t>
        </is>
      </c>
      <c r="E12322" t="inlineStr">
        <is>
          <t>LJUSDAL</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42942-2024</t>
        </is>
      </c>
      <c r="B12323" s="1" t="n">
        <v>45567</v>
      </c>
      <c r="C12323" s="1" t="n">
        <v>45587</v>
      </c>
      <c r="D12323" t="inlineStr">
        <is>
          <t>GÄVLEBORGS LÄN</t>
        </is>
      </c>
      <c r="E12323" t="inlineStr">
        <is>
          <t>HUDIKSVALL</t>
        </is>
      </c>
      <c r="F12323" t="inlineStr">
        <is>
          <t>Holmen skog AB</t>
        </is>
      </c>
      <c r="G12323" t="n">
        <v>5.4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43180-2024</t>
        </is>
      </c>
      <c r="B12324" s="1" t="n">
        <v>45567</v>
      </c>
      <c r="C12324" s="1" t="n">
        <v>45587</v>
      </c>
      <c r="D12324" t="inlineStr">
        <is>
          <t>GÄVLEBORGS LÄN</t>
        </is>
      </c>
      <c r="E12324" t="inlineStr">
        <is>
          <t>LJUSDAL</t>
        </is>
      </c>
      <c r="G12324" t="n">
        <v>0.4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43216-2024</t>
        </is>
      </c>
      <c r="B12325" s="1" t="n">
        <v>45567</v>
      </c>
      <c r="C12325" s="1" t="n">
        <v>45587</v>
      </c>
      <c r="D12325" t="inlineStr">
        <is>
          <t>GÄVLEBORGS LÄN</t>
        </is>
      </c>
      <c r="E12325" t="inlineStr">
        <is>
          <t>HUDIKSVALL</t>
        </is>
      </c>
      <c r="F12325" t="inlineStr">
        <is>
          <t>Holmen skog AB</t>
        </is>
      </c>
      <c r="G12325" t="n">
        <v>22.4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43230-2024</t>
        </is>
      </c>
      <c r="B12326" s="1" t="n">
        <v>45567</v>
      </c>
      <c r="C12326" s="1" t="n">
        <v>45587</v>
      </c>
      <c r="D12326" t="inlineStr">
        <is>
          <t>GÄVLEBORGS LÄN</t>
        </is>
      </c>
      <c r="E12326" t="inlineStr">
        <is>
          <t>GÄVLE</t>
        </is>
      </c>
      <c r="G12326" t="n">
        <v>9.5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42997-2024</t>
        </is>
      </c>
      <c r="B12327" s="1" t="n">
        <v>45567</v>
      </c>
      <c r="C12327" s="1" t="n">
        <v>45587</v>
      </c>
      <c r="D12327" t="inlineStr">
        <is>
          <t>GÄVLEBORGS LÄN</t>
        </is>
      </c>
      <c r="E12327" t="inlineStr">
        <is>
          <t>LJUSDAL</t>
        </is>
      </c>
      <c r="G12327" t="n">
        <v>6.7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43005-2024</t>
        </is>
      </c>
      <c r="B12328" s="1" t="n">
        <v>45567</v>
      </c>
      <c r="C12328" s="1" t="n">
        <v>45587</v>
      </c>
      <c r="D12328" t="inlineStr">
        <is>
          <t>GÄVLEBORGS LÄN</t>
        </is>
      </c>
      <c r="E12328" t="inlineStr">
        <is>
          <t>GÄVLE</t>
        </is>
      </c>
      <c r="F12328" t="inlineStr">
        <is>
          <t>Bergvik skog öst AB</t>
        </is>
      </c>
      <c r="G12328" t="n">
        <v>14.8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43042-2024</t>
        </is>
      </c>
      <c r="B12329" s="1" t="n">
        <v>45567</v>
      </c>
      <c r="C12329" s="1" t="n">
        <v>45587</v>
      </c>
      <c r="D12329" t="inlineStr">
        <is>
          <t>GÄVLEBORGS LÄN</t>
        </is>
      </c>
      <c r="E12329" t="inlineStr">
        <is>
          <t>BOLLNÄS</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43075-2024</t>
        </is>
      </c>
      <c r="B12330" s="1" t="n">
        <v>45567</v>
      </c>
      <c r="C12330" s="1" t="n">
        <v>45587</v>
      </c>
      <c r="D12330" t="inlineStr">
        <is>
          <t>GÄVLEBORGS LÄN</t>
        </is>
      </c>
      <c r="E12330" t="inlineStr">
        <is>
          <t>NORDANSTIG</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43131-2024</t>
        </is>
      </c>
      <c r="B12331" s="1" t="n">
        <v>45567</v>
      </c>
      <c r="C12331" s="1" t="n">
        <v>45587</v>
      </c>
      <c r="D12331" t="inlineStr">
        <is>
          <t>GÄVLEBORGS LÄN</t>
        </is>
      </c>
      <c r="E12331" t="inlineStr">
        <is>
          <t>BOLLNÄS</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43143-2024</t>
        </is>
      </c>
      <c r="B12332" s="1" t="n">
        <v>45567</v>
      </c>
      <c r="C12332" s="1" t="n">
        <v>45587</v>
      </c>
      <c r="D12332" t="inlineStr">
        <is>
          <t>GÄVLEBORGS LÄN</t>
        </is>
      </c>
      <c r="E12332" t="inlineStr">
        <is>
          <t>HOFORS</t>
        </is>
      </c>
      <c r="G12332" t="n">
        <v>3.3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43151-2024</t>
        </is>
      </c>
      <c r="B12333" s="1" t="n">
        <v>45567</v>
      </c>
      <c r="C12333" s="1" t="n">
        <v>45587</v>
      </c>
      <c r="D12333" t="inlineStr">
        <is>
          <t>GÄVLEBORGS LÄN</t>
        </is>
      </c>
      <c r="E12333" t="inlineStr">
        <is>
          <t>LJUSDAL</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43175-2024</t>
        </is>
      </c>
      <c r="B12334" s="1" t="n">
        <v>45567</v>
      </c>
      <c r="C12334" s="1" t="n">
        <v>45587</v>
      </c>
      <c r="D12334" t="inlineStr">
        <is>
          <t>GÄVLEBORGS LÄN</t>
        </is>
      </c>
      <c r="E12334" t="inlineStr">
        <is>
          <t>OVANÅKER</t>
        </is>
      </c>
      <c r="G12334" t="n">
        <v>6.6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43179-2024</t>
        </is>
      </c>
      <c r="B12335" s="1" t="n">
        <v>45567</v>
      </c>
      <c r="C12335" s="1" t="n">
        <v>45587</v>
      </c>
      <c r="D12335" t="inlineStr">
        <is>
          <t>GÄVLEBORGS LÄN</t>
        </is>
      </c>
      <c r="E12335" t="inlineStr">
        <is>
          <t>LJUSDAL</t>
        </is>
      </c>
      <c r="G12335" t="n">
        <v>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43191-2024</t>
        </is>
      </c>
      <c r="B12336" s="1" t="n">
        <v>45567</v>
      </c>
      <c r="C12336" s="1" t="n">
        <v>45587</v>
      </c>
      <c r="D12336" t="inlineStr">
        <is>
          <t>GÄVLEBORGS LÄN</t>
        </is>
      </c>
      <c r="E12336" t="inlineStr">
        <is>
          <t>SÖDERHAMN</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43207-2024</t>
        </is>
      </c>
      <c r="B12337" s="1" t="n">
        <v>45567</v>
      </c>
      <c r="C12337" s="1" t="n">
        <v>45587</v>
      </c>
      <c r="D12337" t="inlineStr">
        <is>
          <t>GÄVLEBORGS LÄN</t>
        </is>
      </c>
      <c r="E12337" t="inlineStr">
        <is>
          <t>SANDVIKEN</t>
        </is>
      </c>
      <c r="G12337" t="n">
        <v>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43250-2024</t>
        </is>
      </c>
      <c r="B12338" s="1" t="n">
        <v>45568</v>
      </c>
      <c r="C12338" s="1" t="n">
        <v>45587</v>
      </c>
      <c r="D12338" t="inlineStr">
        <is>
          <t>GÄVLEBORGS LÄN</t>
        </is>
      </c>
      <c r="E12338" t="inlineStr">
        <is>
          <t>SÖDERHAMN</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43248-2024</t>
        </is>
      </c>
      <c r="B12339" s="1" t="n">
        <v>45568</v>
      </c>
      <c r="C12339" s="1" t="n">
        <v>45587</v>
      </c>
      <c r="D12339" t="inlineStr">
        <is>
          <t>GÄVLEBORGS LÄN</t>
        </is>
      </c>
      <c r="E12339" t="inlineStr">
        <is>
          <t>SÖDERHAMN</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43384-2024</t>
        </is>
      </c>
      <c r="B12340" s="1" t="n">
        <v>45568</v>
      </c>
      <c r="C12340" s="1" t="n">
        <v>45587</v>
      </c>
      <c r="D12340" t="inlineStr">
        <is>
          <t>GÄVLEBORGS LÄN</t>
        </is>
      </c>
      <c r="E12340" t="inlineStr">
        <is>
          <t>BOLLNÄS</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43438-2024</t>
        </is>
      </c>
      <c r="B12341" s="1" t="n">
        <v>45568</v>
      </c>
      <c r="C12341" s="1" t="n">
        <v>45587</v>
      </c>
      <c r="D12341" t="inlineStr">
        <is>
          <t>GÄVLEBORGS LÄN</t>
        </is>
      </c>
      <c r="E12341" t="inlineStr">
        <is>
          <t>HUDIKSVALL</t>
        </is>
      </c>
      <c r="F12341" t="inlineStr">
        <is>
          <t>Holmen skog AB</t>
        </is>
      </c>
      <c r="G12341" t="n">
        <v>3.9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43465-2024</t>
        </is>
      </c>
      <c r="B12342" s="1" t="n">
        <v>45568</v>
      </c>
      <c r="C12342" s="1" t="n">
        <v>45587</v>
      </c>
      <c r="D12342" t="inlineStr">
        <is>
          <t>GÄVLEBORGS LÄN</t>
        </is>
      </c>
      <c r="E12342" t="inlineStr">
        <is>
          <t>NORDANSTIG</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43458-2024</t>
        </is>
      </c>
      <c r="B12343" s="1" t="n">
        <v>45568</v>
      </c>
      <c r="C12343" s="1" t="n">
        <v>45587</v>
      </c>
      <c r="D12343" t="inlineStr">
        <is>
          <t>GÄVLEBORGS LÄN</t>
        </is>
      </c>
      <c r="E12343" t="inlineStr">
        <is>
          <t>HUDIKSVALL</t>
        </is>
      </c>
      <c r="G12343" t="n">
        <v>3.7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43310-2024</t>
        </is>
      </c>
      <c r="B12344" s="1" t="n">
        <v>45568</v>
      </c>
      <c r="C12344" s="1" t="n">
        <v>45587</v>
      </c>
      <c r="D12344" t="inlineStr">
        <is>
          <t>GÄVLEBORGS LÄN</t>
        </is>
      </c>
      <c r="E12344" t="inlineStr">
        <is>
          <t>BOLLNÄS</t>
        </is>
      </c>
      <c r="G12344" t="n">
        <v>3.1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43504-2024</t>
        </is>
      </c>
      <c r="B12345" s="1" t="n">
        <v>45569</v>
      </c>
      <c r="C12345" s="1" t="n">
        <v>45587</v>
      </c>
      <c r="D12345" t="inlineStr">
        <is>
          <t>GÄVLEBORGS LÄN</t>
        </is>
      </c>
      <c r="E12345" t="inlineStr">
        <is>
          <t>OVANÅKER</t>
        </is>
      </c>
      <c r="G12345" t="n">
        <v>6.5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43501-2024</t>
        </is>
      </c>
      <c r="B12346" s="1" t="n">
        <v>45569</v>
      </c>
      <c r="C12346" s="1" t="n">
        <v>45587</v>
      </c>
      <c r="D12346" t="inlineStr">
        <is>
          <t>GÄVLEBORGS LÄN</t>
        </is>
      </c>
      <c r="E12346" t="inlineStr">
        <is>
          <t>HUDIKSVALL</t>
        </is>
      </c>
      <c r="G12346" t="n">
        <v>3.4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43521-2024</t>
        </is>
      </c>
      <c r="B12347" s="1" t="n">
        <v>45569</v>
      </c>
      <c r="C12347" s="1" t="n">
        <v>45587</v>
      </c>
      <c r="D12347" t="inlineStr">
        <is>
          <t>GÄVLEBORGS LÄN</t>
        </is>
      </c>
      <c r="E12347" t="inlineStr">
        <is>
          <t>OVANÅKER</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43534-2024</t>
        </is>
      </c>
      <c r="B12348" s="1" t="n">
        <v>45569</v>
      </c>
      <c r="C12348" s="1" t="n">
        <v>45587</v>
      </c>
      <c r="D12348" t="inlineStr">
        <is>
          <t>GÄVLEBORGS LÄN</t>
        </is>
      </c>
      <c r="E12348" t="inlineStr">
        <is>
          <t>SÖDERHAMN</t>
        </is>
      </c>
      <c r="F12348" t="inlineStr">
        <is>
          <t>Kommuner</t>
        </is>
      </c>
      <c r="G12348" t="n">
        <v>4.7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43542-2024</t>
        </is>
      </c>
      <c r="B12349" s="1" t="n">
        <v>45569</v>
      </c>
      <c r="C12349" s="1" t="n">
        <v>45587</v>
      </c>
      <c r="D12349" t="inlineStr">
        <is>
          <t>GÄVLEBORGS LÄN</t>
        </is>
      </c>
      <c r="E12349" t="inlineStr">
        <is>
          <t>OVANÅKER</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43547-2024</t>
        </is>
      </c>
      <c r="B12350" s="1" t="n">
        <v>45569</v>
      </c>
      <c r="C12350" s="1" t="n">
        <v>45587</v>
      </c>
      <c r="D12350" t="inlineStr">
        <is>
          <t>GÄVLEBORGS LÄN</t>
        </is>
      </c>
      <c r="E12350" t="inlineStr">
        <is>
          <t>OVANÅKER</t>
        </is>
      </c>
      <c r="G12350" t="n">
        <v>2.6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43661-2024</t>
        </is>
      </c>
      <c r="B12351" s="1" t="n">
        <v>45569</v>
      </c>
      <c r="C12351" s="1" t="n">
        <v>45587</v>
      </c>
      <c r="D12351" t="inlineStr">
        <is>
          <t>GÄVLEBORGS LÄN</t>
        </is>
      </c>
      <c r="E12351" t="inlineStr">
        <is>
          <t>GÄVLE</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43665-2024</t>
        </is>
      </c>
      <c r="B12352" s="1" t="n">
        <v>45569</v>
      </c>
      <c r="C12352" s="1" t="n">
        <v>45587</v>
      </c>
      <c r="D12352" t="inlineStr">
        <is>
          <t>GÄVLEBORGS LÄN</t>
        </is>
      </c>
      <c r="E12352" t="inlineStr">
        <is>
          <t>HUDIKSVALL</t>
        </is>
      </c>
      <c r="F12352" t="inlineStr">
        <is>
          <t>Kommuner</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43695-2024</t>
        </is>
      </c>
      <c r="B12353" s="1" t="n">
        <v>45569</v>
      </c>
      <c r="C12353" s="1" t="n">
        <v>45587</v>
      </c>
      <c r="D12353" t="inlineStr">
        <is>
          <t>GÄVLEBORGS LÄN</t>
        </is>
      </c>
      <c r="E12353" t="inlineStr">
        <is>
          <t>LJUSDAL</t>
        </is>
      </c>
      <c r="G12353" t="n">
        <v>14.7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43644-2024</t>
        </is>
      </c>
      <c r="B12354" s="1" t="n">
        <v>45569</v>
      </c>
      <c r="C12354" s="1" t="n">
        <v>45587</v>
      </c>
      <c r="D12354" t="inlineStr">
        <is>
          <t>GÄVLEBORGS LÄN</t>
        </is>
      </c>
      <c r="E12354" t="inlineStr">
        <is>
          <t>HUDIKSVALL</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43652-2024</t>
        </is>
      </c>
      <c r="B12355" s="1" t="n">
        <v>45569</v>
      </c>
      <c r="C12355" s="1" t="n">
        <v>45587</v>
      </c>
      <c r="D12355" t="inlineStr">
        <is>
          <t>GÄVLEBORGS LÄN</t>
        </is>
      </c>
      <c r="E12355" t="inlineStr">
        <is>
          <t>GÄVLE</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43668-2024</t>
        </is>
      </c>
      <c r="B12356" s="1" t="n">
        <v>45569</v>
      </c>
      <c r="C12356" s="1" t="n">
        <v>45587</v>
      </c>
      <c r="D12356" t="inlineStr">
        <is>
          <t>GÄVLEBORGS LÄN</t>
        </is>
      </c>
      <c r="E12356" t="inlineStr">
        <is>
          <t>LJUSDAL</t>
        </is>
      </c>
      <c r="G12356" t="n">
        <v>2.2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43682-2024</t>
        </is>
      </c>
      <c r="B12357" s="1" t="n">
        <v>45569</v>
      </c>
      <c r="C12357" s="1" t="n">
        <v>45587</v>
      </c>
      <c r="D12357" t="inlineStr">
        <is>
          <t>GÄVLEBORGS LÄN</t>
        </is>
      </c>
      <c r="E12357" t="inlineStr">
        <is>
          <t>SÖDERHAMN</t>
        </is>
      </c>
      <c r="G12357" t="n">
        <v>3.8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43686-2024</t>
        </is>
      </c>
      <c r="B12358" s="1" t="n">
        <v>45569</v>
      </c>
      <c r="C12358" s="1" t="n">
        <v>45587</v>
      </c>
      <c r="D12358" t="inlineStr">
        <is>
          <t>GÄVLEBORGS LÄN</t>
        </is>
      </c>
      <c r="E12358" t="inlineStr">
        <is>
          <t>GÄVLE</t>
        </is>
      </c>
      <c r="G12358" t="n">
        <v>4.9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43498-2024</t>
        </is>
      </c>
      <c r="B12359" s="1" t="n">
        <v>45569</v>
      </c>
      <c r="C12359" s="1" t="n">
        <v>45587</v>
      </c>
      <c r="D12359" t="inlineStr">
        <is>
          <t>GÄVLEBORGS LÄN</t>
        </is>
      </c>
      <c r="E12359" t="inlineStr">
        <is>
          <t>OVANÅKER</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43499-2024</t>
        </is>
      </c>
      <c r="B12360" s="1" t="n">
        <v>45569</v>
      </c>
      <c r="C12360" s="1" t="n">
        <v>45587</v>
      </c>
      <c r="D12360" t="inlineStr">
        <is>
          <t>GÄVLEBORGS LÄN</t>
        </is>
      </c>
      <c r="E12360" t="inlineStr">
        <is>
          <t>LJUSDAL</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43503-2024</t>
        </is>
      </c>
      <c r="B12361" s="1" t="n">
        <v>45569</v>
      </c>
      <c r="C12361" s="1" t="n">
        <v>45587</v>
      </c>
      <c r="D12361" t="inlineStr">
        <is>
          <t>GÄVLEBORGS LÄN</t>
        </is>
      </c>
      <c r="E12361" t="inlineStr">
        <is>
          <t>OVANÅKER</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43523-2024</t>
        </is>
      </c>
      <c r="B12362" s="1" t="n">
        <v>45569</v>
      </c>
      <c r="C12362" s="1" t="n">
        <v>45587</v>
      </c>
      <c r="D12362" t="inlineStr">
        <is>
          <t>GÄVLEBORGS LÄN</t>
        </is>
      </c>
      <c r="E12362" t="inlineStr">
        <is>
          <t>NORDANSTIG</t>
        </is>
      </c>
      <c r="F12362" t="inlineStr">
        <is>
          <t>Holmen skog AB</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43544-2024</t>
        </is>
      </c>
      <c r="B12363" s="1" t="n">
        <v>45569</v>
      </c>
      <c r="C12363" s="1" t="n">
        <v>45587</v>
      </c>
      <c r="D12363" t="inlineStr">
        <is>
          <t>GÄVLEBORGS LÄN</t>
        </is>
      </c>
      <c r="E12363" t="inlineStr">
        <is>
          <t>OVANÅKER</t>
        </is>
      </c>
      <c r="G12363" t="n">
        <v>2.6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43580-2024</t>
        </is>
      </c>
      <c r="B12364" s="1" t="n">
        <v>45569</v>
      </c>
      <c r="C12364" s="1" t="n">
        <v>45587</v>
      </c>
      <c r="D12364" t="inlineStr">
        <is>
          <t>GÄVLEBORGS LÄN</t>
        </is>
      </c>
      <c r="E12364" t="inlineStr">
        <is>
          <t>LJUSDAL</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43598-2024</t>
        </is>
      </c>
      <c r="B12365" s="1" t="n">
        <v>45569</v>
      </c>
      <c r="C12365" s="1" t="n">
        <v>45587</v>
      </c>
      <c r="D12365" t="inlineStr">
        <is>
          <t>GÄVLEBORGS LÄN</t>
        </is>
      </c>
      <c r="E12365" t="inlineStr">
        <is>
          <t>HUDIKSVALL</t>
        </is>
      </c>
      <c r="G12365" t="n">
        <v>2.7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43647-2024</t>
        </is>
      </c>
      <c r="B12366" s="1" t="n">
        <v>45569</v>
      </c>
      <c r="C12366" s="1" t="n">
        <v>45587</v>
      </c>
      <c r="D12366" t="inlineStr">
        <is>
          <t>GÄVLEBORGS LÄN</t>
        </is>
      </c>
      <c r="E12366" t="inlineStr">
        <is>
          <t>HUDIKSVALL</t>
        </is>
      </c>
      <c r="G12366" t="n">
        <v>3.9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43562-2024</t>
        </is>
      </c>
      <c r="B12367" s="1" t="n">
        <v>45569</v>
      </c>
      <c r="C12367" s="1" t="n">
        <v>45587</v>
      </c>
      <c r="D12367" t="inlineStr">
        <is>
          <t>GÄVLEBORGS LÄN</t>
        </is>
      </c>
      <c r="E12367" t="inlineStr">
        <is>
          <t>LJUSDAL</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43625-2024</t>
        </is>
      </c>
      <c r="B12368" s="1" t="n">
        <v>45569</v>
      </c>
      <c r="C12368" s="1" t="n">
        <v>45587</v>
      </c>
      <c r="D12368" t="inlineStr">
        <is>
          <t>GÄVLEBORGS LÄN</t>
        </is>
      </c>
      <c r="E12368" t="inlineStr">
        <is>
          <t>HUDIKSVALL</t>
        </is>
      </c>
      <c r="G12368" t="n">
        <v>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43629-2024</t>
        </is>
      </c>
      <c r="B12369" s="1" t="n">
        <v>45569</v>
      </c>
      <c r="C12369" s="1" t="n">
        <v>45587</v>
      </c>
      <c r="D12369" t="inlineStr">
        <is>
          <t>GÄVLEBORGS LÄN</t>
        </is>
      </c>
      <c r="E12369" t="inlineStr">
        <is>
          <t>HUDIKSVALL</t>
        </is>
      </c>
      <c r="G12369" t="n">
        <v>3.8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43646-2024</t>
        </is>
      </c>
      <c r="B12370" s="1" t="n">
        <v>45569</v>
      </c>
      <c r="C12370" s="1" t="n">
        <v>45587</v>
      </c>
      <c r="D12370" t="inlineStr">
        <is>
          <t>GÄVLEBORGS LÄN</t>
        </is>
      </c>
      <c r="E12370" t="inlineStr">
        <is>
          <t>HUDIKSVALL</t>
        </is>
      </c>
      <c r="G12370" t="n">
        <v>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43764-2024</t>
        </is>
      </c>
      <c r="B12371" s="1" t="n">
        <v>45569</v>
      </c>
      <c r="C12371" s="1" t="n">
        <v>45587</v>
      </c>
      <c r="D12371" t="inlineStr">
        <is>
          <t>GÄVLEBORGS LÄN</t>
        </is>
      </c>
      <c r="E12371" t="inlineStr">
        <is>
          <t>SANDVIKEN</t>
        </is>
      </c>
      <c r="G12371" t="n">
        <v>4.5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43834-2024</t>
        </is>
      </c>
      <c r="B12372" s="1" t="n">
        <v>45572</v>
      </c>
      <c r="C12372" s="1" t="n">
        <v>45587</v>
      </c>
      <c r="D12372" t="inlineStr">
        <is>
          <t>GÄVLEBORGS LÄN</t>
        </is>
      </c>
      <c r="E12372" t="inlineStr">
        <is>
          <t>BOLLNÄS</t>
        </is>
      </c>
      <c r="G12372" t="n">
        <v>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43986-2024</t>
        </is>
      </c>
      <c r="B12373" s="1" t="n">
        <v>45572</v>
      </c>
      <c r="C12373" s="1" t="n">
        <v>45587</v>
      </c>
      <c r="D12373" t="inlineStr">
        <is>
          <t>GÄVLEBORGS LÄN</t>
        </is>
      </c>
      <c r="E12373" t="inlineStr">
        <is>
          <t>SÖDERHAMN</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44092-2024</t>
        </is>
      </c>
      <c r="B12374" s="1" t="n">
        <v>45572</v>
      </c>
      <c r="C12374" s="1" t="n">
        <v>45587</v>
      </c>
      <c r="D12374" t="inlineStr">
        <is>
          <t>GÄVLEBORGS LÄN</t>
        </is>
      </c>
      <c r="E12374" t="inlineStr">
        <is>
          <t>LJUSDAL</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44179-2024</t>
        </is>
      </c>
      <c r="B12375" s="1" t="n">
        <v>45572</v>
      </c>
      <c r="C12375" s="1" t="n">
        <v>45587</v>
      </c>
      <c r="D12375" t="inlineStr">
        <is>
          <t>GÄVLEBORGS LÄN</t>
        </is>
      </c>
      <c r="E12375" t="inlineStr">
        <is>
          <t>BOLLNÄS</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43979-2024</t>
        </is>
      </c>
      <c r="B12376" s="1" t="n">
        <v>45572</v>
      </c>
      <c r="C12376" s="1" t="n">
        <v>45587</v>
      </c>
      <c r="D12376" t="inlineStr">
        <is>
          <t>GÄVLEBORGS LÄN</t>
        </is>
      </c>
      <c r="E12376" t="inlineStr">
        <is>
          <t>SÖDERHAMN</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43983-2024</t>
        </is>
      </c>
      <c r="B12377" s="1" t="n">
        <v>45572</v>
      </c>
      <c r="C12377" s="1" t="n">
        <v>45587</v>
      </c>
      <c r="D12377" t="inlineStr">
        <is>
          <t>GÄVLEBORGS LÄN</t>
        </is>
      </c>
      <c r="E12377" t="inlineStr">
        <is>
          <t>LJUSDAL</t>
        </is>
      </c>
      <c r="G12377" t="n">
        <v>4.9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44180-2024</t>
        </is>
      </c>
      <c r="B12378" s="1" t="n">
        <v>45572</v>
      </c>
      <c r="C12378" s="1" t="n">
        <v>45587</v>
      </c>
      <c r="D12378" t="inlineStr">
        <is>
          <t>GÄVLEBORGS LÄN</t>
        </is>
      </c>
      <c r="E12378" t="inlineStr">
        <is>
          <t>BOLLNÄS</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43991-2024</t>
        </is>
      </c>
      <c r="B12379" s="1" t="n">
        <v>45572</v>
      </c>
      <c r="C12379" s="1" t="n">
        <v>45587</v>
      </c>
      <c r="D12379" t="inlineStr">
        <is>
          <t>GÄVLEBORGS LÄN</t>
        </is>
      </c>
      <c r="E12379" t="inlineStr">
        <is>
          <t>OVANÅKER</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44053-2024</t>
        </is>
      </c>
      <c r="B12380" s="1" t="n">
        <v>45572</v>
      </c>
      <c r="C12380" s="1" t="n">
        <v>45587</v>
      </c>
      <c r="D12380" t="inlineStr">
        <is>
          <t>GÄVLEBORGS LÄN</t>
        </is>
      </c>
      <c r="E12380" t="inlineStr">
        <is>
          <t>HUDIKSVALL</t>
        </is>
      </c>
      <c r="F12380" t="inlineStr">
        <is>
          <t>Holmen skog AB</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43996-2024</t>
        </is>
      </c>
      <c r="B12381" s="1" t="n">
        <v>45572</v>
      </c>
      <c r="C12381" s="1" t="n">
        <v>45587</v>
      </c>
      <c r="D12381" t="inlineStr">
        <is>
          <t>GÄVLEBORGS LÄN</t>
        </is>
      </c>
      <c r="E12381" t="inlineStr">
        <is>
          <t>BOLLNÄS</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44037-2024</t>
        </is>
      </c>
      <c r="B12382" s="1" t="n">
        <v>45572</v>
      </c>
      <c r="C12382" s="1" t="n">
        <v>45587</v>
      </c>
      <c r="D12382" t="inlineStr">
        <is>
          <t>GÄVLEBORGS LÄN</t>
        </is>
      </c>
      <c r="E12382" t="inlineStr">
        <is>
          <t>HUDIKSVALL</t>
        </is>
      </c>
      <c r="G12382" t="n">
        <v>3.4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44227-2024</t>
        </is>
      </c>
      <c r="B12383" s="1" t="n">
        <v>45573</v>
      </c>
      <c r="C12383" s="1" t="n">
        <v>45587</v>
      </c>
      <c r="D12383" t="inlineStr">
        <is>
          <t>GÄVLEBORGS LÄN</t>
        </is>
      </c>
      <c r="E12383" t="inlineStr">
        <is>
          <t>HUDIKSVALL</t>
        </is>
      </c>
      <c r="G12383" t="n">
        <v>2.7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44231-2024</t>
        </is>
      </c>
      <c r="B12384" s="1" t="n">
        <v>45573</v>
      </c>
      <c r="C12384" s="1" t="n">
        <v>45587</v>
      </c>
      <c r="D12384" t="inlineStr">
        <is>
          <t>GÄVLEBORGS LÄN</t>
        </is>
      </c>
      <c r="E12384" t="inlineStr">
        <is>
          <t>HUDIKSVALL</t>
        </is>
      </c>
      <c r="G12384" t="n">
        <v>2.5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44234-2024</t>
        </is>
      </c>
      <c r="B12385" s="1" t="n">
        <v>45573</v>
      </c>
      <c r="C12385" s="1" t="n">
        <v>45587</v>
      </c>
      <c r="D12385" t="inlineStr">
        <is>
          <t>GÄVLEBORGS LÄN</t>
        </is>
      </c>
      <c r="E12385" t="inlineStr">
        <is>
          <t>HUDIKSVALL</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44208-2024</t>
        </is>
      </c>
      <c r="B12386" s="1" t="n">
        <v>45573</v>
      </c>
      <c r="C12386" s="1" t="n">
        <v>45587</v>
      </c>
      <c r="D12386" t="inlineStr">
        <is>
          <t>GÄVLEBORGS LÄN</t>
        </is>
      </c>
      <c r="E12386" t="inlineStr">
        <is>
          <t>OVANÅKER</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44277-2024</t>
        </is>
      </c>
      <c r="B12387" s="1" t="n">
        <v>45573</v>
      </c>
      <c r="C12387" s="1" t="n">
        <v>45587</v>
      </c>
      <c r="D12387" t="inlineStr">
        <is>
          <t>GÄVLEBORGS LÄN</t>
        </is>
      </c>
      <c r="E12387" t="inlineStr">
        <is>
          <t>HUDIKSVALL</t>
        </is>
      </c>
      <c r="G12387" t="n">
        <v>5.6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44337-2024</t>
        </is>
      </c>
      <c r="B12388" s="1" t="n">
        <v>45573</v>
      </c>
      <c r="C12388" s="1" t="n">
        <v>45587</v>
      </c>
      <c r="D12388" t="inlineStr">
        <is>
          <t>GÄVLEBORGS LÄN</t>
        </is>
      </c>
      <c r="E12388" t="inlineStr">
        <is>
          <t>BOLLNÄS</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44344-2024</t>
        </is>
      </c>
      <c r="B12389" s="1" t="n">
        <v>45573</v>
      </c>
      <c r="C12389" s="1" t="n">
        <v>45587</v>
      </c>
      <c r="D12389" t="inlineStr">
        <is>
          <t>GÄVLEBORGS LÄN</t>
        </is>
      </c>
      <c r="E12389" t="inlineStr">
        <is>
          <t>BOLLNÄS</t>
        </is>
      </c>
      <c r="G12389" t="n">
        <v>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44377-2024</t>
        </is>
      </c>
      <c r="B12390" s="1" t="n">
        <v>45573</v>
      </c>
      <c r="C12390" s="1" t="n">
        <v>45587</v>
      </c>
      <c r="D12390" t="inlineStr">
        <is>
          <t>GÄVLEBORGS LÄN</t>
        </is>
      </c>
      <c r="E12390" t="inlineStr">
        <is>
          <t>NORDANSTIG</t>
        </is>
      </c>
      <c r="F12390" t="inlineStr">
        <is>
          <t>Holmen skog AB</t>
        </is>
      </c>
      <c r="G12390" t="n">
        <v>6.2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44229-2024</t>
        </is>
      </c>
      <c r="B12391" s="1" t="n">
        <v>45573</v>
      </c>
      <c r="C12391" s="1" t="n">
        <v>45587</v>
      </c>
      <c r="D12391" t="inlineStr">
        <is>
          <t>GÄVLEBORGS LÄN</t>
        </is>
      </c>
      <c r="E12391" t="inlineStr">
        <is>
          <t>HUDIKSVALL</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44339-2024</t>
        </is>
      </c>
      <c r="B12392" s="1" t="n">
        <v>45573</v>
      </c>
      <c r="C12392" s="1" t="n">
        <v>45587</v>
      </c>
      <c r="D12392" t="inlineStr">
        <is>
          <t>GÄVLEBORGS LÄN</t>
        </is>
      </c>
      <c r="E12392" t="inlineStr">
        <is>
          <t>NORDANSTIG</t>
        </is>
      </c>
      <c r="G12392" t="n">
        <v>10.7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44350-2024</t>
        </is>
      </c>
      <c r="B12393" s="1" t="n">
        <v>45573</v>
      </c>
      <c r="C12393" s="1" t="n">
        <v>45587</v>
      </c>
      <c r="D12393" t="inlineStr">
        <is>
          <t>GÄVLEBORGS LÄN</t>
        </is>
      </c>
      <c r="E12393" t="inlineStr">
        <is>
          <t>SANDVIKEN</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44418-2024</t>
        </is>
      </c>
      <c r="B12394" s="1" t="n">
        <v>45573</v>
      </c>
      <c r="C12394" s="1" t="n">
        <v>45587</v>
      </c>
      <c r="D12394" t="inlineStr">
        <is>
          <t>GÄVLEBORGS LÄN</t>
        </is>
      </c>
      <c r="E12394" t="inlineStr">
        <is>
          <t>OVANÅKER</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44432-2024</t>
        </is>
      </c>
      <c r="B12395" s="1" t="n">
        <v>45574</v>
      </c>
      <c r="C12395" s="1" t="n">
        <v>45587</v>
      </c>
      <c r="D12395" t="inlineStr">
        <is>
          <t>GÄVLEBORGS LÄN</t>
        </is>
      </c>
      <c r="E12395" t="inlineStr">
        <is>
          <t>BOLLNÄS</t>
        </is>
      </c>
      <c r="F12395" t="inlineStr">
        <is>
          <t>Bergvik skog väst AB</t>
        </is>
      </c>
      <c r="G12395" t="n">
        <v>8.1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44436-2024</t>
        </is>
      </c>
      <c r="B12396" s="1" t="n">
        <v>45574</v>
      </c>
      <c r="C12396" s="1" t="n">
        <v>45587</v>
      </c>
      <c r="D12396" t="inlineStr">
        <is>
          <t>GÄVLEBORGS LÄN</t>
        </is>
      </c>
      <c r="E12396" t="inlineStr">
        <is>
          <t>NORDANSTIG</t>
        </is>
      </c>
      <c r="G12396" t="n">
        <v>8.4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44457-2024</t>
        </is>
      </c>
      <c r="B12397" s="1" t="n">
        <v>45574</v>
      </c>
      <c r="C12397" s="1" t="n">
        <v>45587</v>
      </c>
      <c r="D12397" t="inlineStr">
        <is>
          <t>GÄVLEBORGS LÄN</t>
        </is>
      </c>
      <c r="E12397" t="inlineStr">
        <is>
          <t>OCKELBO</t>
        </is>
      </c>
      <c r="G12397" t="n">
        <v>3.5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44474-2024</t>
        </is>
      </c>
      <c r="B12398" s="1" t="n">
        <v>45574</v>
      </c>
      <c r="C12398" s="1" t="n">
        <v>45587</v>
      </c>
      <c r="D12398" t="inlineStr">
        <is>
          <t>GÄVLEBORGS LÄN</t>
        </is>
      </c>
      <c r="E12398" t="inlineStr">
        <is>
          <t>OVANÅKER</t>
        </is>
      </c>
      <c r="G12398" t="n">
        <v>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44486-2024</t>
        </is>
      </c>
      <c r="B12399" s="1" t="n">
        <v>45574</v>
      </c>
      <c r="C12399" s="1" t="n">
        <v>45587</v>
      </c>
      <c r="D12399" t="inlineStr">
        <is>
          <t>GÄVLEBORGS LÄN</t>
        </is>
      </c>
      <c r="E12399" t="inlineStr">
        <is>
          <t>SANDVIKEN</t>
        </is>
      </c>
      <c r="G12399" t="n">
        <v>5.9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44487-2024</t>
        </is>
      </c>
      <c r="B12400" s="1" t="n">
        <v>45574</v>
      </c>
      <c r="C12400" s="1" t="n">
        <v>45587</v>
      </c>
      <c r="D12400" t="inlineStr">
        <is>
          <t>GÄVLEBORGS LÄN</t>
        </is>
      </c>
      <c r="E12400" t="inlineStr">
        <is>
          <t>BOLLNÄS</t>
        </is>
      </c>
      <c r="F12400" t="inlineStr">
        <is>
          <t>Kyrkan</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44506-2024</t>
        </is>
      </c>
      <c r="B12401" s="1" t="n">
        <v>45574</v>
      </c>
      <c r="C12401" s="1" t="n">
        <v>45587</v>
      </c>
      <c r="D12401" t="inlineStr">
        <is>
          <t>GÄVLEBORGS LÄN</t>
        </is>
      </c>
      <c r="E12401" t="inlineStr">
        <is>
          <t>OVANÅKER</t>
        </is>
      </c>
      <c r="F12401" t="inlineStr">
        <is>
          <t>Kyrkan</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44556-2024</t>
        </is>
      </c>
      <c r="B12402" s="1" t="n">
        <v>45574</v>
      </c>
      <c r="C12402" s="1" t="n">
        <v>45587</v>
      </c>
      <c r="D12402" t="inlineStr">
        <is>
          <t>GÄVLEBORGS LÄN</t>
        </is>
      </c>
      <c r="E12402" t="inlineStr">
        <is>
          <t>GÄVLE</t>
        </is>
      </c>
      <c r="G12402" t="n">
        <v>2.9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44577-2024</t>
        </is>
      </c>
      <c r="B12403" s="1" t="n">
        <v>45574</v>
      </c>
      <c r="C12403" s="1" t="n">
        <v>45587</v>
      </c>
      <c r="D12403" t="inlineStr">
        <is>
          <t>GÄVLEBORGS LÄN</t>
        </is>
      </c>
      <c r="E12403" t="inlineStr">
        <is>
          <t>OVANÅKER</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44580-2024</t>
        </is>
      </c>
      <c r="B12404" s="1" t="n">
        <v>45574</v>
      </c>
      <c r="C12404" s="1" t="n">
        <v>45587</v>
      </c>
      <c r="D12404" t="inlineStr">
        <is>
          <t>GÄVLEBORGS LÄN</t>
        </is>
      </c>
      <c r="E12404" t="inlineStr">
        <is>
          <t>BOLLNÄS</t>
        </is>
      </c>
      <c r="F12404" t="inlineStr">
        <is>
          <t>Bergvik skog väst AB</t>
        </is>
      </c>
      <c r="G12404" t="n">
        <v>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44633-2024</t>
        </is>
      </c>
      <c r="B12405" s="1" t="n">
        <v>45574</v>
      </c>
      <c r="C12405" s="1" t="n">
        <v>45587</v>
      </c>
      <c r="D12405" t="inlineStr">
        <is>
          <t>GÄVLEBORGS LÄN</t>
        </is>
      </c>
      <c r="E12405" t="inlineStr">
        <is>
          <t>LJUSDAL</t>
        </is>
      </c>
      <c r="F12405" t="inlineStr">
        <is>
          <t>SCA</t>
        </is>
      </c>
      <c r="G12405" t="n">
        <v>5.2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44669-2024</t>
        </is>
      </c>
      <c r="B12406" s="1" t="n">
        <v>45574</v>
      </c>
      <c r="C12406" s="1" t="n">
        <v>45587</v>
      </c>
      <c r="D12406" t="inlineStr">
        <is>
          <t>GÄVLEBORGS LÄN</t>
        </is>
      </c>
      <c r="E12406" t="inlineStr">
        <is>
          <t>BOLLNÄS</t>
        </is>
      </c>
      <c r="F12406" t="inlineStr">
        <is>
          <t>Bergvik skog väst AB</t>
        </is>
      </c>
      <c r="G12406" t="n">
        <v>23.4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44681-2024</t>
        </is>
      </c>
      <c r="B12407" s="1" t="n">
        <v>45574</v>
      </c>
      <c r="C12407" s="1" t="n">
        <v>45587</v>
      </c>
      <c r="D12407" t="inlineStr">
        <is>
          <t>GÄVLEBORGS LÄN</t>
        </is>
      </c>
      <c r="E12407" t="inlineStr">
        <is>
          <t>SÖDERHAMN</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44790-2024</t>
        </is>
      </c>
      <c r="B12408" s="1" t="n">
        <v>45574</v>
      </c>
      <c r="C12408" s="1" t="n">
        <v>45587</v>
      </c>
      <c r="D12408" t="inlineStr">
        <is>
          <t>GÄVLEBORGS LÄN</t>
        </is>
      </c>
      <c r="E12408" t="inlineStr">
        <is>
          <t>GÄVLE</t>
        </is>
      </c>
      <c r="F12408" t="inlineStr">
        <is>
          <t>Bergvik skog öst AB</t>
        </is>
      </c>
      <c r="G12408" t="n">
        <v>2.7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44802-2024</t>
        </is>
      </c>
      <c r="B12409" s="1" t="n">
        <v>45574</v>
      </c>
      <c r="C12409" s="1" t="n">
        <v>45587</v>
      </c>
      <c r="D12409" t="inlineStr">
        <is>
          <t>GÄVLEBORGS LÄN</t>
        </is>
      </c>
      <c r="E12409" t="inlineStr">
        <is>
          <t>GÄVLE</t>
        </is>
      </c>
      <c r="F12409" t="inlineStr">
        <is>
          <t>Bergvik skog öst AB</t>
        </is>
      </c>
      <c r="G12409" t="n">
        <v>5.4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44806-2024</t>
        </is>
      </c>
      <c r="B12410" s="1" t="n">
        <v>45574</v>
      </c>
      <c r="C12410" s="1" t="n">
        <v>45587</v>
      </c>
      <c r="D12410" t="inlineStr">
        <is>
          <t>GÄVLEBORGS LÄN</t>
        </is>
      </c>
      <c r="E12410" t="inlineStr">
        <is>
          <t>GÄVLE</t>
        </is>
      </c>
      <c r="F12410" t="inlineStr">
        <is>
          <t>Bergvik skog öst AB</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44791-2024</t>
        </is>
      </c>
      <c r="B12411" s="1" t="n">
        <v>45574</v>
      </c>
      <c r="C12411" s="1" t="n">
        <v>45587</v>
      </c>
      <c r="D12411" t="inlineStr">
        <is>
          <t>GÄVLEBORGS LÄN</t>
        </is>
      </c>
      <c r="E12411" t="inlineStr">
        <is>
          <t>GÄVLE</t>
        </is>
      </c>
      <c r="F12411" t="inlineStr">
        <is>
          <t>Bergvik skog öst AB</t>
        </is>
      </c>
      <c r="G12411" t="n">
        <v>3.1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44795-2024</t>
        </is>
      </c>
      <c r="B12412" s="1" t="n">
        <v>45574</v>
      </c>
      <c r="C12412" s="1" t="n">
        <v>45587</v>
      </c>
      <c r="D12412" t="inlineStr">
        <is>
          <t>GÄVLEBORGS LÄN</t>
        </is>
      </c>
      <c r="E12412" t="inlineStr">
        <is>
          <t>GÄVLE</t>
        </is>
      </c>
      <c r="F12412" t="inlineStr">
        <is>
          <t>Bergvik skog öst AB</t>
        </is>
      </c>
      <c r="G12412" t="n">
        <v>4.7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44440-2024</t>
        </is>
      </c>
      <c r="B12413" s="1" t="n">
        <v>45574</v>
      </c>
      <c r="C12413" s="1" t="n">
        <v>45587</v>
      </c>
      <c r="D12413" t="inlineStr">
        <is>
          <t>GÄVLEBORGS LÄN</t>
        </is>
      </c>
      <c r="E12413" t="inlineStr">
        <is>
          <t>OVANÅKER</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44456-2024</t>
        </is>
      </c>
      <c r="B12414" s="1" t="n">
        <v>45574</v>
      </c>
      <c r="C12414" s="1" t="n">
        <v>45587</v>
      </c>
      <c r="D12414" t="inlineStr">
        <is>
          <t>GÄVLEBORGS LÄN</t>
        </is>
      </c>
      <c r="E12414" t="inlineStr">
        <is>
          <t>BOLLNÄS</t>
        </is>
      </c>
      <c r="G12414" t="n">
        <v>7.9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44473-2024</t>
        </is>
      </c>
      <c r="B12415" s="1" t="n">
        <v>45574</v>
      </c>
      <c r="C12415" s="1" t="n">
        <v>45587</v>
      </c>
      <c r="D12415" t="inlineStr">
        <is>
          <t>GÄVLEBORGS LÄN</t>
        </is>
      </c>
      <c r="E12415" t="inlineStr">
        <is>
          <t>OVANÅKER</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44497-2024</t>
        </is>
      </c>
      <c r="B12416" s="1" t="n">
        <v>45574</v>
      </c>
      <c r="C12416" s="1" t="n">
        <v>45587</v>
      </c>
      <c r="D12416" t="inlineStr">
        <is>
          <t>GÄVLEBORGS LÄN</t>
        </is>
      </c>
      <c r="E12416" t="inlineStr">
        <is>
          <t>HUDIKSVALL</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44434-2024</t>
        </is>
      </c>
      <c r="B12417" s="1" t="n">
        <v>45574</v>
      </c>
      <c r="C12417" s="1" t="n">
        <v>45587</v>
      </c>
      <c r="D12417" t="inlineStr">
        <is>
          <t>GÄVLEBORGS LÄN</t>
        </is>
      </c>
      <c r="E12417" t="inlineStr">
        <is>
          <t>GÄVLE</t>
        </is>
      </c>
      <c r="G12417" t="n">
        <v>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44439-2024</t>
        </is>
      </c>
      <c r="B12418" s="1" t="n">
        <v>45574</v>
      </c>
      <c r="C12418" s="1" t="n">
        <v>45587</v>
      </c>
      <c r="D12418" t="inlineStr">
        <is>
          <t>GÄVLEBORGS LÄN</t>
        </is>
      </c>
      <c r="E12418" t="inlineStr">
        <is>
          <t>OVANÅKER</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44451-2024</t>
        </is>
      </c>
      <c r="B12419" s="1" t="n">
        <v>45574</v>
      </c>
      <c r="C12419" s="1" t="n">
        <v>45587</v>
      </c>
      <c r="D12419" t="inlineStr">
        <is>
          <t>GÄVLEBORGS LÄN</t>
        </is>
      </c>
      <c r="E12419" t="inlineStr">
        <is>
          <t>LJUSDAL</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44837-2024</t>
        </is>
      </c>
      <c r="B12420" s="1" t="n">
        <v>45574</v>
      </c>
      <c r="C12420" s="1" t="n">
        <v>45587</v>
      </c>
      <c r="D12420" t="inlineStr">
        <is>
          <t>GÄVLEBORGS LÄN</t>
        </is>
      </c>
      <c r="E12420" t="inlineStr">
        <is>
          <t>NORDANSTIG</t>
        </is>
      </c>
      <c r="F12420" t="inlineStr">
        <is>
          <t>Holmen skog AB</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44463-2024</t>
        </is>
      </c>
      <c r="B12421" s="1" t="n">
        <v>45574</v>
      </c>
      <c r="C12421" s="1" t="n">
        <v>45587</v>
      </c>
      <c r="D12421" t="inlineStr">
        <is>
          <t>GÄVLEBORGS LÄN</t>
        </is>
      </c>
      <c r="E12421" t="inlineStr">
        <is>
          <t>HUDIKSVALL</t>
        </is>
      </c>
      <c r="G12421" t="n">
        <v>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44496-2024</t>
        </is>
      </c>
      <c r="B12422" s="1" t="n">
        <v>45574</v>
      </c>
      <c r="C12422" s="1" t="n">
        <v>45587</v>
      </c>
      <c r="D12422" t="inlineStr">
        <is>
          <t>GÄVLEBORGS LÄN</t>
        </is>
      </c>
      <c r="E12422" t="inlineStr">
        <is>
          <t>HUDIKSVALL</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44500-2024</t>
        </is>
      </c>
      <c r="B12423" s="1" t="n">
        <v>45574</v>
      </c>
      <c r="C12423" s="1" t="n">
        <v>45587</v>
      </c>
      <c r="D12423" t="inlineStr">
        <is>
          <t>GÄVLEBORGS LÄN</t>
        </is>
      </c>
      <c r="E12423" t="inlineStr">
        <is>
          <t>NORDANSTIG</t>
        </is>
      </c>
      <c r="G12423" t="n">
        <v>2.2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44549-2024</t>
        </is>
      </c>
      <c r="B12424" s="1" t="n">
        <v>45574</v>
      </c>
      <c r="C12424" s="1" t="n">
        <v>45587</v>
      </c>
      <c r="D12424" t="inlineStr">
        <is>
          <t>GÄVLEBORGS LÄN</t>
        </is>
      </c>
      <c r="E12424" t="inlineStr">
        <is>
          <t>HUDIKSVALL</t>
        </is>
      </c>
      <c r="F12424" t="inlineStr">
        <is>
          <t>Holmen skog AB</t>
        </is>
      </c>
      <c r="G12424" t="n">
        <v>30.9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44571-2024</t>
        </is>
      </c>
      <c r="B12425" s="1" t="n">
        <v>45574</v>
      </c>
      <c r="C12425" s="1" t="n">
        <v>45587</v>
      </c>
      <c r="D12425" t="inlineStr">
        <is>
          <t>GÄVLEBORGS LÄN</t>
        </is>
      </c>
      <c r="E12425" t="inlineStr">
        <is>
          <t>OVANÅKER</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44575-2024</t>
        </is>
      </c>
      <c r="B12426" s="1" t="n">
        <v>45574</v>
      </c>
      <c r="C12426" s="1" t="n">
        <v>45587</v>
      </c>
      <c r="D12426" t="inlineStr">
        <is>
          <t>GÄVLEBORGS LÄN</t>
        </is>
      </c>
      <c r="E12426" t="inlineStr">
        <is>
          <t>OVANÅKER</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44688-2024</t>
        </is>
      </c>
      <c r="B12427" s="1" t="n">
        <v>45574</v>
      </c>
      <c r="C12427" s="1" t="n">
        <v>45587</v>
      </c>
      <c r="D12427" t="inlineStr">
        <is>
          <t>GÄVLEBORGS LÄN</t>
        </is>
      </c>
      <c r="E12427" t="inlineStr">
        <is>
          <t>HUDIKSVALL</t>
        </is>
      </c>
      <c r="G12427" t="n">
        <v>66.59999999999999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44720-2024</t>
        </is>
      </c>
      <c r="B12428" s="1" t="n">
        <v>45574</v>
      </c>
      <c r="C12428" s="1" t="n">
        <v>45587</v>
      </c>
      <c r="D12428" t="inlineStr">
        <is>
          <t>GÄVLEBORGS LÄN</t>
        </is>
      </c>
      <c r="E12428" t="inlineStr">
        <is>
          <t>HUDIKSVALL</t>
        </is>
      </c>
      <c r="F12428" t="inlineStr">
        <is>
          <t>Holmen skog AB</t>
        </is>
      </c>
      <c r="G12428" t="n">
        <v>9.1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44736-2024</t>
        </is>
      </c>
      <c r="B12429" s="1" t="n">
        <v>45574</v>
      </c>
      <c r="C12429" s="1" t="n">
        <v>45587</v>
      </c>
      <c r="D12429" t="inlineStr">
        <is>
          <t>GÄVLEBORGS LÄN</t>
        </is>
      </c>
      <c r="E12429" t="inlineStr">
        <is>
          <t>HUDIKSVALL</t>
        </is>
      </c>
      <c r="G12429" t="n">
        <v>43.7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44749-2024</t>
        </is>
      </c>
      <c r="B12430" s="1" t="n">
        <v>45574</v>
      </c>
      <c r="C12430" s="1" t="n">
        <v>45587</v>
      </c>
      <c r="D12430" t="inlineStr">
        <is>
          <t>GÄVLEBORGS LÄN</t>
        </is>
      </c>
      <c r="E12430" t="inlineStr">
        <is>
          <t>HUDIKSVALL</t>
        </is>
      </c>
      <c r="G12430" t="n">
        <v>2.7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44843-2024</t>
        </is>
      </c>
      <c r="B12431" s="1" t="n">
        <v>45574</v>
      </c>
      <c r="C12431" s="1" t="n">
        <v>45587</v>
      </c>
      <c r="D12431" t="inlineStr">
        <is>
          <t>GÄVLEBORGS LÄN</t>
        </is>
      </c>
      <c r="E12431" t="inlineStr">
        <is>
          <t>GÄVLE</t>
        </is>
      </c>
      <c r="G12431" t="n">
        <v>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44682-2024</t>
        </is>
      </c>
      <c r="B12432" s="1" t="n">
        <v>45574</v>
      </c>
      <c r="C12432" s="1" t="n">
        <v>45587</v>
      </c>
      <c r="D12432" t="inlineStr">
        <is>
          <t>GÄVLEBORGS LÄN</t>
        </is>
      </c>
      <c r="E12432" t="inlineStr">
        <is>
          <t>BOLLNÄS</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44687-2024</t>
        </is>
      </c>
      <c r="B12433" s="1" t="n">
        <v>45574</v>
      </c>
      <c r="C12433" s="1" t="n">
        <v>45587</v>
      </c>
      <c r="D12433" t="inlineStr">
        <is>
          <t>GÄVLEBORGS LÄN</t>
        </is>
      </c>
      <c r="E12433" t="inlineStr">
        <is>
          <t>HUDIKSVALL</t>
        </is>
      </c>
      <c r="G12433" t="n">
        <v>17.3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44695-2024</t>
        </is>
      </c>
      <c r="B12434" s="1" t="n">
        <v>45574</v>
      </c>
      <c r="C12434" s="1" t="n">
        <v>45587</v>
      </c>
      <c r="D12434" t="inlineStr">
        <is>
          <t>GÄVLEBORGS LÄN</t>
        </is>
      </c>
      <c r="E12434" t="inlineStr">
        <is>
          <t>LJUSDAL</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44703-2024</t>
        </is>
      </c>
      <c r="B12435" s="1" t="n">
        <v>45574</v>
      </c>
      <c r="C12435" s="1" t="n">
        <v>45587</v>
      </c>
      <c r="D12435" t="inlineStr">
        <is>
          <t>GÄVLEBORGS LÄN</t>
        </is>
      </c>
      <c r="E12435" t="inlineStr">
        <is>
          <t>SÖDERHAMN</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44800-2024</t>
        </is>
      </c>
      <c r="B12436" s="1" t="n">
        <v>45574</v>
      </c>
      <c r="C12436" s="1" t="n">
        <v>45587</v>
      </c>
      <c r="D12436" t="inlineStr">
        <is>
          <t>GÄVLEBORGS LÄN</t>
        </is>
      </c>
      <c r="E12436" t="inlineStr">
        <is>
          <t>GÄVLE</t>
        </is>
      </c>
      <c r="F12436" t="inlineStr">
        <is>
          <t>Bergvik skog öst AB</t>
        </is>
      </c>
      <c r="G12436" t="n">
        <v>0.4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44813-2024</t>
        </is>
      </c>
      <c r="B12437" s="1" t="n">
        <v>45574</v>
      </c>
      <c r="C12437" s="1" t="n">
        <v>45587</v>
      </c>
      <c r="D12437" t="inlineStr">
        <is>
          <t>GÄVLEBORGS LÄN</t>
        </is>
      </c>
      <c r="E12437" t="inlineStr">
        <is>
          <t>HUDIKSVALL</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44826-2024</t>
        </is>
      </c>
      <c r="B12438" s="1" t="n">
        <v>45574</v>
      </c>
      <c r="C12438" s="1" t="n">
        <v>45587</v>
      </c>
      <c r="D12438" t="inlineStr">
        <is>
          <t>GÄVLEBORGS LÄN</t>
        </is>
      </c>
      <c r="E12438" t="inlineStr">
        <is>
          <t>NORDANSTIG</t>
        </is>
      </c>
      <c r="F12438" t="inlineStr">
        <is>
          <t>Holmen skog AB</t>
        </is>
      </c>
      <c r="G12438" t="n">
        <v>15.3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44905-2024</t>
        </is>
      </c>
      <c r="B12439" s="1" t="n">
        <v>45575</v>
      </c>
      <c r="C12439" s="1" t="n">
        <v>45587</v>
      </c>
      <c r="D12439" t="inlineStr">
        <is>
          <t>GÄVLEBORGS LÄN</t>
        </is>
      </c>
      <c r="E12439" t="inlineStr">
        <is>
          <t>OVANÅKER</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44913-2024</t>
        </is>
      </c>
      <c r="B12440" s="1" t="n">
        <v>45575</v>
      </c>
      <c r="C12440" s="1" t="n">
        <v>45587</v>
      </c>
      <c r="D12440" t="inlineStr">
        <is>
          <t>GÄVLEBORGS LÄN</t>
        </is>
      </c>
      <c r="E12440" t="inlineStr">
        <is>
          <t>GÄVLE</t>
        </is>
      </c>
      <c r="F12440" t="inlineStr">
        <is>
          <t>Bergvik skog öst AB</t>
        </is>
      </c>
      <c r="G12440" t="n">
        <v>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44948-2024</t>
        </is>
      </c>
      <c r="B12441" s="1" t="n">
        <v>45575</v>
      </c>
      <c r="C12441" s="1" t="n">
        <v>45587</v>
      </c>
      <c r="D12441" t="inlineStr">
        <is>
          <t>GÄVLEBORGS LÄN</t>
        </is>
      </c>
      <c r="E12441" t="inlineStr">
        <is>
          <t>BOLLNÄS</t>
        </is>
      </c>
      <c r="G12441" t="n">
        <v>4.9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45115-2024</t>
        </is>
      </c>
      <c r="B12442" s="1" t="n">
        <v>45575</v>
      </c>
      <c r="C12442" s="1" t="n">
        <v>45587</v>
      </c>
      <c r="D12442" t="inlineStr">
        <is>
          <t>GÄVLEBORGS LÄN</t>
        </is>
      </c>
      <c r="E12442" t="inlineStr">
        <is>
          <t>BOLLNÄS</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44856-2024</t>
        </is>
      </c>
      <c r="B12443" s="1" t="n">
        <v>45575</v>
      </c>
      <c r="C12443" s="1" t="n">
        <v>45587</v>
      </c>
      <c r="D12443" t="inlineStr">
        <is>
          <t>GÄVLEBORGS LÄN</t>
        </is>
      </c>
      <c r="E12443" t="inlineStr">
        <is>
          <t>LJUSDAL</t>
        </is>
      </c>
      <c r="G12443" t="n">
        <v>2.3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45017-2024</t>
        </is>
      </c>
      <c r="B12444" s="1" t="n">
        <v>45575</v>
      </c>
      <c r="C12444" s="1" t="n">
        <v>45587</v>
      </c>
      <c r="D12444" t="inlineStr">
        <is>
          <t>GÄVLEBORGS LÄN</t>
        </is>
      </c>
      <c r="E12444" t="inlineStr">
        <is>
          <t>BOLLNÄS</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45029-2024</t>
        </is>
      </c>
      <c r="B12445" s="1" t="n">
        <v>45575</v>
      </c>
      <c r="C12445" s="1" t="n">
        <v>45587</v>
      </c>
      <c r="D12445" t="inlineStr">
        <is>
          <t>GÄVLEBORGS LÄN</t>
        </is>
      </c>
      <c r="E12445" t="inlineStr">
        <is>
          <t>GÄVLE</t>
        </is>
      </c>
      <c r="F12445" t="inlineStr">
        <is>
          <t>Bergvik skog väst AB</t>
        </is>
      </c>
      <c r="G12445" t="n">
        <v>7.2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45103-2024</t>
        </is>
      </c>
      <c r="B12446" s="1" t="n">
        <v>45575</v>
      </c>
      <c r="C12446" s="1" t="n">
        <v>45587</v>
      </c>
      <c r="D12446" t="inlineStr">
        <is>
          <t>GÄVLEBORGS LÄN</t>
        </is>
      </c>
      <c r="E12446" t="inlineStr">
        <is>
          <t>OCKELBO</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45179-2024</t>
        </is>
      </c>
      <c r="B12447" s="1" t="n">
        <v>45575</v>
      </c>
      <c r="C12447" s="1" t="n">
        <v>45587</v>
      </c>
      <c r="D12447" t="inlineStr">
        <is>
          <t>GÄVLEBORGS LÄN</t>
        </is>
      </c>
      <c r="E12447" t="inlineStr">
        <is>
          <t>HUDIKSVALL</t>
        </is>
      </c>
      <c r="F12447" t="inlineStr">
        <is>
          <t>Holmen skog AB</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45183-2024</t>
        </is>
      </c>
      <c r="B12448" s="1" t="n">
        <v>45575</v>
      </c>
      <c r="C12448" s="1" t="n">
        <v>45587</v>
      </c>
      <c r="D12448" t="inlineStr">
        <is>
          <t>GÄVLEBORGS LÄN</t>
        </is>
      </c>
      <c r="E12448" t="inlineStr">
        <is>
          <t>OCKELBO</t>
        </is>
      </c>
      <c r="F12448" t="inlineStr">
        <is>
          <t>Bergvik skog väst AB</t>
        </is>
      </c>
      <c r="G12448" t="n">
        <v>12.2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44859-2024</t>
        </is>
      </c>
      <c r="B12449" s="1" t="n">
        <v>45575</v>
      </c>
      <c r="C12449" s="1" t="n">
        <v>45587</v>
      </c>
      <c r="D12449" t="inlineStr">
        <is>
          <t>GÄVLEBORGS LÄN</t>
        </is>
      </c>
      <c r="E12449" t="inlineStr">
        <is>
          <t>OVANÅKER</t>
        </is>
      </c>
      <c r="G12449" t="n">
        <v>0.2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44863-2024</t>
        </is>
      </c>
      <c r="B12450" s="1" t="n">
        <v>45575</v>
      </c>
      <c r="C12450" s="1" t="n">
        <v>45587</v>
      </c>
      <c r="D12450" t="inlineStr">
        <is>
          <t>GÄVLEBORGS LÄN</t>
        </is>
      </c>
      <c r="E12450" t="inlineStr">
        <is>
          <t>OVANÅKER</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44910-2024</t>
        </is>
      </c>
      <c r="B12451" s="1" t="n">
        <v>45575</v>
      </c>
      <c r="C12451" s="1" t="n">
        <v>45587</v>
      </c>
      <c r="D12451" t="inlineStr">
        <is>
          <t>GÄVLEBORGS LÄN</t>
        </is>
      </c>
      <c r="E12451" t="inlineStr">
        <is>
          <t>OVANÅKER</t>
        </is>
      </c>
      <c r="G12451" t="n">
        <v>3.1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44914-2024</t>
        </is>
      </c>
      <c r="B12452" s="1" t="n">
        <v>45575</v>
      </c>
      <c r="C12452" s="1" t="n">
        <v>45587</v>
      </c>
      <c r="D12452" t="inlineStr">
        <is>
          <t>GÄVLEBORGS LÄN</t>
        </is>
      </c>
      <c r="E12452" t="inlineStr">
        <is>
          <t>GÄVLE</t>
        </is>
      </c>
      <c r="F12452" t="inlineStr">
        <is>
          <t>Bergvik skog öst AB</t>
        </is>
      </c>
      <c r="G12452" t="n">
        <v>2.4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45131-2024</t>
        </is>
      </c>
      <c r="B12453" s="1" t="n">
        <v>45575</v>
      </c>
      <c r="C12453" s="1" t="n">
        <v>45587</v>
      </c>
      <c r="D12453" t="inlineStr">
        <is>
          <t>GÄVLEBORGS LÄN</t>
        </is>
      </c>
      <c r="E12453" t="inlineStr">
        <is>
          <t>SANDVIKEN</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45181-2024</t>
        </is>
      </c>
      <c r="B12454" s="1" t="n">
        <v>45575</v>
      </c>
      <c r="C12454" s="1" t="n">
        <v>45587</v>
      </c>
      <c r="D12454" t="inlineStr">
        <is>
          <t>GÄVLEBORGS LÄN</t>
        </is>
      </c>
      <c r="E12454" t="inlineStr">
        <is>
          <t>HUDIKSVALL</t>
        </is>
      </c>
      <c r="F12454" t="inlineStr">
        <is>
          <t>Holmen skog AB</t>
        </is>
      </c>
      <c r="G12454" t="n">
        <v>8.300000000000001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45189-2024</t>
        </is>
      </c>
      <c r="B12455" s="1" t="n">
        <v>45575</v>
      </c>
      <c r="C12455" s="1" t="n">
        <v>45587</v>
      </c>
      <c r="D12455" t="inlineStr">
        <is>
          <t>GÄVLEBORGS LÄN</t>
        </is>
      </c>
      <c r="E12455" t="inlineStr">
        <is>
          <t>OCKELBO</t>
        </is>
      </c>
      <c r="F12455" t="inlineStr">
        <is>
          <t>Bergvik skog väst AB</t>
        </is>
      </c>
      <c r="G12455" t="n">
        <v>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45241-2024</t>
        </is>
      </c>
      <c r="B12456" s="1" t="n">
        <v>45576</v>
      </c>
      <c r="C12456" s="1" t="n">
        <v>45587</v>
      </c>
      <c r="D12456" t="inlineStr">
        <is>
          <t>GÄVLEBORGS LÄN</t>
        </is>
      </c>
      <c r="E12456" t="inlineStr">
        <is>
          <t>LJUSDAL</t>
        </is>
      </c>
      <c r="F12456" t="inlineStr">
        <is>
          <t>Sveaskog</t>
        </is>
      </c>
      <c r="G12456" t="n">
        <v>14.4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45373-2024</t>
        </is>
      </c>
      <c r="B12457" s="1" t="n">
        <v>45576</v>
      </c>
      <c r="C12457" s="1" t="n">
        <v>45587</v>
      </c>
      <c r="D12457" t="inlineStr">
        <is>
          <t>GÄVLEBORGS LÄN</t>
        </is>
      </c>
      <c r="E12457" t="inlineStr">
        <is>
          <t>GÄVLE</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45446-2024</t>
        </is>
      </c>
      <c r="B12458" s="1" t="n">
        <v>45576</v>
      </c>
      <c r="C12458" s="1" t="n">
        <v>45587</v>
      </c>
      <c r="D12458" t="inlineStr">
        <is>
          <t>GÄVLEBORGS LÄN</t>
        </is>
      </c>
      <c r="E12458" t="inlineStr">
        <is>
          <t>LJUSDAL</t>
        </is>
      </c>
      <c r="G12458" t="n">
        <v>5.3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45270-2024</t>
        </is>
      </c>
      <c r="B12459" s="1" t="n">
        <v>45576</v>
      </c>
      <c r="C12459" s="1" t="n">
        <v>45587</v>
      </c>
      <c r="D12459" t="inlineStr">
        <is>
          <t>GÄVLEBORGS LÄN</t>
        </is>
      </c>
      <c r="E12459" t="inlineStr">
        <is>
          <t>LJUSDAL</t>
        </is>
      </c>
      <c r="F12459" t="inlineStr">
        <is>
          <t>Sveaskog</t>
        </is>
      </c>
      <c r="G12459" t="n">
        <v>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45318-2024</t>
        </is>
      </c>
      <c r="B12460" s="1" t="n">
        <v>45576</v>
      </c>
      <c r="C12460" s="1" t="n">
        <v>45587</v>
      </c>
      <c r="D12460" t="inlineStr">
        <is>
          <t>GÄVLEBORGS LÄN</t>
        </is>
      </c>
      <c r="E12460" t="inlineStr">
        <is>
          <t>SANDVIKEN</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45331-2024</t>
        </is>
      </c>
      <c r="B12461" s="1" t="n">
        <v>45576</v>
      </c>
      <c r="C12461" s="1" t="n">
        <v>45587</v>
      </c>
      <c r="D12461" t="inlineStr">
        <is>
          <t>GÄVLEBORGS LÄN</t>
        </is>
      </c>
      <c r="E12461" t="inlineStr">
        <is>
          <t>SANDVIKEN</t>
        </is>
      </c>
      <c r="F12461" t="inlineStr">
        <is>
          <t>Bergvik skog öst AB</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45380-2024</t>
        </is>
      </c>
      <c r="B12462" s="1" t="n">
        <v>45576</v>
      </c>
      <c r="C12462" s="1" t="n">
        <v>45587</v>
      </c>
      <c r="D12462" t="inlineStr">
        <is>
          <t>GÄVLEBORGS LÄN</t>
        </is>
      </c>
      <c r="E12462" t="inlineStr">
        <is>
          <t>HUDIKSVALL</t>
        </is>
      </c>
      <c r="G12462" t="n">
        <v>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45388-2024</t>
        </is>
      </c>
      <c r="B12463" s="1" t="n">
        <v>45576</v>
      </c>
      <c r="C12463" s="1" t="n">
        <v>45587</v>
      </c>
      <c r="D12463" t="inlineStr">
        <is>
          <t>GÄVLEBORGS LÄN</t>
        </is>
      </c>
      <c r="E12463" t="inlineStr">
        <is>
          <t>LJUSDAL</t>
        </is>
      </c>
      <c r="F12463" t="inlineStr">
        <is>
          <t>Sveaskog</t>
        </is>
      </c>
      <c r="G12463" t="n">
        <v>13.2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45432-2024</t>
        </is>
      </c>
      <c r="B12464" s="1" t="n">
        <v>45576</v>
      </c>
      <c r="C12464" s="1" t="n">
        <v>45587</v>
      </c>
      <c r="D12464" t="inlineStr">
        <is>
          <t>GÄVLEBORGS LÄN</t>
        </is>
      </c>
      <c r="E12464" t="inlineStr">
        <is>
          <t>NORDANSTIG</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45433-2024</t>
        </is>
      </c>
      <c r="B12465" s="1" t="n">
        <v>45576</v>
      </c>
      <c r="C12465" s="1" t="n">
        <v>45587</v>
      </c>
      <c r="D12465" t="inlineStr">
        <is>
          <t>GÄVLEBORGS LÄN</t>
        </is>
      </c>
      <c r="E12465" t="inlineStr">
        <is>
          <t>NORDANSTIG</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45509-2024</t>
        </is>
      </c>
      <c r="B12466" s="1" t="n">
        <v>45578</v>
      </c>
      <c r="C12466" s="1" t="n">
        <v>45587</v>
      </c>
      <c r="D12466" t="inlineStr">
        <is>
          <t>GÄVLEBORGS LÄN</t>
        </is>
      </c>
      <c r="E12466" t="inlineStr">
        <is>
          <t>LJUSDAL</t>
        </is>
      </c>
      <c r="F12466" t="inlineStr">
        <is>
          <t>Naturvårdsverket</t>
        </is>
      </c>
      <c r="G12466" t="n">
        <v>11.9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45534-2024</t>
        </is>
      </c>
      <c r="B12467" s="1" t="n">
        <v>45579</v>
      </c>
      <c r="C12467" s="1" t="n">
        <v>45587</v>
      </c>
      <c r="D12467" t="inlineStr">
        <is>
          <t>GÄVLEBORGS LÄN</t>
        </is>
      </c>
      <c r="E12467" t="inlineStr">
        <is>
          <t>OVANÅKER</t>
        </is>
      </c>
      <c r="G12467" t="n">
        <v>0.4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45546-2024</t>
        </is>
      </c>
      <c r="B12468" s="1" t="n">
        <v>45579</v>
      </c>
      <c r="C12468" s="1" t="n">
        <v>45587</v>
      </c>
      <c r="D12468" t="inlineStr">
        <is>
          <t>GÄVLEBORGS LÄN</t>
        </is>
      </c>
      <c r="E12468" t="inlineStr">
        <is>
          <t>OVANÅKER</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45553-2024</t>
        </is>
      </c>
      <c r="B12469" s="1" t="n">
        <v>45579</v>
      </c>
      <c r="C12469" s="1" t="n">
        <v>45587</v>
      </c>
      <c r="D12469" t="inlineStr">
        <is>
          <t>GÄVLEBORGS LÄN</t>
        </is>
      </c>
      <c r="E12469" t="inlineStr">
        <is>
          <t>NORDANSTIG</t>
        </is>
      </c>
      <c r="G12469" t="n">
        <v>5.7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45557-2024</t>
        </is>
      </c>
      <c r="B12470" s="1" t="n">
        <v>45579</v>
      </c>
      <c r="C12470" s="1" t="n">
        <v>45587</v>
      </c>
      <c r="D12470" t="inlineStr">
        <is>
          <t>GÄVLEBORGS LÄN</t>
        </is>
      </c>
      <c r="E12470" t="inlineStr">
        <is>
          <t>BOLLNÄS</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45554-2024</t>
        </is>
      </c>
      <c r="B12471" s="1" t="n">
        <v>45579</v>
      </c>
      <c r="C12471" s="1" t="n">
        <v>45587</v>
      </c>
      <c r="D12471" t="inlineStr">
        <is>
          <t>GÄVLEBORGS LÄN</t>
        </is>
      </c>
      <c r="E12471" t="inlineStr">
        <is>
          <t>BOLLNÄS</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45566-2024</t>
        </is>
      </c>
      <c r="B12472" s="1" t="n">
        <v>45579</v>
      </c>
      <c r="C12472" s="1" t="n">
        <v>45587</v>
      </c>
      <c r="D12472" t="inlineStr">
        <is>
          <t>GÄVLEBORGS LÄN</t>
        </is>
      </c>
      <c r="E12472" t="inlineStr">
        <is>
          <t>GÄVLE</t>
        </is>
      </c>
      <c r="F12472" t="inlineStr">
        <is>
          <t>Bergvik skog väst AB</t>
        </is>
      </c>
      <c r="G12472" t="n">
        <v>7.5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45598-2024</t>
        </is>
      </c>
      <c r="B12473" s="1" t="n">
        <v>45579</v>
      </c>
      <c r="C12473" s="1" t="n">
        <v>45587</v>
      </c>
      <c r="D12473" t="inlineStr">
        <is>
          <t>GÄVLEBORGS LÄN</t>
        </is>
      </c>
      <c r="E12473" t="inlineStr">
        <is>
          <t>BOLLNÄS</t>
        </is>
      </c>
      <c r="F12473" t="inlineStr">
        <is>
          <t>Kommuner</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45645-2024</t>
        </is>
      </c>
      <c r="B12474" s="1" t="n">
        <v>45579</v>
      </c>
      <c r="C12474" s="1" t="n">
        <v>45587</v>
      </c>
      <c r="D12474" t="inlineStr">
        <is>
          <t>GÄVLEBORGS LÄN</t>
        </is>
      </c>
      <c r="E12474" t="inlineStr">
        <is>
          <t>HOFORS</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45694-2024</t>
        </is>
      </c>
      <c r="B12475" s="1" t="n">
        <v>45579</v>
      </c>
      <c r="C12475" s="1" t="n">
        <v>45587</v>
      </c>
      <c r="D12475" t="inlineStr">
        <is>
          <t>GÄVLEBORGS LÄN</t>
        </is>
      </c>
      <c r="E12475" t="inlineStr">
        <is>
          <t>LJUSDAL</t>
        </is>
      </c>
      <c r="G12475" t="n">
        <v>14.1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45768-2024</t>
        </is>
      </c>
      <c r="B12476" s="1" t="n">
        <v>45579</v>
      </c>
      <c r="C12476" s="1" t="n">
        <v>45587</v>
      </c>
      <c r="D12476" t="inlineStr">
        <is>
          <t>GÄVLEBORGS LÄN</t>
        </is>
      </c>
      <c r="E12476" t="inlineStr">
        <is>
          <t>LJUSDAL</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45782-2024</t>
        </is>
      </c>
      <c r="B12477" s="1" t="n">
        <v>45579</v>
      </c>
      <c r="C12477" s="1" t="n">
        <v>45587</v>
      </c>
      <c r="D12477" t="inlineStr">
        <is>
          <t>GÄVLEBORGS LÄN</t>
        </is>
      </c>
      <c r="E12477" t="inlineStr">
        <is>
          <t>BOLLNÄS</t>
        </is>
      </c>
      <c r="G12477" t="n">
        <v>9.199999999999999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45532-2024</t>
        </is>
      </c>
      <c r="B12478" s="1" t="n">
        <v>45579</v>
      </c>
      <c r="C12478" s="1" t="n">
        <v>45587</v>
      </c>
      <c r="D12478" t="inlineStr">
        <is>
          <t>GÄVLEBORGS LÄN</t>
        </is>
      </c>
      <c r="E12478" t="inlineStr">
        <is>
          <t>OVANÅKER</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45555-2024</t>
        </is>
      </c>
      <c r="B12479" s="1" t="n">
        <v>45579</v>
      </c>
      <c r="C12479" s="1" t="n">
        <v>45587</v>
      </c>
      <c r="D12479" t="inlineStr">
        <is>
          <t>GÄVLEBORGS LÄN</t>
        </is>
      </c>
      <c r="E12479" t="inlineStr">
        <is>
          <t>HUDIKSVALL</t>
        </is>
      </c>
      <c r="G12479" t="n">
        <v>3.5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45563-2024</t>
        </is>
      </c>
      <c r="B12480" s="1" t="n">
        <v>45579</v>
      </c>
      <c r="C12480" s="1" t="n">
        <v>45587</v>
      </c>
      <c r="D12480" t="inlineStr">
        <is>
          <t>GÄVLEBORGS LÄN</t>
        </is>
      </c>
      <c r="E12480" t="inlineStr">
        <is>
          <t>HUDIKSVALL</t>
        </is>
      </c>
      <c r="G12480" t="n">
        <v>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45604-2024</t>
        </is>
      </c>
      <c r="B12481" s="1" t="n">
        <v>45579</v>
      </c>
      <c r="C12481" s="1" t="n">
        <v>45587</v>
      </c>
      <c r="D12481" t="inlineStr">
        <is>
          <t>GÄVLEBORGS LÄN</t>
        </is>
      </c>
      <c r="E12481" t="inlineStr">
        <is>
          <t>SANDVIKEN</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45688-2024</t>
        </is>
      </c>
      <c r="B12482" s="1" t="n">
        <v>45579</v>
      </c>
      <c r="C12482" s="1" t="n">
        <v>45587</v>
      </c>
      <c r="D12482" t="inlineStr">
        <is>
          <t>GÄVLEBORGS LÄN</t>
        </is>
      </c>
      <c r="E12482" t="inlineStr">
        <is>
          <t>OCKELBO</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45696-2024</t>
        </is>
      </c>
      <c r="B12483" s="1" t="n">
        <v>45579</v>
      </c>
      <c r="C12483" s="1" t="n">
        <v>45587</v>
      </c>
      <c r="D12483" t="inlineStr">
        <is>
          <t>GÄVLEBORGS LÄN</t>
        </is>
      </c>
      <c r="E12483" t="inlineStr">
        <is>
          <t>LJUSDAL</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45700-2024</t>
        </is>
      </c>
      <c r="B12484" s="1" t="n">
        <v>45579</v>
      </c>
      <c r="C12484" s="1" t="n">
        <v>45587</v>
      </c>
      <c r="D12484" t="inlineStr">
        <is>
          <t>GÄVLEBORGS LÄN</t>
        </is>
      </c>
      <c r="E12484" t="inlineStr">
        <is>
          <t>HUDIKSVALL</t>
        </is>
      </c>
      <c r="F12484" t="inlineStr">
        <is>
          <t>Holmen skog AB</t>
        </is>
      </c>
      <c r="G12484" t="n">
        <v>4.1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45775-2024</t>
        </is>
      </c>
      <c r="B12485" s="1" t="n">
        <v>45579</v>
      </c>
      <c r="C12485" s="1" t="n">
        <v>45587</v>
      </c>
      <c r="D12485" t="inlineStr">
        <is>
          <t>GÄVLEBORGS LÄN</t>
        </is>
      </c>
      <c r="E12485" t="inlineStr">
        <is>
          <t>HUDIKSVALL</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45549-2024</t>
        </is>
      </c>
      <c r="B12486" s="1" t="n">
        <v>45579</v>
      </c>
      <c r="C12486" s="1" t="n">
        <v>45587</v>
      </c>
      <c r="D12486" t="inlineStr">
        <is>
          <t>GÄVLEBORGS LÄN</t>
        </is>
      </c>
      <c r="E12486" t="inlineStr">
        <is>
          <t>NORDANSTIG</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45829-2024</t>
        </is>
      </c>
      <c r="B12487" s="1" t="n">
        <v>45579</v>
      </c>
      <c r="C12487" s="1" t="n">
        <v>45587</v>
      </c>
      <c r="D12487" t="inlineStr">
        <is>
          <t>GÄVLEBORGS LÄN</t>
        </is>
      </c>
      <c r="E12487" t="inlineStr">
        <is>
          <t>BOLLNÄS</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45647-2024</t>
        </is>
      </c>
      <c r="B12488" s="1" t="n">
        <v>45579</v>
      </c>
      <c r="C12488" s="1" t="n">
        <v>45587</v>
      </c>
      <c r="D12488" t="inlineStr">
        <is>
          <t>GÄVLEBORGS LÄN</t>
        </is>
      </c>
      <c r="E12488" t="inlineStr">
        <is>
          <t>OCKELBO</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45763-2024</t>
        </is>
      </c>
      <c r="B12489" s="1" t="n">
        <v>45579</v>
      </c>
      <c r="C12489" s="1" t="n">
        <v>45587</v>
      </c>
      <c r="D12489" t="inlineStr">
        <is>
          <t>GÄVLEBORGS LÄN</t>
        </is>
      </c>
      <c r="E12489" t="inlineStr">
        <is>
          <t>BOLLNÄS</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45772-2024</t>
        </is>
      </c>
      <c r="B12490" s="1" t="n">
        <v>45579</v>
      </c>
      <c r="C12490" s="1" t="n">
        <v>45587</v>
      </c>
      <c r="D12490" t="inlineStr">
        <is>
          <t>GÄVLEBORGS LÄN</t>
        </is>
      </c>
      <c r="E12490" t="inlineStr">
        <is>
          <t>HUDIKSVALL</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45843-2024</t>
        </is>
      </c>
      <c r="B12491" s="1" t="n">
        <v>45580</v>
      </c>
      <c r="C12491" s="1" t="n">
        <v>45587</v>
      </c>
      <c r="D12491" t="inlineStr">
        <is>
          <t>GÄVLEBORGS LÄN</t>
        </is>
      </c>
      <c r="E12491" t="inlineStr">
        <is>
          <t>BOLLNÄS</t>
        </is>
      </c>
      <c r="G12491" t="n">
        <v>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45842-2024</t>
        </is>
      </c>
      <c r="B12492" s="1" t="n">
        <v>45580</v>
      </c>
      <c r="C12492" s="1" t="n">
        <v>45587</v>
      </c>
      <c r="D12492" t="inlineStr">
        <is>
          <t>GÄVLEBORGS LÄN</t>
        </is>
      </c>
      <c r="E12492" t="inlineStr">
        <is>
          <t>BOLLNÄS</t>
        </is>
      </c>
      <c r="G12492" t="n">
        <v>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45912-2024</t>
        </is>
      </c>
      <c r="B12493" s="1" t="n">
        <v>45580</v>
      </c>
      <c r="C12493" s="1" t="n">
        <v>45587</v>
      </c>
      <c r="D12493" t="inlineStr">
        <is>
          <t>GÄVLEBORGS LÄN</t>
        </is>
      </c>
      <c r="E12493" t="inlineStr">
        <is>
          <t>LJUSDAL</t>
        </is>
      </c>
      <c r="G12493" t="n">
        <v>2.5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45997-2024</t>
        </is>
      </c>
      <c r="B12494" s="1" t="n">
        <v>45580</v>
      </c>
      <c r="C12494" s="1" t="n">
        <v>45587</v>
      </c>
      <c r="D12494" t="inlineStr">
        <is>
          <t>GÄVLEBORGS LÄN</t>
        </is>
      </c>
      <c r="E12494" t="inlineStr">
        <is>
          <t>OVANÅKER</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46033-2024</t>
        </is>
      </c>
      <c r="B12495" s="1" t="n">
        <v>45580</v>
      </c>
      <c r="C12495" s="1" t="n">
        <v>45587</v>
      </c>
      <c r="D12495" t="inlineStr">
        <is>
          <t>GÄVLEBORGS LÄN</t>
        </is>
      </c>
      <c r="E12495" t="inlineStr">
        <is>
          <t>BOLLNÄS</t>
        </is>
      </c>
      <c r="G12495" t="n">
        <v>2.9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45965-2024</t>
        </is>
      </c>
      <c r="B12496" s="1" t="n">
        <v>45580</v>
      </c>
      <c r="C12496" s="1" t="n">
        <v>45587</v>
      </c>
      <c r="D12496" t="inlineStr">
        <is>
          <t>GÄVLEBORGS LÄN</t>
        </is>
      </c>
      <c r="E12496" t="inlineStr">
        <is>
          <t>GÄVLE</t>
        </is>
      </c>
      <c r="F12496" t="inlineStr">
        <is>
          <t>Bergvik skog öst AB</t>
        </is>
      </c>
      <c r="G12496" t="n">
        <v>15.3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45998-2024</t>
        </is>
      </c>
      <c r="B12497" s="1" t="n">
        <v>45580</v>
      </c>
      <c r="C12497" s="1" t="n">
        <v>45587</v>
      </c>
      <c r="D12497" t="inlineStr">
        <is>
          <t>GÄVLEBORGS LÄN</t>
        </is>
      </c>
      <c r="E12497" t="inlineStr">
        <is>
          <t>OVANÅKER</t>
        </is>
      </c>
      <c r="F12497" t="inlineStr">
        <is>
          <t>Sveaskog</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46006-2024</t>
        </is>
      </c>
      <c r="B12498" s="1" t="n">
        <v>45580</v>
      </c>
      <c r="C12498" s="1" t="n">
        <v>45587</v>
      </c>
      <c r="D12498" t="inlineStr">
        <is>
          <t>GÄVLEBORGS LÄN</t>
        </is>
      </c>
      <c r="E12498" t="inlineStr">
        <is>
          <t>SÖDERHAMN</t>
        </is>
      </c>
      <c r="G12498" t="n">
        <v>0.4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46034-2024</t>
        </is>
      </c>
      <c r="B12499" s="1" t="n">
        <v>45580</v>
      </c>
      <c r="C12499" s="1" t="n">
        <v>45587</v>
      </c>
      <c r="D12499" t="inlineStr">
        <is>
          <t>GÄVLEBORGS LÄN</t>
        </is>
      </c>
      <c r="E12499" t="inlineStr">
        <is>
          <t>OVANÅKER</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46000-2024</t>
        </is>
      </c>
      <c r="B12500" s="1" t="n">
        <v>45580</v>
      </c>
      <c r="C12500" s="1" t="n">
        <v>45587</v>
      </c>
      <c r="D12500" t="inlineStr">
        <is>
          <t>GÄVLEBORGS LÄN</t>
        </is>
      </c>
      <c r="E12500" t="inlineStr">
        <is>
          <t>OVANÅKER</t>
        </is>
      </c>
      <c r="G12500" t="n">
        <v>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46036-2024</t>
        </is>
      </c>
      <c r="B12501" s="1" t="n">
        <v>45580</v>
      </c>
      <c r="C12501" s="1" t="n">
        <v>45587</v>
      </c>
      <c r="D12501" t="inlineStr">
        <is>
          <t>GÄVLEBORGS LÄN</t>
        </is>
      </c>
      <c r="E12501" t="inlineStr">
        <is>
          <t>OVANÅKER</t>
        </is>
      </c>
      <c r="G12501" t="n">
        <v>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45864-2024</t>
        </is>
      </c>
      <c r="B12502" s="1" t="n">
        <v>45580</v>
      </c>
      <c r="C12502" s="1" t="n">
        <v>45587</v>
      </c>
      <c r="D12502" t="inlineStr">
        <is>
          <t>GÄVLEBORGS LÄN</t>
        </is>
      </c>
      <c r="E12502" t="inlineStr">
        <is>
          <t>LJUSDAL</t>
        </is>
      </c>
      <c r="F12502" t="inlineStr">
        <is>
          <t>Naturvårdsverket</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45930-2024</t>
        </is>
      </c>
      <c r="B12503" s="1" t="n">
        <v>45580</v>
      </c>
      <c r="C12503" s="1" t="n">
        <v>45587</v>
      </c>
      <c r="D12503" t="inlineStr">
        <is>
          <t>GÄVLEBORGS LÄN</t>
        </is>
      </c>
      <c r="E12503" t="inlineStr">
        <is>
          <t>LJUSDAL</t>
        </is>
      </c>
      <c r="G12503" t="n">
        <v>9.300000000000001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45938-2024</t>
        </is>
      </c>
      <c r="B12504" s="1" t="n">
        <v>45580</v>
      </c>
      <c r="C12504" s="1" t="n">
        <v>45587</v>
      </c>
      <c r="D12504" t="inlineStr">
        <is>
          <t>GÄVLEBORGS LÄN</t>
        </is>
      </c>
      <c r="E12504" t="inlineStr">
        <is>
          <t>GÄVLE</t>
        </is>
      </c>
      <c r="F12504" t="inlineStr">
        <is>
          <t>Bergvik skog öst AB</t>
        </is>
      </c>
      <c r="G12504" t="n">
        <v>5.3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45954-2024</t>
        </is>
      </c>
      <c r="B12505" s="1" t="n">
        <v>45580</v>
      </c>
      <c r="C12505" s="1" t="n">
        <v>45587</v>
      </c>
      <c r="D12505" t="inlineStr">
        <is>
          <t>GÄVLEBORGS LÄN</t>
        </is>
      </c>
      <c r="E12505" t="inlineStr">
        <is>
          <t>BOLLNÄS</t>
        </is>
      </c>
      <c r="G12505" t="n">
        <v>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45958-2024</t>
        </is>
      </c>
      <c r="B12506" s="1" t="n">
        <v>45580</v>
      </c>
      <c r="C12506" s="1" t="n">
        <v>45587</v>
      </c>
      <c r="D12506" t="inlineStr">
        <is>
          <t>GÄVLEBORGS LÄN</t>
        </is>
      </c>
      <c r="E12506" t="inlineStr">
        <is>
          <t>BOLLNÄS</t>
        </is>
      </c>
      <c r="G12506" t="n">
        <v>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46007-2024</t>
        </is>
      </c>
      <c r="B12507" s="1" t="n">
        <v>45580</v>
      </c>
      <c r="C12507" s="1" t="n">
        <v>45587</v>
      </c>
      <c r="D12507" t="inlineStr">
        <is>
          <t>GÄVLEBORGS LÄN</t>
        </is>
      </c>
      <c r="E12507" t="inlineStr">
        <is>
          <t>SÖDERHAMN</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46080-2024</t>
        </is>
      </c>
      <c r="B12508" s="1" t="n">
        <v>45581</v>
      </c>
      <c r="C12508" s="1" t="n">
        <v>45587</v>
      </c>
      <c r="D12508" t="inlineStr">
        <is>
          <t>GÄVLEBORGS LÄN</t>
        </is>
      </c>
      <c r="E12508" t="inlineStr">
        <is>
          <t>LJUSDAL</t>
        </is>
      </c>
      <c r="F12508" t="inlineStr">
        <is>
          <t>Bergvik skog väst AB</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46075-2024</t>
        </is>
      </c>
      <c r="B12509" s="1" t="n">
        <v>45581</v>
      </c>
      <c r="C12509" s="1" t="n">
        <v>45587</v>
      </c>
      <c r="D12509" t="inlineStr">
        <is>
          <t>GÄVLEBORGS LÄN</t>
        </is>
      </c>
      <c r="E12509" t="inlineStr">
        <is>
          <t>LJUSDAL</t>
        </is>
      </c>
      <c r="F12509" t="inlineStr">
        <is>
          <t>Bergvik skog väst AB</t>
        </is>
      </c>
      <c r="G12509" t="n">
        <v>0.4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46099-2024</t>
        </is>
      </c>
      <c r="B12510" s="1" t="n">
        <v>45581</v>
      </c>
      <c r="C12510" s="1" t="n">
        <v>45587</v>
      </c>
      <c r="D12510" t="inlineStr">
        <is>
          <t>GÄVLEBORGS LÄN</t>
        </is>
      </c>
      <c r="E12510" t="inlineStr">
        <is>
          <t>OCKELBO</t>
        </is>
      </c>
      <c r="F12510" t="inlineStr">
        <is>
          <t>Bergvik skog väst AB</t>
        </is>
      </c>
      <c r="G12510" t="n">
        <v>3.7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46100-2024</t>
        </is>
      </c>
      <c r="B12511" s="1" t="n">
        <v>45581</v>
      </c>
      <c r="C12511" s="1" t="n">
        <v>45587</v>
      </c>
      <c r="D12511" t="inlineStr">
        <is>
          <t>GÄVLEBORGS LÄN</t>
        </is>
      </c>
      <c r="E12511" t="inlineStr">
        <is>
          <t>OCKELBO</t>
        </is>
      </c>
      <c r="F12511" t="inlineStr">
        <is>
          <t>Bergvik skog väst AB</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46115-2024</t>
        </is>
      </c>
      <c r="B12512" s="1" t="n">
        <v>45581</v>
      </c>
      <c r="C12512" s="1" t="n">
        <v>45587</v>
      </c>
      <c r="D12512" t="inlineStr">
        <is>
          <t>GÄVLEBORGS LÄN</t>
        </is>
      </c>
      <c r="E12512" t="inlineStr">
        <is>
          <t>GÄVLE</t>
        </is>
      </c>
      <c r="F12512" t="inlineStr">
        <is>
          <t>Kyrkan</t>
        </is>
      </c>
      <c r="G12512" t="n">
        <v>4.4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46135-2024</t>
        </is>
      </c>
      <c r="B12513" s="1" t="n">
        <v>45581</v>
      </c>
      <c r="C12513" s="1" t="n">
        <v>45587</v>
      </c>
      <c r="D12513" t="inlineStr">
        <is>
          <t>GÄVLEBORGS LÄN</t>
        </is>
      </c>
      <c r="E12513" t="inlineStr">
        <is>
          <t>BOLLNÄS</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46151-2024</t>
        </is>
      </c>
      <c r="B12514" s="1" t="n">
        <v>45581</v>
      </c>
      <c r="C12514" s="1" t="n">
        <v>45587</v>
      </c>
      <c r="D12514" t="inlineStr">
        <is>
          <t>GÄVLEBORGS LÄN</t>
        </is>
      </c>
      <c r="E12514" t="inlineStr">
        <is>
          <t>BOLLNÄS</t>
        </is>
      </c>
      <c r="G12514" t="n">
        <v>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46271-2024</t>
        </is>
      </c>
      <c r="B12515" s="1" t="n">
        <v>45581</v>
      </c>
      <c r="C12515" s="1" t="n">
        <v>45587</v>
      </c>
      <c r="D12515" t="inlineStr">
        <is>
          <t>GÄVLEBORGS LÄN</t>
        </is>
      </c>
      <c r="E12515" t="inlineStr">
        <is>
          <t>BOLLNÄS</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46217-2024</t>
        </is>
      </c>
      <c r="B12516" s="1" t="n">
        <v>45581</v>
      </c>
      <c r="C12516" s="1" t="n">
        <v>45587</v>
      </c>
      <c r="D12516" t="inlineStr">
        <is>
          <t>GÄVLEBORGS LÄN</t>
        </is>
      </c>
      <c r="E12516" t="inlineStr">
        <is>
          <t>GÄVLE</t>
        </is>
      </c>
      <c r="F12516" t="inlineStr">
        <is>
          <t>Bergvik skog väst AB</t>
        </is>
      </c>
      <c r="G12516" t="n">
        <v>15.2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46074-2024</t>
        </is>
      </c>
      <c r="B12517" s="1" t="n">
        <v>45581</v>
      </c>
      <c r="C12517" s="1" t="n">
        <v>45587</v>
      </c>
      <c r="D12517" t="inlineStr">
        <is>
          <t>GÄVLEBORGS LÄN</t>
        </is>
      </c>
      <c r="E12517" t="inlineStr">
        <is>
          <t>OCKELBO</t>
        </is>
      </c>
      <c r="F12517" t="inlineStr">
        <is>
          <t>Bergvik skog väst AB</t>
        </is>
      </c>
      <c r="G12517" t="n">
        <v>3.6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46078-2024</t>
        </is>
      </c>
      <c r="B12518" s="1" t="n">
        <v>45581</v>
      </c>
      <c r="C12518" s="1" t="n">
        <v>45587</v>
      </c>
      <c r="D12518" t="inlineStr">
        <is>
          <t>GÄVLEBORGS LÄN</t>
        </is>
      </c>
      <c r="E12518" t="inlineStr">
        <is>
          <t>LJUSDAL</t>
        </is>
      </c>
      <c r="F12518" t="inlineStr">
        <is>
          <t>Bergvik skog väst AB</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46207-2024</t>
        </is>
      </c>
      <c r="B12519" s="1" t="n">
        <v>45581</v>
      </c>
      <c r="C12519" s="1" t="n">
        <v>45587</v>
      </c>
      <c r="D12519" t="inlineStr">
        <is>
          <t>GÄVLEBORGS LÄN</t>
        </is>
      </c>
      <c r="E12519" t="inlineStr">
        <is>
          <t>HUDIKSVALL</t>
        </is>
      </c>
      <c r="F12519" t="inlineStr">
        <is>
          <t>Holmen skog AB</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46244-2024</t>
        </is>
      </c>
      <c r="B12520" s="1" t="n">
        <v>45581</v>
      </c>
      <c r="C12520" s="1" t="n">
        <v>45587</v>
      </c>
      <c r="D12520" t="inlineStr">
        <is>
          <t>GÄVLEBORGS LÄN</t>
        </is>
      </c>
      <c r="E12520" t="inlineStr">
        <is>
          <t>LJUSDAL</t>
        </is>
      </c>
      <c r="F12520" t="inlineStr">
        <is>
          <t>Sveaskog</t>
        </is>
      </c>
      <c r="G12520" t="n">
        <v>5.8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46299-2024</t>
        </is>
      </c>
      <c r="B12521" s="1" t="n">
        <v>45581</v>
      </c>
      <c r="C12521" s="1" t="n">
        <v>45587</v>
      </c>
      <c r="D12521" t="inlineStr">
        <is>
          <t>GÄVLEBORGS LÄN</t>
        </is>
      </c>
      <c r="E12521" t="inlineStr">
        <is>
          <t>HUDIKSVALL</t>
        </is>
      </c>
      <c r="G12521" t="n">
        <v>2.8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46206-2024</t>
        </is>
      </c>
      <c r="B12522" s="1" t="n">
        <v>45581</v>
      </c>
      <c r="C12522" s="1" t="n">
        <v>45587</v>
      </c>
      <c r="D12522" t="inlineStr">
        <is>
          <t>GÄVLEBORGS LÄN</t>
        </is>
      </c>
      <c r="E12522" t="inlineStr">
        <is>
          <t>LJUSDAL</t>
        </is>
      </c>
      <c r="F12522" t="inlineStr">
        <is>
          <t>Sveaskog</t>
        </is>
      </c>
      <c r="G12522" t="n">
        <v>6.2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46247-2024</t>
        </is>
      </c>
      <c r="B12523" s="1" t="n">
        <v>45581</v>
      </c>
      <c r="C12523" s="1" t="n">
        <v>45587</v>
      </c>
      <c r="D12523" t="inlineStr">
        <is>
          <t>GÄVLEBORGS LÄN</t>
        </is>
      </c>
      <c r="E12523" t="inlineStr">
        <is>
          <t>LJUSDAL</t>
        </is>
      </c>
      <c r="F12523" t="inlineStr">
        <is>
          <t>Sveaskog</t>
        </is>
      </c>
      <c r="G12523" t="n">
        <v>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46372-2024</t>
        </is>
      </c>
      <c r="B12524" s="1" t="n">
        <v>45582</v>
      </c>
      <c r="C12524" s="1" t="n">
        <v>45587</v>
      </c>
      <c r="D12524" t="inlineStr">
        <is>
          <t>GÄVLEBORGS LÄN</t>
        </is>
      </c>
      <c r="E12524" t="inlineStr">
        <is>
          <t>HUDIKSVALL</t>
        </is>
      </c>
      <c r="F12524" t="inlineStr">
        <is>
          <t>Holmen skog AB</t>
        </is>
      </c>
      <c r="G12524" t="n">
        <v>10.4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46376-2024</t>
        </is>
      </c>
      <c r="B12525" s="1" t="n">
        <v>45582</v>
      </c>
      <c r="C12525" s="1" t="n">
        <v>45587</v>
      </c>
      <c r="D12525" t="inlineStr">
        <is>
          <t>GÄVLEBORGS LÄN</t>
        </is>
      </c>
      <c r="E12525" t="inlineStr">
        <is>
          <t>NORDANSTIG</t>
        </is>
      </c>
      <c r="F12525" t="inlineStr">
        <is>
          <t>Holmen skog AB</t>
        </is>
      </c>
      <c r="G12525" t="n">
        <v>5.3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46383-2024</t>
        </is>
      </c>
      <c r="B12526" s="1" t="n">
        <v>45582</v>
      </c>
      <c r="C12526" s="1" t="n">
        <v>45587</v>
      </c>
      <c r="D12526" t="inlineStr">
        <is>
          <t>GÄVLEBORGS LÄN</t>
        </is>
      </c>
      <c r="E12526" t="inlineStr">
        <is>
          <t>BOLLNÄS</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46400-2024</t>
        </is>
      </c>
      <c r="B12527" s="1" t="n">
        <v>45582</v>
      </c>
      <c r="C12527" s="1" t="n">
        <v>45587</v>
      </c>
      <c r="D12527" t="inlineStr">
        <is>
          <t>GÄVLEBORGS LÄN</t>
        </is>
      </c>
      <c r="E12527" t="inlineStr">
        <is>
          <t>GÄVLE</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46407-2024</t>
        </is>
      </c>
      <c r="B12528" s="1" t="n">
        <v>45582</v>
      </c>
      <c r="C12528" s="1" t="n">
        <v>45587</v>
      </c>
      <c r="D12528" t="inlineStr">
        <is>
          <t>GÄVLEBORGS LÄN</t>
        </is>
      </c>
      <c r="E12528" t="inlineStr">
        <is>
          <t>LJUSDAL</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46438-2024</t>
        </is>
      </c>
      <c r="B12529" s="1" t="n">
        <v>45582</v>
      </c>
      <c r="C12529" s="1" t="n">
        <v>45587</v>
      </c>
      <c r="D12529" t="inlineStr">
        <is>
          <t>GÄVLEBORGS LÄN</t>
        </is>
      </c>
      <c r="E12529" t="inlineStr">
        <is>
          <t>HUDIKSVALL</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46459-2024</t>
        </is>
      </c>
      <c r="B12530" s="1" t="n">
        <v>45582</v>
      </c>
      <c r="C12530" s="1" t="n">
        <v>45587</v>
      </c>
      <c r="D12530" t="inlineStr">
        <is>
          <t>GÄVLEBORGS LÄN</t>
        </is>
      </c>
      <c r="E12530" t="inlineStr">
        <is>
          <t>NORDANSTIG</t>
        </is>
      </c>
      <c r="F12530" t="inlineStr">
        <is>
          <t>Holmen skog AB</t>
        </is>
      </c>
      <c r="G12530" t="n">
        <v>5.5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46502-2024</t>
        </is>
      </c>
      <c r="B12531" s="1" t="n">
        <v>45582</v>
      </c>
      <c r="C12531" s="1" t="n">
        <v>45587</v>
      </c>
      <c r="D12531" t="inlineStr">
        <is>
          <t>GÄVLEBORGS LÄN</t>
        </is>
      </c>
      <c r="E12531" t="inlineStr">
        <is>
          <t>LJUSDAL</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46598-2024</t>
        </is>
      </c>
      <c r="B12532" s="1" t="n">
        <v>45582</v>
      </c>
      <c r="C12532" s="1" t="n">
        <v>45587</v>
      </c>
      <c r="D12532" t="inlineStr">
        <is>
          <t>GÄVLEBORGS LÄN</t>
        </is>
      </c>
      <c r="E12532" t="inlineStr">
        <is>
          <t>HUDIKSVALL</t>
        </is>
      </c>
      <c r="F12532" t="inlineStr">
        <is>
          <t>Holmen skog AB</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46449-2024</t>
        </is>
      </c>
      <c r="B12533" s="1" t="n">
        <v>45582</v>
      </c>
      <c r="C12533" s="1" t="n">
        <v>45587</v>
      </c>
      <c r="D12533" t="inlineStr">
        <is>
          <t>GÄVLEBORGS LÄN</t>
        </is>
      </c>
      <c r="E12533" t="inlineStr">
        <is>
          <t>GÄVLE</t>
        </is>
      </c>
      <c r="F12533" t="inlineStr">
        <is>
          <t>Bergvik skog väst AB</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46481-2024</t>
        </is>
      </c>
      <c r="B12534" s="1" t="n">
        <v>45582</v>
      </c>
      <c r="C12534" s="1" t="n">
        <v>45587</v>
      </c>
      <c r="D12534" t="inlineStr">
        <is>
          <t>GÄVLEBORGS LÄN</t>
        </is>
      </c>
      <c r="E12534" t="inlineStr">
        <is>
          <t>OCKELBO</t>
        </is>
      </c>
      <c r="F12534" t="inlineStr">
        <is>
          <t>Bergvik skog väst AB</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46485-2024</t>
        </is>
      </c>
      <c r="B12535" s="1" t="n">
        <v>45582</v>
      </c>
      <c r="C12535" s="1" t="n">
        <v>45587</v>
      </c>
      <c r="D12535" t="inlineStr">
        <is>
          <t>GÄVLEBORGS LÄN</t>
        </is>
      </c>
      <c r="E12535" t="inlineStr">
        <is>
          <t>OCKELBO</t>
        </is>
      </c>
      <c r="F12535" t="inlineStr">
        <is>
          <t>Bergvik skog väst AB</t>
        </is>
      </c>
      <c r="G12535" t="n">
        <v>6.7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46537-2024</t>
        </is>
      </c>
      <c r="B12536" s="1" t="n">
        <v>45582</v>
      </c>
      <c r="C12536" s="1" t="n">
        <v>45587</v>
      </c>
      <c r="D12536" t="inlineStr">
        <is>
          <t>GÄVLEBORGS LÄN</t>
        </is>
      </c>
      <c r="E12536" t="inlineStr">
        <is>
          <t>LJUSDAL</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46590-2024</t>
        </is>
      </c>
      <c r="B12537" s="1" t="n">
        <v>45582</v>
      </c>
      <c r="C12537" s="1" t="n">
        <v>45587</v>
      </c>
      <c r="D12537" t="inlineStr">
        <is>
          <t>GÄVLEBORGS LÄN</t>
        </is>
      </c>
      <c r="E12537" t="inlineStr">
        <is>
          <t>HUDIKSVALL</t>
        </is>
      </c>
      <c r="F12537" t="inlineStr">
        <is>
          <t>Holmen skog AB</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46341-2024</t>
        </is>
      </c>
      <c r="B12538" s="1" t="n">
        <v>45582</v>
      </c>
      <c r="C12538" s="1" t="n">
        <v>45587</v>
      </c>
      <c r="D12538" t="inlineStr">
        <is>
          <t>GÄVLEBORGS LÄN</t>
        </is>
      </c>
      <c r="E12538" t="inlineStr">
        <is>
          <t>HUDIKSVALL</t>
        </is>
      </c>
      <c r="F12538" t="inlineStr">
        <is>
          <t>Holmen skog AB</t>
        </is>
      </c>
      <c r="G12538" t="n">
        <v>11.8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46361-2024</t>
        </is>
      </c>
      <c r="B12539" s="1" t="n">
        <v>45582</v>
      </c>
      <c r="C12539" s="1" t="n">
        <v>45587</v>
      </c>
      <c r="D12539" t="inlineStr">
        <is>
          <t>GÄVLEBORGS LÄN</t>
        </is>
      </c>
      <c r="E12539" t="inlineStr">
        <is>
          <t>BOLLNÄS</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46397-2024</t>
        </is>
      </c>
      <c r="B12540" s="1" t="n">
        <v>45582</v>
      </c>
      <c r="C12540" s="1" t="n">
        <v>45587</v>
      </c>
      <c r="D12540" t="inlineStr">
        <is>
          <t>GÄVLEBORGS LÄN</t>
        </is>
      </c>
      <c r="E12540" t="inlineStr">
        <is>
          <t>OVANÅKER</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46401-2024</t>
        </is>
      </c>
      <c r="B12541" s="1" t="n">
        <v>45582</v>
      </c>
      <c r="C12541" s="1" t="n">
        <v>45587</v>
      </c>
      <c r="D12541" t="inlineStr">
        <is>
          <t>GÄVLEBORGS LÄN</t>
        </is>
      </c>
      <c r="E12541" t="inlineStr">
        <is>
          <t>HUDIKSVALL</t>
        </is>
      </c>
      <c r="G12541" t="n">
        <v>12.2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46516-2024</t>
        </is>
      </c>
      <c r="B12542" s="1" t="n">
        <v>45582</v>
      </c>
      <c r="C12542" s="1" t="n">
        <v>45587</v>
      </c>
      <c r="D12542" t="inlineStr">
        <is>
          <t>GÄVLEBORGS LÄN</t>
        </is>
      </c>
      <c r="E12542" t="inlineStr">
        <is>
          <t>LJUSDAL</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46573-2024</t>
        </is>
      </c>
      <c r="B12543" s="1" t="n">
        <v>45582</v>
      </c>
      <c r="C12543" s="1" t="n">
        <v>45587</v>
      </c>
      <c r="D12543" t="inlineStr">
        <is>
          <t>GÄVLEBORGS LÄN</t>
        </is>
      </c>
      <c r="E12543" t="inlineStr">
        <is>
          <t>SANDVIKEN</t>
        </is>
      </c>
      <c r="G12543" t="n">
        <v>6.4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46593-2024</t>
        </is>
      </c>
      <c r="B12544" s="1" t="n">
        <v>45582</v>
      </c>
      <c r="C12544" s="1" t="n">
        <v>45587</v>
      </c>
      <c r="D12544" t="inlineStr">
        <is>
          <t>GÄVLEBORGS LÄN</t>
        </is>
      </c>
      <c r="E12544" t="inlineStr">
        <is>
          <t>HUDIKSVALL</t>
        </is>
      </c>
      <c r="F12544" t="inlineStr">
        <is>
          <t>Holmen skog AB</t>
        </is>
      </c>
      <c r="G12544" t="n">
        <v>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46605-2024</t>
        </is>
      </c>
      <c r="B12545" s="1" t="n">
        <v>45582</v>
      </c>
      <c r="C12545" s="1" t="n">
        <v>45587</v>
      </c>
      <c r="D12545" t="inlineStr">
        <is>
          <t>GÄVLEBORGS LÄN</t>
        </is>
      </c>
      <c r="E12545" t="inlineStr">
        <is>
          <t>OVANÅKER</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46636-2024</t>
        </is>
      </c>
      <c r="B12546" s="1" t="n">
        <v>45583</v>
      </c>
      <c r="C12546" s="1" t="n">
        <v>45587</v>
      </c>
      <c r="D12546" t="inlineStr">
        <is>
          <t>GÄVLEBORGS LÄN</t>
        </is>
      </c>
      <c r="E12546" t="inlineStr">
        <is>
          <t>OCKELBO</t>
        </is>
      </c>
      <c r="G12546" t="n">
        <v>3.4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46656-2024</t>
        </is>
      </c>
      <c r="B12547" s="1" t="n">
        <v>45583</v>
      </c>
      <c r="C12547" s="1" t="n">
        <v>45587</v>
      </c>
      <c r="D12547" t="inlineStr">
        <is>
          <t>GÄVLEBORGS LÄN</t>
        </is>
      </c>
      <c r="E12547" t="inlineStr">
        <is>
          <t>BOLLNÄS</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46660-2024</t>
        </is>
      </c>
      <c r="B12548" s="1" t="n">
        <v>45583</v>
      </c>
      <c r="C12548" s="1" t="n">
        <v>45587</v>
      </c>
      <c r="D12548" t="inlineStr">
        <is>
          <t>GÄVLEBORGS LÄN</t>
        </is>
      </c>
      <c r="E12548" t="inlineStr">
        <is>
          <t>GÄVLE</t>
        </is>
      </c>
      <c r="F12548" t="inlineStr">
        <is>
          <t>Bergvik skog väst AB</t>
        </is>
      </c>
      <c r="G12548" t="n">
        <v>8.199999999999999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46664-2024</t>
        </is>
      </c>
      <c r="B12549" s="1" t="n">
        <v>45583</v>
      </c>
      <c r="C12549" s="1" t="n">
        <v>45587</v>
      </c>
      <c r="D12549" t="inlineStr">
        <is>
          <t>GÄVLEBORGS LÄN</t>
        </is>
      </c>
      <c r="E12549" t="inlineStr">
        <is>
          <t>BOLLNÄS</t>
        </is>
      </c>
      <c r="G12549" t="n">
        <v>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46725-2024</t>
        </is>
      </c>
      <c r="B12550" s="1" t="n">
        <v>45583</v>
      </c>
      <c r="C12550" s="1" t="n">
        <v>45587</v>
      </c>
      <c r="D12550" t="inlineStr">
        <is>
          <t>GÄVLEBORGS LÄN</t>
        </is>
      </c>
      <c r="E12550" t="inlineStr">
        <is>
          <t>GÄVLE</t>
        </is>
      </c>
      <c r="F12550" t="inlineStr">
        <is>
          <t>Bergvik skog väst AB</t>
        </is>
      </c>
      <c r="G12550" t="n">
        <v>4.4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46783-2024</t>
        </is>
      </c>
      <c r="B12551" s="1" t="n">
        <v>45583</v>
      </c>
      <c r="C12551" s="1" t="n">
        <v>45587</v>
      </c>
      <c r="D12551" t="inlineStr">
        <is>
          <t>GÄVLEBORGS LÄN</t>
        </is>
      </c>
      <c r="E12551" t="inlineStr">
        <is>
          <t>HUDIKSVALL</t>
        </is>
      </c>
      <c r="F12551" t="inlineStr">
        <is>
          <t>Holmen skog AB</t>
        </is>
      </c>
      <c r="G12551" t="n">
        <v>4.9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46795-2024</t>
        </is>
      </c>
      <c r="B12552" s="1" t="n">
        <v>45583</v>
      </c>
      <c r="C12552" s="1" t="n">
        <v>45587</v>
      </c>
      <c r="D12552" t="inlineStr">
        <is>
          <t>GÄVLEBORGS LÄN</t>
        </is>
      </c>
      <c r="E12552" t="inlineStr">
        <is>
          <t>BOLLNÄS</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46800-2024</t>
        </is>
      </c>
      <c r="B12553" s="1" t="n">
        <v>45583</v>
      </c>
      <c r="C12553" s="1" t="n">
        <v>45587</v>
      </c>
      <c r="D12553" t="inlineStr">
        <is>
          <t>GÄVLEBORGS LÄN</t>
        </is>
      </c>
      <c r="E12553" t="inlineStr">
        <is>
          <t>BOLLNÄS</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46824-2024</t>
        </is>
      </c>
      <c r="B12554" s="1" t="n">
        <v>45583</v>
      </c>
      <c r="C12554" s="1" t="n">
        <v>45587</v>
      </c>
      <c r="D12554" t="inlineStr">
        <is>
          <t>GÄVLEBORGS LÄN</t>
        </is>
      </c>
      <c r="E12554" t="inlineStr">
        <is>
          <t>BOLLNÄS</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46828-2024</t>
        </is>
      </c>
      <c r="B12555" s="1" t="n">
        <v>45583</v>
      </c>
      <c r="C12555" s="1" t="n">
        <v>45587</v>
      </c>
      <c r="D12555" t="inlineStr">
        <is>
          <t>GÄVLEBORGS LÄN</t>
        </is>
      </c>
      <c r="E12555" t="inlineStr">
        <is>
          <t>HUDIKSVALL</t>
        </is>
      </c>
      <c r="F12555" t="inlineStr">
        <is>
          <t>Holmen skog AB</t>
        </is>
      </c>
      <c r="G12555" t="n">
        <v>19.1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46879-2024</t>
        </is>
      </c>
      <c r="B12556" s="1" t="n">
        <v>45583</v>
      </c>
      <c r="C12556" s="1" t="n">
        <v>45587</v>
      </c>
      <c r="D12556" t="inlineStr">
        <is>
          <t>GÄVLEBORGS LÄN</t>
        </is>
      </c>
      <c r="E12556" t="inlineStr">
        <is>
          <t>SANDVIKEN</t>
        </is>
      </c>
      <c r="F12556" t="inlineStr">
        <is>
          <t>Sveaskog</t>
        </is>
      </c>
      <c r="G12556" t="n">
        <v>11.3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46667-2024</t>
        </is>
      </c>
      <c r="B12557" s="1" t="n">
        <v>45583</v>
      </c>
      <c r="C12557" s="1" t="n">
        <v>45587</v>
      </c>
      <c r="D12557" t="inlineStr">
        <is>
          <t>GÄVLEBORGS LÄN</t>
        </is>
      </c>
      <c r="E12557" t="inlineStr">
        <is>
          <t>HUDIKSVALL</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46695-2024</t>
        </is>
      </c>
      <c r="B12558" s="1" t="n">
        <v>45583</v>
      </c>
      <c r="C12558" s="1" t="n">
        <v>45587</v>
      </c>
      <c r="D12558" t="inlineStr">
        <is>
          <t>GÄVLEBORGS LÄN</t>
        </is>
      </c>
      <c r="E12558" t="inlineStr">
        <is>
          <t>HUDIKSVALL</t>
        </is>
      </c>
      <c r="F12558" t="inlineStr">
        <is>
          <t>Holmen skog AB</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46669-2024</t>
        </is>
      </c>
      <c r="B12559" s="1" t="n">
        <v>45583</v>
      </c>
      <c r="C12559" s="1" t="n">
        <v>45587</v>
      </c>
      <c r="D12559" t="inlineStr">
        <is>
          <t>GÄVLEBORGS LÄN</t>
        </is>
      </c>
      <c r="E12559" t="inlineStr">
        <is>
          <t>BOLLNÄS</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46724-2024</t>
        </is>
      </c>
      <c r="B12560" s="1" t="n">
        <v>45583</v>
      </c>
      <c r="C12560" s="1" t="n">
        <v>45587</v>
      </c>
      <c r="D12560" t="inlineStr">
        <is>
          <t>GÄVLEBORGS LÄN</t>
        </is>
      </c>
      <c r="E12560" t="inlineStr">
        <is>
          <t>BOLLNÄS</t>
        </is>
      </c>
      <c r="G12560" t="n">
        <v>6.9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46744-2024</t>
        </is>
      </c>
      <c r="B12561" s="1" t="n">
        <v>45583</v>
      </c>
      <c r="C12561" s="1" t="n">
        <v>45587</v>
      </c>
      <c r="D12561" t="inlineStr">
        <is>
          <t>GÄVLEBORGS LÄN</t>
        </is>
      </c>
      <c r="E12561" t="inlineStr">
        <is>
          <t>GÄVLE</t>
        </is>
      </c>
      <c r="F12561" t="inlineStr">
        <is>
          <t>Bergvik skog öst AB</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46753-2024</t>
        </is>
      </c>
      <c r="B12562" s="1" t="n">
        <v>45583</v>
      </c>
      <c r="C12562" s="1" t="n">
        <v>45587</v>
      </c>
      <c r="D12562" t="inlineStr">
        <is>
          <t>GÄVLEBORGS LÄN</t>
        </is>
      </c>
      <c r="E12562" t="inlineStr">
        <is>
          <t>BOLLNÄS</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46852-2024</t>
        </is>
      </c>
      <c r="B12563" s="1" t="n">
        <v>45583</v>
      </c>
      <c r="C12563" s="1" t="n">
        <v>45587</v>
      </c>
      <c r="D12563" t="inlineStr">
        <is>
          <t>GÄVLEBORGS LÄN</t>
        </is>
      </c>
      <c r="E12563" t="inlineStr">
        <is>
          <t>NORDANSTIG</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46860-2024</t>
        </is>
      </c>
      <c r="B12564" s="1" t="n">
        <v>45583</v>
      </c>
      <c r="C12564" s="1" t="n">
        <v>45587</v>
      </c>
      <c r="D12564" t="inlineStr">
        <is>
          <t>GÄVLEBORGS LÄN</t>
        </is>
      </c>
      <c r="E12564" t="inlineStr">
        <is>
          <t>NORDANSTIG</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46868-2024</t>
        </is>
      </c>
      <c r="B12565" s="1" t="n">
        <v>45583</v>
      </c>
      <c r="C12565" s="1" t="n">
        <v>45587</v>
      </c>
      <c r="D12565" t="inlineStr">
        <is>
          <t>GÄVLEBORGS LÄN</t>
        </is>
      </c>
      <c r="E12565" t="inlineStr">
        <is>
          <t>LJUSDAL</t>
        </is>
      </c>
      <c r="F12565" t="inlineStr">
        <is>
          <t>Sveaskog</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46799-2024</t>
        </is>
      </c>
      <c r="B12566" s="1" t="n">
        <v>45583</v>
      </c>
      <c r="C12566" s="1" t="n">
        <v>45587</v>
      </c>
      <c r="D12566" t="inlineStr">
        <is>
          <t>GÄVLEBORGS LÄN</t>
        </is>
      </c>
      <c r="E12566" t="inlineStr">
        <is>
          <t>BOLLNÄS</t>
        </is>
      </c>
      <c r="G12566" t="n">
        <v>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46827-2024</t>
        </is>
      </c>
      <c r="B12567" s="1" t="n">
        <v>45583</v>
      </c>
      <c r="C12567" s="1" t="n">
        <v>45587</v>
      </c>
      <c r="D12567" t="inlineStr">
        <is>
          <t>GÄVLEBORGS LÄN</t>
        </is>
      </c>
      <c r="E12567" t="inlineStr">
        <is>
          <t>HUDIKSVALL</t>
        </is>
      </c>
      <c r="F12567" t="inlineStr">
        <is>
          <t>Sveaskog</t>
        </is>
      </c>
      <c r="G12567" t="n">
        <v>5.9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46831-2024</t>
        </is>
      </c>
      <c r="B12568" s="1" t="n">
        <v>45583</v>
      </c>
      <c r="C12568" s="1" t="n">
        <v>45587</v>
      </c>
      <c r="D12568" t="inlineStr">
        <is>
          <t>GÄVLEBORGS LÄN</t>
        </is>
      </c>
      <c r="E12568" t="inlineStr">
        <is>
          <t>BOLLNÄS</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46658-2024</t>
        </is>
      </c>
      <c r="B12569" s="1" t="n">
        <v>45583</v>
      </c>
      <c r="C12569" s="1" t="n">
        <v>45587</v>
      </c>
      <c r="D12569" t="inlineStr">
        <is>
          <t>GÄVLEBORGS LÄN</t>
        </is>
      </c>
      <c r="E12569" t="inlineStr">
        <is>
          <t>BOLLNÄS</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46690-2024</t>
        </is>
      </c>
      <c r="B12570" s="1" t="n">
        <v>45583</v>
      </c>
      <c r="C12570" s="1" t="n">
        <v>45587</v>
      </c>
      <c r="D12570" t="inlineStr">
        <is>
          <t>GÄVLEBORGS LÄN</t>
        </is>
      </c>
      <c r="E12570" t="inlineStr">
        <is>
          <t>GÄVLE</t>
        </is>
      </c>
      <c r="F12570" t="inlineStr">
        <is>
          <t>Bergvik skog öst AB</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46719-2024</t>
        </is>
      </c>
      <c r="B12571" s="1" t="n">
        <v>45583</v>
      </c>
      <c r="C12571" s="1" t="n">
        <v>45587</v>
      </c>
      <c r="D12571" t="inlineStr">
        <is>
          <t>GÄVLEBORGS LÄN</t>
        </is>
      </c>
      <c r="E12571" t="inlineStr">
        <is>
          <t>GÄVLE</t>
        </is>
      </c>
      <c r="F12571" t="inlineStr">
        <is>
          <t>Bergvik skog väst AB</t>
        </is>
      </c>
      <c r="G12571" t="n">
        <v>6.1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46739-2024</t>
        </is>
      </c>
      <c r="B12572" s="1" t="n">
        <v>45583</v>
      </c>
      <c r="C12572" s="1" t="n">
        <v>45587</v>
      </c>
      <c r="D12572" t="inlineStr">
        <is>
          <t>GÄVLEBORGS LÄN</t>
        </is>
      </c>
      <c r="E12572" t="inlineStr">
        <is>
          <t>BOLLNÄS</t>
        </is>
      </c>
      <c r="G12572" t="n">
        <v>5.1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46793-2024</t>
        </is>
      </c>
      <c r="B12573" s="1" t="n">
        <v>45583</v>
      </c>
      <c r="C12573" s="1" t="n">
        <v>45587</v>
      </c>
      <c r="D12573" t="inlineStr">
        <is>
          <t>GÄVLEBORGS LÄN</t>
        </is>
      </c>
      <c r="E12573" t="inlineStr">
        <is>
          <t>BOLLNÄS</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46822-2024</t>
        </is>
      </c>
      <c r="B12574" s="1" t="n">
        <v>45583</v>
      </c>
      <c r="C12574" s="1" t="n">
        <v>45587</v>
      </c>
      <c r="D12574" t="inlineStr">
        <is>
          <t>GÄVLEBORGS LÄN</t>
        </is>
      </c>
      <c r="E12574" t="inlineStr">
        <is>
          <t>BOLLNÄS</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46865-2024</t>
        </is>
      </c>
      <c r="B12575" s="1" t="n">
        <v>45583</v>
      </c>
      <c r="C12575" s="1" t="n">
        <v>45587</v>
      </c>
      <c r="D12575" t="inlineStr">
        <is>
          <t>GÄVLEBORGS LÄN</t>
        </is>
      </c>
      <c r="E12575" t="inlineStr">
        <is>
          <t>SANDVIKEN</t>
        </is>
      </c>
      <c r="G12575" t="n">
        <v>2.3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46958-2024</t>
        </is>
      </c>
      <c r="B12576" s="1" t="n">
        <v>45586</v>
      </c>
      <c r="C12576" s="1" t="n">
        <v>45587</v>
      </c>
      <c r="D12576" t="inlineStr">
        <is>
          <t>GÄVLEBORGS LÄN</t>
        </is>
      </c>
      <c r="E12576" t="inlineStr">
        <is>
          <t>BOLLNÄS</t>
        </is>
      </c>
      <c r="F12576" t="inlineStr">
        <is>
          <t>Bergvik skog väst AB</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46970-2024</t>
        </is>
      </c>
      <c r="B12577" s="1" t="n">
        <v>45586</v>
      </c>
      <c r="C12577" s="1" t="n">
        <v>45587</v>
      </c>
      <c r="D12577" t="inlineStr">
        <is>
          <t>GÄVLEBORGS LÄN</t>
        </is>
      </c>
      <c r="E12577" t="inlineStr">
        <is>
          <t>OCKELBO</t>
        </is>
      </c>
      <c r="G12577" t="n">
        <v>7.9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47091-2024</t>
        </is>
      </c>
      <c r="B12578" s="1" t="n">
        <v>45586</v>
      </c>
      <c r="C12578" s="1" t="n">
        <v>45587</v>
      </c>
      <c r="D12578" t="inlineStr">
        <is>
          <t>GÄVLEBORGS LÄN</t>
        </is>
      </c>
      <c r="E12578" t="inlineStr">
        <is>
          <t>SÖDERHAMN</t>
        </is>
      </c>
      <c r="G12578" t="n">
        <v>2.8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47108-2024</t>
        </is>
      </c>
      <c r="B12579" s="1" t="n">
        <v>45586</v>
      </c>
      <c r="C12579" s="1" t="n">
        <v>45587</v>
      </c>
      <c r="D12579" t="inlineStr">
        <is>
          <t>GÄVLEBORGS LÄN</t>
        </is>
      </c>
      <c r="E12579" t="inlineStr">
        <is>
          <t>GÄVLE</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47116-2024</t>
        </is>
      </c>
      <c r="B12580" s="1" t="n">
        <v>45586</v>
      </c>
      <c r="C12580" s="1" t="n">
        <v>45587</v>
      </c>
      <c r="D12580" t="inlineStr">
        <is>
          <t>GÄVLEBORGS LÄN</t>
        </is>
      </c>
      <c r="E12580" t="inlineStr">
        <is>
          <t>HUDIKSVALL</t>
        </is>
      </c>
      <c r="F12580" t="inlineStr">
        <is>
          <t>Holmen skog AB</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46961-2024</t>
        </is>
      </c>
      <c r="B12581" s="1" t="n">
        <v>45586</v>
      </c>
      <c r="C12581" s="1" t="n">
        <v>45587</v>
      </c>
      <c r="D12581" t="inlineStr">
        <is>
          <t>GÄVLEBORGS LÄN</t>
        </is>
      </c>
      <c r="E12581" t="inlineStr">
        <is>
          <t>BOLLNÄS</t>
        </is>
      </c>
      <c r="F12581" t="inlineStr">
        <is>
          <t>Bergvik skog väst AB</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47152-2024</t>
        </is>
      </c>
      <c r="B12582" s="1" t="n">
        <v>45586</v>
      </c>
      <c r="C12582" s="1" t="n">
        <v>45587</v>
      </c>
      <c r="D12582" t="inlineStr">
        <is>
          <t>GÄVLEBORGS LÄN</t>
        </is>
      </c>
      <c r="E12582" t="inlineStr">
        <is>
          <t>HUDIKSVALL</t>
        </is>
      </c>
      <c r="F12582" t="inlineStr">
        <is>
          <t>Holmen skog AB</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47143-2024</t>
        </is>
      </c>
      <c r="B12583" s="1" t="n">
        <v>45586</v>
      </c>
      <c r="C12583" s="1" t="n">
        <v>45587</v>
      </c>
      <c r="D12583" t="inlineStr">
        <is>
          <t>GÄVLEBORGS LÄN</t>
        </is>
      </c>
      <c r="E12583" t="inlineStr">
        <is>
          <t>GÄVLE</t>
        </is>
      </c>
      <c r="F12583" t="inlineStr">
        <is>
          <t>Bergvik skog öst AB</t>
        </is>
      </c>
      <c r="G12583" t="n">
        <v>4.2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47151-2024</t>
        </is>
      </c>
      <c r="B12584" s="1" t="n">
        <v>45586</v>
      </c>
      <c r="C12584" s="1" t="n">
        <v>45587</v>
      </c>
      <c r="D12584" t="inlineStr">
        <is>
          <t>GÄVLEBORGS LÄN</t>
        </is>
      </c>
      <c r="E12584" t="inlineStr">
        <is>
          <t>SÖDERHAMN</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47219-2024</t>
        </is>
      </c>
      <c r="B12585" s="1" t="n">
        <v>45586</v>
      </c>
      <c r="C12585" s="1" t="n">
        <v>45587</v>
      </c>
      <c r="D12585" t="inlineStr">
        <is>
          <t>GÄVLEBORGS LÄN</t>
        </is>
      </c>
      <c r="E12585" t="inlineStr">
        <is>
          <t>HOFORS</t>
        </is>
      </c>
      <c r="F12585" t="inlineStr">
        <is>
          <t>Sveaskog</t>
        </is>
      </c>
      <c r="G12585" t="n">
        <v>8.300000000000001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47210-2024</t>
        </is>
      </c>
      <c r="B12586" s="1" t="n">
        <v>45586</v>
      </c>
      <c r="C12586" s="1" t="n">
        <v>45587</v>
      </c>
      <c r="D12586" t="inlineStr">
        <is>
          <t>GÄVLEBORGS LÄN</t>
        </is>
      </c>
      <c r="E12586" t="inlineStr">
        <is>
          <t>LJUSDAL</t>
        </is>
      </c>
      <c r="G12586" t="n">
        <v>3.2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47214-2024</t>
        </is>
      </c>
      <c r="B12587" s="1" t="n">
        <v>45586</v>
      </c>
      <c r="C12587" s="1" t="n">
        <v>45587</v>
      </c>
      <c r="D12587" t="inlineStr">
        <is>
          <t>GÄVLEBORGS LÄN</t>
        </is>
      </c>
      <c r="E12587" t="inlineStr">
        <is>
          <t>NORDANSTIG</t>
        </is>
      </c>
      <c r="G12587" t="n">
        <v>3.5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47055-2024</t>
        </is>
      </c>
      <c r="B12588" s="1" t="n">
        <v>45586</v>
      </c>
      <c r="C12588" s="1" t="n">
        <v>45587</v>
      </c>
      <c r="D12588" t="inlineStr">
        <is>
          <t>GÄVLEBORGS LÄN</t>
        </is>
      </c>
      <c r="E12588" t="inlineStr">
        <is>
          <t>NORDANSTIG</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47059-2024</t>
        </is>
      </c>
      <c r="B12589" s="1" t="n">
        <v>45586</v>
      </c>
      <c r="C12589" s="1" t="n">
        <v>45587</v>
      </c>
      <c r="D12589" t="inlineStr">
        <is>
          <t>GÄVLEBORGS LÄN</t>
        </is>
      </c>
      <c r="E12589" t="inlineStr">
        <is>
          <t>HUDIKSVALL</t>
        </is>
      </c>
      <c r="G12589" t="n">
        <v>18.2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47230-2024</t>
        </is>
      </c>
      <c r="B12590" s="1" t="n">
        <v>45586</v>
      </c>
      <c r="C12590" s="1" t="n">
        <v>45587</v>
      </c>
      <c r="D12590" t="inlineStr">
        <is>
          <t>GÄVLEBORGS LÄN</t>
        </is>
      </c>
      <c r="E12590" t="inlineStr">
        <is>
          <t>LJUSDAL</t>
        </is>
      </c>
      <c r="F12590" t="inlineStr">
        <is>
          <t>Sveaskog</t>
        </is>
      </c>
      <c r="G12590" t="n">
        <v>16.1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47238-2024</t>
        </is>
      </c>
      <c r="B12591" s="1" t="n">
        <v>45586</v>
      </c>
      <c r="C12591" s="1" t="n">
        <v>45587</v>
      </c>
      <c r="D12591" t="inlineStr">
        <is>
          <t>GÄVLEBORGS LÄN</t>
        </is>
      </c>
      <c r="E12591" t="inlineStr">
        <is>
          <t>NORDANSTIG</t>
        </is>
      </c>
      <c r="G12591" t="n">
        <v>4.2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47249-2024</t>
        </is>
      </c>
      <c r="B12592" s="1" t="n">
        <v>45586</v>
      </c>
      <c r="C12592" s="1" t="n">
        <v>45587</v>
      </c>
      <c r="D12592" t="inlineStr">
        <is>
          <t>GÄVLEBORGS LÄN</t>
        </is>
      </c>
      <c r="E12592" t="inlineStr">
        <is>
          <t>HUDIKSVALL</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47100-2024</t>
        </is>
      </c>
      <c r="B12593" s="1" t="n">
        <v>45586</v>
      </c>
      <c r="C12593" s="1" t="n">
        <v>45587</v>
      </c>
      <c r="D12593" t="inlineStr">
        <is>
          <t>GÄVLEBORGS LÄN</t>
        </is>
      </c>
      <c r="E12593" t="inlineStr">
        <is>
          <t>OCKELBO</t>
        </is>
      </c>
      <c r="G12593" t="n">
        <v>3.6</v>
      </c>
      <c r="H12593" t="n">
        <v>0</v>
      </c>
      <c r="I12593" t="n">
        <v>0</v>
      </c>
      <c r="J12593" t="n">
        <v>0</v>
      </c>
      <c r="K12593" t="n">
        <v>0</v>
      </c>
      <c r="L12593" t="n">
        <v>0</v>
      </c>
      <c r="M12593" t="n">
        <v>0</v>
      </c>
      <c r="N12593" t="n">
        <v>0</v>
      </c>
      <c r="O12593" t="n">
        <v>0</v>
      </c>
      <c r="P12593" t="n">
        <v>0</v>
      </c>
      <c r="Q12593" t="n">
        <v>0</v>
      </c>
      <c r="R12593" s="2" t="inlineStr"/>
    </row>
    <row r="12594">
      <c r="A12594" t="inlineStr">
        <is>
          <t>A 47149-2024</t>
        </is>
      </c>
      <c r="B12594" s="1" t="n">
        <v>45586</v>
      </c>
      <c r="C12594" s="1" t="n">
        <v>45587</v>
      </c>
      <c r="D12594" t="inlineStr">
        <is>
          <t>GÄVLEBORGS LÄN</t>
        </is>
      </c>
      <c r="E12594" t="inlineStr">
        <is>
          <t>HUDIKSVALL</t>
        </is>
      </c>
      <c r="G12594" t="n">
        <v>0.8</v>
      </c>
      <c r="H12594" t="n">
        <v>0</v>
      </c>
      <c r="I12594" t="n">
        <v>0</v>
      </c>
      <c r="J12594" t="n">
        <v>0</v>
      </c>
      <c r="K12594" t="n">
        <v>0</v>
      </c>
      <c r="L12594" t="n">
        <v>0</v>
      </c>
      <c r="M12594" t="n">
        <v>0</v>
      </c>
      <c r="N12594" t="n">
        <v>0</v>
      </c>
      <c r="O12594" t="n">
        <v>0</v>
      </c>
      <c r="P12594" t="n">
        <v>0</v>
      </c>
      <c r="Q12594" t="n">
        <v>0</v>
      </c>
      <c r="R125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2024-10-22T13:03:13Z</dcterms:created>
  <dcterms:modified xmlns:dcterms="http://purl.org/dc/terms/" xmlns:xsi="http://www.w3.org/2001/XMLSchema-instance" xsi:type="dcterms:W3CDTF">2024-10-22T13:03:24Z</dcterms:modified>
</cp:coreProperties>
</file>